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245"/>
  </bookViews>
  <sheets>
    <sheet name="Sheet1" sheetId="1" r:id="rId1"/>
    <sheet name="Sheet2" sheetId="3" r:id="rId2"/>
  </sheets>
  <definedNames>
    <definedName name="_xlnm._FilterDatabase" localSheetId="0" hidden="1">Sheet1!$A$3:$X$3</definedName>
    <definedName name="_xlnm.Print_Titles" localSheetId="0">Sheet1!$3:$3</definedName>
  </definedNames>
  <calcPr calcId="144525"/>
</workbook>
</file>

<file path=xl/calcChain.xml><?xml version="1.0" encoding="utf-8"?>
<calcChain xmlns="http://schemas.openxmlformats.org/spreadsheetml/2006/main">
  <c r="V613" i="3" l="1"/>
  <c r="U613" i="3"/>
  <c r="T613" i="3"/>
  <c r="S613" i="3"/>
  <c r="R613" i="3"/>
  <c r="Q613" i="3"/>
  <c r="V612" i="3"/>
  <c r="T612" i="3"/>
  <c r="S612" i="3"/>
  <c r="R612" i="3"/>
  <c r="Q612" i="3"/>
  <c r="O612" i="3"/>
  <c r="N612" i="3"/>
  <c r="K612" i="3"/>
  <c r="V611" i="3"/>
  <c r="U611" i="3"/>
  <c r="T611" i="3"/>
  <c r="S611" i="3"/>
  <c r="R611" i="3"/>
  <c r="Q611" i="3"/>
  <c r="V613" i="1"/>
  <c r="U613" i="1"/>
  <c r="T613" i="1"/>
  <c r="S613" i="1"/>
  <c r="R613" i="1"/>
  <c r="Q613" i="1"/>
  <c r="V612" i="1"/>
  <c r="T612" i="1"/>
  <c r="S612" i="1"/>
  <c r="R612" i="1"/>
  <c r="Q612" i="1"/>
  <c r="N612" i="1"/>
  <c r="O612" i="1" s="1"/>
  <c r="K612" i="1"/>
  <c r="V611" i="1"/>
  <c r="U611" i="1"/>
  <c r="T611" i="1"/>
  <c r="S611" i="1"/>
  <c r="R611" i="1"/>
  <c r="Q611" i="1"/>
  <c r="V580" i="1"/>
  <c r="U580" i="1"/>
  <c r="T580" i="1"/>
  <c r="S580" i="1"/>
  <c r="R580" i="1"/>
  <c r="Q580" i="1"/>
  <c r="V579" i="1"/>
  <c r="T579" i="1"/>
  <c r="S579" i="1"/>
  <c r="R579" i="1"/>
  <c r="Q579" i="1"/>
  <c r="N579" i="1"/>
  <c r="O579" i="1" s="1"/>
  <c r="L579" i="1" s="1"/>
  <c r="K579" i="1"/>
  <c r="J579" i="1"/>
  <c r="V578" i="1"/>
  <c r="U578" i="1"/>
  <c r="T578" i="1"/>
  <c r="S578" i="1"/>
  <c r="R578" i="1"/>
  <c r="Q578" i="1"/>
  <c r="V577" i="1"/>
  <c r="U577" i="1"/>
  <c r="T577" i="1"/>
  <c r="S577" i="1"/>
  <c r="R577" i="1"/>
  <c r="Q577" i="1"/>
  <c r="V576" i="1"/>
  <c r="T576" i="1"/>
  <c r="S576" i="1"/>
  <c r="R576" i="1"/>
  <c r="Q576" i="1"/>
  <c r="N576" i="1"/>
  <c r="J576" i="1"/>
  <c r="D576" i="1"/>
  <c r="K576" i="1" s="1"/>
  <c r="V575" i="1"/>
  <c r="U575" i="1"/>
  <c r="T575" i="1"/>
  <c r="S575" i="1"/>
  <c r="R575" i="1"/>
  <c r="Q575" i="1"/>
  <c r="J579" i="3"/>
  <c r="J576" i="3"/>
  <c r="D576" i="3"/>
  <c r="V580" i="3"/>
  <c r="U580" i="3"/>
  <c r="T580" i="3"/>
  <c r="S580" i="3"/>
  <c r="R580" i="3"/>
  <c r="Q580" i="3"/>
  <c r="V579" i="3"/>
  <c r="T579" i="3"/>
  <c r="S579" i="3"/>
  <c r="R579" i="3"/>
  <c r="Q579" i="3"/>
  <c r="N579" i="3"/>
  <c r="K579" i="3"/>
  <c r="V578" i="3"/>
  <c r="U578" i="3"/>
  <c r="T578" i="3"/>
  <c r="S578" i="3"/>
  <c r="R578" i="3"/>
  <c r="Q578" i="3"/>
  <c r="V577" i="3"/>
  <c r="U577" i="3"/>
  <c r="T577" i="3"/>
  <c r="S577" i="3"/>
  <c r="R577" i="3"/>
  <c r="Q577" i="3"/>
  <c r="T576" i="3"/>
  <c r="S576" i="3"/>
  <c r="R576" i="3"/>
  <c r="Q576" i="3"/>
  <c r="N576" i="3"/>
  <c r="O576" i="3" s="1"/>
  <c r="L576" i="3" s="1"/>
  <c r="K576" i="3"/>
  <c r="V575" i="3"/>
  <c r="U575" i="3"/>
  <c r="T575" i="3"/>
  <c r="S575" i="3"/>
  <c r="R575" i="3"/>
  <c r="Q575" i="3"/>
  <c r="V610" i="3"/>
  <c r="U610" i="3"/>
  <c r="T610" i="3"/>
  <c r="S610" i="3"/>
  <c r="R610" i="3"/>
  <c r="Q610" i="3"/>
  <c r="V609" i="3"/>
  <c r="T609" i="3"/>
  <c r="S609" i="3"/>
  <c r="R609" i="3"/>
  <c r="Q609" i="3"/>
  <c r="N609" i="3"/>
  <c r="O609" i="3" s="1"/>
  <c r="K609" i="3"/>
  <c r="V608" i="3"/>
  <c r="U608" i="3"/>
  <c r="T608" i="3"/>
  <c r="S608" i="3"/>
  <c r="R608" i="3"/>
  <c r="Q608" i="3"/>
  <c r="V607" i="3"/>
  <c r="U607" i="3"/>
  <c r="T607" i="3"/>
  <c r="S607" i="3"/>
  <c r="R607" i="3"/>
  <c r="Q607" i="3"/>
  <c r="V606" i="3"/>
  <c r="T606" i="3"/>
  <c r="S606" i="3"/>
  <c r="R606" i="3"/>
  <c r="Q606" i="3"/>
  <c r="O606" i="3"/>
  <c r="P606" i="3" s="1"/>
  <c r="U606" i="3" s="1"/>
  <c r="N606" i="3"/>
  <c r="L606" i="3"/>
  <c r="K606" i="3"/>
  <c r="V605" i="3"/>
  <c r="U605" i="3"/>
  <c r="T605" i="3"/>
  <c r="S605" i="3"/>
  <c r="R605" i="3"/>
  <c r="Q605" i="3"/>
  <c r="V604" i="3"/>
  <c r="U604" i="3"/>
  <c r="T604" i="3"/>
  <c r="S604" i="3"/>
  <c r="R604" i="3"/>
  <c r="Q604" i="3"/>
  <c r="V603" i="3"/>
  <c r="T603" i="3"/>
  <c r="S603" i="3"/>
  <c r="R603" i="3"/>
  <c r="Q603" i="3"/>
  <c r="N603" i="3"/>
  <c r="O603" i="3" s="1"/>
  <c r="K603" i="3"/>
  <c r="V602" i="3"/>
  <c r="U602" i="3"/>
  <c r="T602" i="3"/>
  <c r="S602" i="3"/>
  <c r="R602" i="3"/>
  <c r="Q602" i="3"/>
  <c r="V601" i="3"/>
  <c r="U601" i="3"/>
  <c r="T601" i="3"/>
  <c r="S601" i="3"/>
  <c r="R601" i="3"/>
  <c r="Q601" i="3"/>
  <c r="V600" i="3"/>
  <c r="T600" i="3"/>
  <c r="S600" i="3"/>
  <c r="R600" i="3"/>
  <c r="Q600" i="3"/>
  <c r="O600" i="3"/>
  <c r="L600" i="3" s="1"/>
  <c r="N600" i="3"/>
  <c r="K600" i="3"/>
  <c r="V599" i="3"/>
  <c r="U599" i="3"/>
  <c r="T599" i="3"/>
  <c r="S599" i="3"/>
  <c r="R599" i="3"/>
  <c r="Q599" i="3"/>
  <c r="V598" i="3"/>
  <c r="U598" i="3"/>
  <c r="T598" i="3"/>
  <c r="S598" i="3"/>
  <c r="R598" i="3"/>
  <c r="Q598" i="3"/>
  <c r="V597" i="3"/>
  <c r="T597" i="3"/>
  <c r="S597" i="3"/>
  <c r="R597" i="3"/>
  <c r="Q597" i="3"/>
  <c r="N597" i="3"/>
  <c r="O597" i="3" s="1"/>
  <c r="K597" i="3"/>
  <c r="V596" i="3"/>
  <c r="U596" i="3"/>
  <c r="T596" i="3"/>
  <c r="S596" i="3"/>
  <c r="R596" i="3"/>
  <c r="Q596" i="3"/>
  <c r="V595" i="3"/>
  <c r="U595" i="3"/>
  <c r="T595" i="3"/>
  <c r="S595" i="3"/>
  <c r="R595" i="3"/>
  <c r="Q595" i="3"/>
  <c r="V594" i="3"/>
  <c r="T594" i="3"/>
  <c r="S594" i="3"/>
  <c r="R594" i="3"/>
  <c r="Q594" i="3"/>
  <c r="O594" i="3"/>
  <c r="P594" i="3" s="1"/>
  <c r="U594" i="3" s="1"/>
  <c r="N594" i="3"/>
  <c r="L594" i="3"/>
  <c r="K594" i="3"/>
  <c r="V593" i="3"/>
  <c r="U593" i="3"/>
  <c r="T593" i="3"/>
  <c r="S593" i="3"/>
  <c r="R593" i="3"/>
  <c r="Q593" i="3"/>
  <c r="V592" i="3"/>
  <c r="U592" i="3"/>
  <c r="T592" i="3"/>
  <c r="S592" i="3"/>
  <c r="R592" i="3"/>
  <c r="Q592" i="3"/>
  <c r="V591" i="3"/>
  <c r="T591" i="3"/>
  <c r="S591" i="3"/>
  <c r="R591" i="3"/>
  <c r="Q591" i="3"/>
  <c r="N591" i="3"/>
  <c r="O591" i="3" s="1"/>
  <c r="K591" i="3"/>
  <c r="V590" i="3"/>
  <c r="U590" i="3"/>
  <c r="T590" i="3"/>
  <c r="S590" i="3"/>
  <c r="R590" i="3"/>
  <c r="Q590" i="3"/>
  <c r="V589" i="3"/>
  <c r="U589" i="3"/>
  <c r="T589" i="3"/>
  <c r="S589" i="3"/>
  <c r="R589" i="3"/>
  <c r="Q589" i="3"/>
  <c r="V588" i="3"/>
  <c r="T588" i="3"/>
  <c r="S588" i="3"/>
  <c r="R588" i="3"/>
  <c r="Q588" i="3"/>
  <c r="O588" i="3"/>
  <c r="L588" i="3" s="1"/>
  <c r="N588" i="3"/>
  <c r="K588" i="3"/>
  <c r="V587" i="3"/>
  <c r="U587" i="3"/>
  <c r="T587" i="3"/>
  <c r="S587" i="3"/>
  <c r="R587" i="3"/>
  <c r="Q587" i="3"/>
  <c r="V586" i="3"/>
  <c r="U586" i="3"/>
  <c r="T586" i="3"/>
  <c r="S586" i="3"/>
  <c r="R586" i="3"/>
  <c r="Q586" i="3"/>
  <c r="V585" i="3"/>
  <c r="T585" i="3"/>
  <c r="S585" i="3"/>
  <c r="R585" i="3"/>
  <c r="Q585" i="3"/>
  <c r="N585" i="3"/>
  <c r="O585" i="3" s="1"/>
  <c r="K585" i="3"/>
  <c r="V584" i="3"/>
  <c r="U584" i="3"/>
  <c r="T584" i="3"/>
  <c r="S584" i="3"/>
  <c r="R584" i="3"/>
  <c r="Q584" i="3"/>
  <c r="V583" i="3"/>
  <c r="U583" i="3"/>
  <c r="T583" i="3"/>
  <c r="S583" i="3"/>
  <c r="R583" i="3"/>
  <c r="Q583" i="3"/>
  <c r="V582" i="3"/>
  <c r="T582" i="3"/>
  <c r="S582" i="3"/>
  <c r="R582" i="3"/>
  <c r="Q582" i="3"/>
  <c r="O582" i="3"/>
  <c r="P582" i="3" s="1"/>
  <c r="U582" i="3" s="1"/>
  <c r="N582" i="3"/>
  <c r="L582" i="3"/>
  <c r="K582" i="3"/>
  <c r="V581" i="3"/>
  <c r="U581" i="3"/>
  <c r="T581" i="3"/>
  <c r="S581" i="3"/>
  <c r="R581" i="3"/>
  <c r="Q581" i="3"/>
  <c r="L612" i="3" l="1"/>
  <c r="P612" i="3" s="1"/>
  <c r="U612" i="3" s="1"/>
  <c r="L612" i="1"/>
  <c r="P612" i="1" s="1"/>
  <c r="U612" i="1" s="1"/>
  <c r="P579" i="1"/>
  <c r="U579" i="1" s="1"/>
  <c r="O576" i="1"/>
  <c r="L576" i="1" s="1"/>
  <c r="P576" i="1" s="1"/>
  <c r="U576" i="1" s="1"/>
  <c r="P579" i="3"/>
  <c r="U579" i="3" s="1"/>
  <c r="P576" i="3"/>
  <c r="O579" i="3"/>
  <c r="L579" i="3" s="1"/>
  <c r="L603" i="3"/>
  <c r="P603" i="3"/>
  <c r="U603" i="3" s="1"/>
  <c r="P609" i="3"/>
  <c r="U609" i="3" s="1"/>
  <c r="L609" i="3"/>
  <c r="L591" i="3"/>
  <c r="P591" i="3"/>
  <c r="U591" i="3" s="1"/>
  <c r="P597" i="3"/>
  <c r="U597" i="3" s="1"/>
  <c r="L597" i="3"/>
  <c r="L585" i="3"/>
  <c r="P585" i="3" s="1"/>
  <c r="U585" i="3" s="1"/>
  <c r="P588" i="3"/>
  <c r="U588" i="3" s="1"/>
  <c r="P600" i="3"/>
  <c r="U600" i="3" s="1"/>
  <c r="N772" i="1"/>
  <c r="V576" i="3" l="1"/>
  <c r="U576" i="3"/>
  <c r="V610" i="1"/>
  <c r="U610" i="1"/>
  <c r="T610" i="1"/>
  <c r="S610" i="1"/>
  <c r="R610" i="1"/>
  <c r="Q610" i="1"/>
  <c r="V609" i="1"/>
  <c r="T609" i="1"/>
  <c r="S609" i="1"/>
  <c r="R609" i="1"/>
  <c r="Q609" i="1"/>
  <c r="N609" i="1"/>
  <c r="O609" i="1" s="1"/>
  <c r="K609" i="1"/>
  <c r="V608" i="1"/>
  <c r="U608" i="1"/>
  <c r="T608" i="1"/>
  <c r="S608" i="1"/>
  <c r="R608" i="1"/>
  <c r="Q608" i="1"/>
  <c r="V607" i="1"/>
  <c r="U607" i="1"/>
  <c r="T607" i="1"/>
  <c r="S607" i="1"/>
  <c r="R607" i="1"/>
  <c r="Q607" i="1"/>
  <c r="V606" i="1"/>
  <c r="T606" i="1"/>
  <c r="S606" i="1"/>
  <c r="R606" i="1"/>
  <c r="Q606" i="1"/>
  <c r="N606" i="1"/>
  <c r="O606" i="1" s="1"/>
  <c r="K606" i="1"/>
  <c r="V605" i="1"/>
  <c r="U605" i="1"/>
  <c r="T605" i="1"/>
  <c r="S605" i="1"/>
  <c r="R605" i="1"/>
  <c r="Q605" i="1"/>
  <c r="V604" i="1"/>
  <c r="U604" i="1"/>
  <c r="T604" i="1"/>
  <c r="S604" i="1"/>
  <c r="R604" i="1"/>
  <c r="Q604" i="1"/>
  <c r="V603" i="1"/>
  <c r="T603" i="1"/>
  <c r="S603" i="1"/>
  <c r="R603" i="1"/>
  <c r="Q603" i="1"/>
  <c r="N603" i="1"/>
  <c r="O603" i="1" s="1"/>
  <c r="K603" i="1"/>
  <c r="V602" i="1"/>
  <c r="U602" i="1"/>
  <c r="T602" i="1"/>
  <c r="S602" i="1"/>
  <c r="R602" i="1"/>
  <c r="Q602" i="1"/>
  <c r="V601" i="1"/>
  <c r="U601" i="1"/>
  <c r="T601" i="1"/>
  <c r="S601" i="1"/>
  <c r="R601" i="1"/>
  <c r="Q601" i="1"/>
  <c r="V600" i="1"/>
  <c r="T600" i="1"/>
  <c r="S600" i="1"/>
  <c r="R600" i="1"/>
  <c r="Q600" i="1"/>
  <c r="O600" i="1"/>
  <c r="L600" i="1" s="1"/>
  <c r="N600" i="1"/>
  <c r="K600" i="1"/>
  <c r="V599" i="1"/>
  <c r="U599" i="1"/>
  <c r="T599" i="1"/>
  <c r="S599" i="1"/>
  <c r="R599" i="1"/>
  <c r="Q599" i="1"/>
  <c r="V598" i="1"/>
  <c r="U598" i="1"/>
  <c r="T598" i="1"/>
  <c r="S598" i="1"/>
  <c r="R598" i="1"/>
  <c r="Q598" i="1"/>
  <c r="V597" i="1"/>
  <c r="T597" i="1"/>
  <c r="S597" i="1"/>
  <c r="R597" i="1"/>
  <c r="Q597" i="1"/>
  <c r="O597" i="1"/>
  <c r="N597" i="1"/>
  <c r="K597" i="1"/>
  <c r="V596" i="1"/>
  <c r="U596" i="1"/>
  <c r="T596" i="1"/>
  <c r="S596" i="1"/>
  <c r="R596" i="1"/>
  <c r="Q596" i="1"/>
  <c r="V595" i="1"/>
  <c r="U595" i="1"/>
  <c r="T595" i="1"/>
  <c r="S595" i="1"/>
  <c r="R595" i="1"/>
  <c r="Q595" i="1"/>
  <c r="V594" i="1"/>
  <c r="T594" i="1"/>
  <c r="S594" i="1"/>
  <c r="R594" i="1"/>
  <c r="Q594" i="1"/>
  <c r="N594" i="1"/>
  <c r="O594" i="1" s="1"/>
  <c r="K594" i="1"/>
  <c r="V593" i="1"/>
  <c r="U593" i="1"/>
  <c r="T593" i="1"/>
  <c r="S593" i="1"/>
  <c r="R593" i="1"/>
  <c r="Q593" i="1"/>
  <c r="V592" i="1"/>
  <c r="U592" i="1"/>
  <c r="T592" i="1"/>
  <c r="S592" i="1"/>
  <c r="R592" i="1"/>
  <c r="Q592" i="1"/>
  <c r="V591" i="1"/>
  <c r="T591" i="1"/>
  <c r="S591" i="1"/>
  <c r="R591" i="1"/>
  <c r="Q591" i="1"/>
  <c r="N591" i="1"/>
  <c r="O591" i="1" s="1"/>
  <c r="K591" i="1"/>
  <c r="V590" i="1"/>
  <c r="U590" i="1"/>
  <c r="T590" i="1"/>
  <c r="S590" i="1"/>
  <c r="R590" i="1"/>
  <c r="Q590" i="1"/>
  <c r="V589" i="1"/>
  <c r="U589" i="1"/>
  <c r="T589" i="1"/>
  <c r="S589" i="1"/>
  <c r="R589" i="1"/>
  <c r="Q589" i="1"/>
  <c r="V588" i="1"/>
  <c r="T588" i="1"/>
  <c r="S588" i="1"/>
  <c r="R588" i="1"/>
  <c r="Q588" i="1"/>
  <c r="N588" i="1"/>
  <c r="O588" i="1" s="1"/>
  <c r="K588" i="1"/>
  <c r="V587" i="1"/>
  <c r="U587" i="1"/>
  <c r="T587" i="1"/>
  <c r="S587" i="1"/>
  <c r="R587" i="1"/>
  <c r="Q587" i="1"/>
  <c r="V586" i="1"/>
  <c r="U586" i="1"/>
  <c r="T586" i="1"/>
  <c r="S586" i="1"/>
  <c r="R586" i="1"/>
  <c r="Q586" i="1"/>
  <c r="V585" i="1"/>
  <c r="T585" i="1"/>
  <c r="S585" i="1"/>
  <c r="R585" i="1"/>
  <c r="Q585" i="1"/>
  <c r="N585" i="1"/>
  <c r="O585" i="1" s="1"/>
  <c r="K585" i="1"/>
  <c r="V584" i="1"/>
  <c r="U584" i="1"/>
  <c r="T584" i="1"/>
  <c r="S584" i="1"/>
  <c r="R584" i="1"/>
  <c r="Q584" i="1"/>
  <c r="V583" i="1"/>
  <c r="U583" i="1"/>
  <c r="T583" i="1"/>
  <c r="S583" i="1"/>
  <c r="R583" i="1"/>
  <c r="Q583" i="1"/>
  <c r="V582" i="1"/>
  <c r="T582" i="1"/>
  <c r="S582" i="1"/>
  <c r="R582" i="1"/>
  <c r="Q582" i="1"/>
  <c r="N582" i="1"/>
  <c r="O582" i="1" s="1"/>
  <c r="L582" i="1" s="1"/>
  <c r="K582" i="1"/>
  <c r="V581" i="1"/>
  <c r="U581" i="1"/>
  <c r="T581" i="1"/>
  <c r="S581" i="1"/>
  <c r="R581" i="1"/>
  <c r="Q581" i="1"/>
  <c r="L606" i="1" l="1"/>
  <c r="P606" i="1" s="1"/>
  <c r="U606" i="1" s="1"/>
  <c r="L609" i="1"/>
  <c r="P609" i="1" s="1"/>
  <c r="U609" i="1" s="1"/>
  <c r="L603" i="1"/>
  <c r="P603" i="1" s="1"/>
  <c r="U603" i="1" s="1"/>
  <c r="P600" i="1"/>
  <c r="U600" i="1" s="1"/>
  <c r="L597" i="1"/>
  <c r="P597" i="1" s="1"/>
  <c r="U597" i="1" s="1"/>
  <c r="L594" i="1"/>
  <c r="P594" i="1" s="1"/>
  <c r="U594" i="1" s="1"/>
  <c r="L591" i="1"/>
  <c r="P591" i="1" s="1"/>
  <c r="U591" i="1" s="1"/>
  <c r="L588" i="1"/>
  <c r="P588" i="1" s="1"/>
  <c r="U588" i="1" s="1"/>
  <c r="L585" i="1"/>
  <c r="P585" i="1" s="1"/>
  <c r="U585" i="1" s="1"/>
  <c r="P582" i="1"/>
  <c r="U582" i="1" s="1"/>
  <c r="V783" i="3" l="1"/>
  <c r="U783" i="3"/>
  <c r="T783" i="3"/>
  <c r="S783" i="3"/>
  <c r="R783" i="3"/>
  <c r="Q783" i="3"/>
  <c r="V782" i="3"/>
  <c r="U782" i="3"/>
  <c r="T782" i="3"/>
  <c r="S782" i="3"/>
  <c r="R782" i="3"/>
  <c r="Q782" i="3"/>
  <c r="V781" i="3"/>
  <c r="U781" i="3"/>
  <c r="T781" i="3"/>
  <c r="S781" i="3"/>
  <c r="R781" i="3"/>
  <c r="Q781" i="3"/>
  <c r="V780" i="3"/>
  <c r="U780" i="3"/>
  <c r="T780" i="3"/>
  <c r="S780" i="3"/>
  <c r="R780" i="3"/>
  <c r="Q780" i="3"/>
  <c r="V779" i="3"/>
  <c r="U779" i="3"/>
  <c r="T779" i="3"/>
  <c r="S779" i="3"/>
  <c r="R779" i="3"/>
  <c r="Q779" i="3"/>
  <c r="V778" i="3"/>
  <c r="U778" i="3"/>
  <c r="S778" i="3"/>
  <c r="R778" i="3"/>
  <c r="Q778" i="3"/>
  <c r="N778" i="3"/>
  <c r="O778" i="3" s="1"/>
  <c r="K778" i="3"/>
  <c r="J778" i="3"/>
  <c r="V777" i="3"/>
  <c r="U777" i="3"/>
  <c r="T777" i="3"/>
  <c r="S777" i="3"/>
  <c r="R777" i="3"/>
  <c r="Q777" i="3"/>
  <c r="V776" i="3"/>
  <c r="U776" i="3"/>
  <c r="T776" i="3"/>
  <c r="S776" i="3"/>
  <c r="R776" i="3"/>
  <c r="Q776" i="3"/>
  <c r="V775" i="3"/>
  <c r="T775" i="3"/>
  <c r="S775" i="3"/>
  <c r="R775" i="3"/>
  <c r="Q775" i="3"/>
  <c r="N775" i="3"/>
  <c r="O775" i="3" s="1"/>
  <c r="K775" i="3"/>
  <c r="J775" i="3"/>
  <c r="V774" i="3"/>
  <c r="U774" i="3"/>
  <c r="T774" i="3"/>
  <c r="S774" i="3"/>
  <c r="R774" i="3"/>
  <c r="Q774" i="3"/>
  <c r="V773" i="3"/>
  <c r="U773" i="3"/>
  <c r="T773" i="3"/>
  <c r="S773" i="3"/>
  <c r="R773" i="3"/>
  <c r="Q773" i="3"/>
  <c r="V772" i="3"/>
  <c r="U772" i="3"/>
  <c r="T772" i="3"/>
  <c r="S772" i="3"/>
  <c r="Q772" i="3"/>
  <c r="O772" i="3"/>
  <c r="L772" i="3" s="1"/>
  <c r="P772" i="3" s="1"/>
  <c r="R772" i="3" s="1"/>
  <c r="N772" i="3"/>
  <c r="K772" i="3"/>
  <c r="J772" i="3"/>
  <c r="V771" i="3"/>
  <c r="U771" i="3"/>
  <c r="T771" i="3"/>
  <c r="S771" i="3"/>
  <c r="R771" i="3"/>
  <c r="Q771" i="3"/>
  <c r="V770" i="3"/>
  <c r="U770" i="3"/>
  <c r="T770" i="3"/>
  <c r="S770" i="3"/>
  <c r="R770" i="3"/>
  <c r="Q770" i="3"/>
  <c r="V769" i="3"/>
  <c r="U769" i="3"/>
  <c r="T769" i="3"/>
  <c r="R769" i="3"/>
  <c r="Q769" i="3"/>
  <c r="O769" i="3"/>
  <c r="L769" i="3" s="1"/>
  <c r="N769" i="3"/>
  <c r="K769" i="3"/>
  <c r="J769" i="3"/>
  <c r="P769" i="3" s="1"/>
  <c r="S769" i="3" s="1"/>
  <c r="V768" i="3"/>
  <c r="U768" i="3"/>
  <c r="T768" i="3"/>
  <c r="S768" i="3"/>
  <c r="R768" i="3"/>
  <c r="Q768" i="3"/>
  <c r="V767" i="3"/>
  <c r="U767" i="3"/>
  <c r="T767" i="3"/>
  <c r="S767" i="3"/>
  <c r="R767" i="3"/>
  <c r="Q767" i="3"/>
  <c r="V766" i="3"/>
  <c r="U766" i="3"/>
  <c r="T766" i="3"/>
  <c r="R766" i="3"/>
  <c r="Q766" i="3"/>
  <c r="N766" i="3"/>
  <c r="O766" i="3" s="1"/>
  <c r="L766" i="3" s="1"/>
  <c r="K766" i="3"/>
  <c r="J766" i="3"/>
  <c r="V765" i="3"/>
  <c r="U765" i="3"/>
  <c r="T765" i="3"/>
  <c r="S765" i="3"/>
  <c r="R765" i="3"/>
  <c r="Q765" i="3"/>
  <c r="V764" i="3"/>
  <c r="U764" i="3"/>
  <c r="T764" i="3"/>
  <c r="S764" i="3"/>
  <c r="R764" i="3"/>
  <c r="Q764" i="3"/>
  <c r="V763" i="3"/>
  <c r="U763" i="3"/>
  <c r="T763" i="3"/>
  <c r="R763" i="3"/>
  <c r="Q763" i="3"/>
  <c r="N763" i="3"/>
  <c r="O763" i="3" s="1"/>
  <c r="K763" i="3"/>
  <c r="J763" i="3"/>
  <c r="V762" i="3"/>
  <c r="U762" i="3"/>
  <c r="T762" i="3"/>
  <c r="S762" i="3"/>
  <c r="R762" i="3"/>
  <c r="Q762" i="3"/>
  <c r="V761" i="3"/>
  <c r="U761" i="3"/>
  <c r="T761" i="3"/>
  <c r="S761" i="3"/>
  <c r="R761" i="3"/>
  <c r="Q761" i="3"/>
  <c r="V760" i="3"/>
  <c r="U760" i="3"/>
  <c r="S760" i="3"/>
  <c r="R760" i="3"/>
  <c r="Q760" i="3"/>
  <c r="N760" i="3"/>
  <c r="O760" i="3" s="1"/>
  <c r="K760" i="3"/>
  <c r="J760" i="3"/>
  <c r="V759" i="3"/>
  <c r="U759" i="3"/>
  <c r="T759" i="3"/>
  <c r="S759" i="3"/>
  <c r="R759" i="3"/>
  <c r="Q759" i="3"/>
  <c r="V758" i="3"/>
  <c r="U758" i="3"/>
  <c r="T758" i="3"/>
  <c r="S758" i="3"/>
  <c r="R758" i="3"/>
  <c r="Q758" i="3"/>
  <c r="U757" i="3"/>
  <c r="T757" i="3"/>
  <c r="S757" i="3"/>
  <c r="R757" i="3"/>
  <c r="Q757" i="3"/>
  <c r="N757" i="3"/>
  <c r="O757" i="3" s="1"/>
  <c r="K757" i="3"/>
  <c r="J757" i="3"/>
  <c r="V756" i="3"/>
  <c r="U756" i="3"/>
  <c r="T756" i="3"/>
  <c r="S756" i="3"/>
  <c r="R756" i="3"/>
  <c r="Q756" i="3"/>
  <c r="V755" i="3"/>
  <c r="U755" i="3"/>
  <c r="T755" i="3"/>
  <c r="S755" i="3"/>
  <c r="R755" i="3"/>
  <c r="Q755" i="3"/>
  <c r="V754" i="3"/>
  <c r="U754" i="3"/>
  <c r="T754" i="3"/>
  <c r="S754" i="3"/>
  <c r="Q754" i="3"/>
  <c r="N754" i="3"/>
  <c r="O754" i="3" s="1"/>
  <c r="K754" i="3"/>
  <c r="J754" i="3"/>
  <c r="V753" i="3"/>
  <c r="U753" i="3"/>
  <c r="T753" i="3"/>
  <c r="S753" i="3"/>
  <c r="R753" i="3"/>
  <c r="Q753" i="3"/>
  <c r="V752" i="3"/>
  <c r="U752" i="3"/>
  <c r="T752" i="3"/>
  <c r="S752" i="3"/>
  <c r="R752" i="3"/>
  <c r="Q752" i="3"/>
  <c r="V751" i="3"/>
  <c r="U751" i="3"/>
  <c r="S751" i="3"/>
  <c r="R751" i="3"/>
  <c r="Q751" i="3"/>
  <c r="N751" i="3"/>
  <c r="O751" i="3" s="1"/>
  <c r="K751" i="3"/>
  <c r="J751" i="3"/>
  <c r="V750" i="3"/>
  <c r="U750" i="3"/>
  <c r="T750" i="3"/>
  <c r="S750" i="3"/>
  <c r="R750" i="3"/>
  <c r="Q750" i="3"/>
  <c r="V749" i="3"/>
  <c r="U749" i="3"/>
  <c r="T749" i="3"/>
  <c r="S749" i="3"/>
  <c r="R749" i="3"/>
  <c r="Q749" i="3"/>
  <c r="V748" i="3"/>
  <c r="T748" i="3"/>
  <c r="S748" i="3"/>
  <c r="R748" i="3"/>
  <c r="Q748" i="3"/>
  <c r="N748" i="3"/>
  <c r="O748" i="3" s="1"/>
  <c r="K748" i="3"/>
  <c r="J748" i="3"/>
  <c r="V747" i="3"/>
  <c r="U747" i="3"/>
  <c r="T747" i="3"/>
  <c r="S747" i="3"/>
  <c r="R747" i="3"/>
  <c r="Q747" i="3"/>
  <c r="V746" i="3"/>
  <c r="U746" i="3"/>
  <c r="T746" i="3"/>
  <c r="S746" i="3"/>
  <c r="R746" i="3"/>
  <c r="Q746" i="3"/>
  <c r="V745" i="3"/>
  <c r="U745" i="3"/>
  <c r="T745" i="3"/>
  <c r="R745" i="3"/>
  <c r="Q745" i="3"/>
  <c r="N745" i="3"/>
  <c r="O745" i="3" s="1"/>
  <c r="K745" i="3"/>
  <c r="J745" i="3"/>
  <c r="V744" i="3"/>
  <c r="U744" i="3"/>
  <c r="T744" i="3"/>
  <c r="S744" i="3"/>
  <c r="R744" i="3"/>
  <c r="Q744" i="3"/>
  <c r="V743" i="3"/>
  <c r="U743" i="3"/>
  <c r="T743" i="3"/>
  <c r="S743" i="3"/>
  <c r="R743" i="3"/>
  <c r="Q743" i="3"/>
  <c r="V742" i="3"/>
  <c r="U742" i="3"/>
  <c r="T742" i="3"/>
  <c r="R742" i="3"/>
  <c r="Q742" i="3"/>
  <c r="N742" i="3"/>
  <c r="O742" i="3" s="1"/>
  <c r="K742" i="3"/>
  <c r="J742" i="3"/>
  <c r="V741" i="3"/>
  <c r="U741" i="3"/>
  <c r="T741" i="3"/>
  <c r="S741" i="3"/>
  <c r="R741" i="3"/>
  <c r="Q741" i="3"/>
  <c r="V740" i="3"/>
  <c r="U740" i="3"/>
  <c r="T740" i="3"/>
  <c r="S740" i="3"/>
  <c r="R740" i="3"/>
  <c r="Q740" i="3"/>
  <c r="V739" i="3"/>
  <c r="T739" i="3"/>
  <c r="S739" i="3"/>
  <c r="R739" i="3"/>
  <c r="Q739" i="3"/>
  <c r="N739" i="3"/>
  <c r="O739" i="3" s="1"/>
  <c r="K739" i="3"/>
  <c r="J739" i="3"/>
  <c r="V738" i="3"/>
  <c r="U738" i="3"/>
  <c r="T738" i="3"/>
  <c r="S738" i="3"/>
  <c r="R738" i="3"/>
  <c r="Q738" i="3"/>
  <c r="V737" i="3"/>
  <c r="U737" i="3"/>
  <c r="T737" i="3"/>
  <c r="S737" i="3"/>
  <c r="R737" i="3"/>
  <c r="Q737" i="3"/>
  <c r="V736" i="3"/>
  <c r="U736" i="3"/>
  <c r="S736" i="3"/>
  <c r="R736" i="3"/>
  <c r="Q736" i="3"/>
  <c r="N736" i="3"/>
  <c r="O736" i="3" s="1"/>
  <c r="K736" i="3"/>
  <c r="J736" i="3"/>
  <c r="V735" i="3"/>
  <c r="U735" i="3"/>
  <c r="T735" i="3"/>
  <c r="S735" i="3"/>
  <c r="R735" i="3"/>
  <c r="Q735" i="3"/>
  <c r="V734" i="3"/>
  <c r="U734" i="3"/>
  <c r="T734" i="3"/>
  <c r="S734" i="3"/>
  <c r="R734" i="3"/>
  <c r="Q734" i="3"/>
  <c r="V733" i="3"/>
  <c r="T733" i="3"/>
  <c r="S733" i="3"/>
  <c r="R733" i="3"/>
  <c r="Q733" i="3"/>
  <c r="N733" i="3"/>
  <c r="O733" i="3" s="1"/>
  <c r="K733" i="3"/>
  <c r="J733" i="3"/>
  <c r="V732" i="3"/>
  <c r="U732" i="3"/>
  <c r="T732" i="3"/>
  <c r="S732" i="3"/>
  <c r="R732" i="3"/>
  <c r="Q732" i="3"/>
  <c r="V731" i="3"/>
  <c r="U731" i="3"/>
  <c r="T731" i="3"/>
  <c r="S731" i="3"/>
  <c r="R731" i="3"/>
  <c r="Q731" i="3"/>
  <c r="V730" i="3"/>
  <c r="U730" i="3"/>
  <c r="S730" i="3"/>
  <c r="R730" i="3"/>
  <c r="Q730" i="3"/>
  <c r="N730" i="3"/>
  <c r="O730" i="3" s="1"/>
  <c r="K730" i="3"/>
  <c r="J730" i="3"/>
  <c r="V729" i="3"/>
  <c r="U729" i="3"/>
  <c r="T729" i="3"/>
  <c r="S729" i="3"/>
  <c r="R729" i="3"/>
  <c r="Q729" i="3"/>
  <c r="V728" i="3"/>
  <c r="U728" i="3"/>
  <c r="T728" i="3"/>
  <c r="S728" i="3"/>
  <c r="R728" i="3"/>
  <c r="Q728" i="3"/>
  <c r="V727" i="3"/>
  <c r="T727" i="3"/>
  <c r="S727" i="3"/>
  <c r="R727" i="3"/>
  <c r="Q727" i="3"/>
  <c r="N727" i="3"/>
  <c r="O727" i="3" s="1"/>
  <c r="K727" i="3"/>
  <c r="J727" i="3"/>
  <c r="V726" i="3"/>
  <c r="U726" i="3"/>
  <c r="T726" i="3"/>
  <c r="S726" i="3"/>
  <c r="R726" i="3"/>
  <c r="Q726" i="3"/>
  <c r="V725" i="3"/>
  <c r="U725" i="3"/>
  <c r="T725" i="3"/>
  <c r="S725" i="3"/>
  <c r="R725" i="3"/>
  <c r="Q725" i="3"/>
  <c r="V724" i="3"/>
  <c r="T724" i="3"/>
  <c r="S724" i="3"/>
  <c r="R724" i="3"/>
  <c r="Q724" i="3"/>
  <c r="N724" i="3"/>
  <c r="O724" i="3" s="1"/>
  <c r="K724" i="3"/>
  <c r="J724" i="3"/>
  <c r="V723" i="3"/>
  <c r="U723" i="3"/>
  <c r="T723" i="3"/>
  <c r="S723" i="3"/>
  <c r="R723" i="3"/>
  <c r="Q723" i="3"/>
  <c r="V722" i="3"/>
  <c r="U722" i="3"/>
  <c r="T722" i="3"/>
  <c r="S722" i="3"/>
  <c r="R722" i="3"/>
  <c r="Q722" i="3"/>
  <c r="V721" i="3"/>
  <c r="T721" i="3"/>
  <c r="S721" i="3"/>
  <c r="R721" i="3"/>
  <c r="Q721" i="3"/>
  <c r="N721" i="3"/>
  <c r="O721" i="3" s="1"/>
  <c r="K721" i="3"/>
  <c r="J721" i="3"/>
  <c r="V720" i="3"/>
  <c r="U720" i="3"/>
  <c r="T720" i="3"/>
  <c r="S720" i="3"/>
  <c r="R720" i="3"/>
  <c r="Q720" i="3"/>
  <c r="V719" i="3"/>
  <c r="U719" i="3"/>
  <c r="T719" i="3"/>
  <c r="S719" i="3"/>
  <c r="R719" i="3"/>
  <c r="Q719" i="3"/>
  <c r="V718" i="3"/>
  <c r="U718" i="3"/>
  <c r="S718" i="3"/>
  <c r="R718" i="3"/>
  <c r="Q718" i="3"/>
  <c r="N718" i="3"/>
  <c r="O718" i="3" s="1"/>
  <c r="K718" i="3"/>
  <c r="J718" i="3"/>
  <c r="V717" i="3"/>
  <c r="U717" i="3"/>
  <c r="T717" i="3"/>
  <c r="S717" i="3"/>
  <c r="R717" i="3"/>
  <c r="Q717" i="3"/>
  <c r="V716" i="3"/>
  <c r="U716" i="3"/>
  <c r="T716" i="3"/>
  <c r="S716" i="3"/>
  <c r="R716" i="3"/>
  <c r="Q716" i="3"/>
  <c r="V715" i="3"/>
  <c r="U715" i="3"/>
  <c r="S715" i="3"/>
  <c r="R715" i="3"/>
  <c r="Q715" i="3"/>
  <c r="N715" i="3"/>
  <c r="O715" i="3" s="1"/>
  <c r="K715" i="3"/>
  <c r="J715" i="3"/>
  <c r="V714" i="3"/>
  <c r="U714" i="3"/>
  <c r="T714" i="3"/>
  <c r="S714" i="3"/>
  <c r="R714" i="3"/>
  <c r="Q714" i="3"/>
  <c r="V713" i="3"/>
  <c r="U713" i="3"/>
  <c r="T713" i="3"/>
  <c r="S713" i="3"/>
  <c r="R713" i="3"/>
  <c r="Q713" i="3"/>
  <c r="V712" i="3"/>
  <c r="T712" i="3"/>
  <c r="S712" i="3"/>
  <c r="R712" i="3"/>
  <c r="Q712" i="3"/>
  <c r="N712" i="3"/>
  <c r="O712" i="3" s="1"/>
  <c r="K712" i="3"/>
  <c r="J712" i="3"/>
  <c r="V711" i="3"/>
  <c r="U711" i="3"/>
  <c r="T711" i="3"/>
  <c r="S711" i="3"/>
  <c r="R711" i="3"/>
  <c r="Q711" i="3"/>
  <c r="V710" i="3"/>
  <c r="U710" i="3"/>
  <c r="T710" i="3"/>
  <c r="S710" i="3"/>
  <c r="R710" i="3"/>
  <c r="Q710" i="3"/>
  <c r="V709" i="3"/>
  <c r="U709" i="3"/>
  <c r="T709" i="3"/>
  <c r="R709" i="3"/>
  <c r="Q709" i="3"/>
  <c r="N709" i="3"/>
  <c r="O709" i="3" s="1"/>
  <c r="K709" i="3"/>
  <c r="J709" i="3"/>
  <c r="V708" i="3"/>
  <c r="U708" i="3"/>
  <c r="T708" i="3"/>
  <c r="S708" i="3"/>
  <c r="R708" i="3"/>
  <c r="Q708" i="3"/>
  <c r="V707" i="3"/>
  <c r="U707" i="3"/>
  <c r="T707" i="3"/>
  <c r="S707" i="3"/>
  <c r="R707" i="3"/>
  <c r="Q707" i="3"/>
  <c r="V706" i="3"/>
  <c r="U706" i="3"/>
  <c r="S706" i="3"/>
  <c r="R706" i="3"/>
  <c r="Q706" i="3"/>
  <c r="N706" i="3"/>
  <c r="O706" i="3" s="1"/>
  <c r="K706" i="3"/>
  <c r="J706" i="3"/>
  <c r="V705" i="3"/>
  <c r="U705" i="3"/>
  <c r="T705" i="3"/>
  <c r="S705" i="3"/>
  <c r="R705" i="3"/>
  <c r="Q705" i="3"/>
  <c r="V704" i="3"/>
  <c r="U704" i="3"/>
  <c r="T704" i="3"/>
  <c r="S704" i="3"/>
  <c r="R704" i="3"/>
  <c r="Q704" i="3"/>
  <c r="V703" i="3"/>
  <c r="U703" i="3"/>
  <c r="T703" i="3"/>
  <c r="S703" i="3"/>
  <c r="Q703" i="3"/>
  <c r="N703" i="3"/>
  <c r="O703" i="3" s="1"/>
  <c r="K703" i="3"/>
  <c r="J703" i="3"/>
  <c r="V702" i="3"/>
  <c r="U702" i="3"/>
  <c r="T702" i="3"/>
  <c r="S702" i="3"/>
  <c r="R702" i="3"/>
  <c r="Q702" i="3"/>
  <c r="V701" i="3"/>
  <c r="U701" i="3"/>
  <c r="T701" i="3"/>
  <c r="S701" i="3"/>
  <c r="R701" i="3"/>
  <c r="Q701" i="3"/>
  <c r="V700" i="3"/>
  <c r="U700" i="3"/>
  <c r="T700" i="3"/>
  <c r="S700" i="3"/>
  <c r="Q700" i="3"/>
  <c r="N700" i="3"/>
  <c r="O700" i="3" s="1"/>
  <c r="K700" i="3"/>
  <c r="J700" i="3"/>
  <c r="V699" i="3"/>
  <c r="U699" i="3"/>
  <c r="T699" i="3"/>
  <c r="S699" i="3"/>
  <c r="R699" i="3"/>
  <c r="Q699" i="3"/>
  <c r="V698" i="3"/>
  <c r="U698" i="3"/>
  <c r="T698" i="3"/>
  <c r="S698" i="3"/>
  <c r="R698" i="3"/>
  <c r="Q698" i="3"/>
  <c r="V697" i="3"/>
  <c r="U697" i="3"/>
  <c r="T697" i="3"/>
  <c r="S697" i="3"/>
  <c r="Q697" i="3"/>
  <c r="N697" i="3"/>
  <c r="O697" i="3" s="1"/>
  <c r="K697" i="3"/>
  <c r="J697" i="3"/>
  <c r="V696" i="3"/>
  <c r="U696" i="3"/>
  <c r="T696" i="3"/>
  <c r="S696" i="3"/>
  <c r="R696" i="3"/>
  <c r="Q696" i="3"/>
  <c r="V695" i="3"/>
  <c r="U695" i="3"/>
  <c r="T695" i="3"/>
  <c r="S695" i="3"/>
  <c r="R695" i="3"/>
  <c r="Q695" i="3"/>
  <c r="V694" i="3"/>
  <c r="U694" i="3"/>
  <c r="T694" i="3"/>
  <c r="S694" i="3"/>
  <c r="Q694" i="3"/>
  <c r="N694" i="3"/>
  <c r="O694" i="3" s="1"/>
  <c r="K694" i="3"/>
  <c r="J694" i="3"/>
  <c r="V693" i="3"/>
  <c r="U693" i="3"/>
  <c r="T693" i="3"/>
  <c r="S693" i="3"/>
  <c r="R693" i="3"/>
  <c r="Q693" i="3"/>
  <c r="V692" i="3"/>
  <c r="U692" i="3"/>
  <c r="T692" i="3"/>
  <c r="S692" i="3"/>
  <c r="R692" i="3"/>
  <c r="Q692" i="3"/>
  <c r="V691" i="3"/>
  <c r="U691" i="3"/>
  <c r="T691" i="3"/>
  <c r="S691" i="3"/>
  <c r="Q691" i="3"/>
  <c r="N691" i="3"/>
  <c r="O691" i="3" s="1"/>
  <c r="K691" i="3"/>
  <c r="J691" i="3"/>
  <c r="V690" i="3"/>
  <c r="U690" i="3"/>
  <c r="T690" i="3"/>
  <c r="S690" i="3"/>
  <c r="R690" i="3"/>
  <c r="Q690" i="3"/>
  <c r="V689" i="3"/>
  <c r="U689" i="3"/>
  <c r="T689" i="3"/>
  <c r="S689" i="3"/>
  <c r="R689" i="3"/>
  <c r="Q689" i="3"/>
  <c r="V688" i="3"/>
  <c r="U688" i="3"/>
  <c r="T688" i="3"/>
  <c r="R688" i="3"/>
  <c r="Q688" i="3"/>
  <c r="N688" i="3"/>
  <c r="O688" i="3" s="1"/>
  <c r="K688" i="3"/>
  <c r="J688" i="3"/>
  <c r="V687" i="3"/>
  <c r="U687" i="3"/>
  <c r="T687" i="3"/>
  <c r="S687" i="3"/>
  <c r="R687" i="3"/>
  <c r="Q687" i="3"/>
  <c r="V686" i="3"/>
  <c r="U686" i="3"/>
  <c r="T686" i="3"/>
  <c r="S686" i="3"/>
  <c r="R686" i="3"/>
  <c r="Q686" i="3"/>
  <c r="V685" i="3"/>
  <c r="U685" i="3"/>
  <c r="S685" i="3"/>
  <c r="R685" i="3"/>
  <c r="Q685" i="3"/>
  <c r="N685" i="3"/>
  <c r="O685" i="3" s="1"/>
  <c r="K685" i="3"/>
  <c r="J685" i="3"/>
  <c r="V684" i="3"/>
  <c r="U684" i="3"/>
  <c r="T684" i="3"/>
  <c r="S684" i="3"/>
  <c r="R684" i="3"/>
  <c r="Q684" i="3"/>
  <c r="V683" i="3"/>
  <c r="U683" i="3"/>
  <c r="T683" i="3"/>
  <c r="S683" i="3"/>
  <c r="R683" i="3"/>
  <c r="Q683" i="3"/>
  <c r="V682" i="3"/>
  <c r="U682" i="3"/>
  <c r="S682" i="3"/>
  <c r="R682" i="3"/>
  <c r="Q682" i="3"/>
  <c r="N682" i="3"/>
  <c r="O682" i="3" s="1"/>
  <c r="K682" i="3"/>
  <c r="J682" i="3"/>
  <c r="V681" i="3"/>
  <c r="U681" i="3"/>
  <c r="T681" i="3"/>
  <c r="S681" i="3"/>
  <c r="R681" i="3"/>
  <c r="Q681" i="3"/>
  <c r="V680" i="3"/>
  <c r="U680" i="3"/>
  <c r="T680" i="3"/>
  <c r="S680" i="3"/>
  <c r="R680" i="3"/>
  <c r="Q680" i="3"/>
  <c r="V679" i="3"/>
  <c r="U679" i="3"/>
  <c r="S679" i="3"/>
  <c r="R679" i="3"/>
  <c r="Q679" i="3"/>
  <c r="N679" i="3"/>
  <c r="O679" i="3" s="1"/>
  <c r="K679" i="3"/>
  <c r="J679" i="3"/>
  <c r="V678" i="3"/>
  <c r="U678" i="3"/>
  <c r="T678" i="3"/>
  <c r="S678" i="3"/>
  <c r="R678" i="3"/>
  <c r="Q678" i="3"/>
  <c r="V677" i="3"/>
  <c r="U677" i="3"/>
  <c r="T677" i="3"/>
  <c r="S677" i="3"/>
  <c r="R677" i="3"/>
  <c r="Q677" i="3"/>
  <c r="V676" i="3"/>
  <c r="U676" i="3"/>
  <c r="S676" i="3"/>
  <c r="R676" i="3"/>
  <c r="Q676" i="3"/>
  <c r="N676" i="3"/>
  <c r="O676" i="3" s="1"/>
  <c r="K676" i="3"/>
  <c r="J676" i="3"/>
  <c r="V675" i="3"/>
  <c r="U675" i="3"/>
  <c r="T675" i="3"/>
  <c r="S675" i="3"/>
  <c r="R675" i="3"/>
  <c r="Q675" i="3"/>
  <c r="V674" i="3"/>
  <c r="U674" i="3"/>
  <c r="T674" i="3"/>
  <c r="S674" i="3"/>
  <c r="R674" i="3"/>
  <c r="Q674" i="3"/>
  <c r="V673" i="3"/>
  <c r="T673" i="3"/>
  <c r="S673" i="3"/>
  <c r="R673" i="3"/>
  <c r="Q673" i="3"/>
  <c r="N673" i="3"/>
  <c r="O673" i="3" s="1"/>
  <c r="K673" i="3"/>
  <c r="J673" i="3"/>
  <c r="V672" i="3"/>
  <c r="U672" i="3"/>
  <c r="T672" i="3"/>
  <c r="S672" i="3"/>
  <c r="R672" i="3"/>
  <c r="Q672" i="3"/>
  <c r="V671" i="3"/>
  <c r="U671" i="3"/>
  <c r="T671" i="3"/>
  <c r="S671" i="3"/>
  <c r="R671" i="3"/>
  <c r="Q671" i="3"/>
  <c r="V670" i="3"/>
  <c r="T670" i="3"/>
  <c r="S670" i="3"/>
  <c r="R670" i="3"/>
  <c r="Q670" i="3"/>
  <c r="N670" i="3"/>
  <c r="O670" i="3" s="1"/>
  <c r="K670" i="3"/>
  <c r="J670" i="3"/>
  <c r="V669" i="3"/>
  <c r="U669" i="3"/>
  <c r="T669" i="3"/>
  <c r="S669" i="3"/>
  <c r="R669" i="3"/>
  <c r="Q669" i="3"/>
  <c r="V668" i="3"/>
  <c r="U668" i="3"/>
  <c r="T668" i="3"/>
  <c r="S668" i="3"/>
  <c r="R668" i="3"/>
  <c r="Q668" i="3"/>
  <c r="V667" i="3"/>
  <c r="T667" i="3"/>
  <c r="S667" i="3"/>
  <c r="R667" i="3"/>
  <c r="Q667" i="3"/>
  <c r="N667" i="3"/>
  <c r="O667" i="3" s="1"/>
  <c r="K667" i="3"/>
  <c r="J667" i="3"/>
  <c r="V666" i="3"/>
  <c r="U666" i="3"/>
  <c r="T666" i="3"/>
  <c r="S666" i="3"/>
  <c r="R666" i="3"/>
  <c r="Q666" i="3"/>
  <c r="V665" i="3"/>
  <c r="U665" i="3"/>
  <c r="T665" i="3"/>
  <c r="S665" i="3"/>
  <c r="R665" i="3"/>
  <c r="Q665" i="3"/>
  <c r="V664" i="3"/>
  <c r="U664" i="3"/>
  <c r="T664" i="3"/>
  <c r="R664" i="3"/>
  <c r="Q664" i="3"/>
  <c r="N664" i="3"/>
  <c r="O664" i="3" s="1"/>
  <c r="K664" i="3"/>
  <c r="J664" i="3"/>
  <c r="V663" i="3"/>
  <c r="U663" i="3"/>
  <c r="T663" i="3"/>
  <c r="S663" i="3"/>
  <c r="R663" i="3"/>
  <c r="Q663" i="3"/>
  <c r="V662" i="3"/>
  <c r="U662" i="3"/>
  <c r="T662" i="3"/>
  <c r="S662" i="3"/>
  <c r="R662" i="3"/>
  <c r="Q662" i="3"/>
  <c r="V661" i="3"/>
  <c r="U661" i="3"/>
  <c r="T661" i="3"/>
  <c r="R661" i="3"/>
  <c r="Q661" i="3"/>
  <c r="N661" i="3"/>
  <c r="O661" i="3" s="1"/>
  <c r="K661" i="3"/>
  <c r="J661" i="3"/>
  <c r="V660" i="3"/>
  <c r="U660" i="3"/>
  <c r="T660" i="3"/>
  <c r="S660" i="3"/>
  <c r="R660" i="3"/>
  <c r="Q660" i="3"/>
  <c r="V659" i="3"/>
  <c r="U659" i="3"/>
  <c r="T659" i="3"/>
  <c r="S659" i="3"/>
  <c r="R659" i="3"/>
  <c r="Q659" i="3"/>
  <c r="V658" i="3"/>
  <c r="U658" i="3"/>
  <c r="T658" i="3"/>
  <c r="R658" i="3"/>
  <c r="Q658" i="3"/>
  <c r="N658" i="3"/>
  <c r="O658" i="3" s="1"/>
  <c r="K658" i="3"/>
  <c r="J658" i="3"/>
  <c r="V657" i="3"/>
  <c r="U657" i="3"/>
  <c r="T657" i="3"/>
  <c r="S657" i="3"/>
  <c r="R657" i="3"/>
  <c r="Q657" i="3"/>
  <c r="V656" i="3"/>
  <c r="U656" i="3"/>
  <c r="T656" i="3"/>
  <c r="S656" i="3"/>
  <c r="R656" i="3"/>
  <c r="Q656" i="3"/>
  <c r="V655" i="3"/>
  <c r="U655" i="3"/>
  <c r="T655" i="3"/>
  <c r="R655" i="3"/>
  <c r="Q655" i="3"/>
  <c r="N655" i="3"/>
  <c r="O655" i="3" s="1"/>
  <c r="K655" i="3"/>
  <c r="J655" i="3"/>
  <c r="V654" i="3"/>
  <c r="U654" i="3"/>
  <c r="T654" i="3"/>
  <c r="S654" i="3"/>
  <c r="R654" i="3"/>
  <c r="Q654" i="3"/>
  <c r="V653" i="3"/>
  <c r="U653" i="3"/>
  <c r="T653" i="3"/>
  <c r="S653" i="3"/>
  <c r="R653" i="3"/>
  <c r="Q653" i="3"/>
  <c r="V652" i="3"/>
  <c r="U652" i="3"/>
  <c r="S652" i="3"/>
  <c r="R652" i="3"/>
  <c r="Q652" i="3"/>
  <c r="N652" i="3"/>
  <c r="O652" i="3" s="1"/>
  <c r="K652" i="3"/>
  <c r="J652" i="3"/>
  <c r="V651" i="3"/>
  <c r="U651" i="3"/>
  <c r="T651" i="3"/>
  <c r="S651" i="3"/>
  <c r="R651" i="3"/>
  <c r="Q651" i="3"/>
  <c r="V650" i="3"/>
  <c r="U650" i="3"/>
  <c r="T650" i="3"/>
  <c r="S650" i="3"/>
  <c r="R650" i="3"/>
  <c r="Q650" i="3"/>
  <c r="V649" i="3"/>
  <c r="T649" i="3"/>
  <c r="S649" i="3"/>
  <c r="R649" i="3"/>
  <c r="Q649" i="3"/>
  <c r="N649" i="3"/>
  <c r="O649" i="3" s="1"/>
  <c r="K649" i="3"/>
  <c r="J649" i="3"/>
  <c r="V648" i="3"/>
  <c r="U648" i="3"/>
  <c r="T648" i="3"/>
  <c r="S648" i="3"/>
  <c r="R648" i="3"/>
  <c r="Q648" i="3"/>
  <c r="V647" i="3"/>
  <c r="U647" i="3"/>
  <c r="T647" i="3"/>
  <c r="S647" i="3"/>
  <c r="R647" i="3"/>
  <c r="Q647" i="3"/>
  <c r="V646" i="3"/>
  <c r="U646" i="3"/>
  <c r="T646" i="3"/>
  <c r="S646" i="3"/>
  <c r="Q646" i="3"/>
  <c r="N646" i="3"/>
  <c r="O646" i="3" s="1"/>
  <c r="K646" i="3"/>
  <c r="J646" i="3"/>
  <c r="V645" i="3"/>
  <c r="U645" i="3"/>
  <c r="T645" i="3"/>
  <c r="S645" i="3"/>
  <c r="R645" i="3"/>
  <c r="Q645" i="3"/>
  <c r="V644" i="3"/>
  <c r="U644" i="3"/>
  <c r="T644" i="3"/>
  <c r="S644" i="3"/>
  <c r="R644" i="3"/>
  <c r="Q644" i="3"/>
  <c r="V643" i="3"/>
  <c r="U643" i="3"/>
  <c r="T643" i="3"/>
  <c r="S643" i="3"/>
  <c r="Q643" i="3"/>
  <c r="N643" i="3"/>
  <c r="O643" i="3" s="1"/>
  <c r="K643" i="3"/>
  <c r="J643" i="3"/>
  <c r="V642" i="3"/>
  <c r="U642" i="3"/>
  <c r="T642" i="3"/>
  <c r="S642" i="3"/>
  <c r="R642" i="3"/>
  <c r="Q642" i="3"/>
  <c r="V641" i="3"/>
  <c r="U641" i="3"/>
  <c r="T641" i="3"/>
  <c r="S641" i="3"/>
  <c r="R641" i="3"/>
  <c r="Q641" i="3"/>
  <c r="V640" i="3"/>
  <c r="U640" i="3"/>
  <c r="T640" i="3"/>
  <c r="R640" i="3"/>
  <c r="Q640" i="3"/>
  <c r="N640" i="3"/>
  <c r="O640" i="3" s="1"/>
  <c r="K640" i="3"/>
  <c r="J640" i="3"/>
  <c r="V639" i="3"/>
  <c r="U639" i="3"/>
  <c r="T639" i="3"/>
  <c r="S639" i="3"/>
  <c r="R639" i="3"/>
  <c r="Q639" i="3"/>
  <c r="V638" i="3"/>
  <c r="U638" i="3"/>
  <c r="T638" i="3"/>
  <c r="S638" i="3"/>
  <c r="R638" i="3"/>
  <c r="Q638" i="3"/>
  <c r="V637" i="3"/>
  <c r="U637" i="3"/>
  <c r="T637" i="3"/>
  <c r="R637" i="3"/>
  <c r="Q637" i="3"/>
  <c r="N637" i="3"/>
  <c r="O637" i="3" s="1"/>
  <c r="K637" i="3"/>
  <c r="J637" i="3"/>
  <c r="V636" i="3"/>
  <c r="U636" i="3"/>
  <c r="T636" i="3"/>
  <c r="S636" i="3"/>
  <c r="R636" i="3"/>
  <c r="Q636" i="3"/>
  <c r="V635" i="3"/>
  <c r="U635" i="3"/>
  <c r="T635" i="3"/>
  <c r="S635" i="3"/>
  <c r="R635" i="3"/>
  <c r="Q635" i="3"/>
  <c r="V634" i="3"/>
  <c r="U634" i="3"/>
  <c r="T634" i="3"/>
  <c r="R634" i="3"/>
  <c r="Q634" i="3"/>
  <c r="N634" i="3"/>
  <c r="O634" i="3" s="1"/>
  <c r="K634" i="3"/>
  <c r="J634" i="3"/>
  <c r="V633" i="3"/>
  <c r="U633" i="3"/>
  <c r="T633" i="3"/>
  <c r="S633" i="3"/>
  <c r="R633" i="3"/>
  <c r="Q633" i="3"/>
  <c r="V632" i="3"/>
  <c r="U632" i="3"/>
  <c r="T632" i="3"/>
  <c r="S632" i="3"/>
  <c r="R632" i="3"/>
  <c r="Q632" i="3"/>
  <c r="V631" i="3"/>
  <c r="U631" i="3"/>
  <c r="T631" i="3"/>
  <c r="S631" i="3"/>
  <c r="Q631" i="3"/>
  <c r="N631" i="3"/>
  <c r="O631" i="3" s="1"/>
  <c r="K631" i="3"/>
  <c r="J631" i="3"/>
  <c r="V630" i="3"/>
  <c r="U630" i="3"/>
  <c r="T630" i="3"/>
  <c r="S630" i="3"/>
  <c r="R630" i="3"/>
  <c r="Q630" i="3"/>
  <c r="V629" i="3"/>
  <c r="U629" i="3"/>
  <c r="T629" i="3"/>
  <c r="S629" i="3"/>
  <c r="R629" i="3"/>
  <c r="Q629" i="3"/>
  <c r="V628" i="3"/>
  <c r="U628" i="3"/>
  <c r="T628" i="3"/>
  <c r="R628" i="3"/>
  <c r="Q628" i="3"/>
  <c r="N628" i="3"/>
  <c r="O628" i="3" s="1"/>
  <c r="K628" i="3"/>
  <c r="J628" i="3"/>
  <c r="V627" i="3"/>
  <c r="U627" i="3"/>
  <c r="T627" i="3"/>
  <c r="S627" i="3"/>
  <c r="R627" i="3"/>
  <c r="Q627" i="3"/>
  <c r="V626" i="3"/>
  <c r="U626" i="3"/>
  <c r="T626" i="3"/>
  <c r="S626" i="3"/>
  <c r="R626" i="3"/>
  <c r="Q626" i="3"/>
  <c r="V625" i="3"/>
  <c r="U625" i="3"/>
  <c r="S625" i="3"/>
  <c r="R625" i="3"/>
  <c r="Q625" i="3"/>
  <c r="N625" i="3"/>
  <c r="O625" i="3" s="1"/>
  <c r="K625" i="3"/>
  <c r="J625" i="3"/>
  <c r="V624" i="3"/>
  <c r="U624" i="3"/>
  <c r="T624" i="3"/>
  <c r="S624" i="3"/>
  <c r="R624" i="3"/>
  <c r="Q624" i="3"/>
  <c r="V623" i="3"/>
  <c r="U623" i="3"/>
  <c r="T623" i="3"/>
  <c r="S623" i="3"/>
  <c r="R623" i="3"/>
  <c r="Q623" i="3"/>
  <c r="V622" i="3"/>
  <c r="U622" i="3"/>
  <c r="T622" i="3"/>
  <c r="S622" i="3"/>
  <c r="Q622" i="3"/>
  <c r="N622" i="3"/>
  <c r="O622" i="3" s="1"/>
  <c r="K622" i="3"/>
  <c r="J622" i="3"/>
  <c r="V621" i="3"/>
  <c r="U621" i="3"/>
  <c r="T621" i="3"/>
  <c r="S621" i="3"/>
  <c r="R621" i="3"/>
  <c r="Q621" i="3"/>
  <c r="V620" i="3"/>
  <c r="U620" i="3"/>
  <c r="T620" i="3"/>
  <c r="S620" i="3"/>
  <c r="R620" i="3"/>
  <c r="Q620" i="3"/>
  <c r="V619" i="3"/>
  <c r="U619" i="3"/>
  <c r="S619" i="3"/>
  <c r="R619" i="3"/>
  <c r="Q619" i="3"/>
  <c r="N619" i="3"/>
  <c r="O619" i="3" s="1"/>
  <c r="K619" i="3"/>
  <c r="J619" i="3"/>
  <c r="V618" i="3"/>
  <c r="U618" i="3"/>
  <c r="T618" i="3"/>
  <c r="S618" i="3"/>
  <c r="R618" i="3"/>
  <c r="Q618" i="3"/>
  <c r="V617" i="3"/>
  <c r="U617" i="3"/>
  <c r="T617" i="3"/>
  <c r="S617" i="3"/>
  <c r="R617" i="3"/>
  <c r="Q617" i="3"/>
  <c r="V616" i="3"/>
  <c r="T616" i="3"/>
  <c r="S616" i="3"/>
  <c r="R616" i="3"/>
  <c r="Q616" i="3"/>
  <c r="N616" i="3"/>
  <c r="O616" i="3" s="1"/>
  <c r="K616" i="3"/>
  <c r="J616" i="3"/>
  <c r="V615" i="3"/>
  <c r="U615" i="3"/>
  <c r="T615" i="3"/>
  <c r="S615" i="3"/>
  <c r="R615" i="3"/>
  <c r="Q615" i="3"/>
  <c r="V614" i="3"/>
  <c r="U614" i="3"/>
  <c r="T614" i="3"/>
  <c r="S614" i="3"/>
  <c r="R614" i="3"/>
  <c r="Q614" i="3"/>
  <c r="V574" i="3"/>
  <c r="U574" i="3"/>
  <c r="T574" i="3"/>
  <c r="S574" i="3"/>
  <c r="R574" i="3"/>
  <c r="Q574" i="3"/>
  <c r="V573" i="3"/>
  <c r="T573" i="3"/>
  <c r="S573" i="3"/>
  <c r="R573" i="3"/>
  <c r="Q573" i="3"/>
  <c r="N573" i="3"/>
  <c r="K573" i="3"/>
  <c r="J573" i="3"/>
  <c r="D573" i="3"/>
  <c r="O573" i="3" s="1"/>
  <c r="L573" i="3" s="1"/>
  <c r="V572" i="3"/>
  <c r="U572" i="3"/>
  <c r="T572" i="3"/>
  <c r="S572" i="3"/>
  <c r="R572" i="3"/>
  <c r="Q572" i="3"/>
  <c r="V571" i="3"/>
  <c r="U571" i="3"/>
  <c r="T571" i="3"/>
  <c r="S571" i="3"/>
  <c r="R571" i="3"/>
  <c r="Q571" i="3"/>
  <c r="U570" i="3"/>
  <c r="T570" i="3"/>
  <c r="S570" i="3"/>
  <c r="R570" i="3"/>
  <c r="Q570" i="3"/>
  <c r="N570" i="3"/>
  <c r="K570" i="3"/>
  <c r="J570" i="3"/>
  <c r="D570" i="3"/>
  <c r="O570" i="3" s="1"/>
  <c r="V569" i="3"/>
  <c r="U569" i="3"/>
  <c r="T569" i="3"/>
  <c r="S569" i="3"/>
  <c r="R569" i="3"/>
  <c r="Q569" i="3"/>
  <c r="V568" i="3"/>
  <c r="U568" i="3"/>
  <c r="T568" i="3"/>
  <c r="S568" i="3"/>
  <c r="R568" i="3"/>
  <c r="Q568" i="3"/>
  <c r="V567" i="3"/>
  <c r="T567" i="3"/>
  <c r="S567" i="3"/>
  <c r="R567" i="3"/>
  <c r="Q567" i="3"/>
  <c r="N567" i="3"/>
  <c r="J567" i="3"/>
  <c r="D567" i="3"/>
  <c r="K567" i="3" s="1"/>
  <c r="V566" i="3"/>
  <c r="U566" i="3"/>
  <c r="T566" i="3"/>
  <c r="S566" i="3"/>
  <c r="R566" i="3"/>
  <c r="Q566" i="3"/>
  <c r="V565" i="3"/>
  <c r="U565" i="3"/>
  <c r="T565" i="3"/>
  <c r="S565" i="3"/>
  <c r="R565" i="3"/>
  <c r="Q565" i="3"/>
  <c r="U564" i="3"/>
  <c r="T564" i="3"/>
  <c r="S564" i="3"/>
  <c r="R564" i="3"/>
  <c r="Q564" i="3"/>
  <c r="N564" i="3"/>
  <c r="J564" i="3"/>
  <c r="D564" i="3"/>
  <c r="V563" i="3"/>
  <c r="U563" i="3"/>
  <c r="T563" i="3"/>
  <c r="S563" i="3"/>
  <c r="R563" i="3"/>
  <c r="Q563" i="3"/>
  <c r="V562" i="3"/>
  <c r="U562" i="3"/>
  <c r="T562" i="3"/>
  <c r="S562" i="3"/>
  <c r="R562" i="3"/>
  <c r="Q562" i="3"/>
  <c r="U561" i="3"/>
  <c r="T561" i="3"/>
  <c r="S561" i="3"/>
  <c r="R561" i="3"/>
  <c r="Q561" i="3"/>
  <c r="N561" i="3"/>
  <c r="J561" i="3"/>
  <c r="D561" i="3"/>
  <c r="O561" i="3" s="1"/>
  <c r="L561" i="3" s="1"/>
  <c r="V560" i="3"/>
  <c r="U560" i="3"/>
  <c r="T560" i="3"/>
  <c r="S560" i="3"/>
  <c r="R560" i="3"/>
  <c r="Q560" i="3"/>
  <c r="V559" i="3"/>
  <c r="U559" i="3"/>
  <c r="T559" i="3"/>
  <c r="S559" i="3"/>
  <c r="R559" i="3"/>
  <c r="Q559" i="3"/>
  <c r="V558" i="3"/>
  <c r="T558" i="3"/>
  <c r="S558" i="3"/>
  <c r="R558" i="3"/>
  <c r="Q558" i="3"/>
  <c r="O558" i="3"/>
  <c r="L558" i="3" s="1"/>
  <c r="N558" i="3"/>
  <c r="J558" i="3"/>
  <c r="D558" i="3"/>
  <c r="K558" i="3" s="1"/>
  <c r="V557" i="3"/>
  <c r="U557" i="3"/>
  <c r="T557" i="3"/>
  <c r="S557" i="3"/>
  <c r="R557" i="3"/>
  <c r="Q557" i="3"/>
  <c r="V556" i="3"/>
  <c r="U556" i="3"/>
  <c r="T556" i="3"/>
  <c r="S556" i="3"/>
  <c r="R556" i="3"/>
  <c r="Q556" i="3"/>
  <c r="U555" i="3"/>
  <c r="T555" i="3"/>
  <c r="S555" i="3"/>
  <c r="R555" i="3"/>
  <c r="Q555" i="3"/>
  <c r="N555" i="3"/>
  <c r="J555" i="3"/>
  <c r="D555" i="3"/>
  <c r="V554" i="3"/>
  <c r="U554" i="3"/>
  <c r="T554" i="3"/>
  <c r="S554" i="3"/>
  <c r="R554" i="3"/>
  <c r="Q554" i="3"/>
  <c r="V553" i="3"/>
  <c r="U553" i="3"/>
  <c r="T553" i="3"/>
  <c r="S553" i="3"/>
  <c r="R553" i="3"/>
  <c r="Q553" i="3"/>
  <c r="V552" i="3"/>
  <c r="T552" i="3"/>
  <c r="S552" i="3"/>
  <c r="R552" i="3"/>
  <c r="Q552" i="3"/>
  <c r="N552" i="3"/>
  <c r="O552" i="3" s="1"/>
  <c r="L552" i="3" s="1"/>
  <c r="J552" i="3"/>
  <c r="D552" i="3"/>
  <c r="K552" i="3" s="1"/>
  <c r="V551" i="3"/>
  <c r="U551" i="3"/>
  <c r="T551" i="3"/>
  <c r="S551" i="3"/>
  <c r="R551" i="3"/>
  <c r="Q551" i="3"/>
  <c r="V550" i="3"/>
  <c r="U550" i="3"/>
  <c r="T550" i="3"/>
  <c r="S550" i="3"/>
  <c r="R550" i="3"/>
  <c r="Q550" i="3"/>
  <c r="U549" i="3"/>
  <c r="T549" i="3"/>
  <c r="S549" i="3"/>
  <c r="R549" i="3"/>
  <c r="Q549" i="3"/>
  <c r="N549" i="3"/>
  <c r="J549" i="3"/>
  <c r="D549" i="3"/>
  <c r="O549" i="3" s="1"/>
  <c r="L549" i="3" s="1"/>
  <c r="V548" i="3"/>
  <c r="U548" i="3"/>
  <c r="T548" i="3"/>
  <c r="S548" i="3"/>
  <c r="R548" i="3"/>
  <c r="Q548" i="3"/>
  <c r="V547" i="3"/>
  <c r="U547" i="3"/>
  <c r="T547" i="3"/>
  <c r="S547" i="3"/>
  <c r="R547" i="3"/>
  <c r="Q547" i="3"/>
  <c r="V546" i="3"/>
  <c r="T546" i="3"/>
  <c r="S546" i="3"/>
  <c r="R546" i="3"/>
  <c r="Q546" i="3"/>
  <c r="N546" i="3"/>
  <c r="K546" i="3"/>
  <c r="J546" i="3"/>
  <c r="D546" i="3"/>
  <c r="O546" i="3" s="1"/>
  <c r="L546" i="3" s="1"/>
  <c r="P546" i="3" s="1"/>
  <c r="U546" i="3" s="1"/>
  <c r="V545" i="3"/>
  <c r="U545" i="3"/>
  <c r="T545" i="3"/>
  <c r="S545" i="3"/>
  <c r="R545" i="3"/>
  <c r="Q545" i="3"/>
  <c r="V544" i="3"/>
  <c r="U544" i="3"/>
  <c r="T544" i="3"/>
  <c r="S544" i="3"/>
  <c r="R544" i="3"/>
  <c r="Q544" i="3"/>
  <c r="U543" i="3"/>
  <c r="T543" i="3"/>
  <c r="S543" i="3"/>
  <c r="R543" i="3"/>
  <c r="Q543" i="3"/>
  <c r="N543" i="3"/>
  <c r="J543" i="3"/>
  <c r="D543" i="3"/>
  <c r="V542" i="3"/>
  <c r="U542" i="3"/>
  <c r="T542" i="3"/>
  <c r="S542" i="3"/>
  <c r="R542" i="3"/>
  <c r="Q542" i="3"/>
  <c r="V541" i="3"/>
  <c r="U541" i="3"/>
  <c r="T541" i="3"/>
  <c r="S541" i="3"/>
  <c r="R541" i="3"/>
  <c r="Q541" i="3"/>
  <c r="V540" i="3"/>
  <c r="T540" i="3"/>
  <c r="S540" i="3"/>
  <c r="R540" i="3"/>
  <c r="Q540" i="3"/>
  <c r="N540" i="3"/>
  <c r="O540" i="3" s="1"/>
  <c r="L540" i="3" s="1"/>
  <c r="J540" i="3"/>
  <c r="D540" i="3"/>
  <c r="K540" i="3" s="1"/>
  <c r="V539" i="3"/>
  <c r="U539" i="3"/>
  <c r="T539" i="3"/>
  <c r="S539" i="3"/>
  <c r="R539" i="3"/>
  <c r="Q539" i="3"/>
  <c r="V538" i="3"/>
  <c r="U538" i="3"/>
  <c r="T538" i="3"/>
  <c r="S538" i="3"/>
  <c r="R538" i="3"/>
  <c r="Q538" i="3"/>
  <c r="U537" i="3"/>
  <c r="T537" i="3"/>
  <c r="S537" i="3"/>
  <c r="R537" i="3"/>
  <c r="Q537" i="3"/>
  <c r="N537" i="3"/>
  <c r="J537" i="3"/>
  <c r="D537" i="3"/>
  <c r="O537" i="3" s="1"/>
  <c r="L537" i="3" s="1"/>
  <c r="V536" i="3"/>
  <c r="U536" i="3"/>
  <c r="T536" i="3"/>
  <c r="S536" i="3"/>
  <c r="R536" i="3"/>
  <c r="Q536" i="3"/>
  <c r="V535" i="3"/>
  <c r="U535" i="3"/>
  <c r="T535" i="3"/>
  <c r="S535" i="3"/>
  <c r="R535" i="3"/>
  <c r="Q535" i="3"/>
  <c r="U534" i="3"/>
  <c r="T534" i="3"/>
  <c r="S534" i="3"/>
  <c r="R534" i="3"/>
  <c r="Q534" i="3"/>
  <c r="N534" i="3"/>
  <c r="K534" i="3"/>
  <c r="J534" i="3"/>
  <c r="D534" i="3"/>
  <c r="O534" i="3" s="1"/>
  <c r="L534" i="3" s="1"/>
  <c r="V533" i="3"/>
  <c r="U533" i="3"/>
  <c r="T533" i="3"/>
  <c r="S533" i="3"/>
  <c r="R533" i="3"/>
  <c r="Q533" i="3"/>
  <c r="V532" i="3"/>
  <c r="U532" i="3"/>
  <c r="T532" i="3"/>
  <c r="S532" i="3"/>
  <c r="R532" i="3"/>
  <c r="Q532" i="3"/>
  <c r="V531" i="3"/>
  <c r="T531" i="3"/>
  <c r="S531" i="3"/>
  <c r="R531" i="3"/>
  <c r="Q531" i="3"/>
  <c r="N531" i="3"/>
  <c r="J531" i="3"/>
  <c r="D531" i="3"/>
  <c r="O531" i="3" s="1"/>
  <c r="V530" i="3"/>
  <c r="U530" i="3"/>
  <c r="T530" i="3"/>
  <c r="S530" i="3"/>
  <c r="R530" i="3"/>
  <c r="Q530" i="3"/>
  <c r="V529" i="3"/>
  <c r="U529" i="3"/>
  <c r="T529" i="3"/>
  <c r="S529" i="3"/>
  <c r="R529" i="3"/>
  <c r="Q529" i="3"/>
  <c r="V528" i="3"/>
  <c r="T528" i="3"/>
  <c r="S528" i="3"/>
  <c r="R528" i="3"/>
  <c r="Q528" i="3"/>
  <c r="N528" i="3"/>
  <c r="J528" i="3"/>
  <c r="D528" i="3"/>
  <c r="K528" i="3" s="1"/>
  <c r="V527" i="3"/>
  <c r="U527" i="3"/>
  <c r="T527" i="3"/>
  <c r="S527" i="3"/>
  <c r="R527" i="3"/>
  <c r="Q527" i="3"/>
  <c r="V526" i="3"/>
  <c r="U526" i="3"/>
  <c r="T526" i="3"/>
  <c r="S526" i="3"/>
  <c r="R526" i="3"/>
  <c r="Q526" i="3"/>
  <c r="V525" i="3"/>
  <c r="T525" i="3"/>
  <c r="S525" i="3"/>
  <c r="R525" i="3"/>
  <c r="Q525" i="3"/>
  <c r="N525" i="3"/>
  <c r="J525" i="3"/>
  <c r="D525" i="3"/>
  <c r="O525" i="3" s="1"/>
  <c r="L525" i="3" s="1"/>
  <c r="V524" i="3"/>
  <c r="U524" i="3"/>
  <c r="T524" i="3"/>
  <c r="S524" i="3"/>
  <c r="R524" i="3"/>
  <c r="Q524" i="3"/>
  <c r="V523" i="3"/>
  <c r="U523" i="3"/>
  <c r="T523" i="3"/>
  <c r="S523" i="3"/>
  <c r="R523" i="3"/>
  <c r="Q523" i="3"/>
  <c r="V522" i="3"/>
  <c r="T522" i="3"/>
  <c r="S522" i="3"/>
  <c r="R522" i="3"/>
  <c r="Q522" i="3"/>
  <c r="N522" i="3"/>
  <c r="K522" i="3"/>
  <c r="J522" i="3"/>
  <c r="D522" i="3"/>
  <c r="O522" i="3" s="1"/>
  <c r="L522" i="3" s="1"/>
  <c r="V521" i="3"/>
  <c r="U521" i="3"/>
  <c r="T521" i="3"/>
  <c r="S521" i="3"/>
  <c r="R521" i="3"/>
  <c r="Q521" i="3"/>
  <c r="V520" i="3"/>
  <c r="U520" i="3"/>
  <c r="T520" i="3"/>
  <c r="S520" i="3"/>
  <c r="R520" i="3"/>
  <c r="Q520" i="3"/>
  <c r="V519" i="3"/>
  <c r="T519" i="3"/>
  <c r="S519" i="3"/>
  <c r="R519" i="3"/>
  <c r="Q519" i="3"/>
  <c r="N519" i="3"/>
  <c r="K519" i="3"/>
  <c r="J519" i="3"/>
  <c r="D519" i="3"/>
  <c r="V518" i="3"/>
  <c r="U518" i="3"/>
  <c r="T518" i="3"/>
  <c r="S518" i="3"/>
  <c r="R518" i="3"/>
  <c r="Q518" i="3"/>
  <c r="V517" i="3"/>
  <c r="U517" i="3"/>
  <c r="T517" i="3"/>
  <c r="S517" i="3"/>
  <c r="R517" i="3"/>
  <c r="Q517" i="3"/>
  <c r="U516" i="3"/>
  <c r="T516" i="3"/>
  <c r="S516" i="3"/>
  <c r="R516" i="3"/>
  <c r="Q516" i="3"/>
  <c r="N516" i="3"/>
  <c r="J516" i="3"/>
  <c r="D516" i="3"/>
  <c r="K516" i="3" s="1"/>
  <c r="V515" i="3"/>
  <c r="U515" i="3"/>
  <c r="T515" i="3"/>
  <c r="S515" i="3"/>
  <c r="R515" i="3"/>
  <c r="Q515" i="3"/>
  <c r="V514" i="3"/>
  <c r="U514" i="3"/>
  <c r="T514" i="3"/>
  <c r="S514" i="3"/>
  <c r="R514" i="3"/>
  <c r="Q514" i="3"/>
  <c r="V513" i="3"/>
  <c r="T513" i="3"/>
  <c r="S513" i="3"/>
  <c r="R513" i="3"/>
  <c r="Q513" i="3"/>
  <c r="N513" i="3"/>
  <c r="J513" i="3"/>
  <c r="D513" i="3"/>
  <c r="V512" i="3"/>
  <c r="U512" i="3"/>
  <c r="T512" i="3"/>
  <c r="S512" i="3"/>
  <c r="R512" i="3"/>
  <c r="Q512" i="3"/>
  <c r="V511" i="3"/>
  <c r="U511" i="3"/>
  <c r="T511" i="3"/>
  <c r="S511" i="3"/>
  <c r="R511" i="3"/>
  <c r="Q511" i="3"/>
  <c r="V510" i="3"/>
  <c r="T510" i="3"/>
  <c r="S510" i="3"/>
  <c r="R510" i="3"/>
  <c r="Q510" i="3"/>
  <c r="N510" i="3"/>
  <c r="J510" i="3"/>
  <c r="D510" i="3"/>
  <c r="O510" i="3" s="1"/>
  <c r="L510" i="3" s="1"/>
  <c r="V509" i="3"/>
  <c r="U509" i="3"/>
  <c r="T509" i="3"/>
  <c r="S509" i="3"/>
  <c r="R509" i="3"/>
  <c r="Q509" i="3"/>
  <c r="V508" i="3"/>
  <c r="U508" i="3"/>
  <c r="T508" i="3"/>
  <c r="S508" i="3"/>
  <c r="R508" i="3"/>
  <c r="Q508" i="3"/>
  <c r="V507" i="3"/>
  <c r="T507" i="3"/>
  <c r="S507" i="3"/>
  <c r="R507" i="3"/>
  <c r="Q507" i="3"/>
  <c r="N507" i="3"/>
  <c r="K507" i="3"/>
  <c r="J507" i="3"/>
  <c r="D507" i="3"/>
  <c r="V506" i="3"/>
  <c r="U506" i="3"/>
  <c r="T506" i="3"/>
  <c r="S506" i="3"/>
  <c r="R506" i="3"/>
  <c r="Q506" i="3"/>
  <c r="V505" i="3"/>
  <c r="U505" i="3"/>
  <c r="T505" i="3"/>
  <c r="S505" i="3"/>
  <c r="R505" i="3"/>
  <c r="Q505" i="3"/>
  <c r="V504" i="3"/>
  <c r="T504" i="3"/>
  <c r="S504" i="3"/>
  <c r="R504" i="3"/>
  <c r="Q504" i="3"/>
  <c r="N504" i="3"/>
  <c r="J504" i="3"/>
  <c r="D504" i="3"/>
  <c r="K504" i="3" s="1"/>
  <c r="V503" i="3"/>
  <c r="U503" i="3"/>
  <c r="T503" i="3"/>
  <c r="S503" i="3"/>
  <c r="R503" i="3"/>
  <c r="Q503" i="3"/>
  <c r="V502" i="3"/>
  <c r="U502" i="3"/>
  <c r="T502" i="3"/>
  <c r="S502" i="3"/>
  <c r="R502" i="3"/>
  <c r="Q502" i="3"/>
  <c r="U501" i="3"/>
  <c r="T501" i="3"/>
  <c r="S501" i="3"/>
  <c r="R501" i="3"/>
  <c r="Q501" i="3"/>
  <c r="N501" i="3"/>
  <c r="J501" i="3"/>
  <c r="D501" i="3"/>
  <c r="V500" i="3"/>
  <c r="U500" i="3"/>
  <c r="T500" i="3"/>
  <c r="S500" i="3"/>
  <c r="R500" i="3"/>
  <c r="Q500" i="3"/>
  <c r="V499" i="3"/>
  <c r="U499" i="3"/>
  <c r="T499" i="3"/>
  <c r="S499" i="3"/>
  <c r="R499" i="3"/>
  <c r="Q499" i="3"/>
  <c r="U498" i="3"/>
  <c r="T498" i="3"/>
  <c r="S498" i="3"/>
  <c r="R498" i="3"/>
  <c r="Q498" i="3"/>
  <c r="N498" i="3"/>
  <c r="J498" i="3"/>
  <c r="D498" i="3"/>
  <c r="O498" i="3" s="1"/>
  <c r="L498" i="3" s="1"/>
  <c r="V497" i="3"/>
  <c r="U497" i="3"/>
  <c r="T497" i="3"/>
  <c r="S497" i="3"/>
  <c r="R497" i="3"/>
  <c r="Q497" i="3"/>
  <c r="V496" i="3"/>
  <c r="U496" i="3"/>
  <c r="T496" i="3"/>
  <c r="S496" i="3"/>
  <c r="R496" i="3"/>
  <c r="Q496" i="3"/>
  <c r="V495" i="3"/>
  <c r="T495" i="3"/>
  <c r="S495" i="3"/>
  <c r="R495" i="3"/>
  <c r="Q495" i="3"/>
  <c r="N495" i="3"/>
  <c r="D495" i="3"/>
  <c r="O495" i="3" s="1"/>
  <c r="L495" i="3" s="1"/>
  <c r="V494" i="3"/>
  <c r="U494" i="3"/>
  <c r="T494" i="3"/>
  <c r="S494" i="3"/>
  <c r="R494" i="3"/>
  <c r="Q494" i="3"/>
  <c r="V493" i="3"/>
  <c r="U493" i="3"/>
  <c r="T493" i="3"/>
  <c r="S493" i="3"/>
  <c r="R493" i="3"/>
  <c r="Q493" i="3"/>
  <c r="V492" i="3"/>
  <c r="U492" i="3"/>
  <c r="T492" i="3"/>
  <c r="R492" i="3"/>
  <c r="Q492" i="3"/>
  <c r="N492" i="3"/>
  <c r="D492" i="3"/>
  <c r="J495" i="3" s="1"/>
  <c r="P495" i="3" s="1"/>
  <c r="U495" i="3" s="1"/>
  <c r="V491" i="3"/>
  <c r="U491" i="3"/>
  <c r="T491" i="3"/>
  <c r="S491" i="3"/>
  <c r="R491" i="3"/>
  <c r="Q491" i="3"/>
  <c r="V490" i="3"/>
  <c r="U490" i="3"/>
  <c r="T490" i="3"/>
  <c r="S490" i="3"/>
  <c r="R490" i="3"/>
  <c r="Q490" i="3"/>
  <c r="V489" i="3"/>
  <c r="T489" i="3"/>
  <c r="S489" i="3"/>
  <c r="R489" i="3"/>
  <c r="Q489" i="3"/>
  <c r="N489" i="3"/>
  <c r="J489" i="3"/>
  <c r="D489" i="3"/>
  <c r="O489" i="3" s="1"/>
  <c r="L489" i="3" s="1"/>
  <c r="V488" i="3"/>
  <c r="U488" i="3"/>
  <c r="T488" i="3"/>
  <c r="S488" i="3"/>
  <c r="R488" i="3"/>
  <c r="Q488" i="3"/>
  <c r="V487" i="3"/>
  <c r="U487" i="3"/>
  <c r="T487" i="3"/>
  <c r="S487" i="3"/>
  <c r="R487" i="3"/>
  <c r="Q487" i="3"/>
  <c r="V486" i="3"/>
  <c r="T486" i="3"/>
  <c r="S486" i="3"/>
  <c r="R486" i="3"/>
  <c r="Q486" i="3"/>
  <c r="N486" i="3"/>
  <c r="K486" i="3"/>
  <c r="D486" i="3"/>
  <c r="O486" i="3" s="1"/>
  <c r="L486" i="3" s="1"/>
  <c r="V485" i="3"/>
  <c r="U485" i="3"/>
  <c r="T485" i="3"/>
  <c r="S485" i="3"/>
  <c r="R485" i="3"/>
  <c r="Q485" i="3"/>
  <c r="V484" i="3"/>
  <c r="U484" i="3"/>
  <c r="T484" i="3"/>
  <c r="S484" i="3"/>
  <c r="R484" i="3"/>
  <c r="Q484" i="3"/>
  <c r="V483" i="3"/>
  <c r="T483" i="3"/>
  <c r="S483" i="3"/>
  <c r="R483" i="3"/>
  <c r="Q483" i="3"/>
  <c r="N483" i="3"/>
  <c r="K483" i="3"/>
  <c r="D483" i="3"/>
  <c r="V482" i="3"/>
  <c r="U482" i="3"/>
  <c r="T482" i="3"/>
  <c r="S482" i="3"/>
  <c r="R482" i="3"/>
  <c r="Q482" i="3"/>
  <c r="V481" i="3"/>
  <c r="U481" i="3"/>
  <c r="T481" i="3"/>
  <c r="S481" i="3"/>
  <c r="R481" i="3"/>
  <c r="Q481" i="3"/>
  <c r="V480" i="3"/>
  <c r="T480" i="3"/>
  <c r="S480" i="3"/>
  <c r="R480" i="3"/>
  <c r="Q480" i="3"/>
  <c r="N480" i="3"/>
  <c r="D480" i="3"/>
  <c r="K480" i="3" s="1"/>
  <c r="V479" i="3"/>
  <c r="U479" i="3"/>
  <c r="T479" i="3"/>
  <c r="S479" i="3"/>
  <c r="R479" i="3"/>
  <c r="Q479" i="3"/>
  <c r="V478" i="3"/>
  <c r="U478" i="3"/>
  <c r="T478" i="3"/>
  <c r="S478" i="3"/>
  <c r="R478" i="3"/>
  <c r="Q478" i="3"/>
  <c r="V477" i="3"/>
  <c r="T477" i="3"/>
  <c r="S477" i="3"/>
  <c r="R477" i="3"/>
  <c r="Q477" i="3"/>
  <c r="N477" i="3"/>
  <c r="J477" i="3"/>
  <c r="P477" i="3" s="1"/>
  <c r="U477" i="3" s="1"/>
  <c r="D477" i="3"/>
  <c r="O477" i="3" s="1"/>
  <c r="L477" i="3" s="1"/>
  <c r="V476" i="3"/>
  <c r="U476" i="3"/>
  <c r="T476" i="3"/>
  <c r="S476" i="3"/>
  <c r="R476" i="3"/>
  <c r="Q476" i="3"/>
  <c r="V475" i="3"/>
  <c r="U475" i="3"/>
  <c r="T475" i="3"/>
  <c r="S475" i="3"/>
  <c r="R475" i="3"/>
  <c r="Q475" i="3"/>
  <c r="V474" i="3"/>
  <c r="T474" i="3"/>
  <c r="S474" i="3"/>
  <c r="R474" i="3"/>
  <c r="Q474" i="3"/>
  <c r="N474" i="3"/>
  <c r="K474" i="3"/>
  <c r="D474" i="3"/>
  <c r="O474" i="3" s="1"/>
  <c r="L474" i="3" s="1"/>
  <c r="V473" i="3"/>
  <c r="U473" i="3"/>
  <c r="T473" i="3"/>
  <c r="S473" i="3"/>
  <c r="R473" i="3"/>
  <c r="Q473" i="3"/>
  <c r="V472" i="3"/>
  <c r="U472" i="3"/>
  <c r="T472" i="3"/>
  <c r="S472" i="3"/>
  <c r="R472" i="3"/>
  <c r="Q472" i="3"/>
  <c r="U471" i="3"/>
  <c r="T471" i="3"/>
  <c r="S471" i="3"/>
  <c r="R471" i="3"/>
  <c r="Q471" i="3"/>
  <c r="N471" i="3"/>
  <c r="J471" i="3"/>
  <c r="D471" i="3"/>
  <c r="O471" i="3" s="1"/>
  <c r="V470" i="3"/>
  <c r="U470" i="3"/>
  <c r="T470" i="3"/>
  <c r="S470" i="3"/>
  <c r="R470" i="3"/>
  <c r="Q470" i="3"/>
  <c r="V469" i="3"/>
  <c r="U469" i="3"/>
  <c r="T469" i="3"/>
  <c r="S469" i="3"/>
  <c r="R469" i="3"/>
  <c r="Q469" i="3"/>
  <c r="V468" i="3"/>
  <c r="T468" i="3"/>
  <c r="S468" i="3"/>
  <c r="R468" i="3"/>
  <c r="Q468" i="3"/>
  <c r="N468" i="3"/>
  <c r="D468" i="3"/>
  <c r="K468" i="3" s="1"/>
  <c r="V467" i="3"/>
  <c r="U467" i="3"/>
  <c r="T467" i="3"/>
  <c r="S467" i="3"/>
  <c r="R467" i="3"/>
  <c r="Q467" i="3"/>
  <c r="V466" i="3"/>
  <c r="U466" i="3"/>
  <c r="T466" i="3"/>
  <c r="S466" i="3"/>
  <c r="R466" i="3"/>
  <c r="Q466" i="3"/>
  <c r="V465" i="3"/>
  <c r="T465" i="3"/>
  <c r="S465" i="3"/>
  <c r="R465" i="3"/>
  <c r="Q465" i="3"/>
  <c r="N465" i="3"/>
  <c r="D465" i="3"/>
  <c r="V464" i="3"/>
  <c r="U464" i="3"/>
  <c r="T464" i="3"/>
  <c r="S464" i="3"/>
  <c r="R464" i="3"/>
  <c r="Q464" i="3"/>
  <c r="V463" i="3"/>
  <c r="U463" i="3"/>
  <c r="T463" i="3"/>
  <c r="S463" i="3"/>
  <c r="R463" i="3"/>
  <c r="Q463" i="3"/>
  <c r="V462" i="3"/>
  <c r="T462" i="3"/>
  <c r="S462" i="3"/>
  <c r="R462" i="3"/>
  <c r="Q462" i="3"/>
  <c r="N462" i="3"/>
  <c r="J462" i="3"/>
  <c r="D462" i="3"/>
  <c r="O462" i="3" s="1"/>
  <c r="L462" i="3" s="1"/>
  <c r="V461" i="3"/>
  <c r="U461" i="3"/>
  <c r="T461" i="3"/>
  <c r="S461" i="3"/>
  <c r="R461" i="3"/>
  <c r="Q461" i="3"/>
  <c r="V460" i="3"/>
  <c r="U460" i="3"/>
  <c r="T460" i="3"/>
  <c r="S460" i="3"/>
  <c r="R460" i="3"/>
  <c r="Q460" i="3"/>
  <c r="U459" i="3"/>
  <c r="T459" i="3"/>
  <c r="S459" i="3"/>
  <c r="R459" i="3"/>
  <c r="Q459" i="3"/>
  <c r="N459" i="3"/>
  <c r="K459" i="3"/>
  <c r="D459" i="3"/>
  <c r="O459" i="3" s="1"/>
  <c r="L459" i="3" s="1"/>
  <c r="V458" i="3"/>
  <c r="U458" i="3"/>
  <c r="T458" i="3"/>
  <c r="S458" i="3"/>
  <c r="R458" i="3"/>
  <c r="Q458" i="3"/>
  <c r="V457" i="3"/>
  <c r="U457" i="3"/>
  <c r="T457" i="3"/>
  <c r="S457" i="3"/>
  <c r="R457" i="3"/>
  <c r="Q457" i="3"/>
  <c r="U456" i="3"/>
  <c r="T456" i="3"/>
  <c r="S456" i="3"/>
  <c r="R456" i="3"/>
  <c r="Q456" i="3"/>
  <c r="N456" i="3"/>
  <c r="J456" i="3"/>
  <c r="D456" i="3"/>
  <c r="J459" i="3" s="1"/>
  <c r="P459" i="3" s="1"/>
  <c r="V459" i="3" s="1"/>
  <c r="V455" i="3"/>
  <c r="U455" i="3"/>
  <c r="T455" i="3"/>
  <c r="S455" i="3"/>
  <c r="R455" i="3"/>
  <c r="Q455" i="3"/>
  <c r="V454" i="3"/>
  <c r="U454" i="3"/>
  <c r="T454" i="3"/>
  <c r="S454" i="3"/>
  <c r="R454" i="3"/>
  <c r="Q454" i="3"/>
  <c r="V453" i="3"/>
  <c r="T453" i="3"/>
  <c r="S453" i="3"/>
  <c r="R453" i="3"/>
  <c r="Q453" i="3"/>
  <c r="N453" i="3"/>
  <c r="J453" i="3"/>
  <c r="P453" i="3" s="1"/>
  <c r="U453" i="3" s="1"/>
  <c r="D453" i="3"/>
  <c r="O453" i="3" s="1"/>
  <c r="L453" i="3" s="1"/>
  <c r="V452" i="3"/>
  <c r="U452" i="3"/>
  <c r="T452" i="3"/>
  <c r="S452" i="3"/>
  <c r="R452" i="3"/>
  <c r="Q452" i="3"/>
  <c r="V451" i="3"/>
  <c r="U451" i="3"/>
  <c r="T451" i="3"/>
  <c r="S451" i="3"/>
  <c r="R451" i="3"/>
  <c r="Q451" i="3"/>
  <c r="V450" i="3"/>
  <c r="T450" i="3"/>
  <c r="S450" i="3"/>
  <c r="R450" i="3"/>
  <c r="Q450" i="3"/>
  <c r="N450" i="3"/>
  <c r="K450" i="3"/>
  <c r="D450" i="3"/>
  <c r="O450" i="3" s="1"/>
  <c r="L450" i="3" s="1"/>
  <c r="V449" i="3"/>
  <c r="U449" i="3"/>
  <c r="T449" i="3"/>
  <c r="S449" i="3"/>
  <c r="R449" i="3"/>
  <c r="Q449" i="3"/>
  <c r="V448" i="3"/>
  <c r="U448" i="3"/>
  <c r="T448" i="3"/>
  <c r="S448" i="3"/>
  <c r="R448" i="3"/>
  <c r="Q448" i="3"/>
  <c r="U447" i="3"/>
  <c r="T447" i="3"/>
  <c r="S447" i="3"/>
  <c r="R447" i="3"/>
  <c r="Q447" i="3"/>
  <c r="N447" i="3"/>
  <c r="J447" i="3"/>
  <c r="D447" i="3"/>
  <c r="O447" i="3" s="1"/>
  <c r="V446" i="3"/>
  <c r="U446" i="3"/>
  <c r="T446" i="3"/>
  <c r="S446" i="3"/>
  <c r="R446" i="3"/>
  <c r="Q446" i="3"/>
  <c r="V445" i="3"/>
  <c r="U445" i="3"/>
  <c r="T445" i="3"/>
  <c r="S445" i="3"/>
  <c r="R445" i="3"/>
  <c r="Q445" i="3"/>
  <c r="U444" i="3"/>
  <c r="T444" i="3"/>
  <c r="S444" i="3"/>
  <c r="R444" i="3"/>
  <c r="Q444" i="3"/>
  <c r="N444" i="3"/>
  <c r="D444" i="3"/>
  <c r="K444" i="3" s="1"/>
  <c r="V443" i="3"/>
  <c r="U443" i="3"/>
  <c r="T443" i="3"/>
  <c r="S443" i="3"/>
  <c r="R443" i="3"/>
  <c r="Q443" i="3"/>
  <c r="V442" i="3"/>
  <c r="U442" i="3"/>
  <c r="T442" i="3"/>
  <c r="S442" i="3"/>
  <c r="R442" i="3"/>
  <c r="Q442" i="3"/>
  <c r="U441" i="3"/>
  <c r="T441" i="3"/>
  <c r="S441" i="3"/>
  <c r="R441" i="3"/>
  <c r="Q441" i="3"/>
  <c r="N441" i="3"/>
  <c r="D441" i="3"/>
  <c r="V440" i="3"/>
  <c r="U440" i="3"/>
  <c r="T440" i="3"/>
  <c r="S440" i="3"/>
  <c r="R440" i="3"/>
  <c r="Q440" i="3"/>
  <c r="V439" i="3"/>
  <c r="U439" i="3"/>
  <c r="T439" i="3"/>
  <c r="S439" i="3"/>
  <c r="R439" i="3"/>
  <c r="Q439" i="3"/>
  <c r="V438" i="3"/>
  <c r="U438" i="3"/>
  <c r="S438" i="3"/>
  <c r="R438" i="3"/>
  <c r="Q438" i="3"/>
  <c r="N438" i="3"/>
  <c r="J438" i="3"/>
  <c r="D438" i="3"/>
  <c r="O438" i="3" s="1"/>
  <c r="L438" i="3" s="1"/>
  <c r="V437" i="3"/>
  <c r="U437" i="3"/>
  <c r="T437" i="3"/>
  <c r="S437" i="3"/>
  <c r="R437" i="3"/>
  <c r="Q437" i="3"/>
  <c r="V436" i="3"/>
  <c r="U436" i="3"/>
  <c r="T436" i="3"/>
  <c r="S436" i="3"/>
  <c r="R436" i="3"/>
  <c r="Q436" i="3"/>
  <c r="U435" i="3"/>
  <c r="T435" i="3"/>
  <c r="S435" i="3"/>
  <c r="R435" i="3"/>
  <c r="Q435" i="3"/>
  <c r="N435" i="3"/>
  <c r="K435" i="3"/>
  <c r="J435" i="3"/>
  <c r="D435" i="3"/>
  <c r="V434" i="3"/>
  <c r="U434" i="3"/>
  <c r="T434" i="3"/>
  <c r="S434" i="3"/>
  <c r="R434" i="3"/>
  <c r="Q434" i="3"/>
  <c r="V433" i="3"/>
  <c r="U433" i="3"/>
  <c r="T433" i="3"/>
  <c r="S433" i="3"/>
  <c r="R433" i="3"/>
  <c r="Q433" i="3"/>
  <c r="V432" i="3"/>
  <c r="U432" i="3"/>
  <c r="S432" i="3"/>
  <c r="R432" i="3"/>
  <c r="Q432" i="3"/>
  <c r="N432" i="3"/>
  <c r="D432" i="3"/>
  <c r="K432" i="3" s="1"/>
  <c r="V431" i="3"/>
  <c r="U431" i="3"/>
  <c r="T431" i="3"/>
  <c r="S431" i="3"/>
  <c r="R431" i="3"/>
  <c r="Q431" i="3"/>
  <c r="V430" i="3"/>
  <c r="U430" i="3"/>
  <c r="T430" i="3"/>
  <c r="S430" i="3"/>
  <c r="R430" i="3"/>
  <c r="Q430" i="3"/>
  <c r="U429" i="3"/>
  <c r="T429" i="3"/>
  <c r="S429" i="3"/>
  <c r="R429" i="3"/>
  <c r="Q429" i="3"/>
  <c r="N429" i="3"/>
  <c r="J429" i="3"/>
  <c r="P429" i="3" s="1"/>
  <c r="V429" i="3" s="1"/>
  <c r="D429" i="3"/>
  <c r="O429" i="3" s="1"/>
  <c r="L429" i="3" s="1"/>
  <c r="V428" i="3"/>
  <c r="U428" i="3"/>
  <c r="T428" i="3"/>
  <c r="S428" i="3"/>
  <c r="R428" i="3"/>
  <c r="Q428" i="3"/>
  <c r="V427" i="3"/>
  <c r="U427" i="3"/>
  <c r="T427" i="3"/>
  <c r="S427" i="3"/>
  <c r="R427" i="3"/>
  <c r="Q427" i="3"/>
  <c r="V426" i="3"/>
  <c r="U426" i="3"/>
  <c r="T426" i="3"/>
  <c r="R426" i="3"/>
  <c r="Q426" i="3"/>
  <c r="N426" i="3"/>
  <c r="K426" i="3"/>
  <c r="D426" i="3"/>
  <c r="O426" i="3" s="1"/>
  <c r="L426" i="3" s="1"/>
  <c r="V425" i="3"/>
  <c r="U425" i="3"/>
  <c r="T425" i="3"/>
  <c r="S425" i="3"/>
  <c r="R425" i="3"/>
  <c r="Q425" i="3"/>
  <c r="V424" i="3"/>
  <c r="U424" i="3"/>
  <c r="T424" i="3"/>
  <c r="S424" i="3"/>
  <c r="R424" i="3"/>
  <c r="Q424" i="3"/>
  <c r="V423" i="3"/>
  <c r="U423" i="3"/>
  <c r="T423" i="3"/>
  <c r="R423" i="3"/>
  <c r="Q423" i="3"/>
  <c r="N423" i="3"/>
  <c r="J423" i="3"/>
  <c r="D423" i="3"/>
  <c r="O423" i="3" s="1"/>
  <c r="V422" i="3"/>
  <c r="U422" i="3"/>
  <c r="T422" i="3"/>
  <c r="S422" i="3"/>
  <c r="R422" i="3"/>
  <c r="Q422" i="3"/>
  <c r="V421" i="3"/>
  <c r="U421" i="3"/>
  <c r="T421" i="3"/>
  <c r="S421" i="3"/>
  <c r="R421" i="3"/>
  <c r="Q421" i="3"/>
  <c r="V420" i="3"/>
  <c r="U420" i="3"/>
  <c r="T420" i="3"/>
  <c r="R420" i="3"/>
  <c r="Q420" i="3"/>
  <c r="N420" i="3"/>
  <c r="D420" i="3"/>
  <c r="K420" i="3" s="1"/>
  <c r="V419" i="3"/>
  <c r="U419" i="3"/>
  <c r="T419" i="3"/>
  <c r="S419" i="3"/>
  <c r="R419" i="3"/>
  <c r="Q419" i="3"/>
  <c r="V418" i="3"/>
  <c r="U418" i="3"/>
  <c r="T418" i="3"/>
  <c r="S418" i="3"/>
  <c r="R418" i="3"/>
  <c r="Q418" i="3"/>
  <c r="V417" i="3"/>
  <c r="U417" i="3"/>
  <c r="T417" i="3"/>
  <c r="R417" i="3"/>
  <c r="Q417" i="3"/>
  <c r="N417" i="3"/>
  <c r="D417" i="3"/>
  <c r="V416" i="3"/>
  <c r="U416" i="3"/>
  <c r="T416" i="3"/>
  <c r="S416" i="3"/>
  <c r="R416" i="3"/>
  <c r="Q416" i="3"/>
  <c r="V415" i="3"/>
  <c r="U415" i="3"/>
  <c r="T415" i="3"/>
  <c r="S415" i="3"/>
  <c r="R415" i="3"/>
  <c r="Q415" i="3"/>
  <c r="V414" i="3"/>
  <c r="T414" i="3"/>
  <c r="S414" i="3"/>
  <c r="R414" i="3"/>
  <c r="Q414" i="3"/>
  <c r="N414" i="3"/>
  <c r="J414" i="3"/>
  <c r="D414" i="3"/>
  <c r="O414" i="3" s="1"/>
  <c r="L414" i="3" s="1"/>
  <c r="V413" i="3"/>
  <c r="U413" i="3"/>
  <c r="T413" i="3"/>
  <c r="S413" i="3"/>
  <c r="R413" i="3"/>
  <c r="Q413" i="3"/>
  <c r="V412" i="3"/>
  <c r="U412" i="3"/>
  <c r="T412" i="3"/>
  <c r="S412" i="3"/>
  <c r="R412" i="3"/>
  <c r="Q412" i="3"/>
  <c r="V411" i="3"/>
  <c r="T411" i="3"/>
  <c r="S411" i="3"/>
  <c r="R411" i="3"/>
  <c r="Q411" i="3"/>
  <c r="N411" i="3"/>
  <c r="K411" i="3"/>
  <c r="J411" i="3"/>
  <c r="D411" i="3"/>
  <c r="V410" i="3"/>
  <c r="U410" i="3"/>
  <c r="T410" i="3"/>
  <c r="S410" i="3"/>
  <c r="R410" i="3"/>
  <c r="Q410" i="3"/>
  <c r="V409" i="3"/>
  <c r="U409" i="3"/>
  <c r="T409" i="3"/>
  <c r="S409" i="3"/>
  <c r="R409" i="3"/>
  <c r="Q409" i="3"/>
  <c r="U408" i="3"/>
  <c r="T408" i="3"/>
  <c r="S408" i="3"/>
  <c r="R408" i="3"/>
  <c r="Q408" i="3"/>
  <c r="N408" i="3"/>
  <c r="J408" i="3"/>
  <c r="D408" i="3"/>
  <c r="K408" i="3" s="1"/>
  <c r="V407" i="3"/>
  <c r="U407" i="3"/>
  <c r="T407" i="3"/>
  <c r="S407" i="3"/>
  <c r="R407" i="3"/>
  <c r="Q407" i="3"/>
  <c r="V406" i="3"/>
  <c r="U406" i="3"/>
  <c r="T406" i="3"/>
  <c r="S406" i="3"/>
  <c r="R406" i="3"/>
  <c r="Q406" i="3"/>
  <c r="U405" i="3"/>
  <c r="T405" i="3"/>
  <c r="S405" i="3"/>
  <c r="R405" i="3"/>
  <c r="Q405" i="3"/>
  <c r="N405" i="3"/>
  <c r="J405" i="3"/>
  <c r="D405" i="3"/>
  <c r="V404" i="3"/>
  <c r="U404" i="3"/>
  <c r="T404" i="3"/>
  <c r="S404" i="3"/>
  <c r="R404" i="3"/>
  <c r="Q404" i="3"/>
  <c r="V403" i="3"/>
  <c r="U403" i="3"/>
  <c r="T403" i="3"/>
  <c r="S403" i="3"/>
  <c r="R403" i="3"/>
  <c r="Q403" i="3"/>
  <c r="V402" i="3"/>
  <c r="T402" i="3"/>
  <c r="S402" i="3"/>
  <c r="R402" i="3"/>
  <c r="Q402" i="3"/>
  <c r="N402" i="3"/>
  <c r="J402" i="3"/>
  <c r="D402" i="3"/>
  <c r="O402" i="3" s="1"/>
  <c r="L402" i="3" s="1"/>
  <c r="V401" i="3"/>
  <c r="U401" i="3"/>
  <c r="T401" i="3"/>
  <c r="S401" i="3"/>
  <c r="R401" i="3"/>
  <c r="Q401" i="3"/>
  <c r="V400" i="3"/>
  <c r="U400" i="3"/>
  <c r="T400" i="3"/>
  <c r="S400" i="3"/>
  <c r="R400" i="3"/>
  <c r="Q400" i="3"/>
  <c r="U399" i="3"/>
  <c r="T399" i="3"/>
  <c r="S399" i="3"/>
  <c r="R399" i="3"/>
  <c r="Q399" i="3"/>
  <c r="N399" i="3"/>
  <c r="J399" i="3"/>
  <c r="D399" i="3"/>
  <c r="O399" i="3" s="1"/>
  <c r="V398" i="3"/>
  <c r="U398" i="3"/>
  <c r="T398" i="3"/>
  <c r="S398" i="3"/>
  <c r="R398" i="3"/>
  <c r="Q398" i="3"/>
  <c r="V397" i="3"/>
  <c r="U397" i="3"/>
  <c r="T397" i="3"/>
  <c r="S397" i="3"/>
  <c r="R397" i="3"/>
  <c r="Q397" i="3"/>
  <c r="U396" i="3"/>
  <c r="T396" i="3"/>
  <c r="S396" i="3"/>
  <c r="R396" i="3"/>
  <c r="Q396" i="3"/>
  <c r="N396" i="3"/>
  <c r="J396" i="3"/>
  <c r="D396" i="3"/>
  <c r="K396" i="3" s="1"/>
  <c r="V395" i="3"/>
  <c r="U395" i="3"/>
  <c r="T395" i="3"/>
  <c r="S395" i="3"/>
  <c r="R395" i="3"/>
  <c r="Q395" i="3"/>
  <c r="V394" i="3"/>
  <c r="U394" i="3"/>
  <c r="T394" i="3"/>
  <c r="S394" i="3"/>
  <c r="R394" i="3"/>
  <c r="Q394" i="3"/>
  <c r="U393" i="3"/>
  <c r="T393" i="3"/>
  <c r="S393" i="3"/>
  <c r="R393" i="3"/>
  <c r="Q393" i="3"/>
  <c r="N393" i="3"/>
  <c r="J393" i="3"/>
  <c r="D393" i="3"/>
  <c r="O393" i="3" s="1"/>
  <c r="V392" i="3"/>
  <c r="U392" i="3"/>
  <c r="T392" i="3"/>
  <c r="S392" i="3"/>
  <c r="R392" i="3"/>
  <c r="Q392" i="3"/>
  <c r="V391" i="3"/>
  <c r="U391" i="3"/>
  <c r="T391" i="3"/>
  <c r="S391" i="3"/>
  <c r="R391" i="3"/>
  <c r="Q391" i="3"/>
  <c r="V390" i="3"/>
  <c r="T390" i="3"/>
  <c r="S390" i="3"/>
  <c r="R390" i="3"/>
  <c r="Q390" i="3"/>
  <c r="N390" i="3"/>
  <c r="J390" i="3"/>
  <c r="D390" i="3"/>
  <c r="K390" i="3" s="1"/>
  <c r="V389" i="3"/>
  <c r="U389" i="3"/>
  <c r="T389" i="3"/>
  <c r="S389" i="3"/>
  <c r="R389" i="3"/>
  <c r="Q389" i="3"/>
  <c r="V388" i="3"/>
  <c r="U388" i="3"/>
  <c r="T388" i="3"/>
  <c r="S388" i="3"/>
  <c r="R388" i="3"/>
  <c r="Q388" i="3"/>
  <c r="V387" i="3"/>
  <c r="T387" i="3"/>
  <c r="S387" i="3"/>
  <c r="R387" i="3"/>
  <c r="Q387" i="3"/>
  <c r="N387" i="3"/>
  <c r="K387" i="3"/>
  <c r="J387" i="3"/>
  <c r="D387" i="3"/>
  <c r="V386" i="3"/>
  <c r="U386" i="3"/>
  <c r="T386" i="3"/>
  <c r="S386" i="3"/>
  <c r="R386" i="3"/>
  <c r="Q386" i="3"/>
  <c r="V385" i="3"/>
  <c r="U385" i="3"/>
  <c r="T385" i="3"/>
  <c r="S385" i="3"/>
  <c r="R385" i="3"/>
  <c r="Q385" i="3"/>
  <c r="U384" i="3"/>
  <c r="T384" i="3"/>
  <c r="S384" i="3"/>
  <c r="R384" i="3"/>
  <c r="Q384" i="3"/>
  <c r="O384" i="3"/>
  <c r="L384" i="3" s="1"/>
  <c r="N384" i="3"/>
  <c r="J384" i="3"/>
  <c r="D384" i="3"/>
  <c r="K384" i="3" s="1"/>
  <c r="V383" i="3"/>
  <c r="U383" i="3"/>
  <c r="T383" i="3"/>
  <c r="S383" i="3"/>
  <c r="R383" i="3"/>
  <c r="Q383" i="3"/>
  <c r="V382" i="3"/>
  <c r="U382" i="3"/>
  <c r="T382" i="3"/>
  <c r="S382" i="3"/>
  <c r="R382" i="3"/>
  <c r="Q382" i="3"/>
  <c r="U381" i="3"/>
  <c r="T381" i="3"/>
  <c r="S381" i="3"/>
  <c r="R381" i="3"/>
  <c r="Q381" i="3"/>
  <c r="N381" i="3"/>
  <c r="J381" i="3"/>
  <c r="D381" i="3"/>
  <c r="O381" i="3" s="1"/>
  <c r="V380" i="3"/>
  <c r="U380" i="3"/>
  <c r="T380" i="3"/>
  <c r="S380" i="3"/>
  <c r="R380" i="3"/>
  <c r="Q380" i="3"/>
  <c r="V379" i="3"/>
  <c r="U379" i="3"/>
  <c r="T379" i="3"/>
  <c r="S379" i="3"/>
  <c r="R379" i="3"/>
  <c r="Q379" i="3"/>
  <c r="U378" i="3"/>
  <c r="T378" i="3"/>
  <c r="S378" i="3"/>
  <c r="R378" i="3"/>
  <c r="Q378" i="3"/>
  <c r="N378" i="3"/>
  <c r="O378" i="3" s="1"/>
  <c r="L378" i="3" s="1"/>
  <c r="J378" i="3"/>
  <c r="D378" i="3"/>
  <c r="K378" i="3" s="1"/>
  <c r="V377" i="3"/>
  <c r="U377" i="3"/>
  <c r="T377" i="3"/>
  <c r="S377" i="3"/>
  <c r="R377" i="3"/>
  <c r="Q377" i="3"/>
  <c r="V376" i="3"/>
  <c r="U376" i="3"/>
  <c r="T376" i="3"/>
  <c r="S376" i="3"/>
  <c r="R376" i="3"/>
  <c r="Q376" i="3"/>
  <c r="V375" i="3"/>
  <c r="T375" i="3"/>
  <c r="S375" i="3"/>
  <c r="R375" i="3"/>
  <c r="Q375" i="3"/>
  <c r="N375" i="3"/>
  <c r="K375" i="3"/>
  <c r="J375" i="3"/>
  <c r="D375" i="3"/>
  <c r="V374" i="3"/>
  <c r="U374" i="3"/>
  <c r="T374" i="3"/>
  <c r="S374" i="3"/>
  <c r="R374" i="3"/>
  <c r="Q374" i="3"/>
  <c r="V373" i="3"/>
  <c r="U373" i="3"/>
  <c r="T373" i="3"/>
  <c r="S373" i="3"/>
  <c r="R373" i="3"/>
  <c r="Q373" i="3"/>
  <c r="U372" i="3"/>
  <c r="T372" i="3"/>
  <c r="S372" i="3"/>
  <c r="R372" i="3"/>
  <c r="Q372" i="3"/>
  <c r="N372" i="3"/>
  <c r="K372" i="3"/>
  <c r="D372" i="3"/>
  <c r="O372" i="3" s="1"/>
  <c r="L372" i="3" s="1"/>
  <c r="V371" i="3"/>
  <c r="U371" i="3"/>
  <c r="T371" i="3"/>
  <c r="S371" i="3"/>
  <c r="R371" i="3"/>
  <c r="Q371" i="3"/>
  <c r="V370" i="3"/>
  <c r="U370" i="3"/>
  <c r="T370" i="3"/>
  <c r="S370" i="3"/>
  <c r="R370" i="3"/>
  <c r="Q370" i="3"/>
  <c r="V369" i="3"/>
  <c r="T369" i="3"/>
  <c r="S369" i="3"/>
  <c r="R369" i="3"/>
  <c r="Q369" i="3"/>
  <c r="N369" i="3"/>
  <c r="J369" i="3"/>
  <c r="D369" i="3"/>
  <c r="O369" i="3" s="1"/>
  <c r="V368" i="3"/>
  <c r="U368" i="3"/>
  <c r="T368" i="3"/>
  <c r="S368" i="3"/>
  <c r="R368" i="3"/>
  <c r="Q368" i="3"/>
  <c r="V367" i="3"/>
  <c r="U367" i="3"/>
  <c r="T367" i="3"/>
  <c r="S367" i="3"/>
  <c r="R367" i="3"/>
  <c r="Q367" i="3"/>
  <c r="V366" i="3"/>
  <c r="T366" i="3"/>
  <c r="S366" i="3"/>
  <c r="R366" i="3"/>
  <c r="Q366" i="3"/>
  <c r="N366" i="3"/>
  <c r="O366" i="3" s="1"/>
  <c r="L366" i="3" s="1"/>
  <c r="J366" i="3"/>
  <c r="D366" i="3"/>
  <c r="K366" i="3" s="1"/>
  <c r="V365" i="3"/>
  <c r="U365" i="3"/>
  <c r="T365" i="3"/>
  <c r="S365" i="3"/>
  <c r="R365" i="3"/>
  <c r="Q365" i="3"/>
  <c r="V364" i="3"/>
  <c r="U364" i="3"/>
  <c r="T364" i="3"/>
  <c r="S364" i="3"/>
  <c r="R364" i="3"/>
  <c r="Q364" i="3"/>
  <c r="V363" i="3"/>
  <c r="U363" i="3"/>
  <c r="S363" i="3"/>
  <c r="R363" i="3"/>
  <c r="Q363" i="3"/>
  <c r="N363" i="3"/>
  <c r="K363" i="3"/>
  <c r="J363" i="3"/>
  <c r="D363" i="3"/>
  <c r="V362" i="3"/>
  <c r="U362" i="3"/>
  <c r="T362" i="3"/>
  <c r="S362" i="3"/>
  <c r="R362" i="3"/>
  <c r="Q362" i="3"/>
  <c r="V361" i="3"/>
  <c r="U361" i="3"/>
  <c r="T361" i="3"/>
  <c r="S361" i="3"/>
  <c r="R361" i="3"/>
  <c r="Q361" i="3"/>
  <c r="V360" i="3"/>
  <c r="T360" i="3"/>
  <c r="S360" i="3"/>
  <c r="R360" i="3"/>
  <c r="Q360" i="3"/>
  <c r="O360" i="3"/>
  <c r="L360" i="3" s="1"/>
  <c r="N360" i="3"/>
  <c r="K360" i="3"/>
  <c r="J360" i="3"/>
  <c r="D360" i="3"/>
  <c r="V359" i="3"/>
  <c r="U359" i="3"/>
  <c r="T359" i="3"/>
  <c r="S359" i="3"/>
  <c r="R359" i="3"/>
  <c r="Q359" i="3"/>
  <c r="V358" i="3"/>
  <c r="U358" i="3"/>
  <c r="T358" i="3"/>
  <c r="S358" i="3"/>
  <c r="R358" i="3"/>
  <c r="Q358" i="3"/>
  <c r="U357" i="3"/>
  <c r="T357" i="3"/>
  <c r="S357" i="3"/>
  <c r="R357" i="3"/>
  <c r="Q357" i="3"/>
  <c r="N357" i="3"/>
  <c r="J357" i="3"/>
  <c r="D357" i="3"/>
  <c r="V356" i="3"/>
  <c r="U356" i="3"/>
  <c r="T356" i="3"/>
  <c r="S356" i="3"/>
  <c r="R356" i="3"/>
  <c r="Q356" i="3"/>
  <c r="V355" i="3"/>
  <c r="U355" i="3"/>
  <c r="T355" i="3"/>
  <c r="S355" i="3"/>
  <c r="R355" i="3"/>
  <c r="Q355" i="3"/>
  <c r="V354" i="3"/>
  <c r="T354" i="3"/>
  <c r="S354" i="3"/>
  <c r="R354" i="3"/>
  <c r="Q354" i="3"/>
  <c r="O354" i="3"/>
  <c r="L354" i="3" s="1"/>
  <c r="N354" i="3"/>
  <c r="J354" i="3"/>
  <c r="D354" i="3"/>
  <c r="K354" i="3" s="1"/>
  <c r="V353" i="3"/>
  <c r="U353" i="3"/>
  <c r="T353" i="3"/>
  <c r="S353" i="3"/>
  <c r="R353" i="3"/>
  <c r="Q353" i="3"/>
  <c r="V352" i="3"/>
  <c r="U352" i="3"/>
  <c r="T352" i="3"/>
  <c r="S352" i="3"/>
  <c r="R352" i="3"/>
  <c r="Q352" i="3"/>
  <c r="V351" i="3"/>
  <c r="T351" i="3"/>
  <c r="S351" i="3"/>
  <c r="R351" i="3"/>
  <c r="Q351" i="3"/>
  <c r="N351" i="3"/>
  <c r="J351" i="3"/>
  <c r="D351" i="3"/>
  <c r="O351" i="3" s="1"/>
  <c r="L351" i="3" s="1"/>
  <c r="P351" i="3" s="1"/>
  <c r="U351" i="3" s="1"/>
  <c r="V350" i="3"/>
  <c r="U350" i="3"/>
  <c r="T350" i="3"/>
  <c r="S350" i="3"/>
  <c r="R350" i="3"/>
  <c r="Q350" i="3"/>
  <c r="V349" i="3"/>
  <c r="U349" i="3"/>
  <c r="T349" i="3"/>
  <c r="S349" i="3"/>
  <c r="R349" i="3"/>
  <c r="Q349" i="3"/>
  <c r="U348" i="3"/>
  <c r="T348" i="3"/>
  <c r="S348" i="3"/>
  <c r="R348" i="3"/>
  <c r="Q348" i="3"/>
  <c r="N348" i="3"/>
  <c r="J348" i="3"/>
  <c r="D348" i="3"/>
  <c r="K348" i="3" s="1"/>
  <c r="V347" i="3"/>
  <c r="U347" i="3"/>
  <c r="T347" i="3"/>
  <c r="S347" i="3"/>
  <c r="R347" i="3"/>
  <c r="Q347" i="3"/>
  <c r="V346" i="3"/>
  <c r="U346" i="3"/>
  <c r="T346" i="3"/>
  <c r="S346" i="3"/>
  <c r="R346" i="3"/>
  <c r="Q346" i="3"/>
  <c r="V345" i="3"/>
  <c r="T345" i="3"/>
  <c r="S345" i="3"/>
  <c r="R345" i="3"/>
  <c r="Q345" i="3"/>
  <c r="N345" i="3"/>
  <c r="J345" i="3"/>
  <c r="D345" i="3"/>
  <c r="O345" i="3" s="1"/>
  <c r="V344" i="3"/>
  <c r="U344" i="3"/>
  <c r="T344" i="3"/>
  <c r="S344" i="3"/>
  <c r="R344" i="3"/>
  <c r="Q344" i="3"/>
  <c r="V343" i="3"/>
  <c r="U343" i="3"/>
  <c r="T343" i="3"/>
  <c r="S343" i="3"/>
  <c r="R343" i="3"/>
  <c r="Q343" i="3"/>
  <c r="V342" i="3"/>
  <c r="T342" i="3"/>
  <c r="S342" i="3"/>
  <c r="R342" i="3"/>
  <c r="Q342" i="3"/>
  <c r="N342" i="3"/>
  <c r="J342" i="3"/>
  <c r="D342" i="3"/>
  <c r="K342" i="3" s="1"/>
  <c r="V341" i="3"/>
  <c r="U341" i="3"/>
  <c r="T341" i="3"/>
  <c r="S341" i="3"/>
  <c r="R341" i="3"/>
  <c r="Q341" i="3"/>
  <c r="V340" i="3"/>
  <c r="U340" i="3"/>
  <c r="T340" i="3"/>
  <c r="S340" i="3"/>
  <c r="R340" i="3"/>
  <c r="Q340" i="3"/>
  <c r="U339" i="3"/>
  <c r="T339" i="3"/>
  <c r="S339" i="3"/>
  <c r="R339" i="3"/>
  <c r="Q339" i="3"/>
  <c r="N339" i="3"/>
  <c r="K339" i="3"/>
  <c r="J339" i="3"/>
  <c r="D339" i="3"/>
  <c r="O339" i="3" s="1"/>
  <c r="L339" i="3" s="1"/>
  <c r="P339" i="3" s="1"/>
  <c r="V339" i="3" s="1"/>
  <c r="V338" i="3"/>
  <c r="U338" i="3"/>
  <c r="T338" i="3"/>
  <c r="S338" i="3"/>
  <c r="R338" i="3"/>
  <c r="Q338" i="3"/>
  <c r="V337" i="3"/>
  <c r="U337" i="3"/>
  <c r="T337" i="3"/>
  <c r="S337" i="3"/>
  <c r="R337" i="3"/>
  <c r="Q337" i="3"/>
  <c r="V336" i="3"/>
  <c r="T336" i="3"/>
  <c r="S336" i="3"/>
  <c r="R336" i="3"/>
  <c r="Q336" i="3"/>
  <c r="O336" i="3"/>
  <c r="L336" i="3" s="1"/>
  <c r="P336" i="3" s="1"/>
  <c r="U336" i="3" s="1"/>
  <c r="N336" i="3"/>
  <c r="K336" i="3"/>
  <c r="J336" i="3"/>
  <c r="D336" i="3"/>
  <c r="V335" i="3"/>
  <c r="U335" i="3"/>
  <c r="T335" i="3"/>
  <c r="S335" i="3"/>
  <c r="R335" i="3"/>
  <c r="Q335" i="3"/>
  <c r="V334" i="3"/>
  <c r="U334" i="3"/>
  <c r="T334" i="3"/>
  <c r="S334" i="3"/>
  <c r="R334" i="3"/>
  <c r="Q334" i="3"/>
  <c r="U333" i="3"/>
  <c r="T333" i="3"/>
  <c r="S333" i="3"/>
  <c r="R333" i="3"/>
  <c r="Q333" i="3"/>
  <c r="N333" i="3"/>
  <c r="J333" i="3"/>
  <c r="D333" i="3"/>
  <c r="V332" i="3"/>
  <c r="U332" i="3"/>
  <c r="T332" i="3"/>
  <c r="S332" i="3"/>
  <c r="R332" i="3"/>
  <c r="Q332" i="3"/>
  <c r="V331" i="3"/>
  <c r="U331" i="3"/>
  <c r="T331" i="3"/>
  <c r="S331" i="3"/>
  <c r="R331" i="3"/>
  <c r="Q331" i="3"/>
  <c r="V330" i="3"/>
  <c r="T330" i="3"/>
  <c r="S330" i="3"/>
  <c r="R330" i="3"/>
  <c r="Q330" i="3"/>
  <c r="O330" i="3"/>
  <c r="L330" i="3" s="1"/>
  <c r="N330" i="3"/>
  <c r="J330" i="3"/>
  <c r="D330" i="3"/>
  <c r="K330" i="3" s="1"/>
  <c r="V329" i="3"/>
  <c r="U329" i="3"/>
  <c r="T329" i="3"/>
  <c r="S329" i="3"/>
  <c r="R329" i="3"/>
  <c r="Q329" i="3"/>
  <c r="V328" i="3"/>
  <c r="U328" i="3"/>
  <c r="T328" i="3"/>
  <c r="S328" i="3"/>
  <c r="R328" i="3"/>
  <c r="Q328" i="3"/>
  <c r="U327" i="3"/>
  <c r="T327" i="3"/>
  <c r="S327" i="3"/>
  <c r="R327" i="3"/>
  <c r="Q327" i="3"/>
  <c r="N327" i="3"/>
  <c r="J327" i="3"/>
  <c r="D327" i="3"/>
  <c r="O327" i="3" s="1"/>
  <c r="L327" i="3" s="1"/>
  <c r="P327" i="3" s="1"/>
  <c r="V327" i="3" s="1"/>
  <c r="V326" i="3"/>
  <c r="U326" i="3"/>
  <c r="T326" i="3"/>
  <c r="S326" i="3"/>
  <c r="R326" i="3"/>
  <c r="Q326" i="3"/>
  <c r="V325" i="3"/>
  <c r="U325" i="3"/>
  <c r="T325" i="3"/>
  <c r="S325" i="3"/>
  <c r="R325" i="3"/>
  <c r="Q325" i="3"/>
  <c r="U324" i="3"/>
  <c r="T324" i="3"/>
  <c r="S324" i="3"/>
  <c r="R324" i="3"/>
  <c r="Q324" i="3"/>
  <c r="N324" i="3"/>
  <c r="J324" i="3"/>
  <c r="D324" i="3"/>
  <c r="V323" i="3"/>
  <c r="U323" i="3"/>
  <c r="T323" i="3"/>
  <c r="S323" i="3"/>
  <c r="R323" i="3"/>
  <c r="Q323" i="3"/>
  <c r="V322" i="3"/>
  <c r="U322" i="3"/>
  <c r="T322" i="3"/>
  <c r="S322" i="3"/>
  <c r="R322" i="3"/>
  <c r="Q322" i="3"/>
  <c r="U321" i="3"/>
  <c r="T321" i="3"/>
  <c r="S321" i="3"/>
  <c r="R321" i="3"/>
  <c r="Q321" i="3"/>
  <c r="N321" i="3"/>
  <c r="J321" i="3"/>
  <c r="D321" i="3"/>
  <c r="O321" i="3" s="1"/>
  <c r="V320" i="3"/>
  <c r="U320" i="3"/>
  <c r="T320" i="3"/>
  <c r="S320" i="3"/>
  <c r="R320" i="3"/>
  <c r="Q320" i="3"/>
  <c r="V319" i="3"/>
  <c r="U319" i="3"/>
  <c r="T319" i="3"/>
  <c r="S319" i="3"/>
  <c r="R319" i="3"/>
  <c r="Q319" i="3"/>
  <c r="U318" i="3"/>
  <c r="T318" i="3"/>
  <c r="S318" i="3"/>
  <c r="R318" i="3"/>
  <c r="Q318" i="3"/>
  <c r="N318" i="3"/>
  <c r="J318" i="3"/>
  <c r="D318" i="3"/>
  <c r="K318" i="3" s="1"/>
  <c r="V317" i="3"/>
  <c r="U317" i="3"/>
  <c r="T317" i="3"/>
  <c r="S317" i="3"/>
  <c r="R317" i="3"/>
  <c r="Q317" i="3"/>
  <c r="V316" i="3"/>
  <c r="U316" i="3"/>
  <c r="T316" i="3"/>
  <c r="S316" i="3"/>
  <c r="R316" i="3"/>
  <c r="Q316" i="3"/>
  <c r="V315" i="3"/>
  <c r="T315" i="3"/>
  <c r="S315" i="3"/>
  <c r="R315" i="3"/>
  <c r="Q315" i="3"/>
  <c r="N315" i="3"/>
  <c r="K315" i="3"/>
  <c r="J315" i="3"/>
  <c r="D315" i="3"/>
  <c r="V314" i="3"/>
  <c r="U314" i="3"/>
  <c r="T314" i="3"/>
  <c r="S314" i="3"/>
  <c r="R314" i="3"/>
  <c r="Q314" i="3"/>
  <c r="V313" i="3"/>
  <c r="U313" i="3"/>
  <c r="T313" i="3"/>
  <c r="S313" i="3"/>
  <c r="R313" i="3"/>
  <c r="Q313" i="3"/>
  <c r="V312" i="3"/>
  <c r="T312" i="3"/>
  <c r="S312" i="3"/>
  <c r="R312" i="3"/>
  <c r="Q312" i="3"/>
  <c r="O312" i="3"/>
  <c r="L312" i="3" s="1"/>
  <c r="N312" i="3"/>
  <c r="K312" i="3"/>
  <c r="J312" i="3"/>
  <c r="D312" i="3"/>
  <c r="V311" i="3"/>
  <c r="U311" i="3"/>
  <c r="T311" i="3"/>
  <c r="S311" i="3"/>
  <c r="R311" i="3"/>
  <c r="Q311" i="3"/>
  <c r="V310" i="3"/>
  <c r="U310" i="3"/>
  <c r="T310" i="3"/>
  <c r="S310" i="3"/>
  <c r="R310" i="3"/>
  <c r="Q310" i="3"/>
  <c r="V309" i="3"/>
  <c r="T309" i="3"/>
  <c r="S309" i="3"/>
  <c r="R309" i="3"/>
  <c r="Q309" i="3"/>
  <c r="N309" i="3"/>
  <c r="J309" i="3"/>
  <c r="D309" i="3"/>
  <c r="V308" i="3"/>
  <c r="U308" i="3"/>
  <c r="T308" i="3"/>
  <c r="S308" i="3"/>
  <c r="R308" i="3"/>
  <c r="Q308" i="3"/>
  <c r="V307" i="3"/>
  <c r="U307" i="3"/>
  <c r="T307" i="3"/>
  <c r="S307" i="3"/>
  <c r="R307" i="3"/>
  <c r="Q307" i="3"/>
  <c r="V306" i="3"/>
  <c r="T306" i="3"/>
  <c r="S306" i="3"/>
  <c r="R306" i="3"/>
  <c r="Q306" i="3"/>
  <c r="O306" i="3"/>
  <c r="L306" i="3" s="1"/>
  <c r="N306" i="3"/>
  <c r="J306" i="3"/>
  <c r="D306" i="3"/>
  <c r="K306" i="3" s="1"/>
  <c r="V305" i="3"/>
  <c r="U305" i="3"/>
  <c r="T305" i="3"/>
  <c r="S305" i="3"/>
  <c r="R305" i="3"/>
  <c r="Q305" i="3"/>
  <c r="V304" i="3"/>
  <c r="U304" i="3"/>
  <c r="T304" i="3"/>
  <c r="S304" i="3"/>
  <c r="R304" i="3"/>
  <c r="Q304" i="3"/>
  <c r="U303" i="3"/>
  <c r="T303" i="3"/>
  <c r="S303" i="3"/>
  <c r="R303" i="3"/>
  <c r="Q303" i="3"/>
  <c r="N303" i="3"/>
  <c r="J303" i="3"/>
  <c r="D303" i="3"/>
  <c r="V302" i="3"/>
  <c r="U302" i="3"/>
  <c r="T302" i="3"/>
  <c r="S302" i="3"/>
  <c r="R302" i="3"/>
  <c r="Q302" i="3"/>
  <c r="V301" i="3"/>
  <c r="U301" i="3"/>
  <c r="T301" i="3"/>
  <c r="S301" i="3"/>
  <c r="R301" i="3"/>
  <c r="Q301" i="3"/>
  <c r="U300" i="3"/>
  <c r="T300" i="3"/>
  <c r="S300" i="3"/>
  <c r="R300" i="3"/>
  <c r="Q300" i="3"/>
  <c r="O300" i="3"/>
  <c r="N300" i="3"/>
  <c r="L300" i="3"/>
  <c r="K300" i="3"/>
  <c r="J300" i="3"/>
  <c r="D300" i="3"/>
  <c r="V299" i="3"/>
  <c r="U299" i="3"/>
  <c r="T299" i="3"/>
  <c r="S299" i="3"/>
  <c r="R299" i="3"/>
  <c r="Q299" i="3"/>
  <c r="V298" i="3"/>
  <c r="U298" i="3"/>
  <c r="T298" i="3"/>
  <c r="S298" i="3"/>
  <c r="R298" i="3"/>
  <c r="Q298" i="3"/>
  <c r="U297" i="3"/>
  <c r="T297" i="3"/>
  <c r="S297" i="3"/>
  <c r="R297" i="3"/>
  <c r="Q297" i="3"/>
  <c r="N297" i="3"/>
  <c r="J297" i="3"/>
  <c r="D297" i="3"/>
  <c r="V296" i="3"/>
  <c r="U296" i="3"/>
  <c r="T296" i="3"/>
  <c r="S296" i="3"/>
  <c r="R296" i="3"/>
  <c r="Q296" i="3"/>
  <c r="V295" i="3"/>
  <c r="U295" i="3"/>
  <c r="T295" i="3"/>
  <c r="S295" i="3"/>
  <c r="R295" i="3"/>
  <c r="Q295" i="3"/>
  <c r="V294" i="3"/>
  <c r="T294" i="3"/>
  <c r="S294" i="3"/>
  <c r="R294" i="3"/>
  <c r="Q294" i="3"/>
  <c r="O294" i="3"/>
  <c r="L294" i="3" s="1"/>
  <c r="N294" i="3"/>
  <c r="J294" i="3"/>
  <c r="D294" i="3"/>
  <c r="K294" i="3" s="1"/>
  <c r="V293" i="3"/>
  <c r="U293" i="3"/>
  <c r="T293" i="3"/>
  <c r="S293" i="3"/>
  <c r="R293" i="3"/>
  <c r="Q293" i="3"/>
  <c r="V292" i="3"/>
  <c r="U292" i="3"/>
  <c r="T292" i="3"/>
  <c r="S292" i="3"/>
  <c r="R292" i="3"/>
  <c r="Q292" i="3"/>
  <c r="V291" i="3"/>
  <c r="T291" i="3"/>
  <c r="S291" i="3"/>
  <c r="R291" i="3"/>
  <c r="Q291" i="3"/>
  <c r="N291" i="3"/>
  <c r="J291" i="3"/>
  <c r="D291" i="3"/>
  <c r="V290" i="3"/>
  <c r="U290" i="3"/>
  <c r="T290" i="3"/>
  <c r="S290" i="3"/>
  <c r="R290" i="3"/>
  <c r="Q290" i="3"/>
  <c r="V289" i="3"/>
  <c r="U289" i="3"/>
  <c r="T289" i="3"/>
  <c r="S289" i="3"/>
  <c r="R289" i="3"/>
  <c r="Q289" i="3"/>
  <c r="U288" i="3"/>
  <c r="T288" i="3"/>
  <c r="S288" i="3"/>
  <c r="R288" i="3"/>
  <c r="Q288" i="3"/>
  <c r="N288" i="3"/>
  <c r="J288" i="3"/>
  <c r="D288" i="3"/>
  <c r="V287" i="3"/>
  <c r="U287" i="3"/>
  <c r="T287" i="3"/>
  <c r="S287" i="3"/>
  <c r="R287" i="3"/>
  <c r="Q287" i="3"/>
  <c r="V286" i="3"/>
  <c r="U286" i="3"/>
  <c r="T286" i="3"/>
  <c r="S286" i="3"/>
  <c r="R286" i="3"/>
  <c r="Q286" i="3"/>
  <c r="V285" i="3"/>
  <c r="T285" i="3"/>
  <c r="S285" i="3"/>
  <c r="R285" i="3"/>
  <c r="Q285" i="3"/>
  <c r="N285" i="3"/>
  <c r="J285" i="3"/>
  <c r="D285" i="3"/>
  <c r="O285" i="3" s="1"/>
  <c r="V284" i="3"/>
  <c r="U284" i="3"/>
  <c r="T284" i="3"/>
  <c r="S284" i="3"/>
  <c r="R284" i="3"/>
  <c r="Q284" i="3"/>
  <c r="V283" i="3"/>
  <c r="U283" i="3"/>
  <c r="T283" i="3"/>
  <c r="S283" i="3"/>
  <c r="R283" i="3"/>
  <c r="Q283" i="3"/>
  <c r="V282" i="3"/>
  <c r="T282" i="3"/>
  <c r="S282" i="3"/>
  <c r="R282" i="3"/>
  <c r="Q282" i="3"/>
  <c r="N282" i="3"/>
  <c r="J282" i="3"/>
  <c r="D282" i="3"/>
  <c r="V281" i="3"/>
  <c r="U281" i="3"/>
  <c r="T281" i="3"/>
  <c r="S281" i="3"/>
  <c r="R281" i="3"/>
  <c r="Q281" i="3"/>
  <c r="V280" i="3"/>
  <c r="U280" i="3"/>
  <c r="T280" i="3"/>
  <c r="S280" i="3"/>
  <c r="R280" i="3"/>
  <c r="Q280" i="3"/>
  <c r="U279" i="3"/>
  <c r="T279" i="3"/>
  <c r="S279" i="3"/>
  <c r="R279" i="3"/>
  <c r="Q279" i="3"/>
  <c r="N279" i="3"/>
  <c r="K279" i="3"/>
  <c r="J279" i="3"/>
  <c r="D279" i="3"/>
  <c r="O279" i="3" s="1"/>
  <c r="V278" i="3"/>
  <c r="U278" i="3"/>
  <c r="T278" i="3"/>
  <c r="S278" i="3"/>
  <c r="R278" i="3"/>
  <c r="Q278" i="3"/>
  <c r="V277" i="3"/>
  <c r="U277" i="3"/>
  <c r="T277" i="3"/>
  <c r="S277" i="3"/>
  <c r="R277" i="3"/>
  <c r="Q277" i="3"/>
  <c r="U276" i="3"/>
  <c r="T276" i="3"/>
  <c r="S276" i="3"/>
  <c r="R276" i="3"/>
  <c r="Q276" i="3"/>
  <c r="N276" i="3"/>
  <c r="O276" i="3" s="1"/>
  <c r="L276" i="3" s="1"/>
  <c r="P276" i="3" s="1"/>
  <c r="V276" i="3" s="1"/>
  <c r="J276" i="3"/>
  <c r="D276" i="3"/>
  <c r="K276" i="3" s="1"/>
  <c r="V275" i="3"/>
  <c r="U275" i="3"/>
  <c r="T275" i="3"/>
  <c r="S275" i="3"/>
  <c r="R275" i="3"/>
  <c r="Q275" i="3"/>
  <c r="V274" i="3"/>
  <c r="U274" i="3"/>
  <c r="T274" i="3"/>
  <c r="S274" i="3"/>
  <c r="R274" i="3"/>
  <c r="Q274" i="3"/>
  <c r="U273" i="3"/>
  <c r="T273" i="3"/>
  <c r="S273" i="3"/>
  <c r="R273" i="3"/>
  <c r="Q273" i="3"/>
  <c r="N273" i="3"/>
  <c r="J273" i="3"/>
  <c r="D273" i="3"/>
  <c r="O273" i="3" s="1"/>
  <c r="V272" i="3"/>
  <c r="U272" i="3"/>
  <c r="T272" i="3"/>
  <c r="S272" i="3"/>
  <c r="R272" i="3"/>
  <c r="Q272" i="3"/>
  <c r="V271" i="3"/>
  <c r="U271" i="3"/>
  <c r="T271" i="3"/>
  <c r="S271" i="3"/>
  <c r="R271" i="3"/>
  <c r="Q271" i="3"/>
  <c r="U270" i="3"/>
  <c r="T270" i="3"/>
  <c r="S270" i="3"/>
  <c r="R270" i="3"/>
  <c r="Q270" i="3"/>
  <c r="N270" i="3"/>
  <c r="J270" i="3"/>
  <c r="D270" i="3"/>
  <c r="K270" i="3" s="1"/>
  <c r="V269" i="3"/>
  <c r="U269" i="3"/>
  <c r="T269" i="3"/>
  <c r="S269" i="3"/>
  <c r="R269" i="3"/>
  <c r="Q269" i="3"/>
  <c r="V268" i="3"/>
  <c r="U268" i="3"/>
  <c r="T268" i="3"/>
  <c r="S268" i="3"/>
  <c r="R268" i="3"/>
  <c r="Q268" i="3"/>
  <c r="V267" i="3"/>
  <c r="T267" i="3"/>
  <c r="S267" i="3"/>
  <c r="R267" i="3"/>
  <c r="Q267" i="3"/>
  <c r="O267" i="3"/>
  <c r="L267" i="3" s="1"/>
  <c r="P267" i="3" s="1"/>
  <c r="U267" i="3" s="1"/>
  <c r="N267" i="3"/>
  <c r="J267" i="3"/>
  <c r="D267" i="3"/>
  <c r="K267" i="3" s="1"/>
  <c r="V266" i="3"/>
  <c r="U266" i="3"/>
  <c r="T266" i="3"/>
  <c r="S266" i="3"/>
  <c r="R266" i="3"/>
  <c r="Q266" i="3"/>
  <c r="V265" i="3"/>
  <c r="U265" i="3"/>
  <c r="T265" i="3"/>
  <c r="S265" i="3"/>
  <c r="R265" i="3"/>
  <c r="Q265" i="3"/>
  <c r="U264" i="3"/>
  <c r="T264" i="3"/>
  <c r="S264" i="3"/>
  <c r="R264" i="3"/>
  <c r="Q264" i="3"/>
  <c r="O264" i="3"/>
  <c r="N264" i="3"/>
  <c r="L264" i="3"/>
  <c r="K264" i="3"/>
  <c r="J264" i="3"/>
  <c r="D264" i="3"/>
  <c r="V263" i="3"/>
  <c r="U263" i="3"/>
  <c r="T263" i="3"/>
  <c r="S263" i="3"/>
  <c r="R263" i="3"/>
  <c r="Q263" i="3"/>
  <c r="V262" i="3"/>
  <c r="U262" i="3"/>
  <c r="T262" i="3"/>
  <c r="S262" i="3"/>
  <c r="R262" i="3"/>
  <c r="Q262" i="3"/>
  <c r="U261" i="3"/>
  <c r="T261" i="3"/>
  <c r="S261" i="3"/>
  <c r="R261" i="3"/>
  <c r="Q261" i="3"/>
  <c r="N261" i="3"/>
  <c r="J261" i="3"/>
  <c r="D261" i="3"/>
  <c r="V260" i="3"/>
  <c r="U260" i="3"/>
  <c r="T260" i="3"/>
  <c r="S260" i="3"/>
  <c r="R260" i="3"/>
  <c r="Q260" i="3"/>
  <c r="V259" i="3"/>
  <c r="U259" i="3"/>
  <c r="T259" i="3"/>
  <c r="S259" i="3"/>
  <c r="R259" i="3"/>
  <c r="Q259" i="3"/>
  <c r="V258" i="3"/>
  <c r="T258" i="3"/>
  <c r="S258" i="3"/>
  <c r="R258" i="3"/>
  <c r="Q258" i="3"/>
  <c r="O258" i="3"/>
  <c r="L258" i="3" s="1"/>
  <c r="N258" i="3"/>
  <c r="J258" i="3"/>
  <c r="D258" i="3"/>
  <c r="K258" i="3" s="1"/>
  <c r="V257" i="3"/>
  <c r="U257" i="3"/>
  <c r="T257" i="3"/>
  <c r="S257" i="3"/>
  <c r="R257" i="3"/>
  <c r="Q257" i="3"/>
  <c r="V256" i="3"/>
  <c r="U256" i="3"/>
  <c r="T256" i="3"/>
  <c r="S256" i="3"/>
  <c r="R256" i="3"/>
  <c r="Q256" i="3"/>
  <c r="V255" i="3"/>
  <c r="T255" i="3"/>
  <c r="S255" i="3"/>
  <c r="R255" i="3"/>
  <c r="Q255" i="3"/>
  <c r="N255" i="3"/>
  <c r="J255" i="3"/>
  <c r="D255" i="3"/>
  <c r="V254" i="3"/>
  <c r="U254" i="3"/>
  <c r="T254" i="3"/>
  <c r="S254" i="3"/>
  <c r="R254" i="3"/>
  <c r="Q254" i="3"/>
  <c r="V253" i="3"/>
  <c r="U253" i="3"/>
  <c r="T253" i="3"/>
  <c r="S253" i="3"/>
  <c r="R253" i="3"/>
  <c r="Q253" i="3"/>
  <c r="V252" i="3"/>
  <c r="U252" i="3"/>
  <c r="S252" i="3"/>
  <c r="R252" i="3"/>
  <c r="Q252" i="3"/>
  <c r="N252" i="3"/>
  <c r="J252" i="3"/>
  <c r="D252" i="3"/>
  <c r="V251" i="3"/>
  <c r="U251" i="3"/>
  <c r="T251" i="3"/>
  <c r="S251" i="3"/>
  <c r="R251" i="3"/>
  <c r="Q251" i="3"/>
  <c r="V250" i="3"/>
  <c r="U250" i="3"/>
  <c r="T250" i="3"/>
  <c r="S250" i="3"/>
  <c r="R250" i="3"/>
  <c r="Q250" i="3"/>
  <c r="V249" i="3"/>
  <c r="T249" i="3"/>
  <c r="S249" i="3"/>
  <c r="R249" i="3"/>
  <c r="Q249" i="3"/>
  <c r="N249" i="3"/>
  <c r="J249" i="3"/>
  <c r="D249" i="3"/>
  <c r="V248" i="3"/>
  <c r="U248" i="3"/>
  <c r="T248" i="3"/>
  <c r="S248" i="3"/>
  <c r="R248" i="3"/>
  <c r="Q248" i="3"/>
  <c r="V247" i="3"/>
  <c r="U247" i="3"/>
  <c r="T247" i="3"/>
  <c r="S247" i="3"/>
  <c r="R247" i="3"/>
  <c r="Q247" i="3"/>
  <c r="V246" i="3"/>
  <c r="T246" i="3"/>
  <c r="S246" i="3"/>
  <c r="R246" i="3"/>
  <c r="Q246" i="3"/>
  <c r="N246" i="3"/>
  <c r="J246" i="3"/>
  <c r="D246" i="3"/>
  <c r="V245" i="3"/>
  <c r="U245" i="3"/>
  <c r="T245" i="3"/>
  <c r="S245" i="3"/>
  <c r="R245" i="3"/>
  <c r="Q245" i="3"/>
  <c r="V244" i="3"/>
  <c r="U244" i="3"/>
  <c r="T244" i="3"/>
  <c r="S244" i="3"/>
  <c r="R244" i="3"/>
  <c r="Q244" i="3"/>
  <c r="V243" i="3"/>
  <c r="T243" i="3"/>
  <c r="S243" i="3"/>
  <c r="R243" i="3"/>
  <c r="Q243" i="3"/>
  <c r="N243" i="3"/>
  <c r="K243" i="3"/>
  <c r="J243" i="3"/>
  <c r="D243" i="3"/>
  <c r="O243" i="3" s="1"/>
  <c r="L243" i="3" s="1"/>
  <c r="V242" i="3"/>
  <c r="U242" i="3"/>
  <c r="T242" i="3"/>
  <c r="S242" i="3"/>
  <c r="R242" i="3"/>
  <c r="Q242" i="3"/>
  <c r="V241" i="3"/>
  <c r="U241" i="3"/>
  <c r="T241" i="3"/>
  <c r="S241" i="3"/>
  <c r="R241" i="3"/>
  <c r="Q241" i="3"/>
  <c r="V240" i="3"/>
  <c r="T240" i="3"/>
  <c r="S240" i="3"/>
  <c r="R240" i="3"/>
  <c r="Q240" i="3"/>
  <c r="N240" i="3"/>
  <c r="O240" i="3" s="1"/>
  <c r="L240" i="3" s="1"/>
  <c r="J240" i="3"/>
  <c r="D240" i="3"/>
  <c r="K240" i="3" s="1"/>
  <c r="V239" i="3"/>
  <c r="U239" i="3"/>
  <c r="T239" i="3"/>
  <c r="S239" i="3"/>
  <c r="R239" i="3"/>
  <c r="Q239" i="3"/>
  <c r="V238" i="3"/>
  <c r="U238" i="3"/>
  <c r="T238" i="3"/>
  <c r="S238" i="3"/>
  <c r="R238" i="3"/>
  <c r="Q238" i="3"/>
  <c r="U237" i="3"/>
  <c r="T237" i="3"/>
  <c r="S237" i="3"/>
  <c r="R237" i="3"/>
  <c r="Q237" i="3"/>
  <c r="N237" i="3"/>
  <c r="L237" i="3"/>
  <c r="J237" i="3"/>
  <c r="D237" i="3"/>
  <c r="O237" i="3" s="1"/>
  <c r="V236" i="3"/>
  <c r="U236" i="3"/>
  <c r="T236" i="3"/>
  <c r="S236" i="3"/>
  <c r="R236" i="3"/>
  <c r="Q236" i="3"/>
  <c r="V235" i="3"/>
  <c r="U235" i="3"/>
  <c r="T235" i="3"/>
  <c r="S235" i="3"/>
  <c r="R235" i="3"/>
  <c r="Q235" i="3"/>
  <c r="V234" i="3"/>
  <c r="T234" i="3"/>
  <c r="S234" i="3"/>
  <c r="R234" i="3"/>
  <c r="Q234" i="3"/>
  <c r="N234" i="3"/>
  <c r="J234" i="3"/>
  <c r="D234" i="3"/>
  <c r="K234" i="3" s="1"/>
  <c r="V233" i="3"/>
  <c r="U233" i="3"/>
  <c r="T233" i="3"/>
  <c r="S233" i="3"/>
  <c r="R233" i="3"/>
  <c r="Q233" i="3"/>
  <c r="V232" i="3"/>
  <c r="U232" i="3"/>
  <c r="T232" i="3"/>
  <c r="S232" i="3"/>
  <c r="R232" i="3"/>
  <c r="Q232" i="3"/>
  <c r="U231" i="3"/>
  <c r="T231" i="3"/>
  <c r="S231" i="3"/>
  <c r="R231" i="3"/>
  <c r="Q231" i="3"/>
  <c r="N231" i="3"/>
  <c r="K231" i="3"/>
  <c r="J231" i="3"/>
  <c r="D231" i="3"/>
  <c r="V230" i="3"/>
  <c r="U230" i="3"/>
  <c r="T230" i="3"/>
  <c r="S230" i="3"/>
  <c r="R230" i="3"/>
  <c r="Q230" i="3"/>
  <c r="V229" i="3"/>
  <c r="U229" i="3"/>
  <c r="T229" i="3"/>
  <c r="S229" i="3"/>
  <c r="R229" i="3"/>
  <c r="Q229" i="3"/>
  <c r="V228" i="3"/>
  <c r="T228" i="3"/>
  <c r="S228" i="3"/>
  <c r="R228" i="3"/>
  <c r="Q228" i="3"/>
  <c r="O228" i="3"/>
  <c r="L228" i="3" s="1"/>
  <c r="N228" i="3"/>
  <c r="K228" i="3"/>
  <c r="J228" i="3"/>
  <c r="D228" i="3"/>
  <c r="V227" i="3"/>
  <c r="U227" i="3"/>
  <c r="T227" i="3"/>
  <c r="S227" i="3"/>
  <c r="R227" i="3"/>
  <c r="Q227" i="3"/>
  <c r="V226" i="3"/>
  <c r="U226" i="3"/>
  <c r="T226" i="3"/>
  <c r="S226" i="3"/>
  <c r="R226" i="3"/>
  <c r="Q226" i="3"/>
  <c r="V225" i="3"/>
  <c r="T225" i="3"/>
  <c r="S225" i="3"/>
  <c r="R225" i="3"/>
  <c r="Q225" i="3"/>
  <c r="N225" i="3"/>
  <c r="J225" i="3"/>
  <c r="D225" i="3"/>
  <c r="V224" i="3"/>
  <c r="U224" i="3"/>
  <c r="T224" i="3"/>
  <c r="S224" i="3"/>
  <c r="R224" i="3"/>
  <c r="Q224" i="3"/>
  <c r="V223" i="3"/>
  <c r="U223" i="3"/>
  <c r="T223" i="3"/>
  <c r="S223" i="3"/>
  <c r="R223" i="3"/>
  <c r="Q223" i="3"/>
  <c r="V222" i="3"/>
  <c r="T222" i="3"/>
  <c r="S222" i="3"/>
  <c r="R222" i="3"/>
  <c r="Q222" i="3"/>
  <c r="N222" i="3"/>
  <c r="J222" i="3"/>
  <c r="D222" i="3"/>
  <c r="V221" i="3"/>
  <c r="U221" i="3"/>
  <c r="T221" i="3"/>
  <c r="S221" i="3"/>
  <c r="R221" i="3"/>
  <c r="Q221" i="3"/>
  <c r="V220" i="3"/>
  <c r="U220" i="3"/>
  <c r="T220" i="3"/>
  <c r="S220" i="3"/>
  <c r="R220" i="3"/>
  <c r="Q220" i="3"/>
  <c r="V219" i="3"/>
  <c r="U219" i="3"/>
  <c r="T219" i="3"/>
  <c r="R219" i="3"/>
  <c r="Q219" i="3"/>
  <c r="N219" i="3"/>
  <c r="J219" i="3"/>
  <c r="D219" i="3"/>
  <c r="K219" i="3" s="1"/>
  <c r="V218" i="3"/>
  <c r="U218" i="3"/>
  <c r="T218" i="3"/>
  <c r="S218" i="3"/>
  <c r="R218" i="3"/>
  <c r="Q218" i="3"/>
  <c r="V217" i="3"/>
  <c r="U217" i="3"/>
  <c r="T217" i="3"/>
  <c r="S217" i="3"/>
  <c r="R217" i="3"/>
  <c r="Q217" i="3"/>
  <c r="V216" i="3"/>
  <c r="T216" i="3"/>
  <c r="S216" i="3"/>
  <c r="R216" i="3"/>
  <c r="Q216" i="3"/>
  <c r="N216" i="3"/>
  <c r="J216" i="3"/>
  <c r="D216" i="3"/>
  <c r="K216" i="3" s="1"/>
  <c r="V215" i="3"/>
  <c r="U215" i="3"/>
  <c r="T215" i="3"/>
  <c r="S215" i="3"/>
  <c r="R215" i="3"/>
  <c r="Q215" i="3"/>
  <c r="V214" i="3"/>
  <c r="U214" i="3"/>
  <c r="T214" i="3"/>
  <c r="S214" i="3"/>
  <c r="R214" i="3"/>
  <c r="Q214" i="3"/>
  <c r="U213" i="3"/>
  <c r="T213" i="3"/>
  <c r="S213" i="3"/>
  <c r="R213" i="3"/>
  <c r="Q213" i="3"/>
  <c r="N213" i="3"/>
  <c r="J213" i="3"/>
  <c r="D213" i="3"/>
  <c r="K213" i="3" s="1"/>
  <c r="V212" i="3"/>
  <c r="U212" i="3"/>
  <c r="T212" i="3"/>
  <c r="S212" i="3"/>
  <c r="R212" i="3"/>
  <c r="Q212" i="3"/>
  <c r="V211" i="3"/>
  <c r="U211" i="3"/>
  <c r="T211" i="3"/>
  <c r="S211" i="3"/>
  <c r="R211" i="3"/>
  <c r="Q211" i="3"/>
  <c r="U210" i="3"/>
  <c r="T210" i="3"/>
  <c r="S210" i="3"/>
  <c r="R210" i="3"/>
  <c r="Q210" i="3"/>
  <c r="N210" i="3"/>
  <c r="J210" i="3"/>
  <c r="P210" i="3" s="1"/>
  <c r="V210" i="3" s="1"/>
  <c r="D210" i="3"/>
  <c r="O210" i="3" s="1"/>
  <c r="L210" i="3" s="1"/>
  <c r="V209" i="3"/>
  <c r="U209" i="3"/>
  <c r="T209" i="3"/>
  <c r="S209" i="3"/>
  <c r="R209" i="3"/>
  <c r="Q209" i="3"/>
  <c r="V208" i="3"/>
  <c r="U208" i="3"/>
  <c r="T208" i="3"/>
  <c r="S208" i="3"/>
  <c r="R208" i="3"/>
  <c r="Q208" i="3"/>
  <c r="V207" i="3"/>
  <c r="T207" i="3"/>
  <c r="S207" i="3"/>
  <c r="R207" i="3"/>
  <c r="Q207" i="3"/>
  <c r="N207" i="3"/>
  <c r="K207" i="3"/>
  <c r="J207" i="3"/>
  <c r="D207" i="3"/>
  <c r="V206" i="3"/>
  <c r="U206" i="3"/>
  <c r="T206" i="3"/>
  <c r="S206" i="3"/>
  <c r="R206" i="3"/>
  <c r="Q206" i="3"/>
  <c r="V205" i="3"/>
  <c r="U205" i="3"/>
  <c r="T205" i="3"/>
  <c r="S205" i="3"/>
  <c r="R205" i="3"/>
  <c r="Q205" i="3"/>
  <c r="U204" i="3"/>
  <c r="T204" i="3"/>
  <c r="S204" i="3"/>
  <c r="R204" i="3"/>
  <c r="Q204" i="3"/>
  <c r="P204" i="3"/>
  <c r="V204" i="3" s="1"/>
  <c r="O204" i="3"/>
  <c r="N204" i="3"/>
  <c r="L204" i="3"/>
  <c r="K204" i="3"/>
  <c r="J204" i="3"/>
  <c r="D204" i="3"/>
  <c r="V203" i="3"/>
  <c r="U203" i="3"/>
  <c r="T203" i="3"/>
  <c r="S203" i="3"/>
  <c r="R203" i="3"/>
  <c r="Q203" i="3"/>
  <c r="V202" i="3"/>
  <c r="U202" i="3"/>
  <c r="T202" i="3"/>
  <c r="S202" i="3"/>
  <c r="R202" i="3"/>
  <c r="Q202" i="3"/>
  <c r="V201" i="3"/>
  <c r="T201" i="3"/>
  <c r="S201" i="3"/>
  <c r="R201" i="3"/>
  <c r="Q201" i="3"/>
  <c r="N201" i="3"/>
  <c r="J201" i="3"/>
  <c r="D201" i="3"/>
  <c r="K201" i="3" s="1"/>
  <c r="V200" i="3"/>
  <c r="U200" i="3"/>
  <c r="T200" i="3"/>
  <c r="S200" i="3"/>
  <c r="R200" i="3"/>
  <c r="Q200" i="3"/>
  <c r="V199" i="3"/>
  <c r="U199" i="3"/>
  <c r="T199" i="3"/>
  <c r="S199" i="3"/>
  <c r="R199" i="3"/>
  <c r="Q199" i="3"/>
  <c r="U198" i="3"/>
  <c r="T198" i="3"/>
  <c r="S198" i="3"/>
  <c r="R198" i="3"/>
  <c r="Q198" i="3"/>
  <c r="N198" i="3"/>
  <c r="J198" i="3"/>
  <c r="D198" i="3"/>
  <c r="V197" i="3"/>
  <c r="U197" i="3"/>
  <c r="T197" i="3"/>
  <c r="S197" i="3"/>
  <c r="R197" i="3"/>
  <c r="Q197" i="3"/>
  <c r="V196" i="3"/>
  <c r="U196" i="3"/>
  <c r="T196" i="3"/>
  <c r="S196" i="3"/>
  <c r="R196" i="3"/>
  <c r="Q196" i="3"/>
  <c r="U195" i="3"/>
  <c r="T195" i="3"/>
  <c r="S195" i="3"/>
  <c r="R195" i="3"/>
  <c r="Q195" i="3"/>
  <c r="O195" i="3"/>
  <c r="L195" i="3" s="1"/>
  <c r="N195" i="3"/>
  <c r="J195" i="3"/>
  <c r="D195" i="3"/>
  <c r="K195" i="3" s="1"/>
  <c r="V194" i="3"/>
  <c r="U194" i="3"/>
  <c r="T194" i="3"/>
  <c r="S194" i="3"/>
  <c r="R194" i="3"/>
  <c r="Q194" i="3"/>
  <c r="V193" i="3"/>
  <c r="U193" i="3"/>
  <c r="T193" i="3"/>
  <c r="S193" i="3"/>
  <c r="R193" i="3"/>
  <c r="Q193" i="3"/>
  <c r="U192" i="3"/>
  <c r="T192" i="3"/>
  <c r="S192" i="3"/>
  <c r="R192" i="3"/>
  <c r="Q192" i="3"/>
  <c r="N192" i="3"/>
  <c r="J192" i="3"/>
  <c r="D192" i="3"/>
  <c r="K192" i="3" s="1"/>
  <c r="V191" i="3"/>
  <c r="U191" i="3"/>
  <c r="T191" i="3"/>
  <c r="S191" i="3"/>
  <c r="R191" i="3"/>
  <c r="Q191" i="3"/>
  <c r="V190" i="3"/>
  <c r="U190" i="3"/>
  <c r="T190" i="3"/>
  <c r="S190" i="3"/>
  <c r="R190" i="3"/>
  <c r="Q190" i="3"/>
  <c r="U189" i="3"/>
  <c r="T189" i="3"/>
  <c r="S189" i="3"/>
  <c r="R189" i="3"/>
  <c r="Q189" i="3"/>
  <c r="N189" i="3"/>
  <c r="J189" i="3"/>
  <c r="D189" i="3"/>
  <c r="K189" i="3" s="1"/>
  <c r="V188" i="3"/>
  <c r="U188" i="3"/>
  <c r="T188" i="3"/>
  <c r="S188" i="3"/>
  <c r="R188" i="3"/>
  <c r="Q188" i="3"/>
  <c r="V187" i="3"/>
  <c r="U187" i="3"/>
  <c r="T187" i="3"/>
  <c r="S187" i="3"/>
  <c r="R187" i="3"/>
  <c r="Q187" i="3"/>
  <c r="V186" i="3"/>
  <c r="T186" i="3"/>
  <c r="S186" i="3"/>
  <c r="R186" i="3"/>
  <c r="Q186" i="3"/>
  <c r="N186" i="3"/>
  <c r="J186" i="3"/>
  <c r="D186" i="3"/>
  <c r="O186" i="3" s="1"/>
  <c r="L186" i="3" s="1"/>
  <c r="V185" i="3"/>
  <c r="U185" i="3"/>
  <c r="T185" i="3"/>
  <c r="S185" i="3"/>
  <c r="R185" i="3"/>
  <c r="Q185" i="3"/>
  <c r="V184" i="3"/>
  <c r="U184" i="3"/>
  <c r="T184" i="3"/>
  <c r="S184" i="3"/>
  <c r="R184" i="3"/>
  <c r="Q184" i="3"/>
  <c r="V183" i="3"/>
  <c r="T183" i="3"/>
  <c r="S183" i="3"/>
  <c r="R183" i="3"/>
  <c r="Q183" i="3"/>
  <c r="N183" i="3"/>
  <c r="K183" i="3"/>
  <c r="J183" i="3"/>
  <c r="D183" i="3"/>
  <c r="O183" i="3" s="1"/>
  <c r="L183" i="3" s="1"/>
  <c r="V182" i="3"/>
  <c r="U182" i="3"/>
  <c r="T182" i="3"/>
  <c r="S182" i="3"/>
  <c r="R182" i="3"/>
  <c r="Q182" i="3"/>
  <c r="V181" i="3"/>
  <c r="U181" i="3"/>
  <c r="T181" i="3"/>
  <c r="S181" i="3"/>
  <c r="R181" i="3"/>
  <c r="Q181" i="3"/>
  <c r="V180" i="3"/>
  <c r="T180" i="3"/>
  <c r="S180" i="3"/>
  <c r="R180" i="3"/>
  <c r="Q180" i="3"/>
  <c r="P180" i="3"/>
  <c r="U180" i="3" s="1"/>
  <c r="O180" i="3"/>
  <c r="N180" i="3"/>
  <c r="L180" i="3"/>
  <c r="K180" i="3"/>
  <c r="J180" i="3"/>
  <c r="D180" i="3"/>
  <c r="V179" i="3"/>
  <c r="U179" i="3"/>
  <c r="T179" i="3"/>
  <c r="S179" i="3"/>
  <c r="R179" i="3"/>
  <c r="Q179" i="3"/>
  <c r="V178" i="3"/>
  <c r="U178" i="3"/>
  <c r="T178" i="3"/>
  <c r="S178" i="3"/>
  <c r="R178" i="3"/>
  <c r="Q178" i="3"/>
  <c r="V177" i="3"/>
  <c r="T177" i="3"/>
  <c r="S177" i="3"/>
  <c r="R177" i="3"/>
  <c r="Q177" i="3"/>
  <c r="N177" i="3"/>
  <c r="J177" i="3"/>
  <c r="D177" i="3"/>
  <c r="K177" i="3" s="1"/>
  <c r="V176" i="3"/>
  <c r="U176" i="3"/>
  <c r="T176" i="3"/>
  <c r="S176" i="3"/>
  <c r="R176" i="3"/>
  <c r="Q176" i="3"/>
  <c r="V175" i="3"/>
  <c r="U175" i="3"/>
  <c r="T175" i="3"/>
  <c r="S175" i="3"/>
  <c r="R175" i="3"/>
  <c r="Q175" i="3"/>
  <c r="U174" i="3"/>
  <c r="T174" i="3"/>
  <c r="S174" i="3"/>
  <c r="R174" i="3"/>
  <c r="Q174" i="3"/>
  <c r="N174" i="3"/>
  <c r="J174" i="3"/>
  <c r="D174" i="3"/>
  <c r="V173" i="3"/>
  <c r="U173" i="3"/>
  <c r="T173" i="3"/>
  <c r="S173" i="3"/>
  <c r="R173" i="3"/>
  <c r="Q173" i="3"/>
  <c r="V172" i="3"/>
  <c r="U172" i="3"/>
  <c r="T172" i="3"/>
  <c r="S172" i="3"/>
  <c r="R172" i="3"/>
  <c r="Q172" i="3"/>
  <c r="V171" i="3"/>
  <c r="U171" i="3"/>
  <c r="T171" i="3"/>
  <c r="R171" i="3"/>
  <c r="Q171" i="3"/>
  <c r="O171" i="3"/>
  <c r="L171" i="3" s="1"/>
  <c r="N171" i="3"/>
  <c r="J171" i="3"/>
  <c r="D171" i="3"/>
  <c r="K171" i="3" s="1"/>
  <c r="V170" i="3"/>
  <c r="U170" i="3"/>
  <c r="T170" i="3"/>
  <c r="S170" i="3"/>
  <c r="R170" i="3"/>
  <c r="Q170" i="3"/>
  <c r="V169" i="3"/>
  <c r="U169" i="3"/>
  <c r="T169" i="3"/>
  <c r="S169" i="3"/>
  <c r="R169" i="3"/>
  <c r="Q169" i="3"/>
  <c r="V168" i="3"/>
  <c r="T168" i="3"/>
  <c r="S168" i="3"/>
  <c r="R168" i="3"/>
  <c r="Q168" i="3"/>
  <c r="O168" i="3"/>
  <c r="L168" i="3" s="1"/>
  <c r="N168" i="3"/>
  <c r="J168" i="3"/>
  <c r="D168" i="3"/>
  <c r="K168" i="3" s="1"/>
  <c r="V167" i="3"/>
  <c r="U167" i="3"/>
  <c r="T167" i="3"/>
  <c r="S167" i="3"/>
  <c r="R167" i="3"/>
  <c r="Q167" i="3"/>
  <c r="V166" i="3"/>
  <c r="U166" i="3"/>
  <c r="T166" i="3"/>
  <c r="S166" i="3"/>
  <c r="R166" i="3"/>
  <c r="Q166" i="3"/>
  <c r="V165" i="3"/>
  <c r="U165" i="3"/>
  <c r="T165" i="3"/>
  <c r="S165" i="3"/>
  <c r="R165" i="3"/>
  <c r="Q165" i="3"/>
  <c r="V164" i="3"/>
  <c r="U164" i="3"/>
  <c r="T164" i="3"/>
  <c r="S164" i="3"/>
  <c r="R164" i="3"/>
  <c r="Q164" i="3"/>
  <c r="V163" i="3"/>
  <c r="U163" i="3"/>
  <c r="T163" i="3"/>
  <c r="S163" i="3"/>
  <c r="R163" i="3"/>
  <c r="Q163" i="3"/>
  <c r="V162" i="3"/>
  <c r="T162" i="3"/>
  <c r="S162" i="3"/>
  <c r="R162" i="3"/>
  <c r="Q162" i="3"/>
  <c r="O162" i="3"/>
  <c r="N162" i="3"/>
  <c r="K162" i="3"/>
  <c r="V161" i="3"/>
  <c r="U161" i="3"/>
  <c r="T161" i="3"/>
  <c r="S161" i="3"/>
  <c r="R161" i="3"/>
  <c r="Q161" i="3"/>
  <c r="V160" i="3"/>
  <c r="U160" i="3"/>
  <c r="T160" i="3"/>
  <c r="S160" i="3"/>
  <c r="R160" i="3"/>
  <c r="Q160" i="3"/>
  <c r="V159" i="3"/>
  <c r="U159" i="3"/>
  <c r="T159" i="3"/>
  <c r="S159" i="3"/>
  <c r="R159" i="3"/>
  <c r="Q159" i="3"/>
  <c r="V158" i="3"/>
  <c r="U158" i="3"/>
  <c r="T158" i="3"/>
  <c r="R158" i="3"/>
  <c r="Q158" i="3"/>
  <c r="N158" i="3"/>
  <c r="D158" i="3"/>
  <c r="O158" i="3" s="1"/>
  <c r="V157" i="3"/>
  <c r="U157" i="3"/>
  <c r="T157" i="3"/>
  <c r="S157" i="3"/>
  <c r="R157" i="3"/>
  <c r="Q157" i="3"/>
  <c r="V156" i="3"/>
  <c r="U156" i="3"/>
  <c r="T156" i="3"/>
  <c r="R156" i="3"/>
  <c r="Q156" i="3"/>
  <c r="N156" i="3"/>
  <c r="D156" i="3"/>
  <c r="V155" i="3"/>
  <c r="U155" i="3"/>
  <c r="T155" i="3"/>
  <c r="S155" i="3"/>
  <c r="R155" i="3"/>
  <c r="Q155" i="3"/>
  <c r="V154" i="3"/>
  <c r="U154" i="3"/>
  <c r="T154" i="3"/>
  <c r="R154" i="3"/>
  <c r="Q154" i="3"/>
  <c r="N154" i="3"/>
  <c r="O154" i="3" s="1"/>
  <c r="K154" i="3"/>
  <c r="V153" i="3"/>
  <c r="U153" i="3"/>
  <c r="T153" i="3"/>
  <c r="S153" i="3"/>
  <c r="R153" i="3"/>
  <c r="Q153" i="3"/>
  <c r="V152" i="3"/>
  <c r="U152" i="3"/>
  <c r="T152" i="3"/>
  <c r="R152" i="3"/>
  <c r="Q152" i="3"/>
  <c r="N152" i="3"/>
  <c r="D152" i="3"/>
  <c r="V151" i="3"/>
  <c r="U151" i="3"/>
  <c r="T151" i="3"/>
  <c r="S151" i="3"/>
  <c r="R151" i="3"/>
  <c r="Q151" i="3"/>
  <c r="V150" i="3"/>
  <c r="U150" i="3"/>
  <c r="T150" i="3"/>
  <c r="R150" i="3"/>
  <c r="Q150" i="3"/>
  <c r="N150" i="3"/>
  <c r="O150" i="3" s="1"/>
  <c r="K150" i="3"/>
  <c r="V149" i="3"/>
  <c r="U149" i="3"/>
  <c r="T149" i="3"/>
  <c r="S149" i="3"/>
  <c r="R149" i="3"/>
  <c r="Q149" i="3"/>
  <c r="V148" i="3"/>
  <c r="U148" i="3"/>
  <c r="T148" i="3"/>
  <c r="R148" i="3"/>
  <c r="Q148" i="3"/>
  <c r="N148" i="3"/>
  <c r="O148" i="3" s="1"/>
  <c r="L148" i="3"/>
  <c r="K148" i="3"/>
  <c r="V147" i="3"/>
  <c r="U147" i="3"/>
  <c r="T147" i="3"/>
  <c r="S147" i="3"/>
  <c r="R147" i="3"/>
  <c r="Q147" i="3"/>
  <c r="V146" i="3"/>
  <c r="U146" i="3"/>
  <c r="T146" i="3"/>
  <c r="R146" i="3"/>
  <c r="Q146" i="3"/>
  <c r="N146" i="3"/>
  <c r="O146" i="3" s="1"/>
  <c r="K146" i="3"/>
  <c r="V145" i="3"/>
  <c r="U145" i="3"/>
  <c r="T145" i="3"/>
  <c r="S145" i="3"/>
  <c r="R145" i="3"/>
  <c r="Q145" i="3"/>
  <c r="V144" i="3"/>
  <c r="U144" i="3"/>
  <c r="T144" i="3"/>
  <c r="R144" i="3"/>
  <c r="Q144" i="3"/>
  <c r="N144" i="3"/>
  <c r="O144" i="3" s="1"/>
  <c r="K144" i="3"/>
  <c r="V143" i="3"/>
  <c r="U143" i="3"/>
  <c r="T143" i="3"/>
  <c r="S143" i="3"/>
  <c r="R143" i="3"/>
  <c r="Q143" i="3"/>
  <c r="V142" i="3"/>
  <c r="U142" i="3"/>
  <c r="T142" i="3"/>
  <c r="R142" i="3"/>
  <c r="Q142" i="3"/>
  <c r="N142" i="3"/>
  <c r="O142" i="3" s="1"/>
  <c r="K142" i="3"/>
  <c r="V141" i="3"/>
  <c r="U141" i="3"/>
  <c r="T141" i="3"/>
  <c r="S141" i="3"/>
  <c r="R141" i="3"/>
  <c r="Q141" i="3"/>
  <c r="V140" i="3"/>
  <c r="U140" i="3"/>
  <c r="T140" i="3"/>
  <c r="R140" i="3"/>
  <c r="Q140" i="3"/>
  <c r="N140" i="3"/>
  <c r="D140" i="3"/>
  <c r="V139" i="3"/>
  <c r="U139" i="3"/>
  <c r="T139" i="3"/>
  <c r="S139" i="3"/>
  <c r="R139" i="3"/>
  <c r="Q139" i="3"/>
  <c r="V138" i="3"/>
  <c r="U138" i="3"/>
  <c r="T138" i="3"/>
  <c r="R138" i="3"/>
  <c r="Q138" i="3"/>
  <c r="N138" i="3"/>
  <c r="D138" i="3"/>
  <c r="V137" i="3"/>
  <c r="U137" i="3"/>
  <c r="T137" i="3"/>
  <c r="S137" i="3"/>
  <c r="R137" i="3"/>
  <c r="Q137" i="3"/>
  <c r="V136" i="3"/>
  <c r="U136" i="3"/>
  <c r="T136" i="3"/>
  <c r="R136" i="3"/>
  <c r="Q136" i="3"/>
  <c r="N136" i="3"/>
  <c r="K136" i="3"/>
  <c r="D136" i="3"/>
  <c r="V135" i="3"/>
  <c r="U135" i="3"/>
  <c r="T135" i="3"/>
  <c r="S135" i="3"/>
  <c r="R135" i="3"/>
  <c r="Q135" i="3"/>
  <c r="V134" i="3"/>
  <c r="U134" i="3"/>
  <c r="T134" i="3"/>
  <c r="R134" i="3"/>
  <c r="Q134" i="3"/>
  <c r="N134" i="3"/>
  <c r="D134" i="3"/>
  <c r="O134" i="3" s="1"/>
  <c r="V133" i="3"/>
  <c r="U133" i="3"/>
  <c r="T133" i="3"/>
  <c r="S133" i="3"/>
  <c r="R133" i="3"/>
  <c r="Q133" i="3"/>
  <c r="V132" i="3"/>
  <c r="U132" i="3"/>
  <c r="T132" i="3"/>
  <c r="S132" i="3"/>
  <c r="R132" i="3"/>
  <c r="Q132" i="3"/>
  <c r="V131" i="3"/>
  <c r="U131" i="3"/>
  <c r="T131" i="3"/>
  <c r="S131" i="3"/>
  <c r="R131" i="3"/>
  <c r="Q131" i="3"/>
  <c r="V130" i="3"/>
  <c r="U130" i="3"/>
  <c r="S130" i="3"/>
  <c r="R130" i="3"/>
  <c r="Q130" i="3"/>
  <c r="O130" i="3"/>
  <c r="L130" i="3" s="1"/>
  <c r="N130" i="3"/>
  <c r="K130" i="3"/>
  <c r="J130" i="3"/>
  <c r="P130" i="3" s="1"/>
  <c r="T130" i="3" s="1"/>
  <c r="D130" i="3"/>
  <c r="V129" i="3"/>
  <c r="U129" i="3"/>
  <c r="T129" i="3"/>
  <c r="S129" i="3"/>
  <c r="R129" i="3"/>
  <c r="Q129" i="3"/>
  <c r="V128" i="3"/>
  <c r="U128" i="3"/>
  <c r="T128" i="3"/>
  <c r="S128" i="3"/>
  <c r="R128" i="3"/>
  <c r="Q128" i="3"/>
  <c r="V127" i="3"/>
  <c r="U127" i="3"/>
  <c r="S127" i="3"/>
  <c r="R127" i="3"/>
  <c r="Q127" i="3"/>
  <c r="N127" i="3"/>
  <c r="J127" i="3"/>
  <c r="D127" i="3"/>
  <c r="K127" i="3" s="1"/>
  <c r="V126" i="3"/>
  <c r="U126" i="3"/>
  <c r="T126" i="3"/>
  <c r="S126" i="3"/>
  <c r="R126" i="3"/>
  <c r="Q126" i="3"/>
  <c r="V125" i="3"/>
  <c r="U125" i="3"/>
  <c r="T125" i="3"/>
  <c r="S125" i="3"/>
  <c r="R125" i="3"/>
  <c r="Q125" i="3"/>
  <c r="V124" i="3"/>
  <c r="U124" i="3"/>
  <c r="S124" i="3"/>
  <c r="R124" i="3"/>
  <c r="Q124" i="3"/>
  <c r="N124" i="3"/>
  <c r="J124" i="3"/>
  <c r="D124" i="3"/>
  <c r="V123" i="3"/>
  <c r="U123" i="3"/>
  <c r="T123" i="3"/>
  <c r="S123" i="3"/>
  <c r="R123" i="3"/>
  <c r="Q123" i="3"/>
  <c r="V122" i="3"/>
  <c r="U122" i="3"/>
  <c r="T122" i="3"/>
  <c r="S122" i="3"/>
  <c r="R122" i="3"/>
  <c r="Q122" i="3"/>
  <c r="V121" i="3"/>
  <c r="U121" i="3"/>
  <c r="S121" i="3"/>
  <c r="R121" i="3"/>
  <c r="Q121" i="3"/>
  <c r="N121" i="3"/>
  <c r="O121" i="3" s="1"/>
  <c r="L121" i="3" s="1"/>
  <c r="J121" i="3"/>
  <c r="D121" i="3"/>
  <c r="K121" i="3" s="1"/>
  <c r="V120" i="3"/>
  <c r="U120" i="3"/>
  <c r="T120" i="3"/>
  <c r="S120" i="3"/>
  <c r="R120" i="3"/>
  <c r="Q120" i="3"/>
  <c r="V119" i="3"/>
  <c r="U119" i="3"/>
  <c r="T119" i="3"/>
  <c r="S119" i="3"/>
  <c r="R119" i="3"/>
  <c r="Q119" i="3"/>
  <c r="V118" i="3"/>
  <c r="U118" i="3"/>
  <c r="S118" i="3"/>
  <c r="R118" i="3"/>
  <c r="Q118" i="3"/>
  <c r="N118" i="3"/>
  <c r="J118" i="3"/>
  <c r="D118" i="3"/>
  <c r="V117" i="3"/>
  <c r="U117" i="3"/>
  <c r="T117" i="3"/>
  <c r="S117" i="3"/>
  <c r="R117" i="3"/>
  <c r="Q117" i="3"/>
  <c r="V116" i="3"/>
  <c r="U116" i="3"/>
  <c r="T116" i="3"/>
  <c r="S116" i="3"/>
  <c r="R116" i="3"/>
  <c r="Q116" i="3"/>
  <c r="V115" i="3"/>
  <c r="U115" i="3"/>
  <c r="S115" i="3"/>
  <c r="R115" i="3"/>
  <c r="Q115" i="3"/>
  <c r="N115" i="3"/>
  <c r="J115" i="3"/>
  <c r="D115" i="3"/>
  <c r="K115" i="3" s="1"/>
  <c r="V114" i="3"/>
  <c r="U114" i="3"/>
  <c r="T114" i="3"/>
  <c r="S114" i="3"/>
  <c r="R114" i="3"/>
  <c r="Q114" i="3"/>
  <c r="V113" i="3"/>
  <c r="U113" i="3"/>
  <c r="T113" i="3"/>
  <c r="S113" i="3"/>
  <c r="R113" i="3"/>
  <c r="Q113" i="3"/>
  <c r="V112" i="3"/>
  <c r="U112" i="3"/>
  <c r="S112" i="3"/>
  <c r="R112" i="3"/>
  <c r="Q112" i="3"/>
  <c r="N112" i="3"/>
  <c r="J112" i="3"/>
  <c r="D112" i="3"/>
  <c r="O112" i="3" s="1"/>
  <c r="L112" i="3" s="1"/>
  <c r="V111" i="3"/>
  <c r="U111" i="3"/>
  <c r="T111" i="3"/>
  <c r="S111" i="3"/>
  <c r="R111" i="3"/>
  <c r="Q111" i="3"/>
  <c r="V110" i="3"/>
  <c r="U110" i="3"/>
  <c r="T110" i="3"/>
  <c r="S110" i="3"/>
  <c r="R110" i="3"/>
  <c r="Q110" i="3"/>
  <c r="V109" i="3"/>
  <c r="U109" i="3"/>
  <c r="T109" i="3"/>
  <c r="S109" i="3"/>
  <c r="R109" i="3"/>
  <c r="Q109" i="3"/>
  <c r="V108" i="3"/>
  <c r="U108" i="3"/>
  <c r="T108" i="3"/>
  <c r="S108" i="3"/>
  <c r="R108" i="3"/>
  <c r="Q108" i="3"/>
  <c r="V107" i="3"/>
  <c r="U107" i="3"/>
  <c r="S107" i="3"/>
  <c r="R107" i="3"/>
  <c r="Q107" i="3"/>
  <c r="N107" i="3"/>
  <c r="K107" i="3"/>
  <c r="J107" i="3"/>
  <c r="D107" i="3"/>
  <c r="O107" i="3" s="1"/>
  <c r="L107" i="3" s="1"/>
  <c r="V106" i="3"/>
  <c r="U106" i="3"/>
  <c r="T106" i="3"/>
  <c r="S106" i="3"/>
  <c r="R106" i="3"/>
  <c r="Q106" i="3"/>
  <c r="V105" i="3"/>
  <c r="U105" i="3"/>
  <c r="T105" i="3"/>
  <c r="S105" i="3"/>
  <c r="R105" i="3"/>
  <c r="Q105" i="3"/>
  <c r="V104" i="3"/>
  <c r="U104" i="3"/>
  <c r="S104" i="3"/>
  <c r="R104" i="3"/>
  <c r="Q104" i="3"/>
  <c r="O104" i="3"/>
  <c r="L104" i="3" s="1"/>
  <c r="N104" i="3"/>
  <c r="K104" i="3"/>
  <c r="J104" i="3"/>
  <c r="P104" i="3" s="1"/>
  <c r="T104" i="3" s="1"/>
  <c r="D104" i="3"/>
  <c r="V103" i="3"/>
  <c r="U103" i="3"/>
  <c r="T103" i="3"/>
  <c r="S103" i="3"/>
  <c r="R103" i="3"/>
  <c r="Q103" i="3"/>
  <c r="V102" i="3"/>
  <c r="U102" i="3"/>
  <c r="T102" i="3"/>
  <c r="S102" i="3"/>
  <c r="R102" i="3"/>
  <c r="Q102" i="3"/>
  <c r="V101" i="3"/>
  <c r="U101" i="3"/>
  <c r="S101" i="3"/>
  <c r="R101" i="3"/>
  <c r="Q101" i="3"/>
  <c r="N101" i="3"/>
  <c r="J101" i="3"/>
  <c r="D101" i="3"/>
  <c r="K101" i="3" s="1"/>
  <c r="V100" i="3"/>
  <c r="U100" i="3"/>
  <c r="T100" i="3"/>
  <c r="S100" i="3"/>
  <c r="R100" i="3"/>
  <c r="Q100" i="3"/>
  <c r="V99" i="3"/>
  <c r="U99" i="3"/>
  <c r="T99" i="3"/>
  <c r="S99" i="3"/>
  <c r="R99" i="3"/>
  <c r="Q99" i="3"/>
  <c r="V98" i="3"/>
  <c r="U98" i="3"/>
  <c r="S98" i="3"/>
  <c r="R98" i="3"/>
  <c r="Q98" i="3"/>
  <c r="N98" i="3"/>
  <c r="J98" i="3"/>
  <c r="D98" i="3"/>
  <c r="V97" i="3"/>
  <c r="U97" i="3"/>
  <c r="T97" i="3"/>
  <c r="S97" i="3"/>
  <c r="R97" i="3"/>
  <c r="Q97" i="3"/>
  <c r="V96" i="3"/>
  <c r="U96" i="3"/>
  <c r="T96" i="3"/>
  <c r="S96" i="3"/>
  <c r="R96" i="3"/>
  <c r="Q96" i="3"/>
  <c r="V95" i="3"/>
  <c r="U95" i="3"/>
  <c r="S95" i="3"/>
  <c r="R95" i="3"/>
  <c r="Q95" i="3"/>
  <c r="N95" i="3"/>
  <c r="J95" i="3"/>
  <c r="D95" i="3"/>
  <c r="K95" i="3" s="1"/>
  <c r="V94" i="3"/>
  <c r="U94" i="3"/>
  <c r="T94" i="3"/>
  <c r="S94" i="3"/>
  <c r="R94" i="3"/>
  <c r="Q94" i="3"/>
  <c r="V93" i="3"/>
  <c r="U93" i="3"/>
  <c r="T93" i="3"/>
  <c r="S93" i="3"/>
  <c r="R93" i="3"/>
  <c r="Q93" i="3"/>
  <c r="V92" i="3"/>
  <c r="U92" i="3"/>
  <c r="S92" i="3"/>
  <c r="R92" i="3"/>
  <c r="Q92" i="3"/>
  <c r="N92" i="3"/>
  <c r="J92" i="3"/>
  <c r="D92" i="3"/>
  <c r="V91" i="3"/>
  <c r="U91" i="3"/>
  <c r="T91" i="3"/>
  <c r="S91" i="3"/>
  <c r="R91" i="3"/>
  <c r="Q91" i="3"/>
  <c r="V90" i="3"/>
  <c r="U90" i="3"/>
  <c r="T90" i="3"/>
  <c r="S90" i="3"/>
  <c r="R90" i="3"/>
  <c r="Q90" i="3"/>
  <c r="V89" i="3"/>
  <c r="U89" i="3"/>
  <c r="S89" i="3"/>
  <c r="R89" i="3"/>
  <c r="Q89" i="3"/>
  <c r="N89" i="3"/>
  <c r="J89" i="3"/>
  <c r="D89" i="3"/>
  <c r="K89" i="3" s="1"/>
  <c r="V88" i="3"/>
  <c r="U88" i="3"/>
  <c r="T88" i="3"/>
  <c r="S88" i="3"/>
  <c r="R88" i="3"/>
  <c r="Q88" i="3"/>
  <c r="V87" i="3"/>
  <c r="U87" i="3"/>
  <c r="T87" i="3"/>
  <c r="S87" i="3"/>
  <c r="R87" i="3"/>
  <c r="Q87" i="3"/>
  <c r="V86" i="3"/>
  <c r="U86" i="3"/>
  <c r="S86" i="3"/>
  <c r="R86" i="3"/>
  <c r="Q86" i="3"/>
  <c r="N86" i="3"/>
  <c r="J86" i="3"/>
  <c r="D86" i="3"/>
  <c r="O86" i="3" s="1"/>
  <c r="L86" i="3" s="1"/>
  <c r="V85" i="3"/>
  <c r="U85" i="3"/>
  <c r="T85" i="3"/>
  <c r="S85" i="3"/>
  <c r="R85" i="3"/>
  <c r="Q85" i="3"/>
  <c r="V84" i="3"/>
  <c r="U84" i="3"/>
  <c r="T84" i="3"/>
  <c r="S84" i="3"/>
  <c r="R84" i="3"/>
  <c r="Q84" i="3"/>
  <c r="V83" i="3"/>
  <c r="U83" i="3"/>
  <c r="S83" i="3"/>
  <c r="R83" i="3"/>
  <c r="Q83" i="3"/>
  <c r="N83" i="3"/>
  <c r="K83" i="3"/>
  <c r="J83" i="3"/>
  <c r="P83" i="3" s="1"/>
  <c r="T83" i="3" s="1"/>
  <c r="D83" i="3"/>
  <c r="O83" i="3" s="1"/>
  <c r="L83" i="3" s="1"/>
  <c r="V82" i="3"/>
  <c r="U82" i="3"/>
  <c r="T82" i="3"/>
  <c r="S82" i="3"/>
  <c r="R82" i="3"/>
  <c r="Q82" i="3"/>
  <c r="V81" i="3"/>
  <c r="U81" i="3"/>
  <c r="T81" i="3"/>
  <c r="S81" i="3"/>
  <c r="R81" i="3"/>
  <c r="Q81" i="3"/>
  <c r="V80" i="3"/>
  <c r="U80" i="3"/>
  <c r="S80" i="3"/>
  <c r="R80" i="3"/>
  <c r="Q80" i="3"/>
  <c r="O80" i="3"/>
  <c r="L80" i="3" s="1"/>
  <c r="N80" i="3"/>
  <c r="K80" i="3"/>
  <c r="J80" i="3"/>
  <c r="P80" i="3" s="1"/>
  <c r="T80" i="3" s="1"/>
  <c r="D80" i="3"/>
  <c r="V79" i="3"/>
  <c r="U79" i="3"/>
  <c r="T79" i="3"/>
  <c r="S79" i="3"/>
  <c r="R79" i="3"/>
  <c r="Q79" i="3"/>
  <c r="V78" i="3"/>
  <c r="U78" i="3"/>
  <c r="T78" i="3"/>
  <c r="S78" i="3"/>
  <c r="R78" i="3"/>
  <c r="Q78" i="3"/>
  <c r="V77" i="3"/>
  <c r="U77" i="3"/>
  <c r="S77" i="3"/>
  <c r="R77" i="3"/>
  <c r="Q77" i="3"/>
  <c r="N77" i="3"/>
  <c r="J77" i="3"/>
  <c r="D77" i="3"/>
  <c r="K77" i="3" s="1"/>
  <c r="V76" i="3"/>
  <c r="U76" i="3"/>
  <c r="T76" i="3"/>
  <c r="S76" i="3"/>
  <c r="R76" i="3"/>
  <c r="Q76" i="3"/>
  <c r="V75" i="3"/>
  <c r="U75" i="3"/>
  <c r="T75" i="3"/>
  <c r="S75" i="3"/>
  <c r="R75" i="3"/>
  <c r="Q75" i="3"/>
  <c r="V74" i="3"/>
  <c r="U74" i="3"/>
  <c r="S74" i="3"/>
  <c r="R74" i="3"/>
  <c r="Q74" i="3"/>
  <c r="N74" i="3"/>
  <c r="J74" i="3"/>
  <c r="D74" i="3"/>
  <c r="V73" i="3"/>
  <c r="U73" i="3"/>
  <c r="T73" i="3"/>
  <c r="S73" i="3"/>
  <c r="R73" i="3"/>
  <c r="Q73" i="3"/>
  <c r="V72" i="3"/>
  <c r="U72" i="3"/>
  <c r="T72" i="3"/>
  <c r="S72" i="3"/>
  <c r="R72" i="3"/>
  <c r="Q72" i="3"/>
  <c r="V71" i="3"/>
  <c r="U71" i="3"/>
  <c r="S71" i="3"/>
  <c r="R71" i="3"/>
  <c r="Q71" i="3"/>
  <c r="N71" i="3"/>
  <c r="O71" i="3" s="1"/>
  <c r="L71" i="3" s="1"/>
  <c r="J71" i="3"/>
  <c r="D71" i="3"/>
  <c r="K71" i="3" s="1"/>
  <c r="V70" i="3"/>
  <c r="U70" i="3"/>
  <c r="T70" i="3"/>
  <c r="S70" i="3"/>
  <c r="R70" i="3"/>
  <c r="Q70" i="3"/>
  <c r="V69" i="3"/>
  <c r="U69" i="3"/>
  <c r="T69" i="3"/>
  <c r="S69" i="3"/>
  <c r="R69" i="3"/>
  <c r="Q69" i="3"/>
  <c r="V68" i="3"/>
  <c r="U68" i="3"/>
  <c r="T68" i="3"/>
  <c r="S68" i="3"/>
  <c r="R68" i="3"/>
  <c r="Q68" i="3"/>
  <c r="V67" i="3"/>
  <c r="U67" i="3"/>
  <c r="T67" i="3"/>
  <c r="S67" i="3"/>
  <c r="R67" i="3"/>
  <c r="Q67" i="3"/>
  <c r="V66" i="3"/>
  <c r="U66" i="3"/>
  <c r="S66" i="3"/>
  <c r="R66" i="3"/>
  <c r="Q66" i="3"/>
  <c r="N66" i="3"/>
  <c r="J66" i="3"/>
  <c r="D66" i="3"/>
  <c r="V65" i="3"/>
  <c r="U65" i="3"/>
  <c r="T65" i="3"/>
  <c r="S65" i="3"/>
  <c r="R65" i="3"/>
  <c r="Q65" i="3"/>
  <c r="V64" i="3"/>
  <c r="U64" i="3"/>
  <c r="T64" i="3"/>
  <c r="S64" i="3"/>
  <c r="R64" i="3"/>
  <c r="Q64" i="3"/>
  <c r="V63" i="3"/>
  <c r="U63" i="3"/>
  <c r="S63" i="3"/>
  <c r="R63" i="3"/>
  <c r="Q63" i="3"/>
  <c r="N63" i="3"/>
  <c r="J63" i="3"/>
  <c r="D63" i="3"/>
  <c r="K63" i="3" s="1"/>
  <c r="V62" i="3"/>
  <c r="U62" i="3"/>
  <c r="T62" i="3"/>
  <c r="S62" i="3"/>
  <c r="R62" i="3"/>
  <c r="Q62" i="3"/>
  <c r="V61" i="3"/>
  <c r="U61" i="3"/>
  <c r="T61" i="3"/>
  <c r="S61" i="3"/>
  <c r="R61" i="3"/>
  <c r="Q61" i="3"/>
  <c r="V60" i="3"/>
  <c r="U60" i="3"/>
  <c r="S60" i="3"/>
  <c r="R60" i="3"/>
  <c r="Q60" i="3"/>
  <c r="N60" i="3"/>
  <c r="J60" i="3"/>
  <c r="D60" i="3"/>
  <c r="O60" i="3" s="1"/>
  <c r="L60" i="3" s="1"/>
  <c r="V59" i="3"/>
  <c r="U59" i="3"/>
  <c r="T59" i="3"/>
  <c r="S59" i="3"/>
  <c r="R59" i="3"/>
  <c r="Q59" i="3"/>
  <c r="V58" i="3"/>
  <c r="U58" i="3"/>
  <c r="T58" i="3"/>
  <c r="S58" i="3"/>
  <c r="R58" i="3"/>
  <c r="Q58" i="3"/>
  <c r="V57" i="3"/>
  <c r="U57" i="3"/>
  <c r="S57" i="3"/>
  <c r="R57" i="3"/>
  <c r="Q57" i="3"/>
  <c r="N57" i="3"/>
  <c r="K57" i="3"/>
  <c r="J57" i="3"/>
  <c r="D57" i="3"/>
  <c r="O57" i="3" s="1"/>
  <c r="L57" i="3" s="1"/>
  <c r="V56" i="3"/>
  <c r="U56" i="3"/>
  <c r="T56" i="3"/>
  <c r="S56" i="3"/>
  <c r="R56" i="3"/>
  <c r="Q56" i="3"/>
  <c r="V55" i="3"/>
  <c r="U55" i="3"/>
  <c r="T55" i="3"/>
  <c r="S55" i="3"/>
  <c r="R55" i="3"/>
  <c r="Q55" i="3"/>
  <c r="V54" i="3"/>
  <c r="U54" i="3"/>
  <c r="S54" i="3"/>
  <c r="R54" i="3"/>
  <c r="Q54" i="3"/>
  <c r="O54" i="3"/>
  <c r="L54" i="3" s="1"/>
  <c r="N54" i="3"/>
  <c r="K54" i="3"/>
  <c r="J54" i="3"/>
  <c r="P54" i="3" s="1"/>
  <c r="T54" i="3" s="1"/>
  <c r="D54" i="3"/>
  <c r="V53" i="3"/>
  <c r="U53" i="3"/>
  <c r="T53" i="3"/>
  <c r="S53" i="3"/>
  <c r="R53" i="3"/>
  <c r="Q53" i="3"/>
  <c r="V52" i="3"/>
  <c r="U52" i="3"/>
  <c r="T52" i="3"/>
  <c r="S52" i="3"/>
  <c r="R52" i="3"/>
  <c r="Q52" i="3"/>
  <c r="V51" i="3"/>
  <c r="U51" i="3"/>
  <c r="S51" i="3"/>
  <c r="R51" i="3"/>
  <c r="Q51" i="3"/>
  <c r="N51" i="3"/>
  <c r="J51" i="3"/>
  <c r="D51" i="3"/>
  <c r="K51" i="3" s="1"/>
  <c r="V50" i="3"/>
  <c r="U50" i="3"/>
  <c r="T50" i="3"/>
  <c r="S50" i="3"/>
  <c r="R50" i="3"/>
  <c r="Q50" i="3"/>
  <c r="V49" i="3"/>
  <c r="U49" i="3"/>
  <c r="T49" i="3"/>
  <c r="S49" i="3"/>
  <c r="R49" i="3"/>
  <c r="Q49" i="3"/>
  <c r="V48" i="3"/>
  <c r="U48" i="3"/>
  <c r="S48" i="3"/>
  <c r="R48" i="3"/>
  <c r="Q48" i="3"/>
  <c r="N48" i="3"/>
  <c r="J48" i="3"/>
  <c r="D48" i="3"/>
  <c r="K48" i="3" s="1"/>
  <c r="V47" i="3"/>
  <c r="U47" i="3"/>
  <c r="T47" i="3"/>
  <c r="S47" i="3"/>
  <c r="R47" i="3"/>
  <c r="Q47" i="3"/>
  <c r="V46" i="3"/>
  <c r="U46" i="3"/>
  <c r="T46" i="3"/>
  <c r="S46" i="3"/>
  <c r="R46" i="3"/>
  <c r="Q46" i="3"/>
  <c r="V45" i="3"/>
  <c r="U45" i="3"/>
  <c r="T45" i="3"/>
  <c r="S45" i="3"/>
  <c r="R45" i="3"/>
  <c r="Q45" i="3"/>
  <c r="V44" i="3"/>
  <c r="U44" i="3"/>
  <c r="T44" i="3"/>
  <c r="S44" i="3"/>
  <c r="R44" i="3"/>
  <c r="Q44" i="3"/>
  <c r="V43" i="3"/>
  <c r="U43" i="3"/>
  <c r="S43" i="3"/>
  <c r="R43" i="3"/>
  <c r="Q43" i="3"/>
  <c r="N43" i="3"/>
  <c r="J43" i="3"/>
  <c r="D43" i="3"/>
  <c r="K43" i="3" s="1"/>
  <c r="V42" i="3"/>
  <c r="U42" i="3"/>
  <c r="T42" i="3"/>
  <c r="S42" i="3"/>
  <c r="R42" i="3"/>
  <c r="Q42" i="3"/>
  <c r="V41" i="3"/>
  <c r="U41" i="3"/>
  <c r="T41" i="3"/>
  <c r="S41" i="3"/>
  <c r="R41" i="3"/>
  <c r="Q41" i="3"/>
  <c r="V40" i="3"/>
  <c r="U40" i="3"/>
  <c r="S40" i="3"/>
  <c r="R40" i="3"/>
  <c r="Q40" i="3"/>
  <c r="N40" i="3"/>
  <c r="J40" i="3"/>
  <c r="D40" i="3"/>
  <c r="V39" i="3"/>
  <c r="U39" i="3"/>
  <c r="T39" i="3"/>
  <c r="S39" i="3"/>
  <c r="R39" i="3"/>
  <c r="Q39" i="3"/>
  <c r="V38" i="3"/>
  <c r="U38" i="3"/>
  <c r="T38" i="3"/>
  <c r="S38" i="3"/>
  <c r="R38" i="3"/>
  <c r="Q38" i="3"/>
  <c r="V37" i="3"/>
  <c r="U37" i="3"/>
  <c r="S37" i="3"/>
  <c r="R37" i="3"/>
  <c r="Q37" i="3"/>
  <c r="N37" i="3"/>
  <c r="J37" i="3"/>
  <c r="D37" i="3"/>
  <c r="K37" i="3" s="1"/>
  <c r="V36" i="3"/>
  <c r="U36" i="3"/>
  <c r="T36" i="3"/>
  <c r="S36" i="3"/>
  <c r="R36" i="3"/>
  <c r="Q36" i="3"/>
  <c r="V35" i="3"/>
  <c r="U35" i="3"/>
  <c r="T35" i="3"/>
  <c r="S35" i="3"/>
  <c r="R35" i="3"/>
  <c r="Q35" i="3"/>
  <c r="V34" i="3"/>
  <c r="U34" i="3"/>
  <c r="S34" i="3"/>
  <c r="R34" i="3"/>
  <c r="Q34" i="3"/>
  <c r="N34" i="3"/>
  <c r="J34" i="3"/>
  <c r="D34" i="3"/>
  <c r="V33" i="3"/>
  <c r="U33" i="3"/>
  <c r="T33" i="3"/>
  <c r="S33" i="3"/>
  <c r="R33" i="3"/>
  <c r="Q33" i="3"/>
  <c r="V32" i="3"/>
  <c r="U32" i="3"/>
  <c r="T32" i="3"/>
  <c r="S32" i="3"/>
  <c r="R32" i="3"/>
  <c r="Q32" i="3"/>
  <c r="V31" i="3"/>
  <c r="U31" i="3"/>
  <c r="S31" i="3"/>
  <c r="R31" i="3"/>
  <c r="Q31" i="3"/>
  <c r="N31" i="3"/>
  <c r="J31" i="3"/>
  <c r="D31" i="3"/>
  <c r="K31" i="3" s="1"/>
  <c r="V30" i="3"/>
  <c r="U30" i="3"/>
  <c r="T30" i="3"/>
  <c r="S30" i="3"/>
  <c r="R30" i="3"/>
  <c r="Q30" i="3"/>
  <c r="V29" i="3"/>
  <c r="U29" i="3"/>
  <c r="T29" i="3"/>
  <c r="S29" i="3"/>
  <c r="R29" i="3"/>
  <c r="Q29" i="3"/>
  <c r="V28" i="3"/>
  <c r="U28" i="3"/>
  <c r="S28" i="3"/>
  <c r="R28" i="3"/>
  <c r="Q28" i="3"/>
  <c r="N28" i="3"/>
  <c r="K28" i="3"/>
  <c r="J28" i="3"/>
  <c r="P28" i="3" s="1"/>
  <c r="T28" i="3" s="1"/>
  <c r="D28" i="3"/>
  <c r="O28" i="3" s="1"/>
  <c r="L28" i="3" s="1"/>
  <c r="V27" i="3"/>
  <c r="U27" i="3"/>
  <c r="T27" i="3"/>
  <c r="S27" i="3"/>
  <c r="R27" i="3"/>
  <c r="Q27" i="3"/>
  <c r="V26" i="3"/>
  <c r="U26" i="3"/>
  <c r="T26" i="3"/>
  <c r="S26" i="3"/>
  <c r="R26" i="3"/>
  <c r="Q26" i="3"/>
  <c r="V25" i="3"/>
  <c r="U25" i="3"/>
  <c r="S25" i="3"/>
  <c r="R25" i="3"/>
  <c r="Q25" i="3"/>
  <c r="N25" i="3"/>
  <c r="J25" i="3"/>
  <c r="D25" i="3"/>
  <c r="K25" i="3" s="1"/>
  <c r="V24" i="3"/>
  <c r="U24" i="3"/>
  <c r="T24" i="3"/>
  <c r="S24" i="3"/>
  <c r="R24" i="3"/>
  <c r="Q24" i="3"/>
  <c r="V23" i="3"/>
  <c r="U23" i="3"/>
  <c r="T23" i="3"/>
  <c r="S23" i="3"/>
  <c r="R23" i="3"/>
  <c r="Q23" i="3"/>
  <c r="V22" i="3"/>
  <c r="U22" i="3"/>
  <c r="S22" i="3"/>
  <c r="R22" i="3"/>
  <c r="Q22" i="3"/>
  <c r="N22" i="3"/>
  <c r="J22" i="3"/>
  <c r="D22" i="3"/>
  <c r="V21" i="3"/>
  <c r="U21" i="3"/>
  <c r="T21" i="3"/>
  <c r="S21" i="3"/>
  <c r="R21" i="3"/>
  <c r="Q21" i="3"/>
  <c r="V20" i="3"/>
  <c r="U20" i="3"/>
  <c r="T20" i="3"/>
  <c r="S20" i="3"/>
  <c r="R20" i="3"/>
  <c r="Q20" i="3"/>
  <c r="V19" i="3"/>
  <c r="U19" i="3"/>
  <c r="S19" i="3"/>
  <c r="R19" i="3"/>
  <c r="Q19" i="3"/>
  <c r="N19" i="3"/>
  <c r="J19" i="3"/>
  <c r="D19" i="3"/>
  <c r="O19" i="3" s="1"/>
  <c r="L19" i="3" s="1"/>
  <c r="V18" i="3"/>
  <c r="U18" i="3"/>
  <c r="T18" i="3"/>
  <c r="S18" i="3"/>
  <c r="R18" i="3"/>
  <c r="Q18" i="3"/>
  <c r="V17" i="3"/>
  <c r="U17" i="3"/>
  <c r="T17" i="3"/>
  <c r="S17" i="3"/>
  <c r="R17" i="3"/>
  <c r="Q17" i="3"/>
  <c r="V16" i="3"/>
  <c r="U16" i="3"/>
  <c r="S16" i="3"/>
  <c r="R16" i="3"/>
  <c r="Q16" i="3"/>
  <c r="N16" i="3"/>
  <c r="L16" i="3"/>
  <c r="J16" i="3"/>
  <c r="P16" i="3" s="1"/>
  <c r="T16" i="3" s="1"/>
  <c r="D16" i="3"/>
  <c r="O16" i="3" s="1"/>
  <c r="V15" i="3"/>
  <c r="U15" i="3"/>
  <c r="T15" i="3"/>
  <c r="S15" i="3"/>
  <c r="R15" i="3"/>
  <c r="Q15" i="3"/>
  <c r="V14" i="3"/>
  <c r="U14" i="3"/>
  <c r="T14" i="3"/>
  <c r="S14" i="3"/>
  <c r="R14" i="3"/>
  <c r="Q14" i="3"/>
  <c r="V13" i="3"/>
  <c r="U13" i="3"/>
  <c r="S13" i="3"/>
  <c r="R13" i="3"/>
  <c r="Q13" i="3"/>
  <c r="N13" i="3"/>
  <c r="J13" i="3"/>
  <c r="D13" i="3"/>
  <c r="K13" i="3" s="1"/>
  <c r="V12" i="3"/>
  <c r="U12" i="3"/>
  <c r="T12" i="3"/>
  <c r="S12" i="3"/>
  <c r="R12" i="3"/>
  <c r="Q12" i="3"/>
  <c r="V11" i="3"/>
  <c r="U11" i="3"/>
  <c r="T11" i="3"/>
  <c r="S11" i="3"/>
  <c r="R11" i="3"/>
  <c r="Q11" i="3"/>
  <c r="V10" i="3"/>
  <c r="U10" i="3"/>
  <c r="S10" i="3"/>
  <c r="R10" i="3"/>
  <c r="Q10" i="3"/>
  <c r="N10" i="3"/>
  <c r="J10" i="3"/>
  <c r="D10" i="3"/>
  <c r="K10" i="3" s="1"/>
  <c r="V9" i="3"/>
  <c r="U9" i="3"/>
  <c r="T9" i="3"/>
  <c r="S9" i="3"/>
  <c r="R9" i="3"/>
  <c r="Q9" i="3"/>
  <c r="V8" i="3"/>
  <c r="U8" i="3"/>
  <c r="T8" i="3"/>
  <c r="S8" i="3"/>
  <c r="R8" i="3"/>
  <c r="Q8" i="3"/>
  <c r="V7" i="3"/>
  <c r="U7" i="3"/>
  <c r="S7" i="3"/>
  <c r="R7" i="3"/>
  <c r="Q7" i="3"/>
  <c r="N7" i="3"/>
  <c r="K7" i="3"/>
  <c r="J7" i="3"/>
  <c r="D7" i="3"/>
  <c r="O7" i="3" s="1"/>
  <c r="L7" i="3" s="1"/>
  <c r="V6" i="3"/>
  <c r="U6" i="3"/>
  <c r="T6" i="3"/>
  <c r="S6" i="3"/>
  <c r="R6" i="3"/>
  <c r="Q6" i="3"/>
  <c r="V5" i="3"/>
  <c r="U5" i="3"/>
  <c r="T5" i="3"/>
  <c r="S5" i="3"/>
  <c r="R5" i="3"/>
  <c r="Q5" i="3"/>
  <c r="O140" i="3" l="1"/>
  <c r="K140" i="3"/>
  <c r="K246" i="3"/>
  <c r="O246" i="3"/>
  <c r="L246" i="3" s="1"/>
  <c r="K252" i="3"/>
  <c r="O252" i="3"/>
  <c r="L252" i="3" s="1"/>
  <c r="K282" i="3"/>
  <c r="O282" i="3"/>
  <c r="L282" i="3" s="1"/>
  <c r="K288" i="3"/>
  <c r="O288" i="3"/>
  <c r="L288" i="3" s="1"/>
  <c r="O31" i="3"/>
  <c r="L31" i="3" s="1"/>
  <c r="P57" i="3"/>
  <c r="T57" i="3" s="1"/>
  <c r="K66" i="3"/>
  <c r="O66" i="3"/>
  <c r="P107" i="3"/>
  <c r="T107" i="3" s="1"/>
  <c r="K118" i="3"/>
  <c r="O118" i="3"/>
  <c r="O152" i="3"/>
  <c r="K152" i="3"/>
  <c r="P186" i="3"/>
  <c r="U186" i="3" s="1"/>
  <c r="P246" i="3"/>
  <c r="U246" i="3" s="1"/>
  <c r="O255" i="3"/>
  <c r="K255" i="3"/>
  <c r="O291" i="3"/>
  <c r="K291" i="3"/>
  <c r="O303" i="3"/>
  <c r="K303" i="3"/>
  <c r="K324" i="3"/>
  <c r="O324" i="3"/>
  <c r="L324" i="3" s="1"/>
  <c r="P324" i="3" s="1"/>
  <c r="V324" i="3" s="1"/>
  <c r="K19" i="3"/>
  <c r="O22" i="3"/>
  <c r="L22" i="3" s="1"/>
  <c r="P31" i="3"/>
  <c r="T31" i="3" s="1"/>
  <c r="K158" i="3"/>
  <c r="P168" i="3"/>
  <c r="U168" i="3" s="1"/>
  <c r="P195" i="3"/>
  <c r="V195" i="3" s="1"/>
  <c r="O207" i="3"/>
  <c r="L207" i="3" s="1"/>
  <c r="O216" i="3"/>
  <c r="L216" i="3" s="1"/>
  <c r="P228" i="3"/>
  <c r="U228" i="3" s="1"/>
  <c r="P558" i="3"/>
  <c r="U558" i="3" s="1"/>
  <c r="L570" i="3"/>
  <c r="P570" i="3" s="1"/>
  <c r="V570" i="3" s="1"/>
  <c r="P766" i="3"/>
  <c r="S766" i="3" s="1"/>
  <c r="L775" i="3"/>
  <c r="P775" i="3" s="1"/>
  <c r="U775" i="3" s="1"/>
  <c r="P7" i="3"/>
  <c r="T7" i="3" s="1"/>
  <c r="K16" i="3"/>
  <c r="P22" i="3"/>
  <c r="T22" i="3" s="1"/>
  <c r="O34" i="3"/>
  <c r="L34" i="3" s="1"/>
  <c r="K40" i="3"/>
  <c r="O40" i="3"/>
  <c r="O43" i="3"/>
  <c r="L43" i="3" s="1"/>
  <c r="K92" i="3"/>
  <c r="O92" i="3"/>
  <c r="O95" i="3"/>
  <c r="L95" i="3" s="1"/>
  <c r="O138" i="3"/>
  <c r="P148" i="3"/>
  <c r="S148" i="3" s="1"/>
  <c r="L154" i="3"/>
  <c r="P154" i="3" s="1"/>
  <c r="S154" i="3" s="1"/>
  <c r="P171" i="3"/>
  <c r="S171" i="3" s="1"/>
  <c r="O192" i="3"/>
  <c r="L192" i="3" s="1"/>
  <c r="O219" i="3"/>
  <c r="L219" i="3" s="1"/>
  <c r="P312" i="3"/>
  <c r="U312" i="3" s="1"/>
  <c r="K327" i="3"/>
  <c r="O348" i="3"/>
  <c r="L348" i="3" s="1"/>
  <c r="P348" i="3" s="1"/>
  <c r="V348" i="3" s="1"/>
  <c r="K351" i="3"/>
  <c r="O363" i="3"/>
  <c r="O375" i="3"/>
  <c r="P402" i="3"/>
  <c r="U402" i="3" s="1"/>
  <c r="K414" i="3"/>
  <c r="O417" i="3"/>
  <c r="L417" i="3" s="1"/>
  <c r="K438" i="3"/>
  <c r="O441" i="3"/>
  <c r="L441" i="3" s="1"/>
  <c r="K462" i="3"/>
  <c r="O465" i="3"/>
  <c r="L465" i="3" s="1"/>
  <c r="P489" i="3"/>
  <c r="U489" i="3" s="1"/>
  <c r="J492" i="3"/>
  <c r="K495" i="3"/>
  <c r="P498" i="3"/>
  <c r="V498" i="3" s="1"/>
  <c r="K510" i="3"/>
  <c r="O513" i="3"/>
  <c r="L513" i="3" s="1"/>
  <c r="O519" i="3"/>
  <c r="P525" i="3"/>
  <c r="U525" i="3" s="1"/>
  <c r="K537" i="3"/>
  <c r="P549" i="3"/>
  <c r="V549" i="3" s="1"/>
  <c r="K561" i="3"/>
  <c r="O136" i="3"/>
  <c r="O174" i="3"/>
  <c r="L174" i="3" s="1"/>
  <c r="O198" i="3"/>
  <c r="L198" i="3" s="1"/>
  <c r="O222" i="3"/>
  <c r="L222" i="3" s="1"/>
  <c r="O225" i="3"/>
  <c r="L225" i="3" s="1"/>
  <c r="O231" i="3"/>
  <c r="L231" i="3" s="1"/>
  <c r="P252" i="3"/>
  <c r="T252" i="3" s="1"/>
  <c r="P258" i="3"/>
  <c r="U258" i="3" s="1"/>
  <c r="O261" i="3"/>
  <c r="O270" i="3"/>
  <c r="L270" i="3" s="1"/>
  <c r="P288" i="3"/>
  <c r="V288" i="3" s="1"/>
  <c r="P294" i="3"/>
  <c r="U294" i="3" s="1"/>
  <c r="O297" i="3"/>
  <c r="O315" i="3"/>
  <c r="O318" i="3"/>
  <c r="L318" i="3" s="1"/>
  <c r="P330" i="3"/>
  <c r="U330" i="3" s="1"/>
  <c r="O333" i="3"/>
  <c r="O342" i="3"/>
  <c r="L342" i="3" s="1"/>
  <c r="P354" i="3"/>
  <c r="U354" i="3" s="1"/>
  <c r="O357" i="3"/>
  <c r="O387" i="3"/>
  <c r="O390" i="3"/>
  <c r="L390" i="3" s="1"/>
  <c r="K402" i="3"/>
  <c r="O405" i="3"/>
  <c r="L405" i="3" s="1"/>
  <c r="O411" i="3"/>
  <c r="J417" i="3"/>
  <c r="K423" i="3"/>
  <c r="J426" i="3"/>
  <c r="O435" i="3"/>
  <c r="J441" i="3"/>
  <c r="K447" i="3"/>
  <c r="J450" i="3"/>
  <c r="J465" i="3"/>
  <c r="K471" i="3"/>
  <c r="J474" i="3"/>
  <c r="P474" i="3" s="1"/>
  <c r="U474" i="3" s="1"/>
  <c r="O483" i="3"/>
  <c r="L483" i="3" s="1"/>
  <c r="K498" i="3"/>
  <c r="O501" i="3"/>
  <c r="L501" i="3" s="1"/>
  <c r="O507" i="3"/>
  <c r="L507" i="3" s="1"/>
  <c r="P507" i="3" s="1"/>
  <c r="U507" i="3" s="1"/>
  <c r="K531" i="3"/>
  <c r="K549" i="3"/>
  <c r="O74" i="3"/>
  <c r="L74" i="3" s="1"/>
  <c r="O98" i="3"/>
  <c r="L98" i="3" s="1"/>
  <c r="O124" i="3"/>
  <c r="L124" i="3" s="1"/>
  <c r="O156" i="3"/>
  <c r="P225" i="3"/>
  <c r="U225" i="3" s="1"/>
  <c r="P237" i="3"/>
  <c r="V237" i="3" s="1"/>
  <c r="P264" i="3"/>
  <c r="V264" i="3" s="1"/>
  <c r="P300" i="3"/>
  <c r="V300" i="3" s="1"/>
  <c r="O309" i="3"/>
  <c r="P360" i="3"/>
  <c r="U360" i="3" s="1"/>
  <c r="P405" i="3"/>
  <c r="V405" i="3" s="1"/>
  <c r="J486" i="3"/>
  <c r="P486" i="3" s="1"/>
  <c r="U486" i="3" s="1"/>
  <c r="P501" i="3"/>
  <c r="V501" i="3" s="1"/>
  <c r="P522" i="3"/>
  <c r="U522" i="3" s="1"/>
  <c r="P384" i="3"/>
  <c r="V384" i="3" s="1"/>
  <c r="P414" i="3"/>
  <c r="U414" i="3" s="1"/>
  <c r="P438" i="3"/>
  <c r="T438" i="3" s="1"/>
  <c r="P462" i="3"/>
  <c r="U462" i="3" s="1"/>
  <c r="P510" i="3"/>
  <c r="U510" i="3" s="1"/>
  <c r="P537" i="3"/>
  <c r="V537" i="3" s="1"/>
  <c r="P561" i="3"/>
  <c r="V561" i="3" s="1"/>
  <c r="P60" i="3"/>
  <c r="T60" i="3" s="1"/>
  <c r="P86" i="3"/>
  <c r="T86" i="3" s="1"/>
  <c r="P95" i="3"/>
  <c r="T95" i="3" s="1"/>
  <c r="P121" i="3"/>
  <c r="T121" i="3" s="1"/>
  <c r="L136" i="3"/>
  <c r="P136" i="3" s="1"/>
  <c r="S136" i="3" s="1"/>
  <c r="L144" i="3"/>
  <c r="P144" i="3" s="1"/>
  <c r="S144" i="3" s="1"/>
  <c r="L146" i="3"/>
  <c r="P146" i="3"/>
  <c r="S146" i="3" s="1"/>
  <c r="L156" i="3"/>
  <c r="P156" i="3" s="1"/>
  <c r="S156" i="3" s="1"/>
  <c r="P174" i="3"/>
  <c r="V174" i="3" s="1"/>
  <c r="P183" i="3"/>
  <c r="U183" i="3" s="1"/>
  <c r="P198" i="3"/>
  <c r="V198" i="3" s="1"/>
  <c r="P207" i="3"/>
  <c r="U207" i="3" s="1"/>
  <c r="P222" i="3"/>
  <c r="U222" i="3" s="1"/>
  <c r="P231" i="3"/>
  <c r="V231" i="3" s="1"/>
  <c r="P19" i="3"/>
  <c r="T19" i="3" s="1"/>
  <c r="P34" i="3"/>
  <c r="T34" i="3" s="1"/>
  <c r="P43" i="3"/>
  <c r="T43" i="3" s="1"/>
  <c r="P112" i="3"/>
  <c r="T112" i="3" s="1"/>
  <c r="L138" i="3"/>
  <c r="P138" i="3" s="1"/>
  <c r="S138" i="3" s="1"/>
  <c r="L158" i="3"/>
  <c r="P158" i="3" s="1"/>
  <c r="S158" i="3" s="1"/>
  <c r="L134" i="3"/>
  <c r="P134" i="3"/>
  <c r="S134" i="3" s="1"/>
  <c r="L140" i="3"/>
  <c r="P140" i="3" s="1"/>
  <c r="S140" i="3" s="1"/>
  <c r="P150" i="3"/>
  <c r="S150" i="3" s="1"/>
  <c r="L152" i="3"/>
  <c r="P152" i="3" s="1"/>
  <c r="S152" i="3" s="1"/>
  <c r="P10" i="3"/>
  <c r="T10" i="3" s="1"/>
  <c r="P71" i="3"/>
  <c r="T71" i="3" s="1"/>
  <c r="O10" i="3"/>
  <c r="L10" i="3" s="1"/>
  <c r="O48" i="3"/>
  <c r="L48" i="3" s="1"/>
  <c r="P48" i="3" s="1"/>
  <c r="T48" i="3" s="1"/>
  <c r="O13" i="3"/>
  <c r="K22" i="3"/>
  <c r="O25" i="3"/>
  <c r="K34" i="3"/>
  <c r="O37" i="3"/>
  <c r="O51" i="3"/>
  <c r="K60" i="3"/>
  <c r="O63" i="3"/>
  <c r="K74" i="3"/>
  <c r="O77" i="3"/>
  <c r="K86" i="3"/>
  <c r="O89" i="3"/>
  <c r="K98" i="3"/>
  <c r="O101" i="3"/>
  <c r="K112" i="3"/>
  <c r="O115" i="3"/>
  <c r="K124" i="3"/>
  <c r="O127" i="3"/>
  <c r="K134" i="3"/>
  <c r="K138" i="3"/>
  <c r="L142" i="3"/>
  <c r="P142" i="3" s="1"/>
  <c r="S142" i="3" s="1"/>
  <c r="L150" i="3"/>
  <c r="K156" i="3"/>
  <c r="L162" i="3"/>
  <c r="P162" i="3" s="1"/>
  <c r="U162" i="3" s="1"/>
  <c r="K174" i="3"/>
  <c r="O177" i="3"/>
  <c r="K186" i="3"/>
  <c r="O189" i="3"/>
  <c r="K198" i="3"/>
  <c r="O201" i="3"/>
  <c r="K210" i="3"/>
  <c r="O213" i="3"/>
  <c r="K222" i="3"/>
  <c r="O234" i="3"/>
  <c r="L234" i="3" s="1"/>
  <c r="P240" i="3"/>
  <c r="U240" i="3" s="1"/>
  <c r="L279" i="3"/>
  <c r="P279" i="3"/>
  <c r="V279" i="3" s="1"/>
  <c r="P306" i="3"/>
  <c r="U306" i="3" s="1"/>
  <c r="L309" i="3"/>
  <c r="P309" i="3" s="1"/>
  <c r="U309" i="3" s="1"/>
  <c r="P366" i="3"/>
  <c r="U366" i="3" s="1"/>
  <c r="L369" i="3"/>
  <c r="P369" i="3" s="1"/>
  <c r="U369" i="3" s="1"/>
  <c r="P378" i="3"/>
  <c r="V378" i="3" s="1"/>
  <c r="L381" i="3"/>
  <c r="P381" i="3" s="1"/>
  <c r="V381" i="3" s="1"/>
  <c r="Q784" i="3"/>
  <c r="Q786" i="3" s="1"/>
  <c r="K225" i="3"/>
  <c r="P234" i="3"/>
  <c r="U234" i="3" s="1"/>
  <c r="K237" i="3"/>
  <c r="L255" i="3"/>
  <c r="P255" i="3" s="1"/>
  <c r="U255" i="3" s="1"/>
  <c r="P270" i="3"/>
  <c r="V270" i="3" s="1"/>
  <c r="L273" i="3"/>
  <c r="P273" i="3" s="1"/>
  <c r="V273" i="3" s="1"/>
  <c r="L291" i="3"/>
  <c r="P291" i="3"/>
  <c r="U291" i="3" s="1"/>
  <c r="L321" i="3"/>
  <c r="P321" i="3" s="1"/>
  <c r="V321" i="3" s="1"/>
  <c r="P342" i="3"/>
  <c r="U342" i="3" s="1"/>
  <c r="L345" i="3"/>
  <c r="P345" i="3" s="1"/>
  <c r="U345" i="3" s="1"/>
  <c r="P390" i="3"/>
  <c r="U390" i="3" s="1"/>
  <c r="L393" i="3"/>
  <c r="P393" i="3" s="1"/>
  <c r="V393" i="3" s="1"/>
  <c r="O249" i="3"/>
  <c r="K249" i="3"/>
  <c r="L285" i="3"/>
  <c r="P285" i="3" s="1"/>
  <c r="U285" i="3" s="1"/>
  <c r="L303" i="3"/>
  <c r="P303" i="3" s="1"/>
  <c r="V303" i="3" s="1"/>
  <c r="L363" i="3"/>
  <c r="P363" i="3" s="1"/>
  <c r="T363" i="3" s="1"/>
  <c r="L375" i="3"/>
  <c r="P375" i="3" s="1"/>
  <c r="U375" i="3" s="1"/>
  <c r="P243" i="3"/>
  <c r="U243" i="3" s="1"/>
  <c r="L261" i="3"/>
  <c r="P261" i="3"/>
  <c r="V261" i="3" s="1"/>
  <c r="L297" i="3"/>
  <c r="P297" i="3" s="1"/>
  <c r="V297" i="3" s="1"/>
  <c r="L315" i="3"/>
  <c r="P315" i="3" s="1"/>
  <c r="U315" i="3" s="1"/>
  <c r="L333" i="3"/>
  <c r="P333" i="3" s="1"/>
  <c r="V333" i="3" s="1"/>
  <c r="L357" i="3"/>
  <c r="P357" i="3"/>
  <c r="V357" i="3" s="1"/>
  <c r="L387" i="3"/>
  <c r="P387" i="3" s="1"/>
  <c r="U387" i="3" s="1"/>
  <c r="K261" i="3"/>
  <c r="K273" i="3"/>
  <c r="K285" i="3"/>
  <c r="K297" i="3"/>
  <c r="K309" i="3"/>
  <c r="K321" i="3"/>
  <c r="K333" i="3"/>
  <c r="K345" i="3"/>
  <c r="K357" i="3"/>
  <c r="K369" i="3"/>
  <c r="J372" i="3"/>
  <c r="P372" i="3" s="1"/>
  <c r="V372" i="3" s="1"/>
  <c r="K381" i="3"/>
  <c r="K393" i="3"/>
  <c r="K399" i="3"/>
  <c r="L399" i="3"/>
  <c r="P399" i="3" s="1"/>
  <c r="V399" i="3" s="1"/>
  <c r="L423" i="3"/>
  <c r="P423" i="3" s="1"/>
  <c r="S423" i="3" s="1"/>
  <c r="L447" i="3"/>
  <c r="P447" i="3"/>
  <c r="V447" i="3" s="1"/>
  <c r="L471" i="3"/>
  <c r="P471" i="3" s="1"/>
  <c r="V471" i="3" s="1"/>
  <c r="L531" i="3"/>
  <c r="P531" i="3" s="1"/>
  <c r="U531" i="3" s="1"/>
  <c r="L519" i="3"/>
  <c r="P519" i="3" s="1"/>
  <c r="U519" i="3" s="1"/>
  <c r="O396" i="3"/>
  <c r="L396" i="3" s="1"/>
  <c r="L411" i="3"/>
  <c r="P411" i="3" s="1"/>
  <c r="U411" i="3" s="1"/>
  <c r="P417" i="3"/>
  <c r="S417" i="3" s="1"/>
  <c r="P426" i="3"/>
  <c r="S426" i="3" s="1"/>
  <c r="L435" i="3"/>
  <c r="P435" i="3" s="1"/>
  <c r="V435" i="3" s="1"/>
  <c r="P441" i="3"/>
  <c r="V441" i="3" s="1"/>
  <c r="P450" i="3"/>
  <c r="U450" i="3" s="1"/>
  <c r="P465" i="3"/>
  <c r="U465" i="3" s="1"/>
  <c r="P513" i="3"/>
  <c r="U513" i="3" s="1"/>
  <c r="P534" i="3"/>
  <c r="V534" i="3" s="1"/>
  <c r="K405" i="3"/>
  <c r="O408" i="3"/>
  <c r="L408" i="3" s="1"/>
  <c r="K417" i="3"/>
  <c r="J420" i="3"/>
  <c r="O420" i="3"/>
  <c r="L420" i="3" s="1"/>
  <c r="K429" i="3"/>
  <c r="J432" i="3"/>
  <c r="O432" i="3"/>
  <c r="L432" i="3" s="1"/>
  <c r="K441" i="3"/>
  <c r="J444" i="3"/>
  <c r="O444" i="3"/>
  <c r="L444" i="3" s="1"/>
  <c r="K453" i="3"/>
  <c r="O456" i="3"/>
  <c r="L456" i="3" s="1"/>
  <c r="K465" i="3"/>
  <c r="J468" i="3"/>
  <c r="O468" i="3"/>
  <c r="L468" i="3" s="1"/>
  <c r="K477" i="3"/>
  <c r="J480" i="3"/>
  <c r="O480" i="3"/>
  <c r="L480" i="3" s="1"/>
  <c r="K489" i="3"/>
  <c r="O492" i="3"/>
  <c r="L492" i="3" s="1"/>
  <c r="K501" i="3"/>
  <c r="O504" i="3"/>
  <c r="L504" i="3" s="1"/>
  <c r="K513" i="3"/>
  <c r="O516" i="3"/>
  <c r="L516" i="3" s="1"/>
  <c r="P516" i="3" s="1"/>
  <c r="V516" i="3" s="1"/>
  <c r="K525" i="3"/>
  <c r="O528" i="3"/>
  <c r="L528" i="3" s="1"/>
  <c r="P552" i="3"/>
  <c r="U552" i="3" s="1"/>
  <c r="K555" i="3"/>
  <c r="O555" i="3"/>
  <c r="L616" i="3"/>
  <c r="P616" i="3" s="1"/>
  <c r="U616" i="3" s="1"/>
  <c r="L619" i="3"/>
  <c r="P619" i="3" s="1"/>
  <c r="T619" i="3" s="1"/>
  <c r="L622" i="3"/>
  <c r="P622" i="3" s="1"/>
  <c r="R622" i="3" s="1"/>
  <c r="L625" i="3"/>
  <c r="P625" i="3"/>
  <c r="T625" i="3" s="1"/>
  <c r="L628" i="3"/>
  <c r="P628" i="3" s="1"/>
  <c r="S628" i="3" s="1"/>
  <c r="L631" i="3"/>
  <c r="P631" i="3" s="1"/>
  <c r="R631" i="3" s="1"/>
  <c r="L634" i="3"/>
  <c r="P634" i="3" s="1"/>
  <c r="S634" i="3" s="1"/>
  <c r="L637" i="3"/>
  <c r="P637" i="3"/>
  <c r="S637" i="3" s="1"/>
  <c r="L640" i="3"/>
  <c r="P640" i="3" s="1"/>
  <c r="S640" i="3" s="1"/>
  <c r="L643" i="3"/>
  <c r="P643" i="3" s="1"/>
  <c r="R643" i="3" s="1"/>
  <c r="L646" i="3"/>
  <c r="P646" i="3" s="1"/>
  <c r="R646" i="3" s="1"/>
  <c r="L649" i="3"/>
  <c r="P649" i="3"/>
  <c r="U649" i="3" s="1"/>
  <c r="L652" i="3"/>
  <c r="P652" i="3" s="1"/>
  <c r="T652" i="3" s="1"/>
  <c r="L655" i="3"/>
  <c r="P655" i="3" s="1"/>
  <c r="S655" i="3" s="1"/>
  <c r="L658" i="3"/>
  <c r="P658" i="3" s="1"/>
  <c r="S658" i="3" s="1"/>
  <c r="L661" i="3"/>
  <c r="P661" i="3"/>
  <c r="S661" i="3" s="1"/>
  <c r="L664" i="3"/>
  <c r="P664" i="3" s="1"/>
  <c r="S664" i="3" s="1"/>
  <c r="L667" i="3"/>
  <c r="P667" i="3" s="1"/>
  <c r="U667" i="3" s="1"/>
  <c r="L670" i="3"/>
  <c r="P670" i="3" s="1"/>
  <c r="U670" i="3" s="1"/>
  <c r="L673" i="3"/>
  <c r="P673" i="3"/>
  <c r="U673" i="3" s="1"/>
  <c r="L676" i="3"/>
  <c r="P676" i="3" s="1"/>
  <c r="T676" i="3" s="1"/>
  <c r="L679" i="3"/>
  <c r="P679" i="3" s="1"/>
  <c r="T679" i="3" s="1"/>
  <c r="L682" i="3"/>
  <c r="P682" i="3" s="1"/>
  <c r="T682" i="3" s="1"/>
  <c r="L685" i="3"/>
  <c r="P685" i="3"/>
  <c r="T685" i="3" s="1"/>
  <c r="L688" i="3"/>
  <c r="P688" i="3" s="1"/>
  <c r="S688" i="3" s="1"/>
  <c r="L691" i="3"/>
  <c r="P691" i="3" s="1"/>
  <c r="R691" i="3" s="1"/>
  <c r="L694" i="3"/>
  <c r="P694" i="3" s="1"/>
  <c r="R694" i="3" s="1"/>
  <c r="L697" i="3"/>
  <c r="P697" i="3"/>
  <c r="R697" i="3" s="1"/>
  <c r="L700" i="3"/>
  <c r="P700" i="3" s="1"/>
  <c r="R700" i="3" s="1"/>
  <c r="L703" i="3"/>
  <c r="P703" i="3" s="1"/>
  <c r="R703" i="3" s="1"/>
  <c r="L706" i="3"/>
  <c r="P706" i="3" s="1"/>
  <c r="T706" i="3" s="1"/>
  <c r="L709" i="3"/>
  <c r="P709" i="3"/>
  <c r="S709" i="3" s="1"/>
  <c r="L712" i="3"/>
  <c r="P712" i="3" s="1"/>
  <c r="U712" i="3" s="1"/>
  <c r="L715" i="3"/>
  <c r="P715" i="3" s="1"/>
  <c r="T715" i="3" s="1"/>
  <c r="L718" i="3"/>
  <c r="P718" i="3" s="1"/>
  <c r="T718" i="3" s="1"/>
  <c r="L721" i="3"/>
  <c r="P721" i="3"/>
  <c r="U721" i="3" s="1"/>
  <c r="L724" i="3"/>
  <c r="P724" i="3" s="1"/>
  <c r="U724" i="3" s="1"/>
  <c r="L727" i="3"/>
  <c r="P727" i="3" s="1"/>
  <c r="U727" i="3" s="1"/>
  <c r="L730" i="3"/>
  <c r="P730" i="3" s="1"/>
  <c r="T730" i="3" s="1"/>
  <c r="L733" i="3"/>
  <c r="P733" i="3"/>
  <c r="U733" i="3" s="1"/>
  <c r="L736" i="3"/>
  <c r="P736" i="3" s="1"/>
  <c r="T736" i="3" s="1"/>
  <c r="L739" i="3"/>
  <c r="P739" i="3" s="1"/>
  <c r="U739" i="3" s="1"/>
  <c r="L742" i="3"/>
  <c r="P742" i="3" s="1"/>
  <c r="S742" i="3" s="1"/>
  <c r="L745" i="3"/>
  <c r="P745" i="3"/>
  <c r="S745" i="3" s="1"/>
  <c r="L748" i="3"/>
  <c r="P748" i="3" s="1"/>
  <c r="U748" i="3" s="1"/>
  <c r="L751" i="3"/>
  <c r="P751" i="3" s="1"/>
  <c r="T751" i="3" s="1"/>
  <c r="L754" i="3"/>
  <c r="P754" i="3" s="1"/>
  <c r="R754" i="3" s="1"/>
  <c r="L757" i="3"/>
  <c r="P757" i="3"/>
  <c r="V757" i="3" s="1"/>
  <c r="L760" i="3"/>
  <c r="P760" i="3" s="1"/>
  <c r="T760" i="3" s="1"/>
  <c r="L763" i="3"/>
  <c r="P763" i="3" s="1"/>
  <c r="S763" i="3" s="1"/>
  <c r="L778" i="3"/>
  <c r="P778" i="3" s="1"/>
  <c r="T778" i="3" s="1"/>
  <c r="K456" i="3"/>
  <c r="J483" i="3"/>
  <c r="P483" i="3" s="1"/>
  <c r="U483" i="3" s="1"/>
  <c r="K492" i="3"/>
  <c r="P540" i="3"/>
  <c r="U540" i="3" s="1"/>
  <c r="K543" i="3"/>
  <c r="O543" i="3"/>
  <c r="K564" i="3"/>
  <c r="O564" i="3"/>
  <c r="L564" i="3" s="1"/>
  <c r="P573" i="3"/>
  <c r="U573" i="3" s="1"/>
  <c r="O567" i="3"/>
  <c r="D158" i="1"/>
  <c r="K158" i="1" s="1"/>
  <c r="V158" i="1"/>
  <c r="U158" i="1"/>
  <c r="T158" i="1"/>
  <c r="R158" i="1"/>
  <c r="Q158" i="1"/>
  <c r="N158" i="1"/>
  <c r="V157" i="1"/>
  <c r="U157" i="1"/>
  <c r="T157" i="1"/>
  <c r="S157" i="1"/>
  <c r="R157" i="1"/>
  <c r="Q157" i="1"/>
  <c r="D156" i="1"/>
  <c r="K156" i="1" s="1"/>
  <c r="V156" i="1"/>
  <c r="U156" i="1"/>
  <c r="T156" i="1"/>
  <c r="R156" i="1"/>
  <c r="Q156" i="1"/>
  <c r="N156" i="1"/>
  <c r="V155" i="1"/>
  <c r="U155" i="1"/>
  <c r="T155" i="1"/>
  <c r="S155" i="1"/>
  <c r="R155" i="1"/>
  <c r="Q155" i="1"/>
  <c r="V154" i="1"/>
  <c r="U154" i="1"/>
  <c r="T154" i="1"/>
  <c r="R154" i="1"/>
  <c r="Q154" i="1"/>
  <c r="N154" i="1"/>
  <c r="K154" i="1"/>
  <c r="O154" i="1"/>
  <c r="V153" i="1"/>
  <c r="U153" i="1"/>
  <c r="T153" i="1"/>
  <c r="S153" i="1"/>
  <c r="R153" i="1"/>
  <c r="Q153" i="1"/>
  <c r="D152" i="1"/>
  <c r="D138" i="1"/>
  <c r="D134" i="1"/>
  <c r="K162" i="1"/>
  <c r="V131" i="1"/>
  <c r="U131" i="1"/>
  <c r="T131" i="1"/>
  <c r="S131" i="1"/>
  <c r="R131" i="1"/>
  <c r="Q131" i="1"/>
  <c r="V130" i="1"/>
  <c r="U130" i="1"/>
  <c r="S130" i="1"/>
  <c r="R130" i="1"/>
  <c r="Q130" i="1"/>
  <c r="N130" i="1"/>
  <c r="J130" i="1"/>
  <c r="D130" i="1"/>
  <c r="K130" i="1" s="1"/>
  <c r="V129" i="1"/>
  <c r="U129" i="1"/>
  <c r="T129" i="1"/>
  <c r="S129" i="1"/>
  <c r="R129" i="1"/>
  <c r="Q129" i="1"/>
  <c r="V128" i="1"/>
  <c r="U128" i="1"/>
  <c r="T128" i="1"/>
  <c r="S128" i="1"/>
  <c r="R128" i="1"/>
  <c r="Q128" i="1"/>
  <c r="V127" i="1"/>
  <c r="U127" i="1"/>
  <c r="S127" i="1"/>
  <c r="R127" i="1"/>
  <c r="Q127" i="1"/>
  <c r="N127" i="1"/>
  <c r="J127" i="1"/>
  <c r="D127" i="1"/>
  <c r="V126" i="1"/>
  <c r="U126" i="1"/>
  <c r="T126" i="1"/>
  <c r="S126" i="1"/>
  <c r="R126" i="1"/>
  <c r="Q126" i="1"/>
  <c r="V125" i="1"/>
  <c r="U125" i="1"/>
  <c r="T125" i="1"/>
  <c r="S125" i="1"/>
  <c r="R125" i="1"/>
  <c r="Q125" i="1"/>
  <c r="V124" i="1"/>
  <c r="U124" i="1"/>
  <c r="S124" i="1"/>
  <c r="R124" i="1"/>
  <c r="Q124" i="1"/>
  <c r="N124" i="1"/>
  <c r="J124" i="1"/>
  <c r="D124" i="1"/>
  <c r="K124" i="1" s="1"/>
  <c r="V123" i="1"/>
  <c r="U123" i="1"/>
  <c r="T123" i="1"/>
  <c r="S123" i="1"/>
  <c r="R123" i="1"/>
  <c r="Q123" i="1"/>
  <c r="V122" i="1"/>
  <c r="U122" i="1"/>
  <c r="T122" i="1"/>
  <c r="S122" i="1"/>
  <c r="R122" i="1"/>
  <c r="Q122" i="1"/>
  <c r="V121" i="1"/>
  <c r="U121" i="1"/>
  <c r="S121" i="1"/>
  <c r="R121" i="1"/>
  <c r="Q121" i="1"/>
  <c r="N121" i="1"/>
  <c r="J121" i="1"/>
  <c r="D121" i="1"/>
  <c r="V120" i="1"/>
  <c r="U120" i="1"/>
  <c r="T120" i="1"/>
  <c r="S120" i="1"/>
  <c r="R120" i="1"/>
  <c r="Q120" i="1"/>
  <c r="V119" i="1"/>
  <c r="U119" i="1"/>
  <c r="T119" i="1"/>
  <c r="S119" i="1"/>
  <c r="R119" i="1"/>
  <c r="Q119" i="1"/>
  <c r="V118" i="1"/>
  <c r="U118" i="1"/>
  <c r="S118" i="1"/>
  <c r="R118" i="1"/>
  <c r="Q118" i="1"/>
  <c r="N118" i="1"/>
  <c r="J118" i="1"/>
  <c r="D118" i="1"/>
  <c r="K118" i="1" s="1"/>
  <c r="V117" i="1"/>
  <c r="U117" i="1"/>
  <c r="T117" i="1"/>
  <c r="S117" i="1"/>
  <c r="R117" i="1"/>
  <c r="Q117" i="1"/>
  <c r="V116" i="1"/>
  <c r="U116" i="1"/>
  <c r="T116" i="1"/>
  <c r="S116" i="1"/>
  <c r="R116" i="1"/>
  <c r="Q116" i="1"/>
  <c r="V115" i="1"/>
  <c r="U115" i="1"/>
  <c r="S115" i="1"/>
  <c r="R115" i="1"/>
  <c r="Q115" i="1"/>
  <c r="N115" i="1"/>
  <c r="J115" i="1"/>
  <c r="D115" i="1"/>
  <c r="K115" i="1" s="1"/>
  <c r="V114" i="1"/>
  <c r="U114" i="1"/>
  <c r="T114" i="1"/>
  <c r="S114" i="1"/>
  <c r="R114" i="1"/>
  <c r="Q114" i="1"/>
  <c r="V113" i="1"/>
  <c r="U113" i="1"/>
  <c r="T113" i="1"/>
  <c r="S113" i="1"/>
  <c r="R113" i="1"/>
  <c r="Q113" i="1"/>
  <c r="V112" i="1"/>
  <c r="U112" i="1"/>
  <c r="S112" i="1"/>
  <c r="R112" i="1"/>
  <c r="Q112" i="1"/>
  <c r="N112" i="1"/>
  <c r="K112" i="1"/>
  <c r="J112" i="1"/>
  <c r="D112" i="1"/>
  <c r="V111" i="1"/>
  <c r="U111" i="1"/>
  <c r="T111" i="1"/>
  <c r="S111" i="1"/>
  <c r="R111" i="1"/>
  <c r="Q111" i="1"/>
  <c r="V108" i="1"/>
  <c r="U108" i="1"/>
  <c r="T108" i="1"/>
  <c r="S108" i="1"/>
  <c r="R108" i="1"/>
  <c r="Q108" i="1"/>
  <c r="V107" i="1"/>
  <c r="U107" i="1"/>
  <c r="S107" i="1"/>
  <c r="R107" i="1"/>
  <c r="Q107" i="1"/>
  <c r="N107" i="1"/>
  <c r="J107" i="1"/>
  <c r="D107" i="1"/>
  <c r="K107" i="1" s="1"/>
  <c r="V106" i="1"/>
  <c r="U106" i="1"/>
  <c r="T106" i="1"/>
  <c r="S106" i="1"/>
  <c r="R106" i="1"/>
  <c r="Q106" i="1"/>
  <c r="V105" i="1"/>
  <c r="U105" i="1"/>
  <c r="T105" i="1"/>
  <c r="S105" i="1"/>
  <c r="R105" i="1"/>
  <c r="Q105" i="1"/>
  <c r="V104" i="1"/>
  <c r="U104" i="1"/>
  <c r="S104" i="1"/>
  <c r="R104" i="1"/>
  <c r="Q104" i="1"/>
  <c r="N104" i="1"/>
  <c r="J104" i="1"/>
  <c r="D104" i="1"/>
  <c r="V103" i="1"/>
  <c r="U103" i="1"/>
  <c r="T103" i="1"/>
  <c r="S103" i="1"/>
  <c r="R103" i="1"/>
  <c r="Q103" i="1"/>
  <c r="V102" i="1"/>
  <c r="U102" i="1"/>
  <c r="T102" i="1"/>
  <c r="S102" i="1"/>
  <c r="R102" i="1"/>
  <c r="Q102" i="1"/>
  <c r="V101" i="1"/>
  <c r="U101" i="1"/>
  <c r="S101" i="1"/>
  <c r="R101" i="1"/>
  <c r="Q101" i="1"/>
  <c r="N101" i="1"/>
  <c r="J101" i="1"/>
  <c r="D101" i="1"/>
  <c r="K101" i="1" s="1"/>
  <c r="V100" i="1"/>
  <c r="U100" i="1"/>
  <c r="T100" i="1"/>
  <c r="S100" i="1"/>
  <c r="R100" i="1"/>
  <c r="Q100" i="1"/>
  <c r="V99" i="1"/>
  <c r="U99" i="1"/>
  <c r="T99" i="1"/>
  <c r="S99" i="1"/>
  <c r="R99" i="1"/>
  <c r="Q99" i="1"/>
  <c r="V98" i="1"/>
  <c r="U98" i="1"/>
  <c r="S98" i="1"/>
  <c r="R98" i="1"/>
  <c r="Q98" i="1"/>
  <c r="N98" i="1"/>
  <c r="J98" i="1"/>
  <c r="D98" i="1"/>
  <c r="V97" i="1"/>
  <c r="U97" i="1"/>
  <c r="T97" i="1"/>
  <c r="S97" i="1"/>
  <c r="R97" i="1"/>
  <c r="Q97" i="1"/>
  <c r="V96" i="1"/>
  <c r="U96" i="1"/>
  <c r="T96" i="1"/>
  <c r="S96" i="1"/>
  <c r="R96" i="1"/>
  <c r="Q96" i="1"/>
  <c r="V95" i="1"/>
  <c r="U95" i="1"/>
  <c r="S95" i="1"/>
  <c r="R95" i="1"/>
  <c r="Q95" i="1"/>
  <c r="N95" i="1"/>
  <c r="J95" i="1"/>
  <c r="D95" i="1"/>
  <c r="K95" i="1" s="1"/>
  <c r="V94" i="1"/>
  <c r="U94" i="1"/>
  <c r="T94" i="1"/>
  <c r="S94" i="1"/>
  <c r="R94" i="1"/>
  <c r="Q94" i="1"/>
  <c r="V93" i="1"/>
  <c r="U93" i="1"/>
  <c r="T93" i="1"/>
  <c r="S93" i="1"/>
  <c r="R93" i="1"/>
  <c r="Q93" i="1"/>
  <c r="V92" i="1"/>
  <c r="U92" i="1"/>
  <c r="S92" i="1"/>
  <c r="R92" i="1"/>
  <c r="Q92" i="1"/>
  <c r="N92" i="1"/>
  <c r="J92" i="1"/>
  <c r="D92" i="1"/>
  <c r="V91" i="1"/>
  <c r="U91" i="1"/>
  <c r="T91" i="1"/>
  <c r="S91" i="1"/>
  <c r="R91" i="1"/>
  <c r="Q91" i="1"/>
  <c r="V90" i="1"/>
  <c r="U90" i="1"/>
  <c r="T90" i="1"/>
  <c r="S90" i="1"/>
  <c r="R90" i="1"/>
  <c r="Q90" i="1"/>
  <c r="V89" i="1"/>
  <c r="U89" i="1"/>
  <c r="S89" i="1"/>
  <c r="R89" i="1"/>
  <c r="Q89" i="1"/>
  <c r="N89" i="1"/>
  <c r="J89" i="1"/>
  <c r="D89" i="1"/>
  <c r="K89" i="1" s="1"/>
  <c r="V88" i="1"/>
  <c r="U88" i="1"/>
  <c r="T88" i="1"/>
  <c r="S88" i="1"/>
  <c r="R88" i="1"/>
  <c r="Q88" i="1"/>
  <c r="V87" i="1"/>
  <c r="U87" i="1"/>
  <c r="T87" i="1"/>
  <c r="S87" i="1"/>
  <c r="R87" i="1"/>
  <c r="Q87" i="1"/>
  <c r="V86" i="1"/>
  <c r="U86" i="1"/>
  <c r="S86" i="1"/>
  <c r="R86" i="1"/>
  <c r="Q86" i="1"/>
  <c r="N86" i="1"/>
  <c r="J86" i="1"/>
  <c r="D86" i="1"/>
  <c r="V85" i="1"/>
  <c r="U85" i="1"/>
  <c r="T85" i="1"/>
  <c r="S85" i="1"/>
  <c r="R85" i="1"/>
  <c r="Q85" i="1"/>
  <c r="V84" i="1"/>
  <c r="U84" i="1"/>
  <c r="T84" i="1"/>
  <c r="S84" i="1"/>
  <c r="R84" i="1"/>
  <c r="Q84" i="1"/>
  <c r="V83" i="1"/>
  <c r="U83" i="1"/>
  <c r="S83" i="1"/>
  <c r="R83" i="1"/>
  <c r="Q83" i="1"/>
  <c r="N83" i="1"/>
  <c r="J83" i="1"/>
  <c r="D83" i="1"/>
  <c r="V82" i="1"/>
  <c r="U82" i="1"/>
  <c r="T82" i="1"/>
  <c r="S82" i="1"/>
  <c r="R82" i="1"/>
  <c r="Q82" i="1"/>
  <c r="V81" i="1"/>
  <c r="U81" i="1"/>
  <c r="T81" i="1"/>
  <c r="S81" i="1"/>
  <c r="R81" i="1"/>
  <c r="Q81" i="1"/>
  <c r="V80" i="1"/>
  <c r="U80" i="1"/>
  <c r="S80" i="1"/>
  <c r="R80" i="1"/>
  <c r="Q80" i="1"/>
  <c r="N80" i="1"/>
  <c r="J80" i="1"/>
  <c r="D80" i="1"/>
  <c r="V79" i="1"/>
  <c r="U79" i="1"/>
  <c r="T79" i="1"/>
  <c r="S79" i="1"/>
  <c r="R79" i="1"/>
  <c r="Q79" i="1"/>
  <c r="V78" i="1"/>
  <c r="U78" i="1"/>
  <c r="T78" i="1"/>
  <c r="S78" i="1"/>
  <c r="R78" i="1"/>
  <c r="Q78" i="1"/>
  <c r="V77" i="1"/>
  <c r="U77" i="1"/>
  <c r="S77" i="1"/>
  <c r="R77" i="1"/>
  <c r="Q77" i="1"/>
  <c r="N77" i="1"/>
  <c r="J77" i="1"/>
  <c r="D77" i="1"/>
  <c r="K77" i="1" s="1"/>
  <c r="V76" i="1"/>
  <c r="U76" i="1"/>
  <c r="T76" i="1"/>
  <c r="S76" i="1"/>
  <c r="R76" i="1"/>
  <c r="Q76" i="1"/>
  <c r="V75" i="1"/>
  <c r="U75" i="1"/>
  <c r="T75" i="1"/>
  <c r="S75" i="1"/>
  <c r="R75" i="1"/>
  <c r="Q75" i="1"/>
  <c r="V74" i="1"/>
  <c r="U74" i="1"/>
  <c r="S74" i="1"/>
  <c r="R74" i="1"/>
  <c r="Q74" i="1"/>
  <c r="N74" i="1"/>
  <c r="J74" i="1"/>
  <c r="D74" i="1"/>
  <c r="V73" i="1"/>
  <c r="U73" i="1"/>
  <c r="T73" i="1"/>
  <c r="S73" i="1"/>
  <c r="R73" i="1"/>
  <c r="Q73" i="1"/>
  <c r="V72" i="1"/>
  <c r="U72" i="1"/>
  <c r="T72" i="1"/>
  <c r="S72" i="1"/>
  <c r="R72" i="1"/>
  <c r="Q72" i="1"/>
  <c r="V71" i="1"/>
  <c r="U71" i="1"/>
  <c r="S71" i="1"/>
  <c r="R71" i="1"/>
  <c r="Q71" i="1"/>
  <c r="N71" i="1"/>
  <c r="J71" i="1"/>
  <c r="D71" i="1"/>
  <c r="V70" i="1"/>
  <c r="U70" i="1"/>
  <c r="T70" i="1"/>
  <c r="S70" i="1"/>
  <c r="R70" i="1"/>
  <c r="Q70" i="1"/>
  <c r="J43" i="1"/>
  <c r="J63" i="1"/>
  <c r="D63" i="1"/>
  <c r="D60" i="1"/>
  <c r="J57" i="1"/>
  <c r="D57" i="1"/>
  <c r="D43" i="1"/>
  <c r="V41" i="1"/>
  <c r="U41" i="1"/>
  <c r="T41" i="1"/>
  <c r="S41" i="1"/>
  <c r="R41" i="1"/>
  <c r="Q41" i="1"/>
  <c r="V40" i="1"/>
  <c r="U40" i="1"/>
  <c r="S40" i="1"/>
  <c r="R40" i="1"/>
  <c r="Q40" i="1"/>
  <c r="N40" i="1"/>
  <c r="J40" i="1"/>
  <c r="D40" i="1"/>
  <c r="K40" i="1" s="1"/>
  <c r="V39" i="1"/>
  <c r="U39" i="1"/>
  <c r="T39" i="1"/>
  <c r="S39" i="1"/>
  <c r="R39" i="1"/>
  <c r="Q39" i="1"/>
  <c r="J37" i="1"/>
  <c r="D37" i="1"/>
  <c r="J34" i="1"/>
  <c r="J31" i="1"/>
  <c r="V35" i="1"/>
  <c r="U35" i="1"/>
  <c r="T35" i="1"/>
  <c r="S35" i="1"/>
  <c r="R35" i="1"/>
  <c r="Q35" i="1"/>
  <c r="V34" i="1"/>
  <c r="U34" i="1"/>
  <c r="S34" i="1"/>
  <c r="R34" i="1"/>
  <c r="Q34" i="1"/>
  <c r="N34" i="1"/>
  <c r="D34" i="1"/>
  <c r="K34" i="1" s="1"/>
  <c r="V33" i="1"/>
  <c r="U33" i="1"/>
  <c r="T33" i="1"/>
  <c r="S33" i="1"/>
  <c r="R33" i="1"/>
  <c r="Q33" i="1"/>
  <c r="D31" i="1"/>
  <c r="D19" i="1"/>
  <c r="D22" i="1"/>
  <c r="O127" i="1" l="1"/>
  <c r="L127" i="1" s="1"/>
  <c r="O156" i="1"/>
  <c r="L156" i="1" s="1"/>
  <c r="P156" i="1" s="1"/>
  <c r="S156" i="1" s="1"/>
  <c r="P420" i="3"/>
  <c r="S420" i="3" s="1"/>
  <c r="P396" i="3"/>
  <c r="V396" i="3" s="1"/>
  <c r="P318" i="3"/>
  <c r="V318" i="3" s="1"/>
  <c r="P98" i="3"/>
  <c r="T98" i="3" s="1"/>
  <c r="R784" i="3"/>
  <c r="R786" i="3" s="1"/>
  <c r="P564" i="3"/>
  <c r="V564" i="3" s="1"/>
  <c r="P456" i="3"/>
  <c r="V456" i="3" s="1"/>
  <c r="L40" i="3"/>
  <c r="P40" i="3" s="1"/>
  <c r="T40" i="3" s="1"/>
  <c r="P282" i="3"/>
  <c r="U282" i="3" s="1"/>
  <c r="P219" i="3"/>
  <c r="S219" i="3" s="1"/>
  <c r="L66" i="3"/>
  <c r="P66" i="3" s="1"/>
  <c r="T66" i="3" s="1"/>
  <c r="P74" i="3"/>
  <c r="T74" i="3" s="1"/>
  <c r="P528" i="3"/>
  <c r="U528" i="3" s="1"/>
  <c r="L92" i="3"/>
  <c r="P92" i="3" s="1"/>
  <c r="T92" i="3" s="1"/>
  <c r="P192" i="3"/>
  <c r="V192" i="3" s="1"/>
  <c r="L118" i="3"/>
  <c r="P118" i="3" s="1"/>
  <c r="T118" i="3" s="1"/>
  <c r="P216" i="3"/>
  <c r="U216" i="3" s="1"/>
  <c r="P124" i="3"/>
  <c r="T124" i="3" s="1"/>
  <c r="L555" i="3"/>
  <c r="P555" i="3" s="1"/>
  <c r="V555" i="3" s="1"/>
  <c r="P480" i="3"/>
  <c r="U480" i="3" s="1"/>
  <c r="P444" i="3"/>
  <c r="V444" i="3" s="1"/>
  <c r="P504" i="3"/>
  <c r="U504" i="3" s="1"/>
  <c r="L25" i="3"/>
  <c r="P25" i="3"/>
  <c r="T25" i="3" s="1"/>
  <c r="P567" i="3"/>
  <c r="U567" i="3" s="1"/>
  <c r="L567" i="3"/>
  <c r="P468" i="3"/>
  <c r="U468" i="3" s="1"/>
  <c r="P492" i="3"/>
  <c r="S492" i="3" s="1"/>
  <c r="P408" i="3"/>
  <c r="V408" i="3" s="1"/>
  <c r="L201" i="3"/>
  <c r="P201" i="3" s="1"/>
  <c r="U201" i="3" s="1"/>
  <c r="L177" i="3"/>
  <c r="P177" i="3" s="1"/>
  <c r="U177" i="3" s="1"/>
  <c r="L127" i="3"/>
  <c r="P127" i="3" s="1"/>
  <c r="T127" i="3" s="1"/>
  <c r="L101" i="3"/>
  <c r="P101" i="3" s="1"/>
  <c r="T101" i="3" s="1"/>
  <c r="L77" i="3"/>
  <c r="P77" i="3" s="1"/>
  <c r="T77" i="3" s="1"/>
  <c r="L51" i="3"/>
  <c r="P51" i="3" s="1"/>
  <c r="T51" i="3" s="1"/>
  <c r="L37" i="3"/>
  <c r="P37" i="3" s="1"/>
  <c r="T37" i="3" s="1"/>
  <c r="L13" i="3"/>
  <c r="P13" i="3" s="1"/>
  <c r="T13" i="3" s="1"/>
  <c r="L543" i="3"/>
  <c r="P543" i="3" s="1"/>
  <c r="V543" i="3" s="1"/>
  <c r="P432" i="3"/>
  <c r="T432" i="3" s="1"/>
  <c r="L249" i="3"/>
  <c r="P249" i="3"/>
  <c r="U249" i="3" s="1"/>
  <c r="L213" i="3"/>
  <c r="P213" i="3" s="1"/>
  <c r="V213" i="3" s="1"/>
  <c r="L189" i="3"/>
  <c r="P189" i="3"/>
  <c r="V189" i="3" s="1"/>
  <c r="L115" i="3"/>
  <c r="P115" i="3" s="1"/>
  <c r="T115" i="3" s="1"/>
  <c r="L89" i="3"/>
  <c r="P89" i="3"/>
  <c r="T89" i="3" s="1"/>
  <c r="L63" i="3"/>
  <c r="P63" i="3" s="1"/>
  <c r="T63" i="3" s="1"/>
  <c r="O158" i="1"/>
  <c r="L158" i="1" s="1"/>
  <c r="P158" i="1" s="1"/>
  <c r="S158" i="1" s="1"/>
  <c r="O71" i="1"/>
  <c r="L71" i="1" s="1"/>
  <c r="L154" i="1"/>
  <c r="P154" i="1" s="1"/>
  <c r="S154" i="1" s="1"/>
  <c r="K127" i="1"/>
  <c r="O80" i="1"/>
  <c r="L80" i="1" s="1"/>
  <c r="P80" i="1" s="1"/>
  <c r="T80" i="1" s="1"/>
  <c r="O95" i="1"/>
  <c r="L95" i="1" s="1"/>
  <c r="K80" i="1"/>
  <c r="O98" i="1"/>
  <c r="L98" i="1" s="1"/>
  <c r="O104" i="1"/>
  <c r="L104" i="1" s="1"/>
  <c r="P104" i="1" s="1"/>
  <c r="T104" i="1" s="1"/>
  <c r="O112" i="1"/>
  <c r="L112" i="1" s="1"/>
  <c r="O115" i="1"/>
  <c r="L115" i="1" s="1"/>
  <c r="P127" i="1"/>
  <c r="T127" i="1" s="1"/>
  <c r="O83" i="1"/>
  <c r="L83" i="1" s="1"/>
  <c r="O121" i="1"/>
  <c r="L121" i="1" s="1"/>
  <c r="P121" i="1" s="1"/>
  <c r="T121" i="1" s="1"/>
  <c r="O124" i="1"/>
  <c r="L124" i="1" s="1"/>
  <c r="P124" i="1" s="1"/>
  <c r="T124" i="1" s="1"/>
  <c r="K121" i="1"/>
  <c r="O118" i="1"/>
  <c r="L118" i="1" s="1"/>
  <c r="O130" i="1"/>
  <c r="L130" i="1" s="1"/>
  <c r="K83" i="1"/>
  <c r="O86" i="1"/>
  <c r="L86" i="1" s="1"/>
  <c r="O92" i="1"/>
  <c r="O107" i="1"/>
  <c r="L107" i="1" s="1"/>
  <c r="K71" i="1"/>
  <c r="O74" i="1"/>
  <c r="L74" i="1" s="1"/>
  <c r="K104" i="1"/>
  <c r="K92" i="1"/>
  <c r="L92" i="1"/>
  <c r="P92" i="1" s="1"/>
  <c r="T92" i="1" s="1"/>
  <c r="P95" i="1"/>
  <c r="T95" i="1" s="1"/>
  <c r="K74" i="1"/>
  <c r="O77" i="1"/>
  <c r="L77" i="1" s="1"/>
  <c r="K86" i="1"/>
  <c r="O89" i="1"/>
  <c r="L89" i="1" s="1"/>
  <c r="K98" i="1"/>
  <c r="O101" i="1"/>
  <c r="O40" i="1"/>
  <c r="L40" i="1" s="1"/>
  <c r="O34" i="1"/>
  <c r="L34" i="1" s="1"/>
  <c r="P34" i="1" s="1"/>
  <c r="S784" i="3" l="1"/>
  <c r="S786" i="3" s="1"/>
  <c r="U784" i="3"/>
  <c r="U786" i="3" s="1"/>
  <c r="T784" i="3"/>
  <c r="T786" i="3" s="1"/>
  <c r="P71" i="1"/>
  <c r="T71" i="1" s="1"/>
  <c r="P83" i="1"/>
  <c r="T83" i="1" s="1"/>
  <c r="V784" i="3"/>
  <c r="V786" i="3" s="1"/>
  <c r="P118" i="1"/>
  <c r="T118" i="1" s="1"/>
  <c r="P98" i="1"/>
  <c r="T98" i="1" s="1"/>
  <c r="P107" i="1"/>
  <c r="T107" i="1" s="1"/>
  <c r="P112" i="1"/>
  <c r="T112" i="1" s="1"/>
  <c r="P115" i="1"/>
  <c r="T115" i="1" s="1"/>
  <c r="P130" i="1"/>
  <c r="T130" i="1" s="1"/>
  <c r="P74" i="1"/>
  <c r="T74" i="1" s="1"/>
  <c r="P86" i="1"/>
  <c r="T86" i="1" s="1"/>
  <c r="P89" i="1"/>
  <c r="T89" i="1" s="1"/>
  <c r="L101" i="1"/>
  <c r="P101" i="1" s="1"/>
  <c r="T101" i="1" s="1"/>
  <c r="P77" i="1"/>
  <c r="T77" i="1" s="1"/>
  <c r="P40" i="1"/>
  <c r="T40" i="1" s="1"/>
  <c r="T34" i="1"/>
  <c r="J28" i="1"/>
  <c r="J25" i="1"/>
  <c r="V29" i="1"/>
  <c r="U29" i="1"/>
  <c r="T29" i="1"/>
  <c r="S29" i="1"/>
  <c r="R29" i="1"/>
  <c r="Q29" i="1"/>
  <c r="V28" i="1"/>
  <c r="U28" i="1"/>
  <c r="S28" i="1"/>
  <c r="R28" i="1"/>
  <c r="Q28" i="1"/>
  <c r="N28" i="1"/>
  <c r="D28" i="1"/>
  <c r="V27" i="1"/>
  <c r="U27" i="1"/>
  <c r="T27" i="1"/>
  <c r="S27" i="1"/>
  <c r="R27" i="1"/>
  <c r="Q27" i="1"/>
  <c r="W786" i="3" l="1"/>
  <c r="O28" i="1"/>
  <c r="L28" i="1" s="1"/>
  <c r="K28" i="1"/>
  <c r="D25" i="1"/>
  <c r="J22" i="1"/>
  <c r="J19" i="1"/>
  <c r="V23" i="1"/>
  <c r="U23" i="1"/>
  <c r="T23" i="1"/>
  <c r="S23" i="1"/>
  <c r="R23" i="1"/>
  <c r="Q23" i="1"/>
  <c r="V22" i="1"/>
  <c r="U22" i="1"/>
  <c r="S22" i="1"/>
  <c r="R22" i="1"/>
  <c r="Q22" i="1"/>
  <c r="N22" i="1"/>
  <c r="O22" i="1" s="1"/>
  <c r="L22" i="1" s="1"/>
  <c r="V21" i="1"/>
  <c r="U21" i="1"/>
  <c r="T21" i="1"/>
  <c r="S21" i="1"/>
  <c r="R21" i="1"/>
  <c r="Q21" i="1"/>
  <c r="P28" i="1" l="1"/>
  <c r="T28" i="1" s="1"/>
  <c r="P22" i="1"/>
  <c r="T22" i="1" s="1"/>
  <c r="K22" i="1"/>
  <c r="V17" i="1" l="1"/>
  <c r="U17" i="1"/>
  <c r="T17" i="1"/>
  <c r="S17" i="1"/>
  <c r="R17" i="1"/>
  <c r="Q17" i="1"/>
  <c r="V16" i="1"/>
  <c r="U16" i="1"/>
  <c r="S16" i="1"/>
  <c r="R16" i="1"/>
  <c r="Q16" i="1"/>
  <c r="N16" i="1"/>
  <c r="J16" i="1"/>
  <c r="D16" i="1"/>
  <c r="K16" i="1" s="1"/>
  <c r="V15" i="1"/>
  <c r="U15" i="1"/>
  <c r="T15" i="1"/>
  <c r="S15" i="1"/>
  <c r="R15" i="1"/>
  <c r="Q15" i="1"/>
  <c r="J13" i="1"/>
  <c r="J7" i="1"/>
  <c r="J10" i="1"/>
  <c r="V11" i="1"/>
  <c r="U11" i="1"/>
  <c r="T11" i="1"/>
  <c r="S11" i="1"/>
  <c r="R11" i="1"/>
  <c r="Q11" i="1"/>
  <c r="V10" i="1"/>
  <c r="U10" i="1"/>
  <c r="S10" i="1"/>
  <c r="R10" i="1"/>
  <c r="Q10" i="1"/>
  <c r="N10" i="1"/>
  <c r="D10" i="1"/>
  <c r="K10" i="1" s="1"/>
  <c r="V9" i="1"/>
  <c r="U9" i="1"/>
  <c r="T9" i="1"/>
  <c r="S9" i="1"/>
  <c r="R9" i="1"/>
  <c r="Q9" i="1"/>
  <c r="O10" i="1" l="1"/>
  <c r="L10" i="1" s="1"/>
  <c r="O16" i="1"/>
  <c r="L16" i="1" s="1"/>
  <c r="P10" i="1" l="1"/>
  <c r="T10" i="1" s="1"/>
  <c r="P16" i="1"/>
  <c r="T16" i="1" s="1"/>
  <c r="Q170" i="1"/>
  <c r="R170" i="1"/>
  <c r="S170" i="1"/>
  <c r="T170" i="1"/>
  <c r="U170" i="1"/>
  <c r="V170" i="1"/>
  <c r="Q173" i="1"/>
  <c r="R173" i="1"/>
  <c r="S173" i="1"/>
  <c r="T173" i="1"/>
  <c r="U173" i="1"/>
  <c r="V173" i="1"/>
  <c r="J778" i="1" l="1"/>
  <c r="J775" i="1"/>
  <c r="J772" i="1"/>
  <c r="V779" i="1"/>
  <c r="U779" i="1"/>
  <c r="T779" i="1"/>
  <c r="S779" i="1"/>
  <c r="R779" i="1"/>
  <c r="Q779" i="1"/>
  <c r="V778" i="1"/>
  <c r="U778" i="1"/>
  <c r="R778" i="1"/>
  <c r="Q778" i="1"/>
  <c r="N778" i="1"/>
  <c r="O778" i="1" s="1"/>
  <c r="L778" i="1" s="1"/>
  <c r="K778" i="1"/>
  <c r="V777" i="1"/>
  <c r="U777" i="1"/>
  <c r="T777" i="1"/>
  <c r="S777" i="1"/>
  <c r="R777" i="1"/>
  <c r="Q777" i="1"/>
  <c r="V776" i="1"/>
  <c r="U776" i="1"/>
  <c r="T776" i="1"/>
  <c r="S776" i="1"/>
  <c r="R776" i="1"/>
  <c r="Q776" i="1"/>
  <c r="V775" i="1"/>
  <c r="T775" i="1"/>
  <c r="R775" i="1"/>
  <c r="Q775" i="1"/>
  <c r="N775" i="1"/>
  <c r="O775" i="1" s="1"/>
  <c r="L775" i="1" s="1"/>
  <c r="K775" i="1"/>
  <c r="V774" i="1"/>
  <c r="U774" i="1"/>
  <c r="T774" i="1"/>
  <c r="S774" i="1"/>
  <c r="R774" i="1"/>
  <c r="Q774" i="1"/>
  <c r="V773" i="1"/>
  <c r="U773" i="1"/>
  <c r="T773" i="1"/>
  <c r="S773" i="1"/>
  <c r="R773" i="1"/>
  <c r="Q773" i="1"/>
  <c r="V772" i="1"/>
  <c r="U772" i="1"/>
  <c r="T772" i="1"/>
  <c r="Q772" i="1"/>
  <c r="O772" i="1"/>
  <c r="L772" i="1" s="1"/>
  <c r="K772" i="1"/>
  <c r="V771" i="1"/>
  <c r="U771" i="1"/>
  <c r="T771" i="1"/>
  <c r="S771" i="1"/>
  <c r="R771" i="1"/>
  <c r="Q771" i="1"/>
  <c r="J769" i="1"/>
  <c r="V770" i="1"/>
  <c r="U770" i="1"/>
  <c r="T770" i="1"/>
  <c r="S770" i="1"/>
  <c r="R770" i="1"/>
  <c r="Q770" i="1"/>
  <c r="V769" i="1"/>
  <c r="U769" i="1"/>
  <c r="T769" i="1"/>
  <c r="R769" i="1"/>
  <c r="Q769" i="1"/>
  <c r="N769" i="1"/>
  <c r="O769" i="1" s="1"/>
  <c r="L769" i="1" s="1"/>
  <c r="K769" i="1"/>
  <c r="V768" i="1"/>
  <c r="U768" i="1"/>
  <c r="T768" i="1"/>
  <c r="S768" i="1"/>
  <c r="R768" i="1"/>
  <c r="Q768" i="1"/>
  <c r="J766" i="1"/>
  <c r="V767" i="1"/>
  <c r="U767" i="1"/>
  <c r="T767" i="1"/>
  <c r="S767" i="1"/>
  <c r="R767" i="1"/>
  <c r="Q767" i="1"/>
  <c r="V766" i="1"/>
  <c r="U766" i="1"/>
  <c r="R766" i="1"/>
  <c r="Q766" i="1"/>
  <c r="N766" i="1"/>
  <c r="O766" i="1" s="1"/>
  <c r="L766" i="1" s="1"/>
  <c r="K766" i="1"/>
  <c r="V765" i="1"/>
  <c r="U765" i="1"/>
  <c r="T765" i="1"/>
  <c r="S765" i="1"/>
  <c r="R765" i="1"/>
  <c r="Q765" i="1"/>
  <c r="V764" i="1"/>
  <c r="U764" i="1"/>
  <c r="T764" i="1"/>
  <c r="S764" i="1"/>
  <c r="R764" i="1"/>
  <c r="Q764" i="1"/>
  <c r="U763" i="1"/>
  <c r="T763" i="1"/>
  <c r="R763" i="1"/>
  <c r="Q763" i="1"/>
  <c r="N763" i="1"/>
  <c r="O763" i="1" s="1"/>
  <c r="L763" i="1" s="1"/>
  <c r="K763" i="1"/>
  <c r="J763" i="1"/>
  <c r="V762" i="1"/>
  <c r="U762" i="1"/>
  <c r="T762" i="1"/>
  <c r="S762" i="1"/>
  <c r="R762" i="1"/>
  <c r="Q762" i="1"/>
  <c r="J760" i="1"/>
  <c r="J757" i="1"/>
  <c r="V761" i="1"/>
  <c r="U761" i="1"/>
  <c r="T761" i="1"/>
  <c r="S761" i="1"/>
  <c r="R761" i="1"/>
  <c r="Q761" i="1"/>
  <c r="V760" i="1"/>
  <c r="U760" i="1"/>
  <c r="S760" i="1"/>
  <c r="Q760" i="1"/>
  <c r="N760" i="1"/>
  <c r="O760" i="1" s="1"/>
  <c r="L760" i="1" s="1"/>
  <c r="K760" i="1"/>
  <c r="V759" i="1"/>
  <c r="U759" i="1"/>
  <c r="T759" i="1"/>
  <c r="S759" i="1"/>
  <c r="R759" i="1"/>
  <c r="Q759" i="1"/>
  <c r="V758" i="1"/>
  <c r="U758" i="1"/>
  <c r="T758" i="1"/>
  <c r="S758" i="1"/>
  <c r="R758" i="1"/>
  <c r="Q758" i="1"/>
  <c r="U757" i="1"/>
  <c r="S757" i="1"/>
  <c r="R757" i="1"/>
  <c r="Q757" i="1"/>
  <c r="N757" i="1"/>
  <c r="O757" i="1" s="1"/>
  <c r="L757" i="1" s="1"/>
  <c r="K757" i="1"/>
  <c r="V756" i="1"/>
  <c r="U756" i="1"/>
  <c r="T756" i="1"/>
  <c r="S756" i="1"/>
  <c r="R756" i="1"/>
  <c r="Q756" i="1"/>
  <c r="J754" i="1"/>
  <c r="V755" i="1"/>
  <c r="U755" i="1"/>
  <c r="T755" i="1"/>
  <c r="S755" i="1"/>
  <c r="R755" i="1"/>
  <c r="Q755" i="1"/>
  <c r="V754" i="1"/>
  <c r="U754" i="1"/>
  <c r="S754" i="1"/>
  <c r="Q754" i="1"/>
  <c r="N754" i="1"/>
  <c r="O754" i="1" s="1"/>
  <c r="L754" i="1" s="1"/>
  <c r="K754" i="1"/>
  <c r="V753" i="1"/>
  <c r="U753" i="1"/>
  <c r="T753" i="1"/>
  <c r="S753" i="1"/>
  <c r="R753" i="1"/>
  <c r="Q753" i="1"/>
  <c r="J751" i="1"/>
  <c r="J748" i="1"/>
  <c r="V752" i="1"/>
  <c r="U752" i="1"/>
  <c r="T752" i="1"/>
  <c r="S752" i="1"/>
  <c r="R752" i="1"/>
  <c r="Q752" i="1"/>
  <c r="V751" i="1"/>
  <c r="U751" i="1"/>
  <c r="R751" i="1"/>
  <c r="Q751" i="1"/>
  <c r="N751" i="1"/>
  <c r="O751" i="1" s="1"/>
  <c r="L751" i="1" s="1"/>
  <c r="K751" i="1"/>
  <c r="V750" i="1"/>
  <c r="U750" i="1"/>
  <c r="T750" i="1"/>
  <c r="S750" i="1"/>
  <c r="R750" i="1"/>
  <c r="Q750" i="1"/>
  <c r="V749" i="1"/>
  <c r="U749" i="1"/>
  <c r="T749" i="1"/>
  <c r="S749" i="1"/>
  <c r="R749" i="1"/>
  <c r="Q749" i="1"/>
  <c r="V748" i="1"/>
  <c r="T748" i="1"/>
  <c r="R748" i="1"/>
  <c r="Q748" i="1"/>
  <c r="N748" i="1"/>
  <c r="O748" i="1" s="1"/>
  <c r="L748" i="1" s="1"/>
  <c r="K748" i="1"/>
  <c r="V747" i="1"/>
  <c r="U747" i="1"/>
  <c r="T747" i="1"/>
  <c r="S747" i="1"/>
  <c r="R747" i="1"/>
  <c r="Q747" i="1"/>
  <c r="J745" i="1"/>
  <c r="V746" i="1"/>
  <c r="U746" i="1"/>
  <c r="T746" i="1"/>
  <c r="S746" i="1"/>
  <c r="R746" i="1"/>
  <c r="Q746" i="1"/>
  <c r="V745" i="1"/>
  <c r="U745" i="1"/>
  <c r="T745" i="1"/>
  <c r="R745" i="1"/>
  <c r="Q745" i="1"/>
  <c r="N745" i="1"/>
  <c r="O745" i="1" s="1"/>
  <c r="L745" i="1" s="1"/>
  <c r="K745" i="1"/>
  <c r="V744" i="1"/>
  <c r="U744" i="1"/>
  <c r="T744" i="1"/>
  <c r="S744" i="1"/>
  <c r="R744" i="1"/>
  <c r="Q744" i="1"/>
  <c r="J742" i="1"/>
  <c r="J739" i="1"/>
  <c r="J736" i="1"/>
  <c r="J733" i="1"/>
  <c r="V743" i="1"/>
  <c r="U743" i="1"/>
  <c r="T743" i="1"/>
  <c r="S743" i="1"/>
  <c r="R743" i="1"/>
  <c r="Q743" i="1"/>
  <c r="V742" i="1"/>
  <c r="U742" i="1"/>
  <c r="R742" i="1"/>
  <c r="Q742" i="1"/>
  <c r="N742" i="1"/>
  <c r="O742" i="1" s="1"/>
  <c r="L742" i="1" s="1"/>
  <c r="K742" i="1"/>
  <c r="V741" i="1"/>
  <c r="U741" i="1"/>
  <c r="T741" i="1"/>
  <c r="S741" i="1"/>
  <c r="R741" i="1"/>
  <c r="Q741" i="1"/>
  <c r="V740" i="1"/>
  <c r="U740" i="1"/>
  <c r="T740" i="1"/>
  <c r="S740" i="1"/>
  <c r="R740" i="1"/>
  <c r="Q740" i="1"/>
  <c r="V739" i="1"/>
  <c r="T739" i="1"/>
  <c r="S739" i="1"/>
  <c r="R739" i="1"/>
  <c r="Q739" i="1"/>
  <c r="N739" i="1"/>
  <c r="O739" i="1" s="1"/>
  <c r="L739" i="1" s="1"/>
  <c r="K739" i="1"/>
  <c r="V738" i="1"/>
  <c r="U738" i="1"/>
  <c r="T738" i="1"/>
  <c r="S738" i="1"/>
  <c r="R738" i="1"/>
  <c r="Q738" i="1"/>
  <c r="V737" i="1"/>
  <c r="U737" i="1"/>
  <c r="T737" i="1"/>
  <c r="S737" i="1"/>
  <c r="R737" i="1"/>
  <c r="Q737" i="1"/>
  <c r="V736" i="1"/>
  <c r="U736" i="1"/>
  <c r="S736" i="1"/>
  <c r="R736" i="1"/>
  <c r="Q736" i="1"/>
  <c r="N736" i="1"/>
  <c r="O736" i="1" s="1"/>
  <c r="L736" i="1" s="1"/>
  <c r="K736" i="1"/>
  <c r="V735" i="1"/>
  <c r="U735" i="1"/>
  <c r="T735" i="1"/>
  <c r="S735" i="1"/>
  <c r="R735" i="1"/>
  <c r="Q735" i="1"/>
  <c r="V734" i="1"/>
  <c r="U734" i="1"/>
  <c r="T734" i="1"/>
  <c r="S734" i="1"/>
  <c r="R734" i="1"/>
  <c r="Q734" i="1"/>
  <c r="V733" i="1"/>
  <c r="T733" i="1"/>
  <c r="S733" i="1"/>
  <c r="R733" i="1"/>
  <c r="Q733" i="1"/>
  <c r="N733" i="1"/>
  <c r="O733" i="1" s="1"/>
  <c r="L733" i="1" s="1"/>
  <c r="K733" i="1"/>
  <c r="V732" i="1"/>
  <c r="U732" i="1"/>
  <c r="T732" i="1"/>
  <c r="S732" i="1"/>
  <c r="R732" i="1"/>
  <c r="Q732" i="1"/>
  <c r="J730" i="1"/>
  <c r="J727" i="1"/>
  <c r="V731" i="1"/>
  <c r="U731" i="1"/>
  <c r="T731" i="1"/>
  <c r="S731" i="1"/>
  <c r="R731" i="1"/>
  <c r="Q731" i="1"/>
  <c r="V730" i="1"/>
  <c r="S730" i="1"/>
  <c r="R730" i="1"/>
  <c r="Q730" i="1"/>
  <c r="N730" i="1"/>
  <c r="O730" i="1" s="1"/>
  <c r="L730" i="1" s="1"/>
  <c r="K730" i="1"/>
  <c r="V729" i="1"/>
  <c r="U729" i="1"/>
  <c r="T729" i="1"/>
  <c r="S729" i="1"/>
  <c r="R729" i="1"/>
  <c r="Q729" i="1"/>
  <c r="V728" i="1"/>
  <c r="U728" i="1"/>
  <c r="T728" i="1"/>
  <c r="S728" i="1"/>
  <c r="R728" i="1"/>
  <c r="Q728" i="1"/>
  <c r="V727" i="1"/>
  <c r="S727" i="1"/>
  <c r="R727" i="1"/>
  <c r="Q727" i="1"/>
  <c r="N727" i="1"/>
  <c r="O727" i="1" s="1"/>
  <c r="L727" i="1" s="1"/>
  <c r="K727" i="1"/>
  <c r="V726" i="1"/>
  <c r="U726" i="1"/>
  <c r="T726" i="1"/>
  <c r="S726" i="1"/>
  <c r="R726" i="1"/>
  <c r="Q726" i="1"/>
  <c r="J724" i="1"/>
  <c r="J721" i="1"/>
  <c r="J718" i="1"/>
  <c r="V725" i="1"/>
  <c r="U725" i="1"/>
  <c r="T725" i="1"/>
  <c r="S725" i="1"/>
  <c r="R725" i="1"/>
  <c r="Q725" i="1"/>
  <c r="V724" i="1"/>
  <c r="S724" i="1"/>
  <c r="R724" i="1"/>
  <c r="Q724" i="1"/>
  <c r="N724" i="1"/>
  <c r="O724" i="1" s="1"/>
  <c r="L724" i="1" s="1"/>
  <c r="K724" i="1"/>
  <c r="V723" i="1"/>
  <c r="U723" i="1"/>
  <c r="T723" i="1"/>
  <c r="S723" i="1"/>
  <c r="R723" i="1"/>
  <c r="Q723" i="1"/>
  <c r="V722" i="1"/>
  <c r="U722" i="1"/>
  <c r="T722" i="1"/>
  <c r="S722" i="1"/>
  <c r="R722" i="1"/>
  <c r="Q722" i="1"/>
  <c r="V721" i="1"/>
  <c r="T721" i="1"/>
  <c r="S721" i="1"/>
  <c r="R721" i="1"/>
  <c r="Q721" i="1"/>
  <c r="N721" i="1"/>
  <c r="O721" i="1" s="1"/>
  <c r="L721" i="1" s="1"/>
  <c r="K721" i="1"/>
  <c r="V720" i="1"/>
  <c r="U720" i="1"/>
  <c r="T720" i="1"/>
  <c r="S720" i="1"/>
  <c r="R720" i="1"/>
  <c r="Q720" i="1"/>
  <c r="V719" i="1"/>
  <c r="U719" i="1"/>
  <c r="T719" i="1"/>
  <c r="S719" i="1"/>
  <c r="R719" i="1"/>
  <c r="Q719" i="1"/>
  <c r="V718" i="1"/>
  <c r="U718" i="1"/>
  <c r="R718" i="1"/>
  <c r="Q718" i="1"/>
  <c r="N718" i="1"/>
  <c r="O718" i="1" s="1"/>
  <c r="L718" i="1" s="1"/>
  <c r="K718" i="1"/>
  <c r="V717" i="1"/>
  <c r="U717" i="1"/>
  <c r="T717" i="1"/>
  <c r="S717" i="1"/>
  <c r="R717" i="1"/>
  <c r="Q717" i="1"/>
  <c r="P772" i="1" l="1"/>
  <c r="P754" i="1"/>
  <c r="T754" i="1" s="1"/>
  <c r="P778" i="1"/>
  <c r="P775" i="1"/>
  <c r="P769" i="1"/>
  <c r="S769" i="1" s="1"/>
  <c r="P763" i="1"/>
  <c r="P766" i="1"/>
  <c r="P760" i="1"/>
  <c r="P757" i="1"/>
  <c r="P751" i="1"/>
  <c r="P748" i="1"/>
  <c r="P745" i="1"/>
  <c r="S745" i="1" s="1"/>
  <c r="P742" i="1"/>
  <c r="P739" i="1"/>
  <c r="U739" i="1" s="1"/>
  <c r="P736" i="1"/>
  <c r="T736" i="1" s="1"/>
  <c r="P733" i="1"/>
  <c r="U733" i="1" s="1"/>
  <c r="P730" i="1"/>
  <c r="P727" i="1"/>
  <c r="P718" i="1"/>
  <c r="P721" i="1"/>
  <c r="U721" i="1" s="1"/>
  <c r="P724" i="1"/>
  <c r="V716" i="1"/>
  <c r="U716" i="1"/>
  <c r="T716" i="1"/>
  <c r="S716" i="1"/>
  <c r="R716" i="1"/>
  <c r="Q716" i="1"/>
  <c r="V715" i="1"/>
  <c r="U715" i="1"/>
  <c r="S715" i="1"/>
  <c r="R715" i="1"/>
  <c r="Q715" i="1"/>
  <c r="N715" i="1"/>
  <c r="O715" i="1" s="1"/>
  <c r="L715" i="1" s="1"/>
  <c r="K715" i="1"/>
  <c r="J715" i="1"/>
  <c r="V714" i="1"/>
  <c r="U714" i="1"/>
  <c r="T714" i="1"/>
  <c r="S714" i="1"/>
  <c r="R714" i="1"/>
  <c r="Q714" i="1"/>
  <c r="V713" i="1"/>
  <c r="U713" i="1"/>
  <c r="T713" i="1"/>
  <c r="S713" i="1"/>
  <c r="R713" i="1"/>
  <c r="Q713" i="1"/>
  <c r="V712" i="1"/>
  <c r="T712" i="1"/>
  <c r="S712" i="1"/>
  <c r="R712" i="1"/>
  <c r="Q712" i="1"/>
  <c r="N712" i="1"/>
  <c r="O712" i="1" s="1"/>
  <c r="L712" i="1" s="1"/>
  <c r="K712" i="1"/>
  <c r="J712" i="1"/>
  <c r="V711" i="1"/>
  <c r="U711" i="1"/>
  <c r="T711" i="1"/>
  <c r="S711" i="1"/>
  <c r="R711" i="1"/>
  <c r="Q711" i="1"/>
  <c r="V710" i="1"/>
  <c r="U710" i="1"/>
  <c r="T710" i="1"/>
  <c r="S710" i="1"/>
  <c r="R710" i="1"/>
  <c r="Q710" i="1"/>
  <c r="V709" i="1"/>
  <c r="U709" i="1"/>
  <c r="T709" i="1"/>
  <c r="Q709" i="1"/>
  <c r="N709" i="1"/>
  <c r="O709" i="1" s="1"/>
  <c r="L709" i="1" s="1"/>
  <c r="K709" i="1"/>
  <c r="J709" i="1"/>
  <c r="V708" i="1"/>
  <c r="U708" i="1"/>
  <c r="T708" i="1"/>
  <c r="S708" i="1"/>
  <c r="R708" i="1"/>
  <c r="Q708" i="1"/>
  <c r="J706" i="1"/>
  <c r="J703" i="1"/>
  <c r="V707" i="1"/>
  <c r="U707" i="1"/>
  <c r="T707" i="1"/>
  <c r="S707" i="1"/>
  <c r="R707" i="1"/>
  <c r="Q707" i="1"/>
  <c r="V706" i="1"/>
  <c r="U706" i="1"/>
  <c r="S706" i="1"/>
  <c r="Q706" i="1"/>
  <c r="N706" i="1"/>
  <c r="O706" i="1" s="1"/>
  <c r="L706" i="1" s="1"/>
  <c r="K706" i="1"/>
  <c r="V705" i="1"/>
  <c r="U705" i="1"/>
  <c r="T705" i="1"/>
  <c r="S705" i="1"/>
  <c r="R705" i="1"/>
  <c r="Q705" i="1"/>
  <c r="V704" i="1"/>
  <c r="U704" i="1"/>
  <c r="T704" i="1"/>
  <c r="S704" i="1"/>
  <c r="R704" i="1"/>
  <c r="Q704" i="1"/>
  <c r="V703" i="1"/>
  <c r="U703" i="1"/>
  <c r="T703" i="1"/>
  <c r="S703" i="1"/>
  <c r="Q703" i="1"/>
  <c r="N703" i="1"/>
  <c r="O703" i="1" s="1"/>
  <c r="L703" i="1" s="1"/>
  <c r="K703" i="1"/>
  <c r="V702" i="1"/>
  <c r="U702" i="1"/>
  <c r="T702" i="1"/>
  <c r="S702" i="1"/>
  <c r="R702" i="1"/>
  <c r="Q702" i="1"/>
  <c r="J700" i="1"/>
  <c r="V701" i="1"/>
  <c r="U701" i="1"/>
  <c r="T701" i="1"/>
  <c r="S701" i="1"/>
  <c r="R701" i="1"/>
  <c r="Q701" i="1"/>
  <c r="V700" i="1"/>
  <c r="U700" i="1"/>
  <c r="T700" i="1"/>
  <c r="S700" i="1"/>
  <c r="Q700" i="1"/>
  <c r="N700" i="1"/>
  <c r="O700" i="1" s="1"/>
  <c r="K700" i="1"/>
  <c r="V699" i="1"/>
  <c r="U699" i="1"/>
  <c r="T699" i="1"/>
  <c r="S699" i="1"/>
  <c r="R699" i="1"/>
  <c r="Q699" i="1"/>
  <c r="J697" i="1"/>
  <c r="V698" i="1"/>
  <c r="U698" i="1"/>
  <c r="T698" i="1"/>
  <c r="S698" i="1"/>
  <c r="R698" i="1"/>
  <c r="Q698" i="1"/>
  <c r="V697" i="1"/>
  <c r="U697" i="1"/>
  <c r="T697" i="1"/>
  <c r="S697" i="1"/>
  <c r="Q697" i="1"/>
  <c r="N697" i="1"/>
  <c r="O697" i="1" s="1"/>
  <c r="L697" i="1" s="1"/>
  <c r="K697" i="1"/>
  <c r="V696" i="1"/>
  <c r="U696" i="1"/>
  <c r="T696" i="1"/>
  <c r="S696" i="1"/>
  <c r="R696" i="1"/>
  <c r="Q696" i="1"/>
  <c r="J694" i="1"/>
  <c r="V695" i="1"/>
  <c r="U695" i="1"/>
  <c r="T695" i="1"/>
  <c r="S695" i="1"/>
  <c r="R695" i="1"/>
  <c r="Q695" i="1"/>
  <c r="V694" i="1"/>
  <c r="U694" i="1"/>
  <c r="T694" i="1"/>
  <c r="S694" i="1"/>
  <c r="Q694" i="1"/>
  <c r="N694" i="1"/>
  <c r="O694" i="1" s="1"/>
  <c r="L694" i="1" s="1"/>
  <c r="K694" i="1"/>
  <c r="V693" i="1"/>
  <c r="U693" i="1"/>
  <c r="T693" i="1"/>
  <c r="S693" i="1"/>
  <c r="R693" i="1"/>
  <c r="Q693" i="1"/>
  <c r="J691" i="1"/>
  <c r="V692" i="1"/>
  <c r="U692" i="1"/>
  <c r="T692" i="1"/>
  <c r="S692" i="1"/>
  <c r="R692" i="1"/>
  <c r="Q692" i="1"/>
  <c r="V691" i="1"/>
  <c r="U691" i="1"/>
  <c r="T691" i="1"/>
  <c r="Q691" i="1"/>
  <c r="N691" i="1"/>
  <c r="O691" i="1" s="1"/>
  <c r="L691" i="1" s="1"/>
  <c r="K691" i="1"/>
  <c r="V690" i="1"/>
  <c r="U690" i="1"/>
  <c r="T690" i="1"/>
  <c r="S690" i="1"/>
  <c r="R690" i="1"/>
  <c r="Q690" i="1"/>
  <c r="J688" i="1"/>
  <c r="V689" i="1"/>
  <c r="U689" i="1"/>
  <c r="T689" i="1"/>
  <c r="S689" i="1"/>
  <c r="R689" i="1"/>
  <c r="Q689" i="1"/>
  <c r="V688" i="1"/>
  <c r="U688" i="1"/>
  <c r="R688" i="1"/>
  <c r="Q688" i="1"/>
  <c r="N688" i="1"/>
  <c r="O688" i="1" s="1"/>
  <c r="L688" i="1" s="1"/>
  <c r="K688" i="1"/>
  <c r="V687" i="1"/>
  <c r="U687" i="1"/>
  <c r="T687" i="1"/>
  <c r="S687" i="1"/>
  <c r="R687" i="1"/>
  <c r="Q687" i="1"/>
  <c r="J685" i="1"/>
  <c r="V686" i="1"/>
  <c r="U686" i="1"/>
  <c r="T686" i="1"/>
  <c r="S686" i="1"/>
  <c r="R686" i="1"/>
  <c r="Q686" i="1"/>
  <c r="V685" i="1"/>
  <c r="U685" i="1"/>
  <c r="S685" i="1"/>
  <c r="R685" i="1"/>
  <c r="Q685" i="1"/>
  <c r="N685" i="1"/>
  <c r="O685" i="1" s="1"/>
  <c r="K685" i="1"/>
  <c r="V684" i="1"/>
  <c r="U684" i="1"/>
  <c r="T684" i="1"/>
  <c r="S684" i="1"/>
  <c r="R684" i="1"/>
  <c r="Q684" i="1"/>
  <c r="J682" i="1"/>
  <c r="J679" i="1"/>
  <c r="V683" i="1"/>
  <c r="U683" i="1"/>
  <c r="T683" i="1"/>
  <c r="S683" i="1"/>
  <c r="R683" i="1"/>
  <c r="Q683" i="1"/>
  <c r="V682" i="1"/>
  <c r="S682" i="1"/>
  <c r="R682" i="1"/>
  <c r="Q682" i="1"/>
  <c r="N682" i="1"/>
  <c r="O682" i="1" s="1"/>
  <c r="L682" i="1" s="1"/>
  <c r="K682" i="1"/>
  <c r="V681" i="1"/>
  <c r="U681" i="1"/>
  <c r="T681" i="1"/>
  <c r="S681" i="1"/>
  <c r="R681" i="1"/>
  <c r="Q681" i="1"/>
  <c r="V680" i="1"/>
  <c r="U680" i="1"/>
  <c r="T680" i="1"/>
  <c r="S680" i="1"/>
  <c r="R680" i="1"/>
  <c r="Q680" i="1"/>
  <c r="V679" i="1"/>
  <c r="S679" i="1"/>
  <c r="R679" i="1"/>
  <c r="Q679" i="1"/>
  <c r="N679" i="1"/>
  <c r="O679" i="1" s="1"/>
  <c r="L679" i="1" s="1"/>
  <c r="K679" i="1"/>
  <c r="V678" i="1"/>
  <c r="U678" i="1"/>
  <c r="T678" i="1"/>
  <c r="S678" i="1"/>
  <c r="R678" i="1"/>
  <c r="Q678" i="1"/>
  <c r="J676" i="1"/>
  <c r="J673" i="1"/>
  <c r="V677" i="1"/>
  <c r="U677" i="1"/>
  <c r="T677" i="1"/>
  <c r="S677" i="1"/>
  <c r="R677" i="1"/>
  <c r="Q677" i="1"/>
  <c r="V676" i="1"/>
  <c r="S676" i="1"/>
  <c r="R676" i="1"/>
  <c r="Q676" i="1"/>
  <c r="N676" i="1"/>
  <c r="O676" i="1" s="1"/>
  <c r="L676" i="1" s="1"/>
  <c r="K676" i="1"/>
  <c r="V675" i="1"/>
  <c r="U675" i="1"/>
  <c r="T675" i="1"/>
  <c r="S675" i="1"/>
  <c r="R675" i="1"/>
  <c r="Q675" i="1"/>
  <c r="V674" i="1"/>
  <c r="U674" i="1"/>
  <c r="T674" i="1"/>
  <c r="S674" i="1"/>
  <c r="R674" i="1"/>
  <c r="Q674" i="1"/>
  <c r="V673" i="1"/>
  <c r="T673" i="1"/>
  <c r="S673" i="1"/>
  <c r="R673" i="1"/>
  <c r="Q673" i="1"/>
  <c r="N673" i="1"/>
  <c r="O673" i="1" s="1"/>
  <c r="L673" i="1" s="1"/>
  <c r="K673" i="1"/>
  <c r="V672" i="1"/>
  <c r="U672" i="1"/>
  <c r="T672" i="1"/>
  <c r="S672" i="1"/>
  <c r="R672" i="1"/>
  <c r="Q672" i="1"/>
  <c r="J670" i="1"/>
  <c r="V671" i="1"/>
  <c r="U671" i="1"/>
  <c r="T671" i="1"/>
  <c r="S671" i="1"/>
  <c r="R671" i="1"/>
  <c r="Q671" i="1"/>
  <c r="V670" i="1"/>
  <c r="T670" i="1"/>
  <c r="R670" i="1"/>
  <c r="Q670" i="1"/>
  <c r="N670" i="1"/>
  <c r="O670" i="1" s="1"/>
  <c r="L670" i="1" s="1"/>
  <c r="K670" i="1"/>
  <c r="V669" i="1"/>
  <c r="U669" i="1"/>
  <c r="T669" i="1"/>
  <c r="S669" i="1"/>
  <c r="R669" i="1"/>
  <c r="Q669" i="1"/>
  <c r="J667" i="1"/>
  <c r="J664" i="1"/>
  <c r="V668" i="1"/>
  <c r="U668" i="1"/>
  <c r="T668" i="1"/>
  <c r="S668" i="1"/>
  <c r="R668" i="1"/>
  <c r="Q668" i="1"/>
  <c r="V667" i="1"/>
  <c r="T667" i="1"/>
  <c r="R667" i="1"/>
  <c r="Q667" i="1"/>
  <c r="N667" i="1"/>
  <c r="O667" i="1" s="1"/>
  <c r="L667" i="1" s="1"/>
  <c r="K667" i="1"/>
  <c r="V666" i="1"/>
  <c r="U666" i="1"/>
  <c r="T666" i="1"/>
  <c r="S666" i="1"/>
  <c r="R666" i="1"/>
  <c r="Q666" i="1"/>
  <c r="V665" i="1"/>
  <c r="U665" i="1"/>
  <c r="T665" i="1"/>
  <c r="S665" i="1"/>
  <c r="R665" i="1"/>
  <c r="Q665" i="1"/>
  <c r="V664" i="1"/>
  <c r="U664" i="1"/>
  <c r="T664" i="1"/>
  <c r="R664" i="1"/>
  <c r="Q664" i="1"/>
  <c r="N664" i="1"/>
  <c r="O664" i="1" s="1"/>
  <c r="L664" i="1" s="1"/>
  <c r="K664" i="1"/>
  <c r="V663" i="1"/>
  <c r="U663" i="1"/>
  <c r="T663" i="1"/>
  <c r="S663" i="1"/>
  <c r="R663" i="1"/>
  <c r="Q663" i="1"/>
  <c r="J661" i="1"/>
  <c r="V662" i="1"/>
  <c r="U662" i="1"/>
  <c r="T662" i="1"/>
  <c r="S662" i="1"/>
  <c r="R662" i="1"/>
  <c r="Q662" i="1"/>
  <c r="V661" i="1"/>
  <c r="U661" i="1"/>
  <c r="T661" i="1"/>
  <c r="R661" i="1"/>
  <c r="Q661" i="1"/>
  <c r="N661" i="1"/>
  <c r="O661" i="1" s="1"/>
  <c r="L661" i="1" s="1"/>
  <c r="K661" i="1"/>
  <c r="V660" i="1"/>
  <c r="U660" i="1"/>
  <c r="T660" i="1"/>
  <c r="S660" i="1"/>
  <c r="R660" i="1"/>
  <c r="Q660" i="1"/>
  <c r="J658" i="1"/>
  <c r="V659" i="1"/>
  <c r="U659" i="1"/>
  <c r="T659" i="1"/>
  <c r="S659" i="1"/>
  <c r="R659" i="1"/>
  <c r="Q659" i="1"/>
  <c r="V658" i="1"/>
  <c r="U658" i="1"/>
  <c r="T658" i="1"/>
  <c r="R658" i="1"/>
  <c r="Q658" i="1"/>
  <c r="N658" i="1"/>
  <c r="O658" i="1" s="1"/>
  <c r="L658" i="1" s="1"/>
  <c r="K658" i="1"/>
  <c r="V657" i="1"/>
  <c r="U657" i="1"/>
  <c r="T657" i="1"/>
  <c r="S657" i="1"/>
  <c r="R657" i="1"/>
  <c r="Q657" i="1"/>
  <c r="J655" i="1"/>
  <c r="V656" i="1"/>
  <c r="U656" i="1"/>
  <c r="T656" i="1"/>
  <c r="S656" i="1"/>
  <c r="R656" i="1"/>
  <c r="Q656" i="1"/>
  <c r="V655" i="1"/>
  <c r="U655" i="1"/>
  <c r="T655" i="1"/>
  <c r="Q655" i="1"/>
  <c r="N655" i="1"/>
  <c r="O655" i="1" s="1"/>
  <c r="L655" i="1" s="1"/>
  <c r="K655" i="1"/>
  <c r="V654" i="1"/>
  <c r="U654" i="1"/>
  <c r="T654" i="1"/>
  <c r="S654" i="1"/>
  <c r="R654" i="1"/>
  <c r="Q654" i="1"/>
  <c r="J652" i="1"/>
  <c r="J649" i="1"/>
  <c r="J646" i="1"/>
  <c r="V653" i="1"/>
  <c r="U653" i="1"/>
  <c r="T653" i="1"/>
  <c r="S653" i="1"/>
  <c r="R653" i="1"/>
  <c r="Q653" i="1"/>
  <c r="V652" i="1"/>
  <c r="U652" i="1"/>
  <c r="S652" i="1"/>
  <c r="Q652" i="1"/>
  <c r="N652" i="1"/>
  <c r="O652" i="1" s="1"/>
  <c r="L652" i="1" s="1"/>
  <c r="K652" i="1"/>
  <c r="V651" i="1"/>
  <c r="U651" i="1"/>
  <c r="T651" i="1"/>
  <c r="S651" i="1"/>
  <c r="R651" i="1"/>
  <c r="Q651" i="1"/>
  <c r="V650" i="1"/>
  <c r="U650" i="1"/>
  <c r="T650" i="1"/>
  <c r="S650" i="1"/>
  <c r="R650" i="1"/>
  <c r="Q650" i="1"/>
  <c r="V649" i="1"/>
  <c r="T649" i="1"/>
  <c r="S649" i="1"/>
  <c r="Q649" i="1"/>
  <c r="N649" i="1"/>
  <c r="O649" i="1" s="1"/>
  <c r="L649" i="1" s="1"/>
  <c r="K649" i="1"/>
  <c r="V648" i="1"/>
  <c r="U648" i="1"/>
  <c r="T648" i="1"/>
  <c r="S648" i="1"/>
  <c r="R648" i="1"/>
  <c r="Q648" i="1"/>
  <c r="V647" i="1"/>
  <c r="U647" i="1"/>
  <c r="T647" i="1"/>
  <c r="S647" i="1"/>
  <c r="R647" i="1"/>
  <c r="Q647" i="1"/>
  <c r="V646" i="1"/>
  <c r="U646" i="1"/>
  <c r="T646" i="1"/>
  <c r="Q646" i="1"/>
  <c r="N646" i="1"/>
  <c r="O646" i="1" s="1"/>
  <c r="L646" i="1" s="1"/>
  <c r="K646" i="1"/>
  <c r="V645" i="1"/>
  <c r="U645" i="1"/>
  <c r="T645" i="1"/>
  <c r="S645" i="1"/>
  <c r="R645" i="1"/>
  <c r="Q645" i="1"/>
  <c r="J643" i="1"/>
  <c r="J640" i="1"/>
  <c r="V780" i="1"/>
  <c r="U780" i="1"/>
  <c r="T780" i="1"/>
  <c r="S780" i="1"/>
  <c r="R780" i="1"/>
  <c r="Q780" i="1"/>
  <c r="V644" i="1"/>
  <c r="U644" i="1"/>
  <c r="T644" i="1"/>
  <c r="S644" i="1"/>
  <c r="R644" i="1"/>
  <c r="Q644" i="1"/>
  <c r="V643" i="1"/>
  <c r="U643" i="1"/>
  <c r="T643" i="1"/>
  <c r="Q643" i="1"/>
  <c r="N643" i="1"/>
  <c r="O643" i="1" s="1"/>
  <c r="L643" i="1" s="1"/>
  <c r="K643" i="1"/>
  <c r="V642" i="1"/>
  <c r="U642" i="1"/>
  <c r="T642" i="1"/>
  <c r="S642" i="1"/>
  <c r="R642" i="1"/>
  <c r="Q642" i="1"/>
  <c r="V641" i="1"/>
  <c r="U641" i="1"/>
  <c r="T641" i="1"/>
  <c r="S641" i="1"/>
  <c r="R641" i="1"/>
  <c r="Q641" i="1"/>
  <c r="V640" i="1"/>
  <c r="U640" i="1"/>
  <c r="T640" i="1"/>
  <c r="Q640" i="1"/>
  <c r="N640" i="1"/>
  <c r="O640" i="1" s="1"/>
  <c r="L640" i="1" s="1"/>
  <c r="K640" i="1"/>
  <c r="J637" i="1"/>
  <c r="V639" i="1"/>
  <c r="U639" i="1"/>
  <c r="T639" i="1"/>
  <c r="S639" i="1"/>
  <c r="R639" i="1"/>
  <c r="Q639" i="1"/>
  <c r="V638" i="1"/>
  <c r="U638" i="1"/>
  <c r="T638" i="1"/>
  <c r="S638" i="1"/>
  <c r="R638" i="1"/>
  <c r="Q638" i="1"/>
  <c r="V637" i="1"/>
  <c r="U637" i="1"/>
  <c r="T637" i="1"/>
  <c r="R637" i="1"/>
  <c r="Q637" i="1"/>
  <c r="N637" i="1"/>
  <c r="O637" i="1" s="1"/>
  <c r="L637" i="1" s="1"/>
  <c r="K637" i="1"/>
  <c r="J634" i="1"/>
  <c r="J631" i="1"/>
  <c r="V633" i="1"/>
  <c r="U633" i="1"/>
  <c r="T633" i="1"/>
  <c r="S633" i="1"/>
  <c r="R633" i="1"/>
  <c r="Q633" i="1"/>
  <c r="V632" i="1"/>
  <c r="U632" i="1"/>
  <c r="T632" i="1"/>
  <c r="S632" i="1"/>
  <c r="R632" i="1"/>
  <c r="Q632" i="1"/>
  <c r="V631" i="1"/>
  <c r="U631" i="1"/>
  <c r="T631" i="1"/>
  <c r="Q631" i="1"/>
  <c r="N631" i="1"/>
  <c r="O631" i="1" s="1"/>
  <c r="L631" i="1" s="1"/>
  <c r="K631" i="1"/>
  <c r="J628" i="1"/>
  <c r="V636" i="1"/>
  <c r="U636" i="1"/>
  <c r="T636" i="1"/>
  <c r="S636" i="1"/>
  <c r="R636" i="1"/>
  <c r="Q636" i="1"/>
  <c r="V635" i="1"/>
  <c r="U635" i="1"/>
  <c r="T635" i="1"/>
  <c r="S635" i="1"/>
  <c r="R635" i="1"/>
  <c r="Q635" i="1"/>
  <c r="V634" i="1"/>
  <c r="U634" i="1"/>
  <c r="R634" i="1"/>
  <c r="Q634" i="1"/>
  <c r="N634" i="1"/>
  <c r="O634" i="1" s="1"/>
  <c r="K634" i="1"/>
  <c r="V630" i="1"/>
  <c r="U630" i="1"/>
  <c r="T630" i="1"/>
  <c r="S630" i="1"/>
  <c r="R630" i="1"/>
  <c r="Q630" i="1"/>
  <c r="V629" i="1"/>
  <c r="U629" i="1"/>
  <c r="T629" i="1"/>
  <c r="S629" i="1"/>
  <c r="R629" i="1"/>
  <c r="Q629" i="1"/>
  <c r="V628" i="1"/>
  <c r="U628" i="1"/>
  <c r="T628" i="1"/>
  <c r="Q628" i="1"/>
  <c r="N628" i="1"/>
  <c r="O628" i="1" s="1"/>
  <c r="K628" i="1"/>
  <c r="N622" i="1"/>
  <c r="O622" i="1" s="1"/>
  <c r="J625" i="1"/>
  <c r="J622" i="1"/>
  <c r="V627" i="1"/>
  <c r="U627" i="1"/>
  <c r="T627" i="1"/>
  <c r="S627" i="1"/>
  <c r="R627" i="1"/>
  <c r="Q627" i="1"/>
  <c r="V626" i="1"/>
  <c r="U626" i="1"/>
  <c r="T626" i="1"/>
  <c r="S626" i="1"/>
  <c r="R626" i="1"/>
  <c r="Q626" i="1"/>
  <c r="V625" i="1"/>
  <c r="U625" i="1"/>
  <c r="S625" i="1"/>
  <c r="R625" i="1"/>
  <c r="Q625" i="1"/>
  <c r="N625" i="1"/>
  <c r="O625" i="1" s="1"/>
  <c r="K625" i="1"/>
  <c r="V624" i="1"/>
  <c r="U624" i="1"/>
  <c r="T624" i="1"/>
  <c r="S624" i="1"/>
  <c r="R624" i="1"/>
  <c r="Q624" i="1"/>
  <c r="V623" i="1"/>
  <c r="U623" i="1"/>
  <c r="T623" i="1"/>
  <c r="S623" i="1"/>
  <c r="R623" i="1"/>
  <c r="Q623" i="1"/>
  <c r="V622" i="1"/>
  <c r="T622" i="1"/>
  <c r="S622" i="1"/>
  <c r="Q622" i="1"/>
  <c r="K622" i="1"/>
  <c r="J619" i="1"/>
  <c r="J616" i="1"/>
  <c r="P703" i="1" l="1"/>
  <c r="R703" i="1" s="1"/>
  <c r="R754" i="1"/>
  <c r="S778" i="1"/>
  <c r="T778" i="1"/>
  <c r="S775" i="1"/>
  <c r="U775" i="1"/>
  <c r="S772" i="1"/>
  <c r="R772" i="1"/>
  <c r="T766" i="1"/>
  <c r="S766" i="1"/>
  <c r="V763" i="1"/>
  <c r="S763" i="1"/>
  <c r="R760" i="1"/>
  <c r="T760" i="1"/>
  <c r="T757" i="1"/>
  <c r="V757" i="1"/>
  <c r="S751" i="1"/>
  <c r="T751" i="1"/>
  <c r="S748" i="1"/>
  <c r="U748" i="1"/>
  <c r="T742" i="1"/>
  <c r="S742" i="1"/>
  <c r="U730" i="1"/>
  <c r="T730" i="1"/>
  <c r="T727" i="1"/>
  <c r="U727" i="1"/>
  <c r="T724" i="1"/>
  <c r="U724" i="1"/>
  <c r="S718" i="1"/>
  <c r="T718" i="1"/>
  <c r="P712" i="1"/>
  <c r="U712" i="1" s="1"/>
  <c r="P709" i="1"/>
  <c r="P715" i="1"/>
  <c r="T715" i="1" s="1"/>
  <c r="P706" i="1"/>
  <c r="T706" i="1" s="1"/>
  <c r="R706" i="1"/>
  <c r="L700" i="1"/>
  <c r="P700" i="1" s="1"/>
  <c r="R700" i="1" s="1"/>
  <c r="P697" i="1"/>
  <c r="R697" i="1" s="1"/>
  <c r="P694" i="1"/>
  <c r="R694" i="1" s="1"/>
  <c r="P691" i="1"/>
  <c r="P688" i="1"/>
  <c r="L685" i="1"/>
  <c r="P685" i="1" s="1"/>
  <c r="T685" i="1" s="1"/>
  <c r="P682" i="1"/>
  <c r="P679" i="1"/>
  <c r="P673" i="1"/>
  <c r="U673" i="1" s="1"/>
  <c r="P676" i="1"/>
  <c r="P670" i="1"/>
  <c r="P667" i="1"/>
  <c r="P664" i="1"/>
  <c r="S664" i="1" s="1"/>
  <c r="P661" i="1"/>
  <c r="S661" i="1" s="1"/>
  <c r="P658" i="1"/>
  <c r="S658" i="1" s="1"/>
  <c r="P655" i="1"/>
  <c r="P649" i="1"/>
  <c r="P652" i="1"/>
  <c r="P646" i="1"/>
  <c r="P640" i="1"/>
  <c r="P643" i="1"/>
  <c r="P637" i="1"/>
  <c r="S637" i="1" s="1"/>
  <c r="P631" i="1"/>
  <c r="L628" i="1"/>
  <c r="P628" i="1" s="1"/>
  <c r="L634" i="1"/>
  <c r="P634" i="1" s="1"/>
  <c r="L622" i="1"/>
  <c r="P622" i="1" s="1"/>
  <c r="L625" i="1"/>
  <c r="P625" i="1" s="1"/>
  <c r="T625" i="1" s="1"/>
  <c r="V621" i="1"/>
  <c r="U621" i="1"/>
  <c r="T621" i="1"/>
  <c r="S621" i="1"/>
  <c r="R621" i="1"/>
  <c r="Q621" i="1"/>
  <c r="V620" i="1"/>
  <c r="U620" i="1"/>
  <c r="T620" i="1"/>
  <c r="S620" i="1"/>
  <c r="R620" i="1"/>
  <c r="Q620" i="1"/>
  <c r="V619" i="1"/>
  <c r="U619" i="1"/>
  <c r="R619" i="1"/>
  <c r="Q619" i="1"/>
  <c r="N619" i="1"/>
  <c r="K619" i="1"/>
  <c r="V618" i="1"/>
  <c r="U618" i="1"/>
  <c r="T618" i="1"/>
  <c r="S618" i="1"/>
  <c r="R618" i="1"/>
  <c r="Q618" i="1"/>
  <c r="V617" i="1"/>
  <c r="U617" i="1"/>
  <c r="T617" i="1"/>
  <c r="S617" i="1"/>
  <c r="R617" i="1"/>
  <c r="Q617" i="1"/>
  <c r="V616" i="1"/>
  <c r="T616" i="1"/>
  <c r="S616" i="1"/>
  <c r="R616" i="1"/>
  <c r="Q616" i="1"/>
  <c r="N616" i="1"/>
  <c r="O616" i="1" s="1"/>
  <c r="L616" i="1" s="1"/>
  <c r="V615" i="1"/>
  <c r="U615" i="1"/>
  <c r="T615" i="1"/>
  <c r="S615" i="1"/>
  <c r="R615" i="1"/>
  <c r="Q615" i="1"/>
  <c r="R709" i="1" l="1"/>
  <c r="S709" i="1"/>
  <c r="S691" i="1"/>
  <c r="R691" i="1"/>
  <c r="T688" i="1"/>
  <c r="S688" i="1"/>
  <c r="U682" i="1"/>
  <c r="T682" i="1"/>
  <c r="U679" i="1"/>
  <c r="T679" i="1"/>
  <c r="U676" i="1"/>
  <c r="T676" i="1"/>
  <c r="S670" i="1"/>
  <c r="U670" i="1"/>
  <c r="S667" i="1"/>
  <c r="U667" i="1"/>
  <c r="R655" i="1"/>
  <c r="S655" i="1"/>
  <c r="R652" i="1"/>
  <c r="T652" i="1"/>
  <c r="R649" i="1"/>
  <c r="U649" i="1"/>
  <c r="S646" i="1"/>
  <c r="R646" i="1"/>
  <c r="S643" i="1"/>
  <c r="R643" i="1"/>
  <c r="R640" i="1"/>
  <c r="S640" i="1"/>
  <c r="T634" i="1"/>
  <c r="S634" i="1"/>
  <c r="S631" i="1"/>
  <c r="R631" i="1"/>
  <c r="R628" i="1"/>
  <c r="S628" i="1"/>
  <c r="U622" i="1"/>
  <c r="R622" i="1"/>
  <c r="P616" i="1"/>
  <c r="U616" i="1" s="1"/>
  <c r="K616" i="1"/>
  <c r="O619" i="1"/>
  <c r="L619" i="1" s="1"/>
  <c r="S567" i="1"/>
  <c r="Q52" i="1"/>
  <c r="R52" i="1"/>
  <c r="S52" i="1"/>
  <c r="T52" i="1"/>
  <c r="U52" i="1"/>
  <c r="V52" i="1"/>
  <c r="Q53" i="1"/>
  <c r="R53" i="1"/>
  <c r="S53" i="1"/>
  <c r="T53" i="1"/>
  <c r="U53" i="1"/>
  <c r="V53" i="1"/>
  <c r="Q54" i="1"/>
  <c r="R54" i="1"/>
  <c r="S54" i="1"/>
  <c r="U54" i="1"/>
  <c r="V54" i="1"/>
  <c r="Q55" i="1"/>
  <c r="R55" i="1"/>
  <c r="S55" i="1"/>
  <c r="T55" i="1"/>
  <c r="U55" i="1"/>
  <c r="V55" i="1"/>
  <c r="Q56" i="1"/>
  <c r="R56" i="1"/>
  <c r="S56" i="1"/>
  <c r="T56" i="1"/>
  <c r="U56" i="1"/>
  <c r="V56" i="1"/>
  <c r="Q57" i="1"/>
  <c r="R57" i="1"/>
  <c r="S57" i="1"/>
  <c r="U57" i="1"/>
  <c r="V57" i="1"/>
  <c r="Q58" i="1"/>
  <c r="R58" i="1"/>
  <c r="S58" i="1"/>
  <c r="T58" i="1"/>
  <c r="U58" i="1"/>
  <c r="V58" i="1"/>
  <c r="Q59" i="1"/>
  <c r="R59" i="1"/>
  <c r="S59" i="1"/>
  <c r="T59" i="1"/>
  <c r="U59" i="1"/>
  <c r="V59" i="1"/>
  <c r="Q60" i="1"/>
  <c r="R60" i="1"/>
  <c r="S60" i="1"/>
  <c r="U60" i="1"/>
  <c r="V60" i="1"/>
  <c r="Q61" i="1"/>
  <c r="R61" i="1"/>
  <c r="S61" i="1"/>
  <c r="T61" i="1"/>
  <c r="U61" i="1"/>
  <c r="V61" i="1"/>
  <c r="Q65" i="1"/>
  <c r="R65" i="1"/>
  <c r="S65" i="1"/>
  <c r="T65" i="1"/>
  <c r="U65" i="1"/>
  <c r="V65" i="1"/>
  <c r="Q66" i="1"/>
  <c r="R66" i="1"/>
  <c r="S66" i="1"/>
  <c r="U66" i="1"/>
  <c r="V66" i="1"/>
  <c r="Q67" i="1"/>
  <c r="R67" i="1"/>
  <c r="S67" i="1"/>
  <c r="T67" i="1"/>
  <c r="U67" i="1"/>
  <c r="V67" i="1"/>
  <c r="Q62" i="1"/>
  <c r="R62" i="1"/>
  <c r="S62" i="1"/>
  <c r="T62" i="1"/>
  <c r="U62" i="1"/>
  <c r="V62" i="1"/>
  <c r="Q63" i="1"/>
  <c r="R63" i="1"/>
  <c r="S63" i="1"/>
  <c r="U63" i="1"/>
  <c r="V63" i="1"/>
  <c r="Q64" i="1"/>
  <c r="R64" i="1"/>
  <c r="S64" i="1"/>
  <c r="T64" i="1"/>
  <c r="U64" i="1"/>
  <c r="V64" i="1"/>
  <c r="Q68" i="1"/>
  <c r="R68" i="1"/>
  <c r="S68" i="1"/>
  <c r="T68" i="1"/>
  <c r="U68" i="1"/>
  <c r="V68" i="1"/>
  <c r="Q69" i="1"/>
  <c r="R69" i="1"/>
  <c r="S69" i="1"/>
  <c r="T69" i="1"/>
  <c r="U69" i="1"/>
  <c r="V69" i="1"/>
  <c r="Q109" i="1"/>
  <c r="R109" i="1"/>
  <c r="S109" i="1"/>
  <c r="T109" i="1"/>
  <c r="U109" i="1"/>
  <c r="V109" i="1"/>
  <c r="Q110" i="1"/>
  <c r="R110" i="1"/>
  <c r="S110" i="1"/>
  <c r="T110" i="1"/>
  <c r="U110" i="1"/>
  <c r="V110" i="1"/>
  <c r="Q132" i="1"/>
  <c r="R132" i="1"/>
  <c r="S132" i="1"/>
  <c r="T132" i="1"/>
  <c r="U132" i="1"/>
  <c r="V132" i="1"/>
  <c r="Q133" i="1"/>
  <c r="R133" i="1"/>
  <c r="S133" i="1"/>
  <c r="T133" i="1"/>
  <c r="U133" i="1"/>
  <c r="V133" i="1"/>
  <c r="Q134" i="1"/>
  <c r="R134" i="1"/>
  <c r="T134" i="1"/>
  <c r="U134" i="1"/>
  <c r="V134" i="1"/>
  <c r="Q135" i="1"/>
  <c r="R135" i="1"/>
  <c r="S135" i="1"/>
  <c r="T135" i="1"/>
  <c r="U135" i="1"/>
  <c r="V135" i="1"/>
  <c r="Q136" i="1"/>
  <c r="R136" i="1"/>
  <c r="T136" i="1"/>
  <c r="U136" i="1"/>
  <c r="V136" i="1"/>
  <c r="Q137" i="1"/>
  <c r="R137" i="1"/>
  <c r="S137" i="1"/>
  <c r="T137" i="1"/>
  <c r="U137" i="1"/>
  <c r="V137" i="1"/>
  <c r="Q138" i="1"/>
  <c r="R138" i="1"/>
  <c r="T138" i="1"/>
  <c r="U138" i="1"/>
  <c r="V138" i="1"/>
  <c r="Q139" i="1"/>
  <c r="R139" i="1"/>
  <c r="S139" i="1"/>
  <c r="T139" i="1"/>
  <c r="U139" i="1"/>
  <c r="V139" i="1"/>
  <c r="Q140" i="1"/>
  <c r="R140" i="1"/>
  <c r="T140" i="1"/>
  <c r="U140" i="1"/>
  <c r="V140" i="1"/>
  <c r="Q141" i="1"/>
  <c r="R141" i="1"/>
  <c r="S141" i="1"/>
  <c r="T141" i="1"/>
  <c r="U141" i="1"/>
  <c r="V141" i="1"/>
  <c r="Q142" i="1"/>
  <c r="R142" i="1"/>
  <c r="T142" i="1"/>
  <c r="U142" i="1"/>
  <c r="V142" i="1"/>
  <c r="Q143" i="1"/>
  <c r="R143" i="1"/>
  <c r="S143" i="1"/>
  <c r="T143" i="1"/>
  <c r="U143" i="1"/>
  <c r="V143" i="1"/>
  <c r="Q144" i="1"/>
  <c r="R144" i="1"/>
  <c r="T144" i="1"/>
  <c r="U144" i="1"/>
  <c r="V144" i="1"/>
  <c r="Q145" i="1"/>
  <c r="R145" i="1"/>
  <c r="S145" i="1"/>
  <c r="T145" i="1"/>
  <c r="U145" i="1"/>
  <c r="V145" i="1"/>
  <c r="Q146" i="1"/>
  <c r="R146" i="1"/>
  <c r="T146" i="1"/>
  <c r="U146" i="1"/>
  <c r="V146" i="1"/>
  <c r="Q147" i="1"/>
  <c r="R147" i="1"/>
  <c r="S147" i="1"/>
  <c r="T147" i="1"/>
  <c r="U147" i="1"/>
  <c r="V147" i="1"/>
  <c r="Q148" i="1"/>
  <c r="R148" i="1"/>
  <c r="T148" i="1"/>
  <c r="U148" i="1"/>
  <c r="V148" i="1"/>
  <c r="Q149" i="1"/>
  <c r="R149" i="1"/>
  <c r="S149" i="1"/>
  <c r="T149" i="1"/>
  <c r="U149" i="1"/>
  <c r="V149" i="1"/>
  <c r="Q150" i="1"/>
  <c r="R150" i="1"/>
  <c r="T150" i="1"/>
  <c r="U150" i="1"/>
  <c r="V150" i="1"/>
  <c r="Q151" i="1"/>
  <c r="R151" i="1"/>
  <c r="S151" i="1"/>
  <c r="T151" i="1"/>
  <c r="U151" i="1"/>
  <c r="V151" i="1"/>
  <c r="Q152" i="1"/>
  <c r="R152" i="1"/>
  <c r="T152" i="1"/>
  <c r="U152" i="1"/>
  <c r="V152" i="1"/>
  <c r="Q159" i="1"/>
  <c r="R159" i="1"/>
  <c r="S159" i="1"/>
  <c r="T159" i="1"/>
  <c r="U159" i="1"/>
  <c r="V159" i="1"/>
  <c r="Q160" i="1"/>
  <c r="R160" i="1"/>
  <c r="S160" i="1"/>
  <c r="T160" i="1"/>
  <c r="U160" i="1"/>
  <c r="V160" i="1"/>
  <c r="Q161" i="1"/>
  <c r="R161" i="1"/>
  <c r="S161" i="1"/>
  <c r="T161" i="1"/>
  <c r="U161" i="1"/>
  <c r="V161" i="1"/>
  <c r="Q162" i="1"/>
  <c r="R162" i="1"/>
  <c r="S162" i="1"/>
  <c r="T162" i="1"/>
  <c r="V162" i="1"/>
  <c r="Q163" i="1"/>
  <c r="R163" i="1"/>
  <c r="S163" i="1"/>
  <c r="T163" i="1"/>
  <c r="U163" i="1"/>
  <c r="V163" i="1"/>
  <c r="Q164" i="1"/>
  <c r="R164" i="1"/>
  <c r="S164" i="1"/>
  <c r="T164" i="1"/>
  <c r="U164" i="1"/>
  <c r="V164" i="1"/>
  <c r="Q165" i="1"/>
  <c r="R165" i="1"/>
  <c r="S165" i="1"/>
  <c r="T165" i="1"/>
  <c r="U165" i="1"/>
  <c r="V165" i="1"/>
  <c r="Q166" i="1"/>
  <c r="R166" i="1"/>
  <c r="S166" i="1"/>
  <c r="T166" i="1"/>
  <c r="U166" i="1"/>
  <c r="V166" i="1"/>
  <c r="Q167" i="1"/>
  <c r="R167" i="1"/>
  <c r="S167" i="1"/>
  <c r="T167" i="1"/>
  <c r="U167" i="1"/>
  <c r="V167" i="1"/>
  <c r="Q168" i="1"/>
  <c r="R168" i="1"/>
  <c r="S168" i="1"/>
  <c r="T168" i="1"/>
  <c r="V168" i="1"/>
  <c r="Q169" i="1"/>
  <c r="R169" i="1"/>
  <c r="S169" i="1"/>
  <c r="T169" i="1"/>
  <c r="U169" i="1"/>
  <c r="V169" i="1"/>
  <c r="Q171" i="1"/>
  <c r="R171" i="1"/>
  <c r="T171" i="1"/>
  <c r="U171" i="1"/>
  <c r="V171" i="1"/>
  <c r="Q172" i="1"/>
  <c r="R172" i="1"/>
  <c r="S172" i="1"/>
  <c r="T172" i="1"/>
  <c r="U172" i="1"/>
  <c r="V172" i="1"/>
  <c r="Q174" i="1"/>
  <c r="R174" i="1"/>
  <c r="S174" i="1"/>
  <c r="T174" i="1"/>
  <c r="U174" i="1"/>
  <c r="Q175" i="1"/>
  <c r="R175" i="1"/>
  <c r="S175" i="1"/>
  <c r="T175" i="1"/>
  <c r="U175" i="1"/>
  <c r="V175" i="1"/>
  <c r="Q176" i="1"/>
  <c r="R176" i="1"/>
  <c r="S176" i="1"/>
  <c r="T176" i="1"/>
  <c r="U176" i="1"/>
  <c r="V176" i="1"/>
  <c r="Q177" i="1"/>
  <c r="R177" i="1"/>
  <c r="S177" i="1"/>
  <c r="T177" i="1"/>
  <c r="V177" i="1"/>
  <c r="Q178" i="1"/>
  <c r="R178" i="1"/>
  <c r="S178" i="1"/>
  <c r="T178" i="1"/>
  <c r="U178" i="1"/>
  <c r="V178" i="1"/>
  <c r="Q179" i="1"/>
  <c r="R179" i="1"/>
  <c r="S179" i="1"/>
  <c r="T179" i="1"/>
  <c r="U179" i="1"/>
  <c r="V179" i="1"/>
  <c r="Q180" i="1"/>
  <c r="R180" i="1"/>
  <c r="S180" i="1"/>
  <c r="T180" i="1"/>
  <c r="V180" i="1"/>
  <c r="Q181" i="1"/>
  <c r="R181" i="1"/>
  <c r="S181" i="1"/>
  <c r="T181" i="1"/>
  <c r="U181" i="1"/>
  <c r="V181" i="1"/>
  <c r="Q182" i="1"/>
  <c r="R182" i="1"/>
  <c r="S182" i="1"/>
  <c r="T182" i="1"/>
  <c r="U182" i="1"/>
  <c r="V182" i="1"/>
  <c r="Q183" i="1"/>
  <c r="R183" i="1"/>
  <c r="S183" i="1"/>
  <c r="T183" i="1"/>
  <c r="V183" i="1"/>
  <c r="Q184" i="1"/>
  <c r="R184" i="1"/>
  <c r="S184" i="1"/>
  <c r="T184" i="1"/>
  <c r="U184" i="1"/>
  <c r="V184" i="1"/>
  <c r="Q185" i="1"/>
  <c r="R185" i="1"/>
  <c r="S185" i="1"/>
  <c r="T185" i="1"/>
  <c r="U185" i="1"/>
  <c r="V185" i="1"/>
  <c r="Q186" i="1"/>
  <c r="R186" i="1"/>
  <c r="S186" i="1"/>
  <c r="T186" i="1"/>
  <c r="V186" i="1"/>
  <c r="Q187" i="1"/>
  <c r="R187" i="1"/>
  <c r="S187" i="1"/>
  <c r="T187" i="1"/>
  <c r="U187" i="1"/>
  <c r="V187" i="1"/>
  <c r="Q188" i="1"/>
  <c r="R188" i="1"/>
  <c r="S188" i="1"/>
  <c r="T188" i="1"/>
  <c r="U188" i="1"/>
  <c r="V188" i="1"/>
  <c r="Q189" i="1"/>
  <c r="R189" i="1"/>
  <c r="S189" i="1"/>
  <c r="T189" i="1"/>
  <c r="U189" i="1"/>
  <c r="Q190" i="1"/>
  <c r="R190" i="1"/>
  <c r="S190" i="1"/>
  <c r="T190" i="1"/>
  <c r="U190" i="1"/>
  <c r="V190" i="1"/>
  <c r="Q191" i="1"/>
  <c r="R191" i="1"/>
  <c r="S191" i="1"/>
  <c r="T191" i="1"/>
  <c r="U191" i="1"/>
  <c r="V191" i="1"/>
  <c r="Q192" i="1"/>
  <c r="R192" i="1"/>
  <c r="S192" i="1"/>
  <c r="T192" i="1"/>
  <c r="U192" i="1"/>
  <c r="Q193" i="1"/>
  <c r="R193" i="1"/>
  <c r="S193" i="1"/>
  <c r="T193" i="1"/>
  <c r="U193" i="1"/>
  <c r="V193" i="1"/>
  <c r="Q194" i="1"/>
  <c r="R194" i="1"/>
  <c r="S194" i="1"/>
  <c r="T194" i="1"/>
  <c r="U194" i="1"/>
  <c r="V194" i="1"/>
  <c r="Q195" i="1"/>
  <c r="R195" i="1"/>
  <c r="S195" i="1"/>
  <c r="T195" i="1"/>
  <c r="U195" i="1"/>
  <c r="Q196" i="1"/>
  <c r="R196" i="1"/>
  <c r="S196" i="1"/>
  <c r="T196" i="1"/>
  <c r="U196" i="1"/>
  <c r="V196" i="1"/>
  <c r="Q197" i="1"/>
  <c r="R197" i="1"/>
  <c r="S197" i="1"/>
  <c r="T197" i="1"/>
  <c r="U197" i="1"/>
  <c r="V197" i="1"/>
  <c r="Q198" i="1"/>
  <c r="R198" i="1"/>
  <c r="S198" i="1"/>
  <c r="T198" i="1"/>
  <c r="U198" i="1"/>
  <c r="Q199" i="1"/>
  <c r="R199" i="1"/>
  <c r="S199" i="1"/>
  <c r="T199" i="1"/>
  <c r="U199" i="1"/>
  <c r="V199" i="1"/>
  <c r="Q200" i="1"/>
  <c r="R200" i="1"/>
  <c r="S200" i="1"/>
  <c r="T200" i="1"/>
  <c r="U200" i="1"/>
  <c r="V200" i="1"/>
  <c r="Q201" i="1"/>
  <c r="R201" i="1"/>
  <c r="S201" i="1"/>
  <c r="T201" i="1"/>
  <c r="V201" i="1"/>
  <c r="Q202" i="1"/>
  <c r="R202" i="1"/>
  <c r="S202" i="1"/>
  <c r="T202" i="1"/>
  <c r="U202" i="1"/>
  <c r="V202" i="1"/>
  <c r="Q203" i="1"/>
  <c r="R203" i="1"/>
  <c r="S203" i="1"/>
  <c r="T203" i="1"/>
  <c r="U203" i="1"/>
  <c r="V203" i="1"/>
  <c r="Q204" i="1"/>
  <c r="R204" i="1"/>
  <c r="S204" i="1"/>
  <c r="T204" i="1"/>
  <c r="U204" i="1"/>
  <c r="Q205" i="1"/>
  <c r="R205" i="1"/>
  <c r="S205" i="1"/>
  <c r="T205" i="1"/>
  <c r="U205" i="1"/>
  <c r="V205" i="1"/>
  <c r="Q206" i="1"/>
  <c r="R206" i="1"/>
  <c r="S206" i="1"/>
  <c r="T206" i="1"/>
  <c r="U206" i="1"/>
  <c r="V206" i="1"/>
  <c r="Q207" i="1"/>
  <c r="R207" i="1"/>
  <c r="S207" i="1"/>
  <c r="T207" i="1"/>
  <c r="V207" i="1"/>
  <c r="Q208" i="1"/>
  <c r="R208" i="1"/>
  <c r="S208" i="1"/>
  <c r="T208" i="1"/>
  <c r="U208" i="1"/>
  <c r="V208" i="1"/>
  <c r="Q209" i="1"/>
  <c r="R209" i="1"/>
  <c r="S209" i="1"/>
  <c r="T209" i="1"/>
  <c r="U209" i="1"/>
  <c r="V209" i="1"/>
  <c r="Q210" i="1"/>
  <c r="R210" i="1"/>
  <c r="S210" i="1"/>
  <c r="T210" i="1"/>
  <c r="U210" i="1"/>
  <c r="Q211" i="1"/>
  <c r="R211" i="1"/>
  <c r="S211" i="1"/>
  <c r="T211" i="1"/>
  <c r="U211" i="1"/>
  <c r="V211" i="1"/>
  <c r="Q212" i="1"/>
  <c r="R212" i="1"/>
  <c r="S212" i="1"/>
  <c r="T212" i="1"/>
  <c r="U212" i="1"/>
  <c r="V212" i="1"/>
  <c r="Q213" i="1"/>
  <c r="R213" i="1"/>
  <c r="S213" i="1"/>
  <c r="T213" i="1"/>
  <c r="U213" i="1"/>
  <c r="Q214" i="1"/>
  <c r="R214" i="1"/>
  <c r="S214" i="1"/>
  <c r="T214" i="1"/>
  <c r="U214" i="1"/>
  <c r="V214" i="1"/>
  <c r="Q215" i="1"/>
  <c r="R215" i="1"/>
  <c r="S215" i="1"/>
  <c r="T215" i="1"/>
  <c r="U215" i="1"/>
  <c r="V215" i="1"/>
  <c r="Q216" i="1"/>
  <c r="R216" i="1"/>
  <c r="S216" i="1"/>
  <c r="T216" i="1"/>
  <c r="V216" i="1"/>
  <c r="Q217" i="1"/>
  <c r="R217" i="1"/>
  <c r="S217" i="1"/>
  <c r="T217" i="1"/>
  <c r="U217" i="1"/>
  <c r="V217" i="1"/>
  <c r="Q218" i="1"/>
  <c r="R218" i="1"/>
  <c r="S218" i="1"/>
  <c r="T218" i="1"/>
  <c r="U218" i="1"/>
  <c r="V218" i="1"/>
  <c r="Q219" i="1"/>
  <c r="R219" i="1"/>
  <c r="T219" i="1"/>
  <c r="U219" i="1"/>
  <c r="V219" i="1"/>
  <c r="Q220" i="1"/>
  <c r="R220" i="1"/>
  <c r="S220" i="1"/>
  <c r="T220" i="1"/>
  <c r="U220" i="1"/>
  <c r="V220" i="1"/>
  <c r="Q221" i="1"/>
  <c r="R221" i="1"/>
  <c r="S221" i="1"/>
  <c r="T221" i="1"/>
  <c r="U221" i="1"/>
  <c r="V221" i="1"/>
  <c r="Q222" i="1"/>
  <c r="R222" i="1"/>
  <c r="S222" i="1"/>
  <c r="T222" i="1"/>
  <c r="V222" i="1"/>
  <c r="Q223" i="1"/>
  <c r="R223" i="1"/>
  <c r="S223" i="1"/>
  <c r="T223" i="1"/>
  <c r="U223" i="1"/>
  <c r="V223" i="1"/>
  <c r="Q224" i="1"/>
  <c r="R224" i="1"/>
  <c r="S224" i="1"/>
  <c r="T224" i="1"/>
  <c r="U224" i="1"/>
  <c r="V224" i="1"/>
  <c r="Q225" i="1"/>
  <c r="R225" i="1"/>
  <c r="S225" i="1"/>
  <c r="T225" i="1"/>
  <c r="V225" i="1"/>
  <c r="Q226" i="1"/>
  <c r="R226" i="1"/>
  <c r="S226" i="1"/>
  <c r="T226" i="1"/>
  <c r="U226" i="1"/>
  <c r="V226" i="1"/>
  <c r="Q227" i="1"/>
  <c r="R227" i="1"/>
  <c r="S227" i="1"/>
  <c r="T227" i="1"/>
  <c r="U227" i="1"/>
  <c r="V227" i="1"/>
  <c r="Q228" i="1"/>
  <c r="R228" i="1"/>
  <c r="S228" i="1"/>
  <c r="T228" i="1"/>
  <c r="V228" i="1"/>
  <c r="Q229" i="1"/>
  <c r="R229" i="1"/>
  <c r="S229" i="1"/>
  <c r="T229" i="1"/>
  <c r="U229" i="1"/>
  <c r="V229" i="1"/>
  <c r="Q230" i="1"/>
  <c r="R230" i="1"/>
  <c r="S230" i="1"/>
  <c r="T230" i="1"/>
  <c r="U230" i="1"/>
  <c r="V230" i="1"/>
  <c r="Q231" i="1"/>
  <c r="R231" i="1"/>
  <c r="S231" i="1"/>
  <c r="T231" i="1"/>
  <c r="U231" i="1"/>
  <c r="Q232" i="1"/>
  <c r="R232" i="1"/>
  <c r="S232" i="1"/>
  <c r="T232" i="1"/>
  <c r="U232" i="1"/>
  <c r="V232" i="1"/>
  <c r="Q233" i="1"/>
  <c r="R233" i="1"/>
  <c r="S233" i="1"/>
  <c r="T233" i="1"/>
  <c r="U233" i="1"/>
  <c r="V233" i="1"/>
  <c r="Q234" i="1"/>
  <c r="R234" i="1"/>
  <c r="S234" i="1"/>
  <c r="T234" i="1"/>
  <c r="V234" i="1"/>
  <c r="Q235" i="1"/>
  <c r="R235" i="1"/>
  <c r="S235" i="1"/>
  <c r="T235" i="1"/>
  <c r="U235" i="1"/>
  <c r="V235" i="1"/>
  <c r="Q236" i="1"/>
  <c r="R236" i="1"/>
  <c r="S236" i="1"/>
  <c r="T236" i="1"/>
  <c r="U236" i="1"/>
  <c r="V236" i="1"/>
  <c r="Q237" i="1"/>
  <c r="R237" i="1"/>
  <c r="S237" i="1"/>
  <c r="T237" i="1"/>
  <c r="U237" i="1"/>
  <c r="Q238" i="1"/>
  <c r="R238" i="1"/>
  <c r="S238" i="1"/>
  <c r="T238" i="1"/>
  <c r="U238" i="1"/>
  <c r="V238" i="1"/>
  <c r="Q239" i="1"/>
  <c r="R239" i="1"/>
  <c r="S239" i="1"/>
  <c r="T239" i="1"/>
  <c r="U239" i="1"/>
  <c r="V239" i="1"/>
  <c r="Q240" i="1"/>
  <c r="R240" i="1"/>
  <c r="S240" i="1"/>
  <c r="T240" i="1"/>
  <c r="V240" i="1"/>
  <c r="Q241" i="1"/>
  <c r="R241" i="1"/>
  <c r="S241" i="1"/>
  <c r="T241" i="1"/>
  <c r="U241" i="1"/>
  <c r="V241" i="1"/>
  <c r="Q242" i="1"/>
  <c r="R242" i="1"/>
  <c r="S242" i="1"/>
  <c r="T242" i="1"/>
  <c r="U242" i="1"/>
  <c r="V242" i="1"/>
  <c r="Q243" i="1"/>
  <c r="R243" i="1"/>
  <c r="S243" i="1"/>
  <c r="T243" i="1"/>
  <c r="V243" i="1"/>
  <c r="Q244" i="1"/>
  <c r="R244" i="1"/>
  <c r="S244" i="1"/>
  <c r="T244" i="1"/>
  <c r="U244" i="1"/>
  <c r="V244" i="1"/>
  <c r="Q245" i="1"/>
  <c r="R245" i="1"/>
  <c r="S245" i="1"/>
  <c r="T245" i="1"/>
  <c r="U245" i="1"/>
  <c r="V245" i="1"/>
  <c r="Q246" i="1"/>
  <c r="R246" i="1"/>
  <c r="S246" i="1"/>
  <c r="T246" i="1"/>
  <c r="V246" i="1"/>
  <c r="Q247" i="1"/>
  <c r="R247" i="1"/>
  <c r="S247" i="1"/>
  <c r="T247" i="1"/>
  <c r="U247" i="1"/>
  <c r="V247" i="1"/>
  <c r="Q248" i="1"/>
  <c r="R248" i="1"/>
  <c r="S248" i="1"/>
  <c r="T248" i="1"/>
  <c r="U248" i="1"/>
  <c r="V248" i="1"/>
  <c r="Q249" i="1"/>
  <c r="R249" i="1"/>
  <c r="S249" i="1"/>
  <c r="T249" i="1"/>
  <c r="V249" i="1"/>
  <c r="Q250" i="1"/>
  <c r="R250" i="1"/>
  <c r="S250" i="1"/>
  <c r="T250" i="1"/>
  <c r="U250" i="1"/>
  <c r="V250" i="1"/>
  <c r="Q251" i="1"/>
  <c r="R251" i="1"/>
  <c r="S251" i="1"/>
  <c r="T251" i="1"/>
  <c r="U251" i="1"/>
  <c r="V251" i="1"/>
  <c r="Q252" i="1"/>
  <c r="R252" i="1"/>
  <c r="S252" i="1"/>
  <c r="U252" i="1"/>
  <c r="V252" i="1"/>
  <c r="Q253" i="1"/>
  <c r="R253" i="1"/>
  <c r="S253" i="1"/>
  <c r="T253" i="1"/>
  <c r="U253" i="1"/>
  <c r="V253" i="1"/>
  <c r="Q254" i="1"/>
  <c r="R254" i="1"/>
  <c r="S254" i="1"/>
  <c r="T254" i="1"/>
  <c r="U254" i="1"/>
  <c r="V254" i="1"/>
  <c r="Q255" i="1"/>
  <c r="R255" i="1"/>
  <c r="S255" i="1"/>
  <c r="T255" i="1"/>
  <c r="V255" i="1"/>
  <c r="Q256" i="1"/>
  <c r="R256" i="1"/>
  <c r="S256" i="1"/>
  <c r="T256" i="1"/>
  <c r="U256" i="1"/>
  <c r="V256" i="1"/>
  <c r="Q257" i="1"/>
  <c r="R257" i="1"/>
  <c r="S257" i="1"/>
  <c r="T257" i="1"/>
  <c r="U257" i="1"/>
  <c r="V257" i="1"/>
  <c r="Q258" i="1"/>
  <c r="R258" i="1"/>
  <c r="S258" i="1"/>
  <c r="T258" i="1"/>
  <c r="V258" i="1"/>
  <c r="Q259" i="1"/>
  <c r="R259" i="1"/>
  <c r="S259" i="1"/>
  <c r="T259" i="1"/>
  <c r="U259" i="1"/>
  <c r="V259" i="1"/>
  <c r="Q260" i="1"/>
  <c r="R260" i="1"/>
  <c r="S260" i="1"/>
  <c r="T260" i="1"/>
  <c r="U260" i="1"/>
  <c r="V260" i="1"/>
  <c r="Q261" i="1"/>
  <c r="R261" i="1"/>
  <c r="S261" i="1"/>
  <c r="T261" i="1"/>
  <c r="U261" i="1"/>
  <c r="Q262" i="1"/>
  <c r="R262" i="1"/>
  <c r="S262" i="1"/>
  <c r="T262" i="1"/>
  <c r="U262" i="1"/>
  <c r="V262" i="1"/>
  <c r="Q263" i="1"/>
  <c r="R263" i="1"/>
  <c r="S263" i="1"/>
  <c r="T263" i="1"/>
  <c r="U263" i="1"/>
  <c r="V263" i="1"/>
  <c r="Q264" i="1"/>
  <c r="R264" i="1"/>
  <c r="S264" i="1"/>
  <c r="T264" i="1"/>
  <c r="U264" i="1"/>
  <c r="Q265" i="1"/>
  <c r="R265" i="1"/>
  <c r="S265" i="1"/>
  <c r="T265" i="1"/>
  <c r="U265" i="1"/>
  <c r="V265" i="1"/>
  <c r="Q266" i="1"/>
  <c r="R266" i="1"/>
  <c r="S266" i="1"/>
  <c r="T266" i="1"/>
  <c r="U266" i="1"/>
  <c r="V266" i="1"/>
  <c r="Q267" i="1"/>
  <c r="R267" i="1"/>
  <c r="S267" i="1"/>
  <c r="T267" i="1"/>
  <c r="V267" i="1"/>
  <c r="Q268" i="1"/>
  <c r="R268" i="1"/>
  <c r="S268" i="1"/>
  <c r="T268" i="1"/>
  <c r="U268" i="1"/>
  <c r="V268" i="1"/>
  <c r="Q269" i="1"/>
  <c r="R269" i="1"/>
  <c r="S269" i="1"/>
  <c r="T269" i="1"/>
  <c r="U269" i="1"/>
  <c r="V269" i="1"/>
  <c r="Q270" i="1"/>
  <c r="R270" i="1"/>
  <c r="S270" i="1"/>
  <c r="T270" i="1"/>
  <c r="U270" i="1"/>
  <c r="Q271" i="1"/>
  <c r="R271" i="1"/>
  <c r="S271" i="1"/>
  <c r="T271" i="1"/>
  <c r="U271" i="1"/>
  <c r="V271" i="1"/>
  <c r="Q272" i="1"/>
  <c r="R272" i="1"/>
  <c r="S272" i="1"/>
  <c r="T272" i="1"/>
  <c r="U272" i="1"/>
  <c r="V272" i="1"/>
  <c r="Q273" i="1"/>
  <c r="R273" i="1"/>
  <c r="S273" i="1"/>
  <c r="T273" i="1"/>
  <c r="U273" i="1"/>
  <c r="Q274" i="1"/>
  <c r="R274" i="1"/>
  <c r="S274" i="1"/>
  <c r="T274" i="1"/>
  <c r="U274" i="1"/>
  <c r="V274" i="1"/>
  <c r="Q275" i="1"/>
  <c r="R275" i="1"/>
  <c r="S275" i="1"/>
  <c r="T275" i="1"/>
  <c r="U275" i="1"/>
  <c r="V275" i="1"/>
  <c r="Q276" i="1"/>
  <c r="R276" i="1"/>
  <c r="S276" i="1"/>
  <c r="T276" i="1"/>
  <c r="U276" i="1"/>
  <c r="Q277" i="1"/>
  <c r="R277" i="1"/>
  <c r="S277" i="1"/>
  <c r="T277" i="1"/>
  <c r="U277" i="1"/>
  <c r="V277" i="1"/>
  <c r="Q278" i="1"/>
  <c r="R278" i="1"/>
  <c r="S278" i="1"/>
  <c r="T278" i="1"/>
  <c r="U278" i="1"/>
  <c r="V278" i="1"/>
  <c r="Q279" i="1"/>
  <c r="R279" i="1"/>
  <c r="S279" i="1"/>
  <c r="T279" i="1"/>
  <c r="U279" i="1"/>
  <c r="Q280" i="1"/>
  <c r="R280" i="1"/>
  <c r="S280" i="1"/>
  <c r="T280" i="1"/>
  <c r="U280" i="1"/>
  <c r="V280" i="1"/>
  <c r="Q281" i="1"/>
  <c r="R281" i="1"/>
  <c r="S281" i="1"/>
  <c r="T281" i="1"/>
  <c r="U281" i="1"/>
  <c r="V281" i="1"/>
  <c r="Q282" i="1"/>
  <c r="R282" i="1"/>
  <c r="S282" i="1"/>
  <c r="T282" i="1"/>
  <c r="V282" i="1"/>
  <c r="Q283" i="1"/>
  <c r="R283" i="1"/>
  <c r="S283" i="1"/>
  <c r="T283" i="1"/>
  <c r="U283" i="1"/>
  <c r="V283" i="1"/>
  <c r="Q284" i="1"/>
  <c r="R284" i="1"/>
  <c r="S284" i="1"/>
  <c r="T284" i="1"/>
  <c r="U284" i="1"/>
  <c r="V284" i="1"/>
  <c r="Q285" i="1"/>
  <c r="R285" i="1"/>
  <c r="S285" i="1"/>
  <c r="T285" i="1"/>
  <c r="V285" i="1"/>
  <c r="Q286" i="1"/>
  <c r="R286" i="1"/>
  <c r="S286" i="1"/>
  <c r="T286" i="1"/>
  <c r="U286" i="1"/>
  <c r="V286" i="1"/>
  <c r="Q287" i="1"/>
  <c r="R287" i="1"/>
  <c r="S287" i="1"/>
  <c r="T287" i="1"/>
  <c r="U287" i="1"/>
  <c r="V287" i="1"/>
  <c r="Q288" i="1"/>
  <c r="R288" i="1"/>
  <c r="S288" i="1"/>
  <c r="T288" i="1"/>
  <c r="U288" i="1"/>
  <c r="Q289" i="1"/>
  <c r="R289" i="1"/>
  <c r="S289" i="1"/>
  <c r="T289" i="1"/>
  <c r="U289" i="1"/>
  <c r="V289" i="1"/>
  <c r="Q290" i="1"/>
  <c r="R290" i="1"/>
  <c r="S290" i="1"/>
  <c r="T290" i="1"/>
  <c r="U290" i="1"/>
  <c r="V290" i="1"/>
  <c r="Q291" i="1"/>
  <c r="R291" i="1"/>
  <c r="S291" i="1"/>
  <c r="T291" i="1"/>
  <c r="V291" i="1"/>
  <c r="Q292" i="1"/>
  <c r="R292" i="1"/>
  <c r="S292" i="1"/>
  <c r="T292" i="1"/>
  <c r="U292" i="1"/>
  <c r="V292" i="1"/>
  <c r="Q293" i="1"/>
  <c r="R293" i="1"/>
  <c r="S293" i="1"/>
  <c r="T293" i="1"/>
  <c r="U293" i="1"/>
  <c r="V293" i="1"/>
  <c r="Q294" i="1"/>
  <c r="R294" i="1"/>
  <c r="S294" i="1"/>
  <c r="T294" i="1"/>
  <c r="V294" i="1"/>
  <c r="Q295" i="1"/>
  <c r="R295" i="1"/>
  <c r="S295" i="1"/>
  <c r="T295" i="1"/>
  <c r="U295" i="1"/>
  <c r="V295" i="1"/>
  <c r="Q296" i="1"/>
  <c r="R296" i="1"/>
  <c r="S296" i="1"/>
  <c r="T296" i="1"/>
  <c r="U296" i="1"/>
  <c r="V296" i="1"/>
  <c r="Q297" i="1"/>
  <c r="R297" i="1"/>
  <c r="S297" i="1"/>
  <c r="T297" i="1"/>
  <c r="U297" i="1"/>
  <c r="Q298" i="1"/>
  <c r="R298" i="1"/>
  <c r="S298" i="1"/>
  <c r="T298" i="1"/>
  <c r="U298" i="1"/>
  <c r="V298" i="1"/>
  <c r="Q299" i="1"/>
  <c r="R299" i="1"/>
  <c r="S299" i="1"/>
  <c r="T299" i="1"/>
  <c r="U299" i="1"/>
  <c r="V299" i="1"/>
  <c r="Q300" i="1"/>
  <c r="R300" i="1"/>
  <c r="S300" i="1"/>
  <c r="T300" i="1"/>
  <c r="U300" i="1"/>
  <c r="Q301" i="1"/>
  <c r="R301" i="1"/>
  <c r="S301" i="1"/>
  <c r="T301" i="1"/>
  <c r="U301" i="1"/>
  <c r="V301" i="1"/>
  <c r="Q302" i="1"/>
  <c r="R302" i="1"/>
  <c r="S302" i="1"/>
  <c r="T302" i="1"/>
  <c r="U302" i="1"/>
  <c r="V302" i="1"/>
  <c r="Q303" i="1"/>
  <c r="R303" i="1"/>
  <c r="S303" i="1"/>
  <c r="T303" i="1"/>
  <c r="U303" i="1"/>
  <c r="Q304" i="1"/>
  <c r="R304" i="1"/>
  <c r="S304" i="1"/>
  <c r="T304" i="1"/>
  <c r="U304" i="1"/>
  <c r="V304" i="1"/>
  <c r="Q305" i="1"/>
  <c r="R305" i="1"/>
  <c r="S305" i="1"/>
  <c r="T305" i="1"/>
  <c r="U305" i="1"/>
  <c r="V305" i="1"/>
  <c r="Q306" i="1"/>
  <c r="R306" i="1"/>
  <c r="S306" i="1"/>
  <c r="T306" i="1"/>
  <c r="V306" i="1"/>
  <c r="Q307" i="1"/>
  <c r="R307" i="1"/>
  <c r="S307" i="1"/>
  <c r="T307" i="1"/>
  <c r="U307" i="1"/>
  <c r="V307" i="1"/>
  <c r="Q308" i="1"/>
  <c r="R308" i="1"/>
  <c r="S308" i="1"/>
  <c r="T308" i="1"/>
  <c r="U308" i="1"/>
  <c r="V308" i="1"/>
  <c r="Q309" i="1"/>
  <c r="R309" i="1"/>
  <c r="S309" i="1"/>
  <c r="T309" i="1"/>
  <c r="V309" i="1"/>
  <c r="Q310" i="1"/>
  <c r="R310" i="1"/>
  <c r="S310" i="1"/>
  <c r="T310" i="1"/>
  <c r="U310" i="1"/>
  <c r="V310" i="1"/>
  <c r="Q311" i="1"/>
  <c r="R311" i="1"/>
  <c r="S311" i="1"/>
  <c r="T311" i="1"/>
  <c r="U311" i="1"/>
  <c r="V311" i="1"/>
  <c r="Q312" i="1"/>
  <c r="R312" i="1"/>
  <c r="S312" i="1"/>
  <c r="T312" i="1"/>
  <c r="V312" i="1"/>
  <c r="Q313" i="1"/>
  <c r="R313" i="1"/>
  <c r="S313" i="1"/>
  <c r="T313" i="1"/>
  <c r="U313" i="1"/>
  <c r="V313" i="1"/>
  <c r="Q314" i="1"/>
  <c r="R314" i="1"/>
  <c r="S314" i="1"/>
  <c r="T314" i="1"/>
  <c r="U314" i="1"/>
  <c r="V314" i="1"/>
  <c r="Q315" i="1"/>
  <c r="R315" i="1"/>
  <c r="S315" i="1"/>
  <c r="T315" i="1"/>
  <c r="V315" i="1"/>
  <c r="Q316" i="1"/>
  <c r="R316" i="1"/>
  <c r="S316" i="1"/>
  <c r="T316" i="1"/>
  <c r="U316" i="1"/>
  <c r="V316" i="1"/>
  <c r="Q317" i="1"/>
  <c r="R317" i="1"/>
  <c r="S317" i="1"/>
  <c r="T317" i="1"/>
  <c r="U317" i="1"/>
  <c r="V317" i="1"/>
  <c r="Q318" i="1"/>
  <c r="R318" i="1"/>
  <c r="S318" i="1"/>
  <c r="T318" i="1"/>
  <c r="U318" i="1"/>
  <c r="Q319" i="1"/>
  <c r="R319" i="1"/>
  <c r="S319" i="1"/>
  <c r="T319" i="1"/>
  <c r="U319" i="1"/>
  <c r="V319" i="1"/>
  <c r="Q320" i="1"/>
  <c r="R320" i="1"/>
  <c r="S320" i="1"/>
  <c r="T320" i="1"/>
  <c r="U320" i="1"/>
  <c r="V320" i="1"/>
  <c r="Q321" i="1"/>
  <c r="R321" i="1"/>
  <c r="S321" i="1"/>
  <c r="T321" i="1"/>
  <c r="U321" i="1"/>
  <c r="Q322" i="1"/>
  <c r="R322" i="1"/>
  <c r="S322" i="1"/>
  <c r="T322" i="1"/>
  <c r="U322" i="1"/>
  <c r="V322" i="1"/>
  <c r="Q323" i="1"/>
  <c r="R323" i="1"/>
  <c r="S323" i="1"/>
  <c r="T323" i="1"/>
  <c r="U323" i="1"/>
  <c r="V323" i="1"/>
  <c r="Q324" i="1"/>
  <c r="R324" i="1"/>
  <c r="S324" i="1"/>
  <c r="T324" i="1"/>
  <c r="U324" i="1"/>
  <c r="Q325" i="1"/>
  <c r="R325" i="1"/>
  <c r="S325" i="1"/>
  <c r="T325" i="1"/>
  <c r="U325" i="1"/>
  <c r="V325" i="1"/>
  <c r="Q326" i="1"/>
  <c r="R326" i="1"/>
  <c r="S326" i="1"/>
  <c r="T326" i="1"/>
  <c r="U326" i="1"/>
  <c r="V326" i="1"/>
  <c r="Q327" i="1"/>
  <c r="R327" i="1"/>
  <c r="S327" i="1"/>
  <c r="T327" i="1"/>
  <c r="U327" i="1"/>
  <c r="Q328" i="1"/>
  <c r="R328" i="1"/>
  <c r="S328" i="1"/>
  <c r="T328" i="1"/>
  <c r="U328" i="1"/>
  <c r="V328" i="1"/>
  <c r="Q329" i="1"/>
  <c r="R329" i="1"/>
  <c r="S329" i="1"/>
  <c r="T329" i="1"/>
  <c r="U329" i="1"/>
  <c r="V329" i="1"/>
  <c r="Q330" i="1"/>
  <c r="R330" i="1"/>
  <c r="S330" i="1"/>
  <c r="T330" i="1"/>
  <c r="V330" i="1"/>
  <c r="Q331" i="1"/>
  <c r="R331" i="1"/>
  <c r="S331" i="1"/>
  <c r="T331" i="1"/>
  <c r="U331" i="1"/>
  <c r="V331" i="1"/>
  <c r="Q332" i="1"/>
  <c r="R332" i="1"/>
  <c r="S332" i="1"/>
  <c r="T332" i="1"/>
  <c r="U332" i="1"/>
  <c r="V332" i="1"/>
  <c r="Q333" i="1"/>
  <c r="R333" i="1"/>
  <c r="S333" i="1"/>
  <c r="T333" i="1"/>
  <c r="U333" i="1"/>
  <c r="Q334" i="1"/>
  <c r="R334" i="1"/>
  <c r="S334" i="1"/>
  <c r="T334" i="1"/>
  <c r="U334" i="1"/>
  <c r="V334" i="1"/>
  <c r="Q335" i="1"/>
  <c r="R335" i="1"/>
  <c r="S335" i="1"/>
  <c r="T335" i="1"/>
  <c r="U335" i="1"/>
  <c r="V335" i="1"/>
  <c r="Q336" i="1"/>
  <c r="R336" i="1"/>
  <c r="S336" i="1"/>
  <c r="T336" i="1"/>
  <c r="V336" i="1"/>
  <c r="Q337" i="1"/>
  <c r="R337" i="1"/>
  <c r="S337" i="1"/>
  <c r="T337" i="1"/>
  <c r="U337" i="1"/>
  <c r="V337" i="1"/>
  <c r="Q338" i="1"/>
  <c r="R338" i="1"/>
  <c r="S338" i="1"/>
  <c r="T338" i="1"/>
  <c r="U338" i="1"/>
  <c r="V338" i="1"/>
  <c r="Q339" i="1"/>
  <c r="R339" i="1"/>
  <c r="S339" i="1"/>
  <c r="T339" i="1"/>
  <c r="U339" i="1"/>
  <c r="Q340" i="1"/>
  <c r="R340" i="1"/>
  <c r="S340" i="1"/>
  <c r="T340" i="1"/>
  <c r="U340" i="1"/>
  <c r="V340" i="1"/>
  <c r="Q341" i="1"/>
  <c r="R341" i="1"/>
  <c r="S341" i="1"/>
  <c r="T341" i="1"/>
  <c r="U341" i="1"/>
  <c r="V341" i="1"/>
  <c r="Q342" i="1"/>
  <c r="R342" i="1"/>
  <c r="S342" i="1"/>
  <c r="T342" i="1"/>
  <c r="V342" i="1"/>
  <c r="Q343" i="1"/>
  <c r="R343" i="1"/>
  <c r="S343" i="1"/>
  <c r="T343" i="1"/>
  <c r="U343" i="1"/>
  <c r="V343" i="1"/>
  <c r="Q344" i="1"/>
  <c r="R344" i="1"/>
  <c r="S344" i="1"/>
  <c r="T344" i="1"/>
  <c r="U344" i="1"/>
  <c r="V344" i="1"/>
  <c r="Q345" i="1"/>
  <c r="R345" i="1"/>
  <c r="S345" i="1"/>
  <c r="T345" i="1"/>
  <c r="V345" i="1"/>
  <c r="Q346" i="1"/>
  <c r="R346" i="1"/>
  <c r="S346" i="1"/>
  <c r="T346" i="1"/>
  <c r="U346" i="1"/>
  <c r="V346" i="1"/>
  <c r="Q347" i="1"/>
  <c r="R347" i="1"/>
  <c r="S347" i="1"/>
  <c r="T347" i="1"/>
  <c r="U347" i="1"/>
  <c r="V347" i="1"/>
  <c r="Q348" i="1"/>
  <c r="R348" i="1"/>
  <c r="S348" i="1"/>
  <c r="T348" i="1"/>
  <c r="U348" i="1"/>
  <c r="Q349" i="1"/>
  <c r="R349" i="1"/>
  <c r="S349" i="1"/>
  <c r="T349" i="1"/>
  <c r="U349" i="1"/>
  <c r="V349" i="1"/>
  <c r="Q350" i="1"/>
  <c r="R350" i="1"/>
  <c r="S350" i="1"/>
  <c r="T350" i="1"/>
  <c r="U350" i="1"/>
  <c r="V350" i="1"/>
  <c r="Q351" i="1"/>
  <c r="R351" i="1"/>
  <c r="S351" i="1"/>
  <c r="T351" i="1"/>
  <c r="V351" i="1"/>
  <c r="Q352" i="1"/>
  <c r="R352" i="1"/>
  <c r="S352" i="1"/>
  <c r="T352" i="1"/>
  <c r="U352" i="1"/>
  <c r="V352" i="1"/>
  <c r="Q353" i="1"/>
  <c r="R353" i="1"/>
  <c r="S353" i="1"/>
  <c r="T353" i="1"/>
  <c r="U353" i="1"/>
  <c r="V353" i="1"/>
  <c r="Q354" i="1"/>
  <c r="R354" i="1"/>
  <c r="S354" i="1"/>
  <c r="T354" i="1"/>
  <c r="V354" i="1"/>
  <c r="Q355" i="1"/>
  <c r="R355" i="1"/>
  <c r="S355" i="1"/>
  <c r="T355" i="1"/>
  <c r="U355" i="1"/>
  <c r="V355" i="1"/>
  <c r="Q356" i="1"/>
  <c r="R356" i="1"/>
  <c r="S356" i="1"/>
  <c r="T356" i="1"/>
  <c r="U356" i="1"/>
  <c r="V356" i="1"/>
  <c r="Q357" i="1"/>
  <c r="R357" i="1"/>
  <c r="S357" i="1"/>
  <c r="T357" i="1"/>
  <c r="U357" i="1"/>
  <c r="Q358" i="1"/>
  <c r="R358" i="1"/>
  <c r="S358" i="1"/>
  <c r="T358" i="1"/>
  <c r="U358" i="1"/>
  <c r="V358" i="1"/>
  <c r="Q359" i="1"/>
  <c r="R359" i="1"/>
  <c r="S359" i="1"/>
  <c r="T359" i="1"/>
  <c r="U359" i="1"/>
  <c r="V359" i="1"/>
  <c r="Q360" i="1"/>
  <c r="R360" i="1"/>
  <c r="S360" i="1"/>
  <c r="T360" i="1"/>
  <c r="V360" i="1"/>
  <c r="Q361" i="1"/>
  <c r="R361" i="1"/>
  <c r="S361" i="1"/>
  <c r="T361" i="1"/>
  <c r="U361" i="1"/>
  <c r="V361" i="1"/>
  <c r="Q362" i="1"/>
  <c r="R362" i="1"/>
  <c r="S362" i="1"/>
  <c r="T362" i="1"/>
  <c r="U362" i="1"/>
  <c r="V362" i="1"/>
  <c r="Q363" i="1"/>
  <c r="R363" i="1"/>
  <c r="S363" i="1"/>
  <c r="U363" i="1"/>
  <c r="V363" i="1"/>
  <c r="Q364" i="1"/>
  <c r="R364" i="1"/>
  <c r="S364" i="1"/>
  <c r="T364" i="1"/>
  <c r="U364" i="1"/>
  <c r="V364" i="1"/>
  <c r="Q365" i="1"/>
  <c r="R365" i="1"/>
  <c r="S365" i="1"/>
  <c r="T365" i="1"/>
  <c r="U365" i="1"/>
  <c r="V365" i="1"/>
  <c r="Q366" i="1"/>
  <c r="R366" i="1"/>
  <c r="S366" i="1"/>
  <c r="T366" i="1"/>
  <c r="V366" i="1"/>
  <c r="Q367" i="1"/>
  <c r="R367" i="1"/>
  <c r="S367" i="1"/>
  <c r="T367" i="1"/>
  <c r="U367" i="1"/>
  <c r="V367" i="1"/>
  <c r="Q368" i="1"/>
  <c r="R368" i="1"/>
  <c r="S368" i="1"/>
  <c r="T368" i="1"/>
  <c r="U368" i="1"/>
  <c r="V368" i="1"/>
  <c r="Q369" i="1"/>
  <c r="R369" i="1"/>
  <c r="S369" i="1"/>
  <c r="T369" i="1"/>
  <c r="V369" i="1"/>
  <c r="Q370" i="1"/>
  <c r="R370" i="1"/>
  <c r="S370" i="1"/>
  <c r="T370" i="1"/>
  <c r="U370" i="1"/>
  <c r="V370" i="1"/>
  <c r="Q371" i="1"/>
  <c r="R371" i="1"/>
  <c r="S371" i="1"/>
  <c r="T371" i="1"/>
  <c r="U371" i="1"/>
  <c r="V371" i="1"/>
  <c r="Q372" i="1"/>
  <c r="R372" i="1"/>
  <c r="S372" i="1"/>
  <c r="T372" i="1"/>
  <c r="U372" i="1"/>
  <c r="Q373" i="1"/>
  <c r="R373" i="1"/>
  <c r="S373" i="1"/>
  <c r="T373" i="1"/>
  <c r="U373" i="1"/>
  <c r="V373" i="1"/>
  <c r="Q374" i="1"/>
  <c r="R374" i="1"/>
  <c r="S374" i="1"/>
  <c r="T374" i="1"/>
  <c r="U374" i="1"/>
  <c r="V374" i="1"/>
  <c r="Q375" i="1"/>
  <c r="R375" i="1"/>
  <c r="S375" i="1"/>
  <c r="T375" i="1"/>
  <c r="V375" i="1"/>
  <c r="Q376" i="1"/>
  <c r="R376" i="1"/>
  <c r="S376" i="1"/>
  <c r="T376" i="1"/>
  <c r="U376" i="1"/>
  <c r="V376" i="1"/>
  <c r="Q377" i="1"/>
  <c r="R377" i="1"/>
  <c r="S377" i="1"/>
  <c r="T377" i="1"/>
  <c r="U377" i="1"/>
  <c r="V377" i="1"/>
  <c r="Q378" i="1"/>
  <c r="R378" i="1"/>
  <c r="S378" i="1"/>
  <c r="T378" i="1"/>
  <c r="U378" i="1"/>
  <c r="Q379" i="1"/>
  <c r="R379" i="1"/>
  <c r="S379" i="1"/>
  <c r="T379" i="1"/>
  <c r="U379" i="1"/>
  <c r="V379" i="1"/>
  <c r="Q380" i="1"/>
  <c r="R380" i="1"/>
  <c r="S380" i="1"/>
  <c r="T380" i="1"/>
  <c r="U380" i="1"/>
  <c r="V380" i="1"/>
  <c r="Q381" i="1"/>
  <c r="R381" i="1"/>
  <c r="S381" i="1"/>
  <c r="T381" i="1"/>
  <c r="U381" i="1"/>
  <c r="Q382" i="1"/>
  <c r="R382" i="1"/>
  <c r="S382" i="1"/>
  <c r="T382" i="1"/>
  <c r="U382" i="1"/>
  <c r="V382" i="1"/>
  <c r="Q383" i="1"/>
  <c r="R383" i="1"/>
  <c r="S383" i="1"/>
  <c r="T383" i="1"/>
  <c r="U383" i="1"/>
  <c r="V383" i="1"/>
  <c r="Q384" i="1"/>
  <c r="R384" i="1"/>
  <c r="S384" i="1"/>
  <c r="T384" i="1"/>
  <c r="U384" i="1"/>
  <c r="Q385" i="1"/>
  <c r="R385" i="1"/>
  <c r="S385" i="1"/>
  <c r="T385" i="1"/>
  <c r="U385" i="1"/>
  <c r="V385" i="1"/>
  <c r="Q386" i="1"/>
  <c r="R386" i="1"/>
  <c r="S386" i="1"/>
  <c r="T386" i="1"/>
  <c r="U386" i="1"/>
  <c r="V386" i="1"/>
  <c r="Q387" i="1"/>
  <c r="R387" i="1"/>
  <c r="S387" i="1"/>
  <c r="T387" i="1"/>
  <c r="V387" i="1"/>
  <c r="Q388" i="1"/>
  <c r="R388" i="1"/>
  <c r="S388" i="1"/>
  <c r="T388" i="1"/>
  <c r="U388" i="1"/>
  <c r="V388" i="1"/>
  <c r="Q389" i="1"/>
  <c r="R389" i="1"/>
  <c r="S389" i="1"/>
  <c r="T389" i="1"/>
  <c r="U389" i="1"/>
  <c r="V389" i="1"/>
  <c r="Q390" i="1"/>
  <c r="R390" i="1"/>
  <c r="S390" i="1"/>
  <c r="T390" i="1"/>
  <c r="V390" i="1"/>
  <c r="Q391" i="1"/>
  <c r="R391" i="1"/>
  <c r="S391" i="1"/>
  <c r="T391" i="1"/>
  <c r="U391" i="1"/>
  <c r="V391" i="1"/>
  <c r="Q392" i="1"/>
  <c r="R392" i="1"/>
  <c r="S392" i="1"/>
  <c r="T392" i="1"/>
  <c r="U392" i="1"/>
  <c r="V392" i="1"/>
  <c r="Q393" i="1"/>
  <c r="R393" i="1"/>
  <c r="S393" i="1"/>
  <c r="T393" i="1"/>
  <c r="U393" i="1"/>
  <c r="Q394" i="1"/>
  <c r="R394" i="1"/>
  <c r="S394" i="1"/>
  <c r="T394" i="1"/>
  <c r="U394" i="1"/>
  <c r="V394" i="1"/>
  <c r="Q395" i="1"/>
  <c r="R395" i="1"/>
  <c r="S395" i="1"/>
  <c r="T395" i="1"/>
  <c r="U395" i="1"/>
  <c r="V395" i="1"/>
  <c r="Q396" i="1"/>
  <c r="R396" i="1"/>
  <c r="S396" i="1"/>
  <c r="T396" i="1"/>
  <c r="U396" i="1"/>
  <c r="Q397" i="1"/>
  <c r="R397" i="1"/>
  <c r="S397" i="1"/>
  <c r="T397" i="1"/>
  <c r="U397" i="1"/>
  <c r="V397" i="1"/>
  <c r="Q398" i="1"/>
  <c r="R398" i="1"/>
  <c r="S398" i="1"/>
  <c r="T398" i="1"/>
  <c r="U398" i="1"/>
  <c r="V398" i="1"/>
  <c r="Q399" i="1"/>
  <c r="R399" i="1"/>
  <c r="S399" i="1"/>
  <c r="T399" i="1"/>
  <c r="U399" i="1"/>
  <c r="Q400" i="1"/>
  <c r="R400" i="1"/>
  <c r="S400" i="1"/>
  <c r="T400" i="1"/>
  <c r="U400" i="1"/>
  <c r="V400" i="1"/>
  <c r="Q401" i="1"/>
  <c r="R401" i="1"/>
  <c r="S401" i="1"/>
  <c r="T401" i="1"/>
  <c r="U401" i="1"/>
  <c r="V401" i="1"/>
  <c r="Q402" i="1"/>
  <c r="R402" i="1"/>
  <c r="S402" i="1"/>
  <c r="T402" i="1"/>
  <c r="V402" i="1"/>
  <c r="Q403" i="1"/>
  <c r="R403" i="1"/>
  <c r="S403" i="1"/>
  <c r="T403" i="1"/>
  <c r="U403" i="1"/>
  <c r="V403" i="1"/>
  <c r="Q404" i="1"/>
  <c r="R404" i="1"/>
  <c r="S404" i="1"/>
  <c r="T404" i="1"/>
  <c r="U404" i="1"/>
  <c r="V404" i="1"/>
  <c r="Q405" i="1"/>
  <c r="R405" i="1"/>
  <c r="S405" i="1"/>
  <c r="T405" i="1"/>
  <c r="U405" i="1"/>
  <c r="Q406" i="1"/>
  <c r="R406" i="1"/>
  <c r="S406" i="1"/>
  <c r="T406" i="1"/>
  <c r="U406" i="1"/>
  <c r="V406" i="1"/>
  <c r="Q407" i="1"/>
  <c r="R407" i="1"/>
  <c r="S407" i="1"/>
  <c r="T407" i="1"/>
  <c r="U407" i="1"/>
  <c r="V407" i="1"/>
  <c r="Q408" i="1"/>
  <c r="R408" i="1"/>
  <c r="S408" i="1"/>
  <c r="T408" i="1"/>
  <c r="U408" i="1"/>
  <c r="Q409" i="1"/>
  <c r="R409" i="1"/>
  <c r="S409" i="1"/>
  <c r="T409" i="1"/>
  <c r="U409" i="1"/>
  <c r="V409" i="1"/>
  <c r="Q410" i="1"/>
  <c r="R410" i="1"/>
  <c r="S410" i="1"/>
  <c r="T410" i="1"/>
  <c r="U410" i="1"/>
  <c r="V410" i="1"/>
  <c r="Q411" i="1"/>
  <c r="R411" i="1"/>
  <c r="S411" i="1"/>
  <c r="T411" i="1"/>
  <c r="V411" i="1"/>
  <c r="Q412" i="1"/>
  <c r="R412" i="1"/>
  <c r="S412" i="1"/>
  <c r="T412" i="1"/>
  <c r="U412" i="1"/>
  <c r="V412" i="1"/>
  <c r="Q413" i="1"/>
  <c r="R413" i="1"/>
  <c r="S413" i="1"/>
  <c r="T413" i="1"/>
  <c r="U413" i="1"/>
  <c r="V413" i="1"/>
  <c r="Q414" i="1"/>
  <c r="R414" i="1"/>
  <c r="S414" i="1"/>
  <c r="T414" i="1"/>
  <c r="V414" i="1"/>
  <c r="Q415" i="1"/>
  <c r="R415" i="1"/>
  <c r="S415" i="1"/>
  <c r="T415" i="1"/>
  <c r="U415" i="1"/>
  <c r="V415" i="1"/>
  <c r="Q416" i="1"/>
  <c r="R416" i="1"/>
  <c r="S416" i="1"/>
  <c r="T416" i="1"/>
  <c r="U416" i="1"/>
  <c r="V416" i="1"/>
  <c r="Q417" i="1"/>
  <c r="R417" i="1"/>
  <c r="T417" i="1"/>
  <c r="U417" i="1"/>
  <c r="V417" i="1"/>
  <c r="Q418" i="1"/>
  <c r="R418" i="1"/>
  <c r="S418" i="1"/>
  <c r="T418" i="1"/>
  <c r="U418" i="1"/>
  <c r="V418" i="1"/>
  <c r="Q419" i="1"/>
  <c r="R419" i="1"/>
  <c r="S419" i="1"/>
  <c r="T419" i="1"/>
  <c r="U419" i="1"/>
  <c r="V419" i="1"/>
  <c r="Q420" i="1"/>
  <c r="R420" i="1"/>
  <c r="T420" i="1"/>
  <c r="U420" i="1"/>
  <c r="V420" i="1"/>
  <c r="Q421" i="1"/>
  <c r="R421" i="1"/>
  <c r="S421" i="1"/>
  <c r="T421" i="1"/>
  <c r="U421" i="1"/>
  <c r="V421" i="1"/>
  <c r="Q422" i="1"/>
  <c r="R422" i="1"/>
  <c r="S422" i="1"/>
  <c r="T422" i="1"/>
  <c r="U422" i="1"/>
  <c r="V422" i="1"/>
  <c r="Q423" i="1"/>
  <c r="R423" i="1"/>
  <c r="T423" i="1"/>
  <c r="U423" i="1"/>
  <c r="V423" i="1"/>
  <c r="Q424" i="1"/>
  <c r="R424" i="1"/>
  <c r="S424" i="1"/>
  <c r="T424" i="1"/>
  <c r="U424" i="1"/>
  <c r="V424" i="1"/>
  <c r="Q425" i="1"/>
  <c r="R425" i="1"/>
  <c r="S425" i="1"/>
  <c r="T425" i="1"/>
  <c r="U425" i="1"/>
  <c r="V425" i="1"/>
  <c r="Q426" i="1"/>
  <c r="R426" i="1"/>
  <c r="T426" i="1"/>
  <c r="U426" i="1"/>
  <c r="V426" i="1"/>
  <c r="Q427" i="1"/>
  <c r="R427" i="1"/>
  <c r="S427" i="1"/>
  <c r="T427" i="1"/>
  <c r="U427" i="1"/>
  <c r="V427" i="1"/>
  <c r="Q428" i="1"/>
  <c r="R428" i="1"/>
  <c r="S428" i="1"/>
  <c r="T428" i="1"/>
  <c r="U428" i="1"/>
  <c r="V428" i="1"/>
  <c r="Q429" i="1"/>
  <c r="R429" i="1"/>
  <c r="S429" i="1"/>
  <c r="T429" i="1"/>
  <c r="U429" i="1"/>
  <c r="Q430" i="1"/>
  <c r="R430" i="1"/>
  <c r="S430" i="1"/>
  <c r="T430" i="1"/>
  <c r="U430" i="1"/>
  <c r="V430" i="1"/>
  <c r="Q431" i="1"/>
  <c r="R431" i="1"/>
  <c r="S431" i="1"/>
  <c r="T431" i="1"/>
  <c r="U431" i="1"/>
  <c r="V431" i="1"/>
  <c r="Q432" i="1"/>
  <c r="R432" i="1"/>
  <c r="S432" i="1"/>
  <c r="U432" i="1"/>
  <c r="V432" i="1"/>
  <c r="Q433" i="1"/>
  <c r="R433" i="1"/>
  <c r="S433" i="1"/>
  <c r="T433" i="1"/>
  <c r="U433" i="1"/>
  <c r="V433" i="1"/>
  <c r="Q434" i="1"/>
  <c r="R434" i="1"/>
  <c r="S434" i="1"/>
  <c r="T434" i="1"/>
  <c r="U434" i="1"/>
  <c r="V434" i="1"/>
  <c r="Q435" i="1"/>
  <c r="R435" i="1"/>
  <c r="S435" i="1"/>
  <c r="T435" i="1"/>
  <c r="U435" i="1"/>
  <c r="Q436" i="1"/>
  <c r="R436" i="1"/>
  <c r="S436" i="1"/>
  <c r="T436" i="1"/>
  <c r="U436" i="1"/>
  <c r="V436" i="1"/>
  <c r="Q437" i="1"/>
  <c r="R437" i="1"/>
  <c r="S437" i="1"/>
  <c r="T437" i="1"/>
  <c r="U437" i="1"/>
  <c r="V437" i="1"/>
  <c r="Q438" i="1"/>
  <c r="R438" i="1"/>
  <c r="S438" i="1"/>
  <c r="U438" i="1"/>
  <c r="V438" i="1"/>
  <c r="Q439" i="1"/>
  <c r="R439" i="1"/>
  <c r="S439" i="1"/>
  <c r="T439" i="1"/>
  <c r="U439" i="1"/>
  <c r="V439" i="1"/>
  <c r="Q440" i="1"/>
  <c r="R440" i="1"/>
  <c r="S440" i="1"/>
  <c r="T440" i="1"/>
  <c r="U440" i="1"/>
  <c r="V440" i="1"/>
  <c r="Q441" i="1"/>
  <c r="R441" i="1"/>
  <c r="S441" i="1"/>
  <c r="T441" i="1"/>
  <c r="U441" i="1"/>
  <c r="Q442" i="1"/>
  <c r="R442" i="1"/>
  <c r="S442" i="1"/>
  <c r="T442" i="1"/>
  <c r="U442" i="1"/>
  <c r="V442" i="1"/>
  <c r="Q443" i="1"/>
  <c r="R443" i="1"/>
  <c r="S443" i="1"/>
  <c r="T443" i="1"/>
  <c r="U443" i="1"/>
  <c r="V443" i="1"/>
  <c r="Q444" i="1"/>
  <c r="R444" i="1"/>
  <c r="S444" i="1"/>
  <c r="T444" i="1"/>
  <c r="U444" i="1"/>
  <c r="Q445" i="1"/>
  <c r="R445" i="1"/>
  <c r="S445" i="1"/>
  <c r="T445" i="1"/>
  <c r="U445" i="1"/>
  <c r="V445" i="1"/>
  <c r="Q446" i="1"/>
  <c r="R446" i="1"/>
  <c r="S446" i="1"/>
  <c r="T446" i="1"/>
  <c r="U446" i="1"/>
  <c r="V446" i="1"/>
  <c r="Q447" i="1"/>
  <c r="R447" i="1"/>
  <c r="S447" i="1"/>
  <c r="T447" i="1"/>
  <c r="U447" i="1"/>
  <c r="Q448" i="1"/>
  <c r="R448" i="1"/>
  <c r="S448" i="1"/>
  <c r="T448" i="1"/>
  <c r="U448" i="1"/>
  <c r="V448" i="1"/>
  <c r="Q449" i="1"/>
  <c r="R449" i="1"/>
  <c r="S449" i="1"/>
  <c r="T449" i="1"/>
  <c r="U449" i="1"/>
  <c r="V449" i="1"/>
  <c r="Q450" i="1"/>
  <c r="R450" i="1"/>
  <c r="S450" i="1"/>
  <c r="T450" i="1"/>
  <c r="V450" i="1"/>
  <c r="Q451" i="1"/>
  <c r="R451" i="1"/>
  <c r="S451" i="1"/>
  <c r="T451" i="1"/>
  <c r="U451" i="1"/>
  <c r="V451" i="1"/>
  <c r="Q452" i="1"/>
  <c r="R452" i="1"/>
  <c r="S452" i="1"/>
  <c r="T452" i="1"/>
  <c r="U452" i="1"/>
  <c r="V452" i="1"/>
  <c r="Q453" i="1"/>
  <c r="R453" i="1"/>
  <c r="S453" i="1"/>
  <c r="T453" i="1"/>
  <c r="V453" i="1"/>
  <c r="Q454" i="1"/>
  <c r="R454" i="1"/>
  <c r="S454" i="1"/>
  <c r="T454" i="1"/>
  <c r="U454" i="1"/>
  <c r="V454" i="1"/>
  <c r="Q455" i="1"/>
  <c r="R455" i="1"/>
  <c r="S455" i="1"/>
  <c r="T455" i="1"/>
  <c r="U455" i="1"/>
  <c r="V455" i="1"/>
  <c r="Q456" i="1"/>
  <c r="R456" i="1"/>
  <c r="S456" i="1"/>
  <c r="T456" i="1"/>
  <c r="U456" i="1"/>
  <c r="Q457" i="1"/>
  <c r="R457" i="1"/>
  <c r="S457" i="1"/>
  <c r="T457" i="1"/>
  <c r="U457" i="1"/>
  <c r="V457" i="1"/>
  <c r="Q458" i="1"/>
  <c r="R458" i="1"/>
  <c r="S458" i="1"/>
  <c r="T458" i="1"/>
  <c r="U458" i="1"/>
  <c r="V458" i="1"/>
  <c r="Q459" i="1"/>
  <c r="R459" i="1"/>
  <c r="S459" i="1"/>
  <c r="T459" i="1"/>
  <c r="U459" i="1"/>
  <c r="Q460" i="1"/>
  <c r="R460" i="1"/>
  <c r="S460" i="1"/>
  <c r="T460" i="1"/>
  <c r="U460" i="1"/>
  <c r="V460" i="1"/>
  <c r="Q461" i="1"/>
  <c r="R461" i="1"/>
  <c r="S461" i="1"/>
  <c r="T461" i="1"/>
  <c r="U461" i="1"/>
  <c r="V461" i="1"/>
  <c r="Q462" i="1"/>
  <c r="R462" i="1"/>
  <c r="S462" i="1"/>
  <c r="T462" i="1"/>
  <c r="V462" i="1"/>
  <c r="Q463" i="1"/>
  <c r="R463" i="1"/>
  <c r="S463" i="1"/>
  <c r="T463" i="1"/>
  <c r="U463" i="1"/>
  <c r="V463" i="1"/>
  <c r="Q464" i="1"/>
  <c r="R464" i="1"/>
  <c r="S464" i="1"/>
  <c r="T464" i="1"/>
  <c r="U464" i="1"/>
  <c r="V464" i="1"/>
  <c r="Q465" i="1"/>
  <c r="R465" i="1"/>
  <c r="S465" i="1"/>
  <c r="T465" i="1"/>
  <c r="V465" i="1"/>
  <c r="Q466" i="1"/>
  <c r="R466" i="1"/>
  <c r="S466" i="1"/>
  <c r="T466" i="1"/>
  <c r="U466" i="1"/>
  <c r="V466" i="1"/>
  <c r="Q467" i="1"/>
  <c r="R467" i="1"/>
  <c r="S467" i="1"/>
  <c r="T467" i="1"/>
  <c r="U467" i="1"/>
  <c r="V467" i="1"/>
  <c r="Q468" i="1"/>
  <c r="R468" i="1"/>
  <c r="S468" i="1"/>
  <c r="T468" i="1"/>
  <c r="V468" i="1"/>
  <c r="Q469" i="1"/>
  <c r="R469" i="1"/>
  <c r="S469" i="1"/>
  <c r="T469" i="1"/>
  <c r="U469" i="1"/>
  <c r="V469" i="1"/>
  <c r="Q470" i="1"/>
  <c r="R470" i="1"/>
  <c r="S470" i="1"/>
  <c r="T470" i="1"/>
  <c r="U470" i="1"/>
  <c r="V470" i="1"/>
  <c r="Q471" i="1"/>
  <c r="R471" i="1"/>
  <c r="S471" i="1"/>
  <c r="T471" i="1"/>
  <c r="U471" i="1"/>
  <c r="Q472" i="1"/>
  <c r="R472" i="1"/>
  <c r="S472" i="1"/>
  <c r="T472" i="1"/>
  <c r="U472" i="1"/>
  <c r="V472" i="1"/>
  <c r="Q473" i="1"/>
  <c r="R473" i="1"/>
  <c r="S473" i="1"/>
  <c r="T473" i="1"/>
  <c r="U473" i="1"/>
  <c r="V473" i="1"/>
  <c r="Q474" i="1"/>
  <c r="R474" i="1"/>
  <c r="S474" i="1"/>
  <c r="T474" i="1"/>
  <c r="V474" i="1"/>
  <c r="Q475" i="1"/>
  <c r="R475" i="1"/>
  <c r="S475" i="1"/>
  <c r="T475" i="1"/>
  <c r="U475" i="1"/>
  <c r="V475" i="1"/>
  <c r="Q476" i="1"/>
  <c r="R476" i="1"/>
  <c r="S476" i="1"/>
  <c r="T476" i="1"/>
  <c r="U476" i="1"/>
  <c r="V476" i="1"/>
  <c r="Q477" i="1"/>
  <c r="R477" i="1"/>
  <c r="S477" i="1"/>
  <c r="T477" i="1"/>
  <c r="V477" i="1"/>
  <c r="Q478" i="1"/>
  <c r="R478" i="1"/>
  <c r="S478" i="1"/>
  <c r="T478" i="1"/>
  <c r="U478" i="1"/>
  <c r="V478" i="1"/>
  <c r="Q479" i="1"/>
  <c r="R479" i="1"/>
  <c r="S479" i="1"/>
  <c r="T479" i="1"/>
  <c r="U479" i="1"/>
  <c r="V479" i="1"/>
  <c r="Q480" i="1"/>
  <c r="R480" i="1"/>
  <c r="S480" i="1"/>
  <c r="T480" i="1"/>
  <c r="V480" i="1"/>
  <c r="Q481" i="1"/>
  <c r="R481" i="1"/>
  <c r="S481" i="1"/>
  <c r="T481" i="1"/>
  <c r="U481" i="1"/>
  <c r="V481" i="1"/>
  <c r="Q482" i="1"/>
  <c r="R482" i="1"/>
  <c r="S482" i="1"/>
  <c r="T482" i="1"/>
  <c r="U482" i="1"/>
  <c r="V482" i="1"/>
  <c r="Q483" i="1"/>
  <c r="R483" i="1"/>
  <c r="S483" i="1"/>
  <c r="T483" i="1"/>
  <c r="V483" i="1"/>
  <c r="Q484" i="1"/>
  <c r="R484" i="1"/>
  <c r="S484" i="1"/>
  <c r="T484" i="1"/>
  <c r="U484" i="1"/>
  <c r="V484" i="1"/>
  <c r="Q485" i="1"/>
  <c r="R485" i="1"/>
  <c r="S485" i="1"/>
  <c r="T485" i="1"/>
  <c r="U485" i="1"/>
  <c r="V485" i="1"/>
  <c r="Q486" i="1"/>
  <c r="R486" i="1"/>
  <c r="S486" i="1"/>
  <c r="T486" i="1"/>
  <c r="V486" i="1"/>
  <c r="Q487" i="1"/>
  <c r="R487" i="1"/>
  <c r="S487" i="1"/>
  <c r="T487" i="1"/>
  <c r="U487" i="1"/>
  <c r="V487" i="1"/>
  <c r="Q488" i="1"/>
  <c r="R488" i="1"/>
  <c r="S488" i="1"/>
  <c r="T488" i="1"/>
  <c r="U488" i="1"/>
  <c r="V488" i="1"/>
  <c r="Q489" i="1"/>
  <c r="R489" i="1"/>
  <c r="S489" i="1"/>
  <c r="T489" i="1"/>
  <c r="V489" i="1"/>
  <c r="Q490" i="1"/>
  <c r="R490" i="1"/>
  <c r="S490" i="1"/>
  <c r="T490" i="1"/>
  <c r="U490" i="1"/>
  <c r="V490" i="1"/>
  <c r="Q491" i="1"/>
  <c r="R491" i="1"/>
  <c r="S491" i="1"/>
  <c r="T491" i="1"/>
  <c r="U491" i="1"/>
  <c r="V491" i="1"/>
  <c r="Q492" i="1"/>
  <c r="R492" i="1"/>
  <c r="T492" i="1"/>
  <c r="U492" i="1"/>
  <c r="V492" i="1"/>
  <c r="Q493" i="1"/>
  <c r="R493" i="1"/>
  <c r="S493" i="1"/>
  <c r="T493" i="1"/>
  <c r="U493" i="1"/>
  <c r="V493" i="1"/>
  <c r="Q494" i="1"/>
  <c r="R494" i="1"/>
  <c r="S494" i="1"/>
  <c r="T494" i="1"/>
  <c r="U494" i="1"/>
  <c r="V494" i="1"/>
  <c r="Q495" i="1"/>
  <c r="R495" i="1"/>
  <c r="S495" i="1"/>
  <c r="T495" i="1"/>
  <c r="V495" i="1"/>
  <c r="Q496" i="1"/>
  <c r="R496" i="1"/>
  <c r="S496" i="1"/>
  <c r="T496" i="1"/>
  <c r="U496" i="1"/>
  <c r="V496" i="1"/>
  <c r="Q497" i="1"/>
  <c r="R497" i="1"/>
  <c r="S497" i="1"/>
  <c r="T497" i="1"/>
  <c r="U497" i="1"/>
  <c r="V497" i="1"/>
  <c r="Q498" i="1"/>
  <c r="R498" i="1"/>
  <c r="S498" i="1"/>
  <c r="T498" i="1"/>
  <c r="U498" i="1"/>
  <c r="Q499" i="1"/>
  <c r="R499" i="1"/>
  <c r="S499" i="1"/>
  <c r="T499" i="1"/>
  <c r="U499" i="1"/>
  <c r="V499" i="1"/>
  <c r="Q500" i="1"/>
  <c r="R500" i="1"/>
  <c r="S500" i="1"/>
  <c r="T500" i="1"/>
  <c r="U500" i="1"/>
  <c r="V500" i="1"/>
  <c r="Q501" i="1"/>
  <c r="R501" i="1"/>
  <c r="S501" i="1"/>
  <c r="T501" i="1"/>
  <c r="U501" i="1"/>
  <c r="Q502" i="1"/>
  <c r="R502" i="1"/>
  <c r="S502" i="1"/>
  <c r="T502" i="1"/>
  <c r="U502" i="1"/>
  <c r="V502" i="1"/>
  <c r="Q503" i="1"/>
  <c r="R503" i="1"/>
  <c r="S503" i="1"/>
  <c r="T503" i="1"/>
  <c r="U503" i="1"/>
  <c r="V503" i="1"/>
  <c r="Q504" i="1"/>
  <c r="R504" i="1"/>
  <c r="S504" i="1"/>
  <c r="T504" i="1"/>
  <c r="V504" i="1"/>
  <c r="Q505" i="1"/>
  <c r="R505" i="1"/>
  <c r="S505" i="1"/>
  <c r="T505" i="1"/>
  <c r="U505" i="1"/>
  <c r="V505" i="1"/>
  <c r="Q506" i="1"/>
  <c r="R506" i="1"/>
  <c r="S506" i="1"/>
  <c r="T506" i="1"/>
  <c r="U506" i="1"/>
  <c r="V506" i="1"/>
  <c r="Q507" i="1"/>
  <c r="R507" i="1"/>
  <c r="S507" i="1"/>
  <c r="T507" i="1"/>
  <c r="V507" i="1"/>
  <c r="Q508" i="1"/>
  <c r="R508" i="1"/>
  <c r="S508" i="1"/>
  <c r="T508" i="1"/>
  <c r="U508" i="1"/>
  <c r="V508" i="1"/>
  <c r="Q509" i="1"/>
  <c r="R509" i="1"/>
  <c r="S509" i="1"/>
  <c r="T509" i="1"/>
  <c r="U509" i="1"/>
  <c r="V509" i="1"/>
  <c r="Q510" i="1"/>
  <c r="R510" i="1"/>
  <c r="S510" i="1"/>
  <c r="T510" i="1"/>
  <c r="V510" i="1"/>
  <c r="Q511" i="1"/>
  <c r="R511" i="1"/>
  <c r="S511" i="1"/>
  <c r="T511" i="1"/>
  <c r="U511" i="1"/>
  <c r="V511" i="1"/>
  <c r="Q512" i="1"/>
  <c r="R512" i="1"/>
  <c r="S512" i="1"/>
  <c r="T512" i="1"/>
  <c r="U512" i="1"/>
  <c r="V512" i="1"/>
  <c r="Q513" i="1"/>
  <c r="R513" i="1"/>
  <c r="S513" i="1"/>
  <c r="T513" i="1"/>
  <c r="V513" i="1"/>
  <c r="Q514" i="1"/>
  <c r="R514" i="1"/>
  <c r="S514" i="1"/>
  <c r="T514" i="1"/>
  <c r="U514" i="1"/>
  <c r="V514" i="1"/>
  <c r="Q515" i="1"/>
  <c r="R515" i="1"/>
  <c r="S515" i="1"/>
  <c r="T515" i="1"/>
  <c r="U515" i="1"/>
  <c r="V515" i="1"/>
  <c r="Q516" i="1"/>
  <c r="R516" i="1"/>
  <c r="S516" i="1"/>
  <c r="T516" i="1"/>
  <c r="U516" i="1"/>
  <c r="Q517" i="1"/>
  <c r="R517" i="1"/>
  <c r="S517" i="1"/>
  <c r="T517" i="1"/>
  <c r="U517" i="1"/>
  <c r="V517" i="1"/>
  <c r="Q518" i="1"/>
  <c r="R518" i="1"/>
  <c r="S518" i="1"/>
  <c r="T518" i="1"/>
  <c r="U518" i="1"/>
  <c r="V518" i="1"/>
  <c r="Q519" i="1"/>
  <c r="R519" i="1"/>
  <c r="S519" i="1"/>
  <c r="T519" i="1"/>
  <c r="V519" i="1"/>
  <c r="Q520" i="1"/>
  <c r="R520" i="1"/>
  <c r="S520" i="1"/>
  <c r="T520" i="1"/>
  <c r="U520" i="1"/>
  <c r="V520" i="1"/>
  <c r="Q521" i="1"/>
  <c r="R521" i="1"/>
  <c r="S521" i="1"/>
  <c r="T521" i="1"/>
  <c r="U521" i="1"/>
  <c r="V521" i="1"/>
  <c r="Q522" i="1"/>
  <c r="R522" i="1"/>
  <c r="S522" i="1"/>
  <c r="T522" i="1"/>
  <c r="V522" i="1"/>
  <c r="Q523" i="1"/>
  <c r="R523" i="1"/>
  <c r="S523" i="1"/>
  <c r="T523" i="1"/>
  <c r="U523" i="1"/>
  <c r="V523" i="1"/>
  <c r="Q524" i="1"/>
  <c r="R524" i="1"/>
  <c r="S524" i="1"/>
  <c r="T524" i="1"/>
  <c r="U524" i="1"/>
  <c r="V524" i="1"/>
  <c r="Q525" i="1"/>
  <c r="R525" i="1"/>
  <c r="S525" i="1"/>
  <c r="T525" i="1"/>
  <c r="V525" i="1"/>
  <c r="Q526" i="1"/>
  <c r="R526" i="1"/>
  <c r="S526" i="1"/>
  <c r="T526" i="1"/>
  <c r="U526" i="1"/>
  <c r="V526" i="1"/>
  <c r="Q527" i="1"/>
  <c r="R527" i="1"/>
  <c r="S527" i="1"/>
  <c r="T527" i="1"/>
  <c r="U527" i="1"/>
  <c r="V527" i="1"/>
  <c r="Q528" i="1"/>
  <c r="R528" i="1"/>
  <c r="S528" i="1"/>
  <c r="T528" i="1"/>
  <c r="V528" i="1"/>
  <c r="Q529" i="1"/>
  <c r="R529" i="1"/>
  <c r="S529" i="1"/>
  <c r="T529" i="1"/>
  <c r="U529" i="1"/>
  <c r="V529" i="1"/>
  <c r="Q530" i="1"/>
  <c r="R530" i="1"/>
  <c r="S530" i="1"/>
  <c r="T530" i="1"/>
  <c r="U530" i="1"/>
  <c r="V530" i="1"/>
  <c r="Q531" i="1"/>
  <c r="R531" i="1"/>
  <c r="S531" i="1"/>
  <c r="T531" i="1"/>
  <c r="V531" i="1"/>
  <c r="Q532" i="1"/>
  <c r="R532" i="1"/>
  <c r="S532" i="1"/>
  <c r="T532" i="1"/>
  <c r="U532" i="1"/>
  <c r="V532" i="1"/>
  <c r="Q533" i="1"/>
  <c r="R533" i="1"/>
  <c r="S533" i="1"/>
  <c r="T533" i="1"/>
  <c r="U533" i="1"/>
  <c r="V533" i="1"/>
  <c r="Q534" i="1"/>
  <c r="R534" i="1"/>
  <c r="S534" i="1"/>
  <c r="T534" i="1"/>
  <c r="U534" i="1"/>
  <c r="Q535" i="1"/>
  <c r="R535" i="1"/>
  <c r="S535" i="1"/>
  <c r="T535" i="1"/>
  <c r="U535" i="1"/>
  <c r="V535" i="1"/>
  <c r="Q536" i="1"/>
  <c r="R536" i="1"/>
  <c r="S536" i="1"/>
  <c r="T536" i="1"/>
  <c r="U536" i="1"/>
  <c r="V536" i="1"/>
  <c r="Q537" i="1"/>
  <c r="R537" i="1"/>
  <c r="S537" i="1"/>
  <c r="T537" i="1"/>
  <c r="U537" i="1"/>
  <c r="Q538" i="1"/>
  <c r="R538" i="1"/>
  <c r="S538" i="1"/>
  <c r="T538" i="1"/>
  <c r="U538" i="1"/>
  <c r="V538" i="1"/>
  <c r="Q539" i="1"/>
  <c r="R539" i="1"/>
  <c r="S539" i="1"/>
  <c r="T539" i="1"/>
  <c r="U539" i="1"/>
  <c r="V539" i="1"/>
  <c r="Q540" i="1"/>
  <c r="R540" i="1"/>
  <c r="S540" i="1"/>
  <c r="T540" i="1"/>
  <c r="V540" i="1"/>
  <c r="Q541" i="1"/>
  <c r="R541" i="1"/>
  <c r="S541" i="1"/>
  <c r="T541" i="1"/>
  <c r="U541" i="1"/>
  <c r="V541" i="1"/>
  <c r="Q542" i="1"/>
  <c r="R542" i="1"/>
  <c r="S542" i="1"/>
  <c r="T542" i="1"/>
  <c r="U542" i="1"/>
  <c r="V542" i="1"/>
  <c r="Q543" i="1"/>
  <c r="R543" i="1"/>
  <c r="S543" i="1"/>
  <c r="T543" i="1"/>
  <c r="U543" i="1"/>
  <c r="Q544" i="1"/>
  <c r="R544" i="1"/>
  <c r="S544" i="1"/>
  <c r="T544" i="1"/>
  <c r="U544" i="1"/>
  <c r="V544" i="1"/>
  <c r="Q545" i="1"/>
  <c r="R545" i="1"/>
  <c r="S545" i="1"/>
  <c r="T545" i="1"/>
  <c r="U545" i="1"/>
  <c r="V545" i="1"/>
  <c r="Q546" i="1"/>
  <c r="R546" i="1"/>
  <c r="S546" i="1"/>
  <c r="T546" i="1"/>
  <c r="V546" i="1"/>
  <c r="Q547" i="1"/>
  <c r="R547" i="1"/>
  <c r="S547" i="1"/>
  <c r="T547" i="1"/>
  <c r="U547" i="1"/>
  <c r="V547" i="1"/>
  <c r="Q548" i="1"/>
  <c r="R548" i="1"/>
  <c r="S548" i="1"/>
  <c r="T548" i="1"/>
  <c r="U548" i="1"/>
  <c r="V548" i="1"/>
  <c r="Q549" i="1"/>
  <c r="R549" i="1"/>
  <c r="S549" i="1"/>
  <c r="T549" i="1"/>
  <c r="U549" i="1"/>
  <c r="Q550" i="1"/>
  <c r="R550" i="1"/>
  <c r="S550" i="1"/>
  <c r="T550" i="1"/>
  <c r="U550" i="1"/>
  <c r="V550" i="1"/>
  <c r="Q551" i="1"/>
  <c r="R551" i="1"/>
  <c r="S551" i="1"/>
  <c r="T551" i="1"/>
  <c r="U551" i="1"/>
  <c r="V551" i="1"/>
  <c r="Q552" i="1"/>
  <c r="R552" i="1"/>
  <c r="S552" i="1"/>
  <c r="T552" i="1"/>
  <c r="V552" i="1"/>
  <c r="Q553" i="1"/>
  <c r="R553" i="1"/>
  <c r="S553" i="1"/>
  <c r="T553" i="1"/>
  <c r="U553" i="1"/>
  <c r="V553" i="1"/>
  <c r="Q554" i="1"/>
  <c r="R554" i="1"/>
  <c r="S554" i="1"/>
  <c r="T554" i="1"/>
  <c r="U554" i="1"/>
  <c r="V554" i="1"/>
  <c r="Q555" i="1"/>
  <c r="R555" i="1"/>
  <c r="S555" i="1"/>
  <c r="T555" i="1"/>
  <c r="U555" i="1"/>
  <c r="Q556" i="1"/>
  <c r="R556" i="1"/>
  <c r="S556" i="1"/>
  <c r="T556" i="1"/>
  <c r="U556" i="1"/>
  <c r="V556" i="1"/>
  <c r="Q557" i="1"/>
  <c r="R557" i="1"/>
  <c r="S557" i="1"/>
  <c r="T557" i="1"/>
  <c r="U557" i="1"/>
  <c r="V557" i="1"/>
  <c r="Q558" i="1"/>
  <c r="R558" i="1"/>
  <c r="S558" i="1"/>
  <c r="T558" i="1"/>
  <c r="V558" i="1"/>
  <c r="Q559" i="1"/>
  <c r="R559" i="1"/>
  <c r="S559" i="1"/>
  <c r="T559" i="1"/>
  <c r="U559" i="1"/>
  <c r="V559" i="1"/>
  <c r="Q560" i="1"/>
  <c r="R560" i="1"/>
  <c r="S560" i="1"/>
  <c r="T560" i="1"/>
  <c r="U560" i="1"/>
  <c r="V560" i="1"/>
  <c r="Q561" i="1"/>
  <c r="R561" i="1"/>
  <c r="S561" i="1"/>
  <c r="T561" i="1"/>
  <c r="U561" i="1"/>
  <c r="Q562" i="1"/>
  <c r="R562" i="1"/>
  <c r="S562" i="1"/>
  <c r="T562" i="1"/>
  <c r="U562" i="1"/>
  <c r="V562" i="1"/>
  <c r="Q563" i="1"/>
  <c r="R563" i="1"/>
  <c r="S563" i="1"/>
  <c r="T563" i="1"/>
  <c r="U563" i="1"/>
  <c r="V563" i="1"/>
  <c r="Q564" i="1"/>
  <c r="R564" i="1"/>
  <c r="S564" i="1"/>
  <c r="T564" i="1"/>
  <c r="U564" i="1"/>
  <c r="Q565" i="1"/>
  <c r="R565" i="1"/>
  <c r="S565" i="1"/>
  <c r="T565" i="1"/>
  <c r="U565" i="1"/>
  <c r="V565" i="1"/>
  <c r="Q566" i="1"/>
  <c r="R566" i="1"/>
  <c r="S566" i="1"/>
  <c r="T566" i="1"/>
  <c r="U566" i="1"/>
  <c r="V566" i="1"/>
  <c r="Q567" i="1"/>
  <c r="R567" i="1"/>
  <c r="T567" i="1"/>
  <c r="V567" i="1"/>
  <c r="Q568" i="1"/>
  <c r="R568" i="1"/>
  <c r="S568" i="1"/>
  <c r="T568" i="1"/>
  <c r="U568" i="1"/>
  <c r="V568" i="1"/>
  <c r="Q569" i="1"/>
  <c r="R569" i="1"/>
  <c r="S569" i="1"/>
  <c r="T569" i="1"/>
  <c r="U569" i="1"/>
  <c r="V569" i="1"/>
  <c r="Q570" i="1"/>
  <c r="R570" i="1"/>
  <c r="S570" i="1"/>
  <c r="T570" i="1"/>
  <c r="U570" i="1"/>
  <c r="Q571" i="1"/>
  <c r="R571" i="1"/>
  <c r="S571" i="1"/>
  <c r="T571" i="1"/>
  <c r="U571" i="1"/>
  <c r="V571" i="1"/>
  <c r="Q572" i="1"/>
  <c r="R572" i="1"/>
  <c r="S572" i="1"/>
  <c r="T572" i="1"/>
  <c r="U572" i="1"/>
  <c r="V572" i="1"/>
  <c r="Q573" i="1"/>
  <c r="R573" i="1"/>
  <c r="S573" i="1"/>
  <c r="T573" i="1"/>
  <c r="V573" i="1"/>
  <c r="Q574" i="1"/>
  <c r="R574" i="1"/>
  <c r="S574" i="1"/>
  <c r="T574" i="1"/>
  <c r="U574" i="1"/>
  <c r="V574" i="1"/>
  <c r="Q614" i="1"/>
  <c r="R614" i="1"/>
  <c r="S614" i="1"/>
  <c r="T614" i="1"/>
  <c r="U614" i="1"/>
  <c r="V614" i="1"/>
  <c r="Q781" i="1"/>
  <c r="R781" i="1"/>
  <c r="S781" i="1"/>
  <c r="T781" i="1"/>
  <c r="U781" i="1"/>
  <c r="V781" i="1"/>
  <c r="Q782" i="1"/>
  <c r="R782" i="1"/>
  <c r="S782" i="1"/>
  <c r="T782" i="1"/>
  <c r="U782" i="1"/>
  <c r="V782" i="1"/>
  <c r="Q783" i="1"/>
  <c r="R783" i="1"/>
  <c r="S783" i="1"/>
  <c r="T783" i="1"/>
  <c r="U783" i="1"/>
  <c r="V783" i="1"/>
  <c r="Q6" i="1"/>
  <c r="R6" i="1"/>
  <c r="S6" i="1"/>
  <c r="T6" i="1"/>
  <c r="U6" i="1"/>
  <c r="V6" i="1"/>
  <c r="Q7" i="1"/>
  <c r="R7" i="1"/>
  <c r="S7" i="1"/>
  <c r="U7" i="1"/>
  <c r="V7" i="1"/>
  <c r="Q8" i="1"/>
  <c r="R8" i="1"/>
  <c r="S8" i="1"/>
  <c r="T8" i="1"/>
  <c r="U8" i="1"/>
  <c r="V8" i="1"/>
  <c r="Q12" i="1"/>
  <c r="R12" i="1"/>
  <c r="S12" i="1"/>
  <c r="T12" i="1"/>
  <c r="U12" i="1"/>
  <c r="V12" i="1"/>
  <c r="Q13" i="1"/>
  <c r="R13" i="1"/>
  <c r="S13" i="1"/>
  <c r="U13" i="1"/>
  <c r="V13" i="1"/>
  <c r="Q14" i="1"/>
  <c r="R14" i="1"/>
  <c r="S14" i="1"/>
  <c r="T14" i="1"/>
  <c r="U14" i="1"/>
  <c r="V14" i="1"/>
  <c r="Q18" i="1"/>
  <c r="R18" i="1"/>
  <c r="S18" i="1"/>
  <c r="T18" i="1"/>
  <c r="U18" i="1"/>
  <c r="V18" i="1"/>
  <c r="Q19" i="1"/>
  <c r="R19" i="1"/>
  <c r="S19" i="1"/>
  <c r="U19" i="1"/>
  <c r="V19" i="1"/>
  <c r="Q20" i="1"/>
  <c r="R20" i="1"/>
  <c r="S20" i="1"/>
  <c r="T20" i="1"/>
  <c r="U20" i="1"/>
  <c r="V20" i="1"/>
  <c r="Q24" i="1"/>
  <c r="R24" i="1"/>
  <c r="S24" i="1"/>
  <c r="T24" i="1"/>
  <c r="U24" i="1"/>
  <c r="V24" i="1"/>
  <c r="Q25" i="1"/>
  <c r="R25" i="1"/>
  <c r="S25" i="1"/>
  <c r="U25" i="1"/>
  <c r="V25" i="1"/>
  <c r="Q26" i="1"/>
  <c r="R26" i="1"/>
  <c r="S26" i="1"/>
  <c r="T26" i="1"/>
  <c r="U26" i="1"/>
  <c r="V26" i="1"/>
  <c r="Q30" i="1"/>
  <c r="R30" i="1"/>
  <c r="S30" i="1"/>
  <c r="T30" i="1"/>
  <c r="U30" i="1"/>
  <c r="V30" i="1"/>
  <c r="Q31" i="1"/>
  <c r="R31" i="1"/>
  <c r="S31" i="1"/>
  <c r="U31" i="1"/>
  <c r="V31" i="1"/>
  <c r="Q32" i="1"/>
  <c r="R32" i="1"/>
  <c r="S32" i="1"/>
  <c r="T32" i="1"/>
  <c r="U32" i="1"/>
  <c r="V32" i="1"/>
  <c r="Q36" i="1"/>
  <c r="R36" i="1"/>
  <c r="S36" i="1"/>
  <c r="T36" i="1"/>
  <c r="U36" i="1"/>
  <c r="V36" i="1"/>
  <c r="Q37" i="1"/>
  <c r="R37" i="1"/>
  <c r="S37" i="1"/>
  <c r="U37" i="1"/>
  <c r="V37" i="1"/>
  <c r="Q38" i="1"/>
  <c r="R38" i="1"/>
  <c r="S38" i="1"/>
  <c r="T38" i="1"/>
  <c r="U38" i="1"/>
  <c r="V38" i="1"/>
  <c r="Q42" i="1"/>
  <c r="R42" i="1"/>
  <c r="S42" i="1"/>
  <c r="T42" i="1"/>
  <c r="U42" i="1"/>
  <c r="V42" i="1"/>
  <c r="Q43" i="1"/>
  <c r="R43" i="1"/>
  <c r="S43" i="1"/>
  <c r="U43" i="1"/>
  <c r="V43" i="1"/>
  <c r="Q44" i="1"/>
  <c r="R44" i="1"/>
  <c r="S44" i="1"/>
  <c r="T44" i="1"/>
  <c r="U44" i="1"/>
  <c r="V44" i="1"/>
  <c r="Q45" i="1"/>
  <c r="R45" i="1"/>
  <c r="S45" i="1"/>
  <c r="T45" i="1"/>
  <c r="U45" i="1"/>
  <c r="V45" i="1"/>
  <c r="Q46" i="1"/>
  <c r="R46" i="1"/>
  <c r="S46" i="1"/>
  <c r="T46" i="1"/>
  <c r="U46" i="1"/>
  <c r="V46" i="1"/>
  <c r="Q47" i="1"/>
  <c r="R47" i="1"/>
  <c r="S47" i="1"/>
  <c r="T47" i="1"/>
  <c r="U47" i="1"/>
  <c r="V47" i="1"/>
  <c r="Q48" i="1"/>
  <c r="R48" i="1"/>
  <c r="S48" i="1"/>
  <c r="U48" i="1"/>
  <c r="V48" i="1"/>
  <c r="Q49" i="1"/>
  <c r="R49" i="1"/>
  <c r="S49" i="1"/>
  <c r="T49" i="1"/>
  <c r="U49" i="1"/>
  <c r="V49" i="1"/>
  <c r="Q50" i="1"/>
  <c r="R50" i="1"/>
  <c r="S50" i="1"/>
  <c r="T50" i="1"/>
  <c r="U50" i="1"/>
  <c r="V50" i="1"/>
  <c r="Q51" i="1"/>
  <c r="R51" i="1"/>
  <c r="S51" i="1"/>
  <c r="U51" i="1"/>
  <c r="V51" i="1"/>
  <c r="P619" i="1" l="1"/>
  <c r="N564" i="1"/>
  <c r="J564" i="1"/>
  <c r="D564" i="1"/>
  <c r="K564" i="1" s="1"/>
  <c r="N573" i="1"/>
  <c r="J573" i="1"/>
  <c r="D573" i="1"/>
  <c r="K573" i="1" s="1"/>
  <c r="N570" i="1"/>
  <c r="J570" i="1"/>
  <c r="D570" i="1"/>
  <c r="N567" i="1"/>
  <c r="J567" i="1"/>
  <c r="D567" i="1"/>
  <c r="K567" i="1" s="1"/>
  <c r="N561" i="1"/>
  <c r="J561" i="1"/>
  <c r="D561" i="1"/>
  <c r="K561" i="1" s="1"/>
  <c r="N558" i="1"/>
  <c r="J558" i="1"/>
  <c r="D558" i="1"/>
  <c r="K558" i="1" s="1"/>
  <c r="N555" i="1"/>
  <c r="J555" i="1"/>
  <c r="D555" i="1"/>
  <c r="N552" i="1"/>
  <c r="J552" i="1"/>
  <c r="D552" i="1"/>
  <c r="K552" i="1" s="1"/>
  <c r="N549" i="1"/>
  <c r="J549" i="1"/>
  <c r="D549" i="1"/>
  <c r="K549" i="1" s="1"/>
  <c r="N546" i="1"/>
  <c r="J546" i="1"/>
  <c r="D546" i="1"/>
  <c r="K546" i="1" s="1"/>
  <c r="N543" i="1"/>
  <c r="J543" i="1"/>
  <c r="D543" i="1"/>
  <c r="N534" i="1"/>
  <c r="J534" i="1"/>
  <c r="D534" i="1"/>
  <c r="N531" i="1"/>
  <c r="J531" i="1"/>
  <c r="D531" i="1"/>
  <c r="K531" i="1" s="1"/>
  <c r="N528" i="1"/>
  <c r="J528" i="1"/>
  <c r="D528" i="1"/>
  <c r="K528" i="1" s="1"/>
  <c r="N525" i="1"/>
  <c r="J525" i="1"/>
  <c r="D525" i="1"/>
  <c r="D540" i="1"/>
  <c r="K540" i="1" s="1"/>
  <c r="D519" i="1"/>
  <c r="K519" i="1" s="1"/>
  <c r="N540" i="1"/>
  <c r="J540" i="1"/>
  <c r="N537" i="1"/>
  <c r="J537" i="1"/>
  <c r="D537" i="1"/>
  <c r="N522" i="1"/>
  <c r="J522" i="1"/>
  <c r="D522" i="1"/>
  <c r="N519" i="1"/>
  <c r="J519" i="1"/>
  <c r="N516" i="1"/>
  <c r="J516" i="1"/>
  <c r="D516" i="1"/>
  <c r="K516" i="1" s="1"/>
  <c r="N513" i="1"/>
  <c r="J513" i="1"/>
  <c r="D513" i="1"/>
  <c r="K513" i="1" s="1"/>
  <c r="J504" i="1"/>
  <c r="J507" i="1"/>
  <c r="D510" i="1"/>
  <c r="K510" i="1" s="1"/>
  <c r="N510" i="1"/>
  <c r="J510" i="1"/>
  <c r="N507" i="1"/>
  <c r="D507" i="1"/>
  <c r="K507" i="1" s="1"/>
  <c r="N504" i="1"/>
  <c r="D504" i="1"/>
  <c r="K504" i="1" s="1"/>
  <c r="N501" i="1"/>
  <c r="J501" i="1"/>
  <c r="D501" i="1"/>
  <c r="N498" i="1"/>
  <c r="J498" i="1"/>
  <c r="D498" i="1"/>
  <c r="D495" i="1"/>
  <c r="J492" i="1" s="1"/>
  <c r="D492" i="1"/>
  <c r="J495" i="1" s="1"/>
  <c r="N495" i="1"/>
  <c r="N492" i="1"/>
  <c r="D489" i="1"/>
  <c r="K489" i="1" s="1"/>
  <c r="D486" i="1"/>
  <c r="J489" i="1" s="1"/>
  <c r="N489" i="1"/>
  <c r="N486" i="1"/>
  <c r="N483" i="1"/>
  <c r="D483" i="1"/>
  <c r="D480" i="1"/>
  <c r="K480" i="1" s="1"/>
  <c r="D477" i="1"/>
  <c r="J483" i="1" s="1"/>
  <c r="N480" i="1"/>
  <c r="N477" i="1"/>
  <c r="D474" i="1"/>
  <c r="N474" i="1"/>
  <c r="N471" i="1"/>
  <c r="D471" i="1"/>
  <c r="N468" i="1"/>
  <c r="K468" i="1"/>
  <c r="K465" i="1"/>
  <c r="D462" i="1"/>
  <c r="J465" i="1" s="1"/>
  <c r="N465" i="1"/>
  <c r="N462" i="1"/>
  <c r="D459" i="1"/>
  <c r="J456" i="1" s="1"/>
  <c r="D456" i="1"/>
  <c r="J459" i="1" s="1"/>
  <c r="N459" i="1"/>
  <c r="N456" i="1"/>
  <c r="N453" i="1"/>
  <c r="D453" i="1"/>
  <c r="K453" i="1" s="1"/>
  <c r="N450" i="1"/>
  <c r="D450" i="1"/>
  <c r="K450" i="1" s="1"/>
  <c r="N447" i="1"/>
  <c r="D447" i="1"/>
  <c r="D444" i="1"/>
  <c r="K444" i="1" s="1"/>
  <c r="D441" i="1"/>
  <c r="K441" i="1" s="1"/>
  <c r="N444" i="1"/>
  <c r="N441" i="1"/>
  <c r="N438" i="1"/>
  <c r="D438" i="1"/>
  <c r="N435" i="1"/>
  <c r="D435" i="1"/>
  <c r="J438" i="1" s="1"/>
  <c r="D432" i="1"/>
  <c r="J429" i="1" s="1"/>
  <c r="D429" i="1"/>
  <c r="J432" i="1" s="1"/>
  <c r="N432" i="1"/>
  <c r="N429" i="1"/>
  <c r="N426" i="1"/>
  <c r="D426" i="1"/>
  <c r="N423" i="1"/>
  <c r="D423" i="1"/>
  <c r="J426" i="1" s="1"/>
  <c r="D420" i="1"/>
  <c r="J417" i="1" s="1"/>
  <c r="D417" i="1"/>
  <c r="J420" i="1" s="1"/>
  <c r="N420" i="1"/>
  <c r="N417" i="1"/>
  <c r="K495" i="1" l="1"/>
  <c r="K432" i="1"/>
  <c r="K459" i="1"/>
  <c r="K417" i="1"/>
  <c r="O561" i="1"/>
  <c r="L561" i="1" s="1"/>
  <c r="P561" i="1" s="1"/>
  <c r="V561" i="1" s="1"/>
  <c r="S619" i="1"/>
  <c r="T619" i="1"/>
  <c r="J441" i="1"/>
  <c r="O483" i="1"/>
  <c r="L483" i="1" s="1"/>
  <c r="O507" i="1"/>
  <c r="L507" i="1" s="1"/>
  <c r="O519" i="1"/>
  <c r="L519" i="1" s="1"/>
  <c r="P519" i="1" s="1"/>
  <c r="U519" i="1" s="1"/>
  <c r="O522" i="1"/>
  <c r="L522" i="1" s="1"/>
  <c r="O534" i="1"/>
  <c r="L534" i="1" s="1"/>
  <c r="P534" i="1" s="1"/>
  <c r="V534" i="1" s="1"/>
  <c r="O543" i="1"/>
  <c r="L543" i="1" s="1"/>
  <c r="K486" i="1"/>
  <c r="J480" i="1"/>
  <c r="O498" i="1"/>
  <c r="L498" i="1" s="1"/>
  <c r="O570" i="1"/>
  <c r="L570" i="1" s="1"/>
  <c r="J453" i="1"/>
  <c r="O480" i="1"/>
  <c r="L480" i="1" s="1"/>
  <c r="P480" i="1" s="1"/>
  <c r="U480" i="1" s="1"/>
  <c r="O489" i="1"/>
  <c r="L489" i="1" s="1"/>
  <c r="P489" i="1" s="1"/>
  <c r="U489" i="1" s="1"/>
  <c r="O504" i="1"/>
  <c r="L504" i="1" s="1"/>
  <c r="P504" i="1" s="1"/>
  <c r="U504" i="1" s="1"/>
  <c r="O546" i="1"/>
  <c r="L546" i="1" s="1"/>
  <c r="O438" i="1"/>
  <c r="L438" i="1" s="1"/>
  <c r="J447" i="1"/>
  <c r="K483" i="1"/>
  <c r="K534" i="1"/>
  <c r="O444" i="1"/>
  <c r="L444" i="1" s="1"/>
  <c r="O465" i="1"/>
  <c r="L465" i="1" s="1"/>
  <c r="J468" i="1"/>
  <c r="J471" i="1"/>
  <c r="J486" i="1"/>
  <c r="K498" i="1"/>
  <c r="O501" i="1"/>
  <c r="L501" i="1" s="1"/>
  <c r="P501" i="1" s="1"/>
  <c r="V501" i="1" s="1"/>
  <c r="K522" i="1"/>
  <c r="O537" i="1"/>
  <c r="L537" i="1" s="1"/>
  <c r="O525" i="1"/>
  <c r="L525" i="1" s="1"/>
  <c r="O567" i="1"/>
  <c r="L567" i="1" s="1"/>
  <c r="O417" i="1"/>
  <c r="L417" i="1" s="1"/>
  <c r="P417" i="1" s="1"/>
  <c r="S417" i="1" s="1"/>
  <c r="O441" i="1"/>
  <c r="L441" i="1" s="1"/>
  <c r="J462" i="1"/>
  <c r="J477" i="1"/>
  <c r="O549" i="1"/>
  <c r="L549" i="1" s="1"/>
  <c r="P438" i="1"/>
  <c r="T438" i="1" s="1"/>
  <c r="K420" i="1"/>
  <c r="J435" i="1"/>
  <c r="K438" i="1"/>
  <c r="J444" i="1"/>
  <c r="P444" i="1" s="1"/>
  <c r="V444" i="1" s="1"/>
  <c r="O447" i="1"/>
  <c r="L447" i="1" s="1"/>
  <c r="O459" i="1"/>
  <c r="L459" i="1" s="1"/>
  <c r="O471" i="1"/>
  <c r="L471" i="1" s="1"/>
  <c r="J474" i="1"/>
  <c r="O555" i="1"/>
  <c r="L555" i="1" s="1"/>
  <c r="O558" i="1"/>
  <c r="L558" i="1" s="1"/>
  <c r="P558" i="1" s="1"/>
  <c r="U558" i="1" s="1"/>
  <c r="O564" i="1"/>
  <c r="K570" i="1"/>
  <c r="O573" i="1"/>
  <c r="L573" i="1" s="1"/>
  <c r="K543" i="1"/>
  <c r="K555" i="1"/>
  <c r="O552" i="1"/>
  <c r="L552" i="1" s="1"/>
  <c r="O531" i="1"/>
  <c r="L531" i="1" s="1"/>
  <c r="K525" i="1"/>
  <c r="O528" i="1"/>
  <c r="L528" i="1" s="1"/>
  <c r="O513" i="1"/>
  <c r="L513" i="1" s="1"/>
  <c r="O516" i="1"/>
  <c r="L516" i="1" s="1"/>
  <c r="K537" i="1"/>
  <c r="O540" i="1"/>
  <c r="L540" i="1" s="1"/>
  <c r="O510" i="1"/>
  <c r="L510" i="1" s="1"/>
  <c r="K501" i="1"/>
  <c r="O492" i="1"/>
  <c r="L492" i="1" s="1"/>
  <c r="K492" i="1"/>
  <c r="O495" i="1"/>
  <c r="L495" i="1" s="1"/>
  <c r="O486" i="1"/>
  <c r="L486" i="1" s="1"/>
  <c r="O477" i="1"/>
  <c r="L477" i="1" s="1"/>
  <c r="K477" i="1"/>
  <c r="K474" i="1"/>
  <c r="K471" i="1"/>
  <c r="O474" i="1"/>
  <c r="L474" i="1" s="1"/>
  <c r="O468" i="1"/>
  <c r="L468" i="1" s="1"/>
  <c r="O462" i="1"/>
  <c r="L462" i="1" s="1"/>
  <c r="K462" i="1"/>
  <c r="O456" i="1"/>
  <c r="L456" i="1" s="1"/>
  <c r="K456" i="1"/>
  <c r="O453" i="1"/>
  <c r="L453" i="1" s="1"/>
  <c r="K447" i="1"/>
  <c r="J450" i="1"/>
  <c r="O450" i="1"/>
  <c r="L450" i="1" s="1"/>
  <c r="O435" i="1"/>
  <c r="L435" i="1" s="1"/>
  <c r="K435" i="1"/>
  <c r="O426" i="1"/>
  <c r="L426" i="1" s="1"/>
  <c r="O420" i="1"/>
  <c r="L420" i="1" s="1"/>
  <c r="J423" i="1"/>
  <c r="K426" i="1"/>
  <c r="O432" i="1"/>
  <c r="L432" i="1" s="1"/>
  <c r="O429" i="1"/>
  <c r="L429" i="1" s="1"/>
  <c r="K429" i="1"/>
  <c r="O423" i="1"/>
  <c r="L423" i="1" s="1"/>
  <c r="K423" i="1"/>
  <c r="J414" i="1"/>
  <c r="J411" i="1"/>
  <c r="D414" i="1"/>
  <c r="K414" i="1" s="1"/>
  <c r="D411" i="1"/>
  <c r="K411" i="1" s="1"/>
  <c r="N414" i="1"/>
  <c r="N411" i="1"/>
  <c r="N408" i="1"/>
  <c r="J408" i="1"/>
  <c r="D408" i="1"/>
  <c r="K408" i="1" s="1"/>
  <c r="N405" i="1"/>
  <c r="J405" i="1"/>
  <c r="D405" i="1"/>
  <c r="N402" i="1"/>
  <c r="J402" i="1"/>
  <c r="D402" i="1"/>
  <c r="K402" i="1" s="1"/>
  <c r="N399" i="1"/>
  <c r="J399" i="1"/>
  <c r="D399" i="1"/>
  <c r="K399" i="1" s="1"/>
  <c r="J396" i="1"/>
  <c r="J387" i="1"/>
  <c r="D393" i="1"/>
  <c r="D390" i="1"/>
  <c r="K390" i="1" s="1"/>
  <c r="N396" i="1"/>
  <c r="D396" i="1"/>
  <c r="K396" i="1" s="1"/>
  <c r="N393" i="1"/>
  <c r="J393" i="1"/>
  <c r="N390" i="1"/>
  <c r="J390" i="1"/>
  <c r="N387" i="1"/>
  <c r="D387" i="1"/>
  <c r="N384" i="1"/>
  <c r="J384" i="1"/>
  <c r="D384" i="1"/>
  <c r="K384" i="1" s="1"/>
  <c r="N381" i="1"/>
  <c r="J381" i="1"/>
  <c r="D381" i="1"/>
  <c r="D378" i="1"/>
  <c r="J375" i="1" s="1"/>
  <c r="D375" i="1"/>
  <c r="N378" i="1"/>
  <c r="N375" i="1"/>
  <c r="D372" i="1"/>
  <c r="J369" i="1" s="1"/>
  <c r="D369" i="1"/>
  <c r="J372" i="1" s="1"/>
  <c r="N372" i="1"/>
  <c r="N369" i="1"/>
  <c r="D363" i="1"/>
  <c r="K363" i="1" s="1"/>
  <c r="D366" i="1"/>
  <c r="K366" i="1" s="1"/>
  <c r="N366" i="1"/>
  <c r="N363" i="1"/>
  <c r="N360" i="1"/>
  <c r="J360" i="1"/>
  <c r="D360" i="1"/>
  <c r="K360" i="1" s="1"/>
  <c r="N351" i="1"/>
  <c r="J351" i="1"/>
  <c r="D351" i="1"/>
  <c r="N357" i="1"/>
  <c r="J357" i="1"/>
  <c r="D357" i="1"/>
  <c r="K357" i="1" s="1"/>
  <c r="N354" i="1"/>
  <c r="J354" i="1"/>
  <c r="D354" i="1"/>
  <c r="K354" i="1" s="1"/>
  <c r="J348" i="1"/>
  <c r="J345" i="1"/>
  <c r="D348" i="1"/>
  <c r="K348" i="1" s="1"/>
  <c r="D345" i="1"/>
  <c r="K345" i="1" s="1"/>
  <c r="N348" i="1"/>
  <c r="N345" i="1"/>
  <c r="J342" i="1"/>
  <c r="J339" i="1"/>
  <c r="D342" i="1"/>
  <c r="K342" i="1" s="1"/>
  <c r="D339" i="1"/>
  <c r="K339" i="1" s="1"/>
  <c r="N342" i="1"/>
  <c r="N339" i="1"/>
  <c r="J336" i="1"/>
  <c r="J333" i="1"/>
  <c r="J330" i="1"/>
  <c r="J327" i="1"/>
  <c r="N336" i="1"/>
  <c r="D336" i="1"/>
  <c r="K336" i="1" s="1"/>
  <c r="N330" i="1"/>
  <c r="D330" i="1"/>
  <c r="K330" i="1" s="1"/>
  <c r="D333" i="1"/>
  <c r="K333" i="1" s="1"/>
  <c r="D327" i="1"/>
  <c r="K327" i="1" s="1"/>
  <c r="N333" i="1"/>
  <c r="N327" i="1"/>
  <c r="P483" i="1" l="1"/>
  <c r="U483" i="1" s="1"/>
  <c r="P567" i="1"/>
  <c r="U567" i="1" s="1"/>
  <c r="P507" i="1"/>
  <c r="U507" i="1" s="1"/>
  <c r="P543" i="1"/>
  <c r="V543" i="1" s="1"/>
  <c r="P522" i="1"/>
  <c r="U522" i="1" s="1"/>
  <c r="P486" i="1"/>
  <c r="U486" i="1" s="1"/>
  <c r="P465" i="1"/>
  <c r="U465" i="1" s="1"/>
  <c r="O381" i="1"/>
  <c r="L381" i="1" s="1"/>
  <c r="P459" i="1"/>
  <c r="V459" i="1" s="1"/>
  <c r="P468" i="1"/>
  <c r="U468" i="1" s="1"/>
  <c r="P498" i="1"/>
  <c r="V498" i="1" s="1"/>
  <c r="P555" i="1"/>
  <c r="V555" i="1" s="1"/>
  <c r="O387" i="1"/>
  <c r="L387" i="1" s="1"/>
  <c r="P387" i="1" s="1"/>
  <c r="U387" i="1" s="1"/>
  <c r="P528" i="1"/>
  <c r="U528" i="1" s="1"/>
  <c r="P447" i="1"/>
  <c r="V447" i="1" s="1"/>
  <c r="P531" i="1"/>
  <c r="U531" i="1" s="1"/>
  <c r="O411" i="1"/>
  <c r="L411" i="1" s="1"/>
  <c r="P411" i="1" s="1"/>
  <c r="U411" i="1" s="1"/>
  <c r="P435" i="1"/>
  <c r="V435" i="1" s="1"/>
  <c r="P549" i="1"/>
  <c r="V549" i="1" s="1"/>
  <c r="P570" i="1"/>
  <c r="V570" i="1" s="1"/>
  <c r="P546" i="1"/>
  <c r="U546" i="1" s="1"/>
  <c r="K378" i="1"/>
  <c r="O393" i="1"/>
  <c r="L393" i="1" s="1"/>
  <c r="P393" i="1" s="1"/>
  <c r="V393" i="1" s="1"/>
  <c r="P441" i="1"/>
  <c r="V441" i="1" s="1"/>
  <c r="O363" i="1"/>
  <c r="L363" i="1" s="1"/>
  <c r="P471" i="1"/>
  <c r="V471" i="1" s="1"/>
  <c r="K387" i="1"/>
  <c r="O405" i="1"/>
  <c r="L405" i="1" s="1"/>
  <c r="P405" i="1" s="1"/>
  <c r="V405" i="1" s="1"/>
  <c r="O414" i="1"/>
  <c r="L414" i="1" s="1"/>
  <c r="P492" i="1"/>
  <c r="S492" i="1" s="1"/>
  <c r="P537" i="1"/>
  <c r="V537" i="1" s="1"/>
  <c r="P573" i="1"/>
  <c r="U573" i="1" s="1"/>
  <c r="J366" i="1"/>
  <c r="O402" i="1"/>
  <c r="L402" i="1" s="1"/>
  <c r="P516" i="1"/>
  <c r="V516" i="1" s="1"/>
  <c r="P525" i="1"/>
  <c r="U525" i="1" s="1"/>
  <c r="L564" i="1"/>
  <c r="P564" i="1" s="1"/>
  <c r="V564" i="1" s="1"/>
  <c r="P552" i="1"/>
  <c r="U552" i="1" s="1"/>
  <c r="P540" i="1"/>
  <c r="U540" i="1" s="1"/>
  <c r="P513" i="1"/>
  <c r="U513" i="1" s="1"/>
  <c r="P510" i="1"/>
  <c r="U510" i="1" s="1"/>
  <c r="P495" i="1"/>
  <c r="U495" i="1" s="1"/>
  <c r="P477" i="1"/>
  <c r="U477" i="1" s="1"/>
  <c r="P474" i="1"/>
  <c r="U474" i="1" s="1"/>
  <c r="P462" i="1"/>
  <c r="U462" i="1" s="1"/>
  <c r="P456" i="1"/>
  <c r="V456" i="1" s="1"/>
  <c r="P453" i="1"/>
  <c r="U453" i="1" s="1"/>
  <c r="P450" i="1"/>
  <c r="U450" i="1" s="1"/>
  <c r="K372" i="1"/>
  <c r="O327" i="1"/>
  <c r="L327" i="1" s="1"/>
  <c r="P432" i="1"/>
  <c r="T432" i="1" s="1"/>
  <c r="J363" i="1"/>
  <c r="O351" i="1"/>
  <c r="L351" i="1" s="1"/>
  <c r="P351" i="1" s="1"/>
  <c r="U351" i="1" s="1"/>
  <c r="O369" i="1"/>
  <c r="L369" i="1" s="1"/>
  <c r="O375" i="1"/>
  <c r="L375" i="1" s="1"/>
  <c r="O396" i="1"/>
  <c r="L396" i="1" s="1"/>
  <c r="P396" i="1" s="1"/>
  <c r="V396" i="1" s="1"/>
  <c r="O399" i="1"/>
  <c r="L399" i="1" s="1"/>
  <c r="P399" i="1" s="1"/>
  <c r="V399" i="1" s="1"/>
  <c r="P420" i="1"/>
  <c r="S420" i="1" s="1"/>
  <c r="P426" i="1"/>
  <c r="S426" i="1" s="1"/>
  <c r="P429" i="1"/>
  <c r="V429" i="1" s="1"/>
  <c r="P423" i="1"/>
  <c r="S423" i="1" s="1"/>
  <c r="P402" i="1"/>
  <c r="U402" i="1" s="1"/>
  <c r="K405" i="1"/>
  <c r="O408" i="1"/>
  <c r="L408" i="1" s="1"/>
  <c r="K393" i="1"/>
  <c r="O390" i="1"/>
  <c r="L390" i="1" s="1"/>
  <c r="K381" i="1"/>
  <c r="O384" i="1"/>
  <c r="L384" i="1" s="1"/>
  <c r="K375" i="1"/>
  <c r="J378" i="1"/>
  <c r="O378" i="1"/>
  <c r="L378" i="1" s="1"/>
  <c r="K369" i="1"/>
  <c r="O372" i="1"/>
  <c r="L372" i="1" s="1"/>
  <c r="K351" i="1"/>
  <c r="O366" i="1"/>
  <c r="L366" i="1" s="1"/>
  <c r="O360" i="1"/>
  <c r="L360" i="1" s="1"/>
  <c r="O357" i="1"/>
  <c r="L357" i="1" s="1"/>
  <c r="O354" i="1"/>
  <c r="L354" i="1" s="1"/>
  <c r="O345" i="1"/>
  <c r="L345" i="1" s="1"/>
  <c r="O348" i="1"/>
  <c r="L348" i="1" s="1"/>
  <c r="O342" i="1"/>
  <c r="L342" i="1" s="1"/>
  <c r="O339" i="1"/>
  <c r="L339" i="1" s="1"/>
  <c r="P339" i="1" s="1"/>
  <c r="V339" i="1" s="1"/>
  <c r="O336" i="1"/>
  <c r="L336" i="1" s="1"/>
  <c r="O330" i="1"/>
  <c r="L330" i="1" s="1"/>
  <c r="O333" i="1"/>
  <c r="L333" i="1" s="1"/>
  <c r="J324" i="1"/>
  <c r="J321" i="1"/>
  <c r="D324" i="1"/>
  <c r="K324" i="1" s="1"/>
  <c r="D321" i="1"/>
  <c r="K321" i="1" s="1"/>
  <c r="N324" i="1"/>
  <c r="N321" i="1"/>
  <c r="J315" i="1"/>
  <c r="D318" i="1"/>
  <c r="K318" i="1" s="1"/>
  <c r="J318" i="1"/>
  <c r="D315" i="1"/>
  <c r="K315" i="1" s="1"/>
  <c r="N318" i="1"/>
  <c r="N315" i="1"/>
  <c r="J312" i="1"/>
  <c r="D309" i="1"/>
  <c r="N312" i="1"/>
  <c r="D312" i="1"/>
  <c r="K312" i="1" s="1"/>
  <c r="N309" i="1"/>
  <c r="J309" i="1"/>
  <c r="J306" i="1"/>
  <c r="J303" i="1"/>
  <c r="D306" i="1"/>
  <c r="K306" i="1" s="1"/>
  <c r="D303" i="1"/>
  <c r="N306" i="1"/>
  <c r="N303" i="1"/>
  <c r="J300" i="1"/>
  <c r="J297" i="1"/>
  <c r="D300" i="1"/>
  <c r="K300" i="1" s="1"/>
  <c r="D297" i="1"/>
  <c r="K297" i="1" s="1"/>
  <c r="N300" i="1"/>
  <c r="N297" i="1"/>
  <c r="J294" i="1"/>
  <c r="J291" i="1"/>
  <c r="D294" i="1"/>
  <c r="K294" i="1" s="1"/>
  <c r="D291" i="1"/>
  <c r="K291" i="1" s="1"/>
  <c r="N294" i="1"/>
  <c r="N291" i="1"/>
  <c r="J288" i="1"/>
  <c r="J285" i="1"/>
  <c r="D288" i="1"/>
  <c r="K288" i="1" s="1"/>
  <c r="D285" i="1"/>
  <c r="K285" i="1" s="1"/>
  <c r="N288" i="1"/>
  <c r="N285" i="1"/>
  <c r="J282" i="1"/>
  <c r="J279" i="1"/>
  <c r="J276" i="1"/>
  <c r="D282" i="1"/>
  <c r="K282" i="1" s="1"/>
  <c r="N279" i="1"/>
  <c r="D279" i="1"/>
  <c r="K279" i="1" s="1"/>
  <c r="D276" i="1"/>
  <c r="N282" i="1"/>
  <c r="N276" i="1"/>
  <c r="O282" i="1" l="1"/>
  <c r="L282" i="1" s="1"/>
  <c r="P366" i="1"/>
  <c r="U366" i="1" s="1"/>
  <c r="P381" i="1"/>
  <c r="V381" i="1" s="1"/>
  <c r="O276" i="1"/>
  <c r="L276" i="1" s="1"/>
  <c r="P363" i="1"/>
  <c r="T363" i="1" s="1"/>
  <c r="O309" i="1"/>
  <c r="L309" i="1" s="1"/>
  <c r="P414" i="1"/>
  <c r="U414" i="1" s="1"/>
  <c r="O300" i="1"/>
  <c r="L300" i="1" s="1"/>
  <c r="P384" i="1"/>
  <c r="V384" i="1" s="1"/>
  <c r="O288" i="1"/>
  <c r="L288" i="1" s="1"/>
  <c r="P288" i="1" s="1"/>
  <c r="V288" i="1" s="1"/>
  <c r="O303" i="1"/>
  <c r="L303" i="1" s="1"/>
  <c r="O318" i="1"/>
  <c r="L318" i="1" s="1"/>
  <c r="P318" i="1" s="1"/>
  <c r="V318" i="1" s="1"/>
  <c r="P327" i="1"/>
  <c r="V327" i="1" s="1"/>
  <c r="P369" i="1"/>
  <c r="U369" i="1" s="1"/>
  <c r="P375" i="1"/>
  <c r="U375" i="1" s="1"/>
  <c r="P408" i="1"/>
  <c r="V408" i="1" s="1"/>
  <c r="P390" i="1"/>
  <c r="U390" i="1" s="1"/>
  <c r="P378" i="1"/>
  <c r="V378" i="1" s="1"/>
  <c r="P372" i="1"/>
  <c r="V372" i="1" s="1"/>
  <c r="O297" i="1"/>
  <c r="L297" i="1" s="1"/>
  <c r="P297" i="1" s="1"/>
  <c r="V297" i="1" s="1"/>
  <c r="P348" i="1"/>
  <c r="V348" i="1" s="1"/>
  <c r="O324" i="1"/>
  <c r="L324" i="1" s="1"/>
  <c r="P324" i="1" s="1"/>
  <c r="V324" i="1" s="1"/>
  <c r="P354" i="1"/>
  <c r="U354" i="1" s="1"/>
  <c r="P360" i="1"/>
  <c r="U360" i="1" s="1"/>
  <c r="P345" i="1"/>
  <c r="U345" i="1" s="1"/>
  <c r="P357" i="1"/>
  <c r="V357" i="1" s="1"/>
  <c r="P342" i="1"/>
  <c r="U342" i="1" s="1"/>
  <c r="P336" i="1"/>
  <c r="U336" i="1" s="1"/>
  <c r="P330" i="1"/>
  <c r="U330" i="1" s="1"/>
  <c r="P333" i="1"/>
  <c r="V333" i="1" s="1"/>
  <c r="O279" i="1"/>
  <c r="L279" i="1" s="1"/>
  <c r="P279" i="1" s="1"/>
  <c r="V279" i="1" s="1"/>
  <c r="O321" i="1"/>
  <c r="L321" i="1" s="1"/>
  <c r="O315" i="1"/>
  <c r="L315" i="1" s="1"/>
  <c r="P309" i="1"/>
  <c r="U309" i="1" s="1"/>
  <c r="K309" i="1"/>
  <c r="O312" i="1"/>
  <c r="L312" i="1" s="1"/>
  <c r="K303" i="1"/>
  <c r="O306" i="1"/>
  <c r="L306" i="1" s="1"/>
  <c r="O294" i="1"/>
  <c r="L294" i="1" s="1"/>
  <c r="P294" i="1" s="1"/>
  <c r="U294" i="1" s="1"/>
  <c r="O291" i="1"/>
  <c r="L291" i="1" s="1"/>
  <c r="O285" i="1"/>
  <c r="L285" i="1" s="1"/>
  <c r="K276" i="1"/>
  <c r="J270" i="1"/>
  <c r="D273" i="1"/>
  <c r="K273" i="1" s="1"/>
  <c r="N273" i="1"/>
  <c r="J273" i="1"/>
  <c r="N270" i="1"/>
  <c r="D270" i="1"/>
  <c r="J267" i="1"/>
  <c r="J264" i="1"/>
  <c r="D267" i="1"/>
  <c r="K267" i="1" s="1"/>
  <c r="D264" i="1"/>
  <c r="N267" i="1"/>
  <c r="N264" i="1"/>
  <c r="J261" i="1"/>
  <c r="J258" i="1"/>
  <c r="D261" i="1"/>
  <c r="K261" i="1" s="1"/>
  <c r="D258" i="1"/>
  <c r="N261" i="1"/>
  <c r="N258" i="1"/>
  <c r="J255" i="1"/>
  <c r="J252" i="1"/>
  <c r="D255" i="1"/>
  <c r="K255" i="1" s="1"/>
  <c r="D252" i="1"/>
  <c r="N255" i="1"/>
  <c r="N252" i="1"/>
  <c r="J249" i="1"/>
  <c r="J246" i="1"/>
  <c r="D249" i="1"/>
  <c r="K249" i="1" s="1"/>
  <c r="D246" i="1"/>
  <c r="N249" i="1"/>
  <c r="N246" i="1"/>
  <c r="J240" i="1"/>
  <c r="D243" i="1"/>
  <c r="K243" i="1" s="1"/>
  <c r="N243" i="1"/>
  <c r="J243" i="1"/>
  <c r="N240" i="1"/>
  <c r="D240" i="1"/>
  <c r="N237" i="1"/>
  <c r="J237" i="1"/>
  <c r="D237" i="1"/>
  <c r="K237" i="1" s="1"/>
  <c r="N234" i="1"/>
  <c r="J234" i="1"/>
  <c r="D234" i="1"/>
  <c r="J231" i="1"/>
  <c r="J228" i="1"/>
  <c r="D231" i="1"/>
  <c r="K231" i="1" s="1"/>
  <c r="D228" i="1"/>
  <c r="K228" i="1" s="1"/>
  <c r="N231" i="1"/>
  <c r="N228" i="1"/>
  <c r="J225" i="1"/>
  <c r="J222" i="1"/>
  <c r="D225" i="1"/>
  <c r="K225" i="1" s="1"/>
  <c r="D222" i="1"/>
  <c r="N225" i="1"/>
  <c r="N222" i="1"/>
  <c r="J219" i="1"/>
  <c r="J216" i="1"/>
  <c r="D219" i="1"/>
  <c r="K219" i="1" s="1"/>
  <c r="D216" i="1"/>
  <c r="N219" i="1"/>
  <c r="N216" i="1"/>
  <c r="J210" i="1"/>
  <c r="D213" i="1"/>
  <c r="K213" i="1" s="1"/>
  <c r="N213" i="1"/>
  <c r="J213" i="1"/>
  <c r="N210" i="1"/>
  <c r="D210" i="1"/>
  <c r="J207" i="1"/>
  <c r="J204" i="1"/>
  <c r="D207" i="1"/>
  <c r="K207" i="1" s="1"/>
  <c r="D204" i="1"/>
  <c r="K204" i="1" s="1"/>
  <c r="N207" i="1"/>
  <c r="N204" i="1"/>
  <c r="J201" i="1"/>
  <c r="D201" i="1"/>
  <c r="K201" i="1" s="1"/>
  <c r="D198" i="1"/>
  <c r="N201" i="1"/>
  <c r="N198" i="1"/>
  <c r="J198" i="1"/>
  <c r="J195" i="1"/>
  <c r="D195" i="1"/>
  <c r="K195" i="1" s="1"/>
  <c r="N195" i="1"/>
  <c r="J192" i="1"/>
  <c r="D192" i="1"/>
  <c r="K192" i="1" s="1"/>
  <c r="J189" i="1"/>
  <c r="J186" i="1"/>
  <c r="D189" i="1"/>
  <c r="K189" i="1" s="1"/>
  <c r="D186" i="1"/>
  <c r="K186" i="1" s="1"/>
  <c r="N189" i="1"/>
  <c r="D183" i="1"/>
  <c r="K183" i="1" s="1"/>
  <c r="D180" i="1"/>
  <c r="J177" i="1"/>
  <c r="J174" i="1"/>
  <c r="D177" i="1"/>
  <c r="K177" i="1" s="1"/>
  <c r="D174" i="1"/>
  <c r="K174" i="1" s="1"/>
  <c r="J171" i="1"/>
  <c r="J168" i="1"/>
  <c r="D171" i="1"/>
  <c r="K171" i="1" s="1"/>
  <c r="D168" i="1"/>
  <c r="K168" i="1" s="1"/>
  <c r="N192" i="1"/>
  <c r="N186" i="1"/>
  <c r="J180" i="1"/>
  <c r="J183" i="1"/>
  <c r="N183" i="1"/>
  <c r="N180" i="1"/>
  <c r="N177" i="1"/>
  <c r="N171" i="1"/>
  <c r="N174" i="1"/>
  <c r="N168" i="1"/>
  <c r="N162" i="1"/>
  <c r="N152" i="1"/>
  <c r="O152" i="1" s="1"/>
  <c r="N150" i="1"/>
  <c r="O150" i="1" s="1"/>
  <c r="K150" i="1"/>
  <c r="N148" i="1"/>
  <c r="O148" i="1" s="1"/>
  <c r="K148" i="1"/>
  <c r="N146" i="1"/>
  <c r="O146" i="1" s="1"/>
  <c r="K146" i="1"/>
  <c r="N142" i="1"/>
  <c r="O142" i="1" s="1"/>
  <c r="N144" i="1"/>
  <c r="O144" i="1" s="1"/>
  <c r="D140" i="1"/>
  <c r="N140" i="1"/>
  <c r="D136" i="1"/>
  <c r="K134" i="1"/>
  <c r="N138" i="1"/>
  <c r="N136" i="1"/>
  <c r="N134" i="1"/>
  <c r="Q5" i="1"/>
  <c r="Q784" i="1" s="1"/>
  <c r="R5" i="1"/>
  <c r="R784" i="1" s="1"/>
  <c r="S5" i="1"/>
  <c r="T5" i="1"/>
  <c r="U5" i="1"/>
  <c r="V5" i="1"/>
  <c r="D54" i="1"/>
  <c r="J48" i="1"/>
  <c r="D48" i="1"/>
  <c r="J51" i="1"/>
  <c r="N48" i="1"/>
  <c r="D51" i="1"/>
  <c r="N51" i="1"/>
  <c r="J54" i="1"/>
  <c r="N54" i="1"/>
  <c r="K57" i="1"/>
  <c r="N57" i="1"/>
  <c r="O57" i="1" s="1"/>
  <c r="J60" i="1"/>
  <c r="N60" i="1"/>
  <c r="N63" i="1"/>
  <c r="J66" i="1"/>
  <c r="D66" i="1"/>
  <c r="N66" i="1"/>
  <c r="N31" i="1"/>
  <c r="N43" i="1"/>
  <c r="N37" i="1"/>
  <c r="N25" i="1"/>
  <c r="P282" i="1" l="1"/>
  <c r="U282" i="1" s="1"/>
  <c r="O66" i="1"/>
  <c r="L57" i="1"/>
  <c r="P57" i="1" s="1"/>
  <c r="P276" i="1"/>
  <c r="V276" i="1" s="1"/>
  <c r="P303" i="1"/>
  <c r="V303" i="1" s="1"/>
  <c r="O171" i="1"/>
  <c r="L171" i="1" s="1"/>
  <c r="P171" i="1" s="1"/>
  <c r="S171" i="1" s="1"/>
  <c r="O183" i="1"/>
  <c r="L183" i="1" s="1"/>
  <c r="P183" i="1" s="1"/>
  <c r="U183" i="1" s="1"/>
  <c r="O204" i="1"/>
  <c r="L204" i="1" s="1"/>
  <c r="O252" i="1"/>
  <c r="L252" i="1" s="1"/>
  <c r="O177" i="1"/>
  <c r="L177" i="1" s="1"/>
  <c r="O213" i="1"/>
  <c r="L213" i="1" s="1"/>
  <c r="P213" i="1" s="1"/>
  <c r="V213" i="1" s="1"/>
  <c r="O249" i="1"/>
  <c r="L249" i="1" s="1"/>
  <c r="P249" i="1" s="1"/>
  <c r="U249" i="1" s="1"/>
  <c r="O180" i="1"/>
  <c r="L180" i="1" s="1"/>
  <c r="O219" i="1"/>
  <c r="L219" i="1" s="1"/>
  <c r="P219" i="1" s="1"/>
  <c r="S219" i="1" s="1"/>
  <c r="O258" i="1"/>
  <c r="L258" i="1" s="1"/>
  <c r="P300" i="1"/>
  <c r="V300" i="1" s="1"/>
  <c r="O192" i="1"/>
  <c r="L192" i="1" s="1"/>
  <c r="P192" i="1" s="1"/>
  <c r="V192" i="1" s="1"/>
  <c r="O264" i="1"/>
  <c r="L264" i="1" s="1"/>
  <c r="O186" i="1"/>
  <c r="L186" i="1" s="1"/>
  <c r="P186" i="1" s="1"/>
  <c r="U186" i="1" s="1"/>
  <c r="O207" i="1"/>
  <c r="L207" i="1" s="1"/>
  <c r="P207" i="1" s="1"/>
  <c r="U207" i="1" s="1"/>
  <c r="O243" i="1"/>
  <c r="L243" i="1" s="1"/>
  <c r="P243" i="1" s="1"/>
  <c r="U243" i="1" s="1"/>
  <c r="O270" i="1"/>
  <c r="L270" i="1" s="1"/>
  <c r="O222" i="1"/>
  <c r="L222" i="1" s="1"/>
  <c r="P222" i="1" s="1"/>
  <c r="U222" i="1" s="1"/>
  <c r="O216" i="1"/>
  <c r="L216" i="1" s="1"/>
  <c r="P216" i="1" s="1"/>
  <c r="U216" i="1" s="1"/>
  <c r="O228" i="1"/>
  <c r="L228" i="1" s="1"/>
  <c r="P228" i="1" s="1"/>
  <c r="U228" i="1" s="1"/>
  <c r="O210" i="1"/>
  <c r="L210" i="1" s="1"/>
  <c r="O225" i="1"/>
  <c r="L225" i="1" s="1"/>
  <c r="P225" i="1" s="1"/>
  <c r="U225" i="1" s="1"/>
  <c r="O231" i="1"/>
  <c r="L231" i="1" s="1"/>
  <c r="O240" i="1"/>
  <c r="L240" i="1" s="1"/>
  <c r="P240" i="1" s="1"/>
  <c r="U240" i="1" s="1"/>
  <c r="P312" i="1"/>
  <c r="U312" i="1" s="1"/>
  <c r="O246" i="1"/>
  <c r="L246" i="1" s="1"/>
  <c r="P246" i="1" s="1"/>
  <c r="U246" i="1" s="1"/>
  <c r="O237" i="1"/>
  <c r="L237" i="1" s="1"/>
  <c r="O234" i="1"/>
  <c r="L234" i="1" s="1"/>
  <c r="O201" i="1"/>
  <c r="L201" i="1" s="1"/>
  <c r="P201" i="1" s="1"/>
  <c r="U201" i="1" s="1"/>
  <c r="P321" i="1"/>
  <c r="V321" i="1" s="1"/>
  <c r="P315" i="1"/>
  <c r="U315" i="1" s="1"/>
  <c r="P306" i="1"/>
  <c r="U306" i="1" s="1"/>
  <c r="P291" i="1"/>
  <c r="U291" i="1" s="1"/>
  <c r="P285" i="1"/>
  <c r="U285" i="1" s="1"/>
  <c r="K270" i="1"/>
  <c r="O273" i="1"/>
  <c r="L273" i="1" s="1"/>
  <c r="K264" i="1"/>
  <c r="O267" i="1"/>
  <c r="L267" i="1" s="1"/>
  <c r="K258" i="1"/>
  <c r="O261" i="1"/>
  <c r="L261" i="1" s="1"/>
  <c r="K252" i="1"/>
  <c r="O255" i="1"/>
  <c r="L255" i="1" s="1"/>
  <c r="K246" i="1"/>
  <c r="K240" i="1"/>
  <c r="K234" i="1"/>
  <c r="K222" i="1"/>
  <c r="K216" i="1"/>
  <c r="K210" i="1"/>
  <c r="O195" i="1"/>
  <c r="L195" i="1" s="1"/>
  <c r="P195" i="1" s="1"/>
  <c r="V195" i="1" s="1"/>
  <c r="O198" i="1"/>
  <c r="L198" i="1" s="1"/>
  <c r="K198" i="1"/>
  <c r="O189" i="1"/>
  <c r="L189" i="1" s="1"/>
  <c r="O168" i="1"/>
  <c r="L168" i="1" s="1"/>
  <c r="K180" i="1"/>
  <c r="O174" i="1"/>
  <c r="L174" i="1" s="1"/>
  <c r="O138" i="1"/>
  <c r="L138" i="1" s="1"/>
  <c r="P138" i="1" s="1"/>
  <c r="S138" i="1" s="1"/>
  <c r="O136" i="1"/>
  <c r="O162" i="1"/>
  <c r="O140" i="1"/>
  <c r="L140" i="1" s="1"/>
  <c r="L152" i="1"/>
  <c r="P152" i="1" s="1"/>
  <c r="S152" i="1" s="1"/>
  <c r="K152" i="1"/>
  <c r="L150" i="1"/>
  <c r="P150" i="1" s="1"/>
  <c r="S150" i="1" s="1"/>
  <c r="L148" i="1"/>
  <c r="P148" i="1" s="1"/>
  <c r="S148" i="1" s="1"/>
  <c r="L146" i="1"/>
  <c r="P146" i="1" s="1"/>
  <c r="S146" i="1" s="1"/>
  <c r="L142" i="1"/>
  <c r="K142" i="1"/>
  <c r="L144" i="1"/>
  <c r="K144" i="1"/>
  <c r="K140" i="1"/>
  <c r="K138" i="1"/>
  <c r="K136" i="1"/>
  <c r="O134" i="1"/>
  <c r="O51" i="1"/>
  <c r="L51" i="1" s="1"/>
  <c r="O48" i="1"/>
  <c r="L48" i="1" s="1"/>
  <c r="O54" i="1"/>
  <c r="L54" i="1" s="1"/>
  <c r="K48" i="1"/>
  <c r="K51" i="1"/>
  <c r="K54" i="1"/>
  <c r="O60" i="1"/>
  <c r="L60" i="1" s="1"/>
  <c r="K60" i="1"/>
  <c r="L66" i="1"/>
  <c r="P66" i="1" s="1"/>
  <c r="O63" i="1"/>
  <c r="L63" i="1" s="1"/>
  <c r="K63" i="1"/>
  <c r="K66" i="1"/>
  <c r="O43" i="1"/>
  <c r="O37" i="1"/>
  <c r="O25" i="1"/>
  <c r="O31" i="1"/>
  <c r="K31" i="1"/>
  <c r="K43" i="1"/>
  <c r="K37" i="1"/>
  <c r="K25" i="1"/>
  <c r="N19" i="1"/>
  <c r="D13" i="1"/>
  <c r="D7" i="1"/>
  <c r="N7" i="1"/>
  <c r="N13" i="1"/>
  <c r="L25" i="1" l="1"/>
  <c r="P25" i="1" s="1"/>
  <c r="T25" i="1" s="1"/>
  <c r="L37" i="1"/>
  <c r="P37" i="1" s="1"/>
  <c r="T37" i="1" s="1"/>
  <c r="L43" i="1"/>
  <c r="P43" i="1" s="1"/>
  <c r="T43" i="1" s="1"/>
  <c r="T66" i="1"/>
  <c r="L31" i="1"/>
  <c r="P31" i="1" s="1"/>
  <c r="T31" i="1" s="1"/>
  <c r="P63" i="1"/>
  <c r="T63" i="1" s="1"/>
  <c r="O7" i="1"/>
  <c r="L7" i="1" s="1"/>
  <c r="P7" i="1" s="1"/>
  <c r="P204" i="1"/>
  <c r="V204" i="1" s="1"/>
  <c r="L162" i="1"/>
  <c r="P252" i="1"/>
  <c r="T252" i="1" s="1"/>
  <c r="P264" i="1"/>
  <c r="V264" i="1" s="1"/>
  <c r="P177" i="1"/>
  <c r="U177" i="1" s="1"/>
  <c r="P210" i="1"/>
  <c r="V210" i="1" s="1"/>
  <c r="P258" i="1"/>
  <c r="U258" i="1" s="1"/>
  <c r="P270" i="1"/>
  <c r="V270" i="1" s="1"/>
  <c r="P231" i="1"/>
  <c r="V231" i="1" s="1"/>
  <c r="P180" i="1"/>
  <c r="U180" i="1" s="1"/>
  <c r="P237" i="1"/>
  <c r="V237" i="1" s="1"/>
  <c r="P234" i="1"/>
  <c r="U234" i="1" s="1"/>
  <c r="P273" i="1"/>
  <c r="V273" i="1" s="1"/>
  <c r="P267" i="1"/>
  <c r="U267" i="1" s="1"/>
  <c r="P261" i="1"/>
  <c r="V261" i="1" s="1"/>
  <c r="P255" i="1"/>
  <c r="U255" i="1" s="1"/>
  <c r="P198" i="1"/>
  <c r="V198" i="1" s="1"/>
  <c r="P189" i="1"/>
  <c r="V189" i="1" s="1"/>
  <c r="P174" i="1"/>
  <c r="V174" i="1" s="1"/>
  <c r="P168" i="1"/>
  <c r="U168" i="1" s="1"/>
  <c r="L134" i="1"/>
  <c r="P134" i="1" s="1"/>
  <c r="S134" i="1" s="1"/>
  <c r="P140" i="1"/>
  <c r="S140" i="1" s="1"/>
  <c r="P144" i="1"/>
  <c r="S144" i="1" s="1"/>
  <c r="L136" i="1"/>
  <c r="P136" i="1" s="1"/>
  <c r="S136" i="1" s="1"/>
  <c r="P51" i="1"/>
  <c r="T51" i="1" s="1"/>
  <c r="P142" i="1"/>
  <c r="S142" i="1" s="1"/>
  <c r="P54" i="1"/>
  <c r="T54" i="1" s="1"/>
  <c r="P48" i="1"/>
  <c r="T48" i="1" s="1"/>
  <c r="T57" i="1"/>
  <c r="O19" i="1"/>
  <c r="K13" i="1"/>
  <c r="O13" i="1"/>
  <c r="K19" i="1"/>
  <c r="P162" i="1" l="1"/>
  <c r="U162" i="1" s="1"/>
  <c r="U784" i="1" s="1"/>
  <c r="P60" i="1"/>
  <c r="T60" i="1" s="1"/>
  <c r="L19" i="1"/>
  <c r="P19" i="1" s="1"/>
  <c r="L13" i="1"/>
  <c r="P13" i="1" s="1"/>
  <c r="T13" i="1" s="1"/>
  <c r="V784" i="1"/>
  <c r="S784" i="1"/>
  <c r="T7" i="1"/>
  <c r="T19" i="1" l="1"/>
  <c r="T784" i="1" s="1"/>
  <c r="K7" i="1"/>
  <c r="U786" i="1" l="1"/>
  <c r="R786" i="1"/>
  <c r="V786" i="1"/>
  <c r="Q786" i="1"/>
  <c r="T786" i="1" l="1"/>
  <c r="S786" i="1"/>
  <c r="W786" i="1" l="1"/>
</calcChain>
</file>

<file path=xl/sharedStrings.xml><?xml version="1.0" encoding="utf-8"?>
<sst xmlns="http://schemas.openxmlformats.org/spreadsheetml/2006/main" count="1074" uniqueCount="237">
  <si>
    <t>S.No.</t>
  </si>
  <si>
    <t>Description</t>
  </si>
  <si>
    <t>Shape of Bar in mm</t>
  </si>
  <si>
    <t>Spacing c/c</t>
  </si>
  <si>
    <t>Dia of Bar</t>
  </si>
  <si>
    <t>No's of Set</t>
  </si>
  <si>
    <t>No's of Bar</t>
  </si>
  <si>
    <t>Actual Length</t>
  </si>
  <si>
    <t>Lap</t>
  </si>
  <si>
    <t>No. Of Bend</t>
  </si>
  <si>
    <t>Deduction In mm</t>
  </si>
  <si>
    <t>Cut Length</t>
  </si>
  <si>
    <t>Total Length</t>
  </si>
  <si>
    <t>TMT BAR Fe-500D or EQR</t>
  </si>
  <si>
    <t>Remarks</t>
  </si>
  <si>
    <t>TOTAL LENGTH IN METRE</t>
  </si>
  <si>
    <t>UNIT WEIGHT (IN KG)</t>
  </si>
  <si>
    <t>TOTAL WEIGHT (IN KG)</t>
  </si>
  <si>
    <t>TOWER-E RAFT BBS</t>
  </si>
  <si>
    <t>MAIN BAR BOTTOM (ALTH.)</t>
  </si>
  <si>
    <t>KG</t>
  </si>
  <si>
    <t>BOTTOM MAIN BAR</t>
  </si>
  <si>
    <t>TOP MAIN BAR</t>
  </si>
  <si>
    <t>BOTTOM DISTRIBUTION BAR</t>
  </si>
  <si>
    <t>TOP DISTRIBUTION BAR</t>
  </si>
  <si>
    <t>BINDER</t>
  </si>
  <si>
    <t>CHAIR</t>
  </si>
  <si>
    <t>RAFT</t>
  </si>
  <si>
    <t>A</t>
  </si>
  <si>
    <t>DIST. BAR BOTTOM (ALTH.)</t>
  </si>
  <si>
    <t>BOTTOM EXTRA BAR</t>
  </si>
  <si>
    <t>SW1 GRID (6, 38/A-B)</t>
  </si>
  <si>
    <t>C1 GRID (9-10, 34-35/A)</t>
  </si>
  <si>
    <t>MAIN BOTTOM EXRA BAR</t>
  </si>
  <si>
    <t>DIST. BOTTOM EXRA BAR</t>
  </si>
  <si>
    <t>C1 GRID (12, 32/A)</t>
  </si>
  <si>
    <t>SW2, C7 GRID (16,17,27,28/B-C)</t>
  </si>
  <si>
    <t>C1 GRID (12, 32/C)</t>
  </si>
  <si>
    <t>C2 GRID (19, 25/C)</t>
  </si>
  <si>
    <t>C3 GRID (21, 23/C)</t>
  </si>
  <si>
    <t>C1 GRID (6, 38/D)</t>
  </si>
  <si>
    <t>C2 GRID (9, 35/D)</t>
  </si>
  <si>
    <t>C1 GRID (16, 28/D)</t>
  </si>
  <si>
    <t>C1 GRID (18, 26/D)</t>
  </si>
  <si>
    <t>C6 GRID (7, 37/E)</t>
  </si>
  <si>
    <t>SW4, SW3 GRID (11,12,32,33/E)</t>
  </si>
  <si>
    <t>SW6 GRID (16, 28/E)</t>
  </si>
  <si>
    <t>C2 GRID (18, 26/E)</t>
  </si>
  <si>
    <t>C2 GRID (19, 25/D-E)</t>
  </si>
  <si>
    <t>C8 GRID (21, 23/D-E)</t>
  </si>
  <si>
    <t>SW9, C1 GRID (1, 43/F, J)</t>
  </si>
  <si>
    <t>C2 GRID (3, 41/F)</t>
  </si>
  <si>
    <t>C6 GRID (5, 39/F)</t>
  </si>
  <si>
    <t>C5 GRID (7, 37/H)</t>
  </si>
  <si>
    <t>SW5 GRID (10, 34/F)</t>
  </si>
  <si>
    <t>SW5 GRID (14, 29/F)</t>
  </si>
  <si>
    <t>C1, SW7 GRID (20, 24/E,G,H)</t>
  </si>
  <si>
    <t>SW8 GRID (22/G)</t>
  </si>
  <si>
    <t>C4 GRID (3, 41/J)</t>
  </si>
  <si>
    <t>C5 GRID (5, 39/J)</t>
  </si>
  <si>
    <t>C4 GRID (9, 35/J)</t>
  </si>
  <si>
    <t>C4 GRID (15, 29/J)</t>
  </si>
  <si>
    <t>SW6 GRID (16, 28/I)</t>
  </si>
  <si>
    <t>C2 GRID (18, 26/I)</t>
  </si>
  <si>
    <t>C2 GRID (19, 25/J)</t>
  </si>
  <si>
    <t>C8 GRID (21, 23/J)</t>
  </si>
  <si>
    <t>C1 GRID (16, 28/J-K)</t>
  </si>
  <si>
    <t>C2 GRID (19, 25/L)</t>
  </si>
  <si>
    <t>C3 GRID (21, 23/L)</t>
  </si>
  <si>
    <t>SW12, C7 GRID (16,17,27,28/M-N)</t>
  </si>
  <si>
    <t>C6 GRID (1, 43/M)</t>
  </si>
  <si>
    <t>C6 GRID (1, 43/O)</t>
  </si>
  <si>
    <t>C1 GRID (2, 42/M)</t>
  </si>
  <si>
    <t>C1 GRID (2, 42/O)</t>
  </si>
  <si>
    <t>C4 GRID (4, 39/M)</t>
  </si>
  <si>
    <t>C4 GRID (4, 39/O)</t>
  </si>
  <si>
    <t>C2 GRID (6, 38/N)</t>
  </si>
  <si>
    <t>C5 GRID (7, 37/L)</t>
  </si>
  <si>
    <t>C4 GRID (7, 37/O)</t>
  </si>
  <si>
    <t>C5 GRID (12, 32/O)</t>
  </si>
  <si>
    <t>C1 GRID (15, 29/O)</t>
  </si>
  <si>
    <t>C6 GRID (17, 27/O)</t>
  </si>
  <si>
    <t>SW9, C1 GRID (1, 43/P, Q)</t>
  </si>
  <si>
    <t>SW9, C1 GRID (17, 27/P, Q)</t>
  </si>
  <si>
    <t>C2 GRID (3, 41/Q)</t>
  </si>
  <si>
    <t>C6 GRID (5, 39/Q)</t>
  </si>
  <si>
    <t>C5 GRID (7, 37/P-Q)</t>
  </si>
  <si>
    <t>C6 GRID (9, 34/Q)</t>
  </si>
  <si>
    <t>C2 GRID (13, 30/Q)</t>
  </si>
  <si>
    <t>C4 GRID (3, 41/P)</t>
  </si>
  <si>
    <t>C5 GRID (5, 39/P)</t>
  </si>
  <si>
    <t>C4 GRID (14, 30/P)</t>
  </si>
  <si>
    <t>C5 GRID (10, 34/P)</t>
  </si>
  <si>
    <t>TOP EXTRA BAR</t>
  </si>
  <si>
    <t>MAIN TOP EXRA BAR</t>
  </si>
  <si>
    <t>DIST. TOP EXRA BAR</t>
  </si>
  <si>
    <t>GRID (21-23 /B-E)</t>
  </si>
  <si>
    <t>GRID (21-23 /I-M)</t>
  </si>
  <si>
    <t>GRID (1-4, 40-43 /M-O)</t>
  </si>
  <si>
    <t>GRID (4-7, 37-40 /K-N)</t>
  </si>
  <si>
    <t>GRID (1-3, 40-43 /O-Q)</t>
  </si>
  <si>
    <t>GRID (3-5, 40-43 /O-Q)</t>
  </si>
  <si>
    <t>GRID (4-7, 36-39 /N-P)</t>
  </si>
  <si>
    <t>GRID (7-12, 31-36 /O-P)</t>
  </si>
  <si>
    <t>GRID (5-10, 33-38 /O'-P')</t>
  </si>
  <si>
    <t>GRID (5-10, 33-38 /P'-Q)</t>
  </si>
  <si>
    <t>GRID (11-14, 29-32 /O-Q)</t>
  </si>
  <si>
    <t>GRID (14-18, 26-29 /O-Q)</t>
  </si>
  <si>
    <t>8mm</t>
  </si>
  <si>
    <t>10mm</t>
  </si>
  <si>
    <t>12mm</t>
  </si>
  <si>
    <t>16mm</t>
  </si>
  <si>
    <t>20mm</t>
  </si>
  <si>
    <t>25mm</t>
  </si>
  <si>
    <t>GRID (39'-43/E'-Q')</t>
  </si>
  <si>
    <t>GRID (38'-39'/E'-Q')</t>
  </si>
  <si>
    <t>GRID (32'-38'/A-Q')</t>
  </si>
  <si>
    <t>GRID (30'-32'/A-Q')</t>
  </si>
  <si>
    <t>GRID (27'-30/A-Q')</t>
  </si>
  <si>
    <t>GRID (26'-27'/A'-Q')</t>
  </si>
  <si>
    <t>GRID (22'-26'/B-Q')</t>
  </si>
  <si>
    <t>GRID (30-38'/A)</t>
  </si>
  <si>
    <t>GRID (27'-38'/A-B)</t>
  </si>
  <si>
    <t>GRID (26'-38'/B-B')</t>
  </si>
  <si>
    <t>GRID (22'-38'/B'-E')</t>
  </si>
  <si>
    <t>GRID (22'-43'/E'-K)</t>
  </si>
  <si>
    <t>GRID (26'-43'/M-Q)</t>
  </si>
  <si>
    <t>GRID (33-39/Q')</t>
  </si>
  <si>
    <t>GRID (38'/A-E')</t>
  </si>
  <si>
    <t>GRID (38'-43/E')</t>
  </si>
  <si>
    <t>GRID (43/E'-Q')</t>
  </si>
  <si>
    <t>GRID (30/A-B)</t>
  </si>
  <si>
    <t>GRID (27'-30/A-B)</t>
  </si>
  <si>
    <t>GRID (27'/A-B)</t>
  </si>
  <si>
    <t>GRID (26'-27'/B)</t>
  </si>
  <si>
    <t>GRID (26'/B-C)</t>
  </si>
  <si>
    <t>GRID ( 22'-26'/B')</t>
  </si>
  <si>
    <t>GRID ( 22'-26'/M')</t>
  </si>
  <si>
    <t>GRID (26/M'-Q')</t>
  </si>
  <si>
    <t>GRID (26-43'/Q')</t>
  </si>
  <si>
    <t>GRID (35-37/A-D)</t>
  </si>
  <si>
    <t>GRID (32-35/A-D)</t>
  </si>
  <si>
    <t>GRID (28-31/B-E)</t>
  </si>
  <si>
    <t>GRID (26-28/B-E)</t>
  </si>
  <si>
    <t>GRID (25-26/B-E)</t>
  </si>
  <si>
    <t>GRID (24-26/B-E)</t>
  </si>
  <si>
    <t>GRID (34-36 /D-F)</t>
  </si>
  <si>
    <t>GRID (41-43 /E-I)</t>
  </si>
  <si>
    <t>GRID (40-42 /E-K)</t>
  </si>
  <si>
    <t>GRID (41-42 /E-I)</t>
  </si>
  <si>
    <t>GRID (41-42 /E-L)</t>
  </si>
  <si>
    <t>GRID (40-42 /J-L)</t>
  </si>
  <si>
    <t>GRID (34-38 /H-K)</t>
  </si>
  <si>
    <t>GRID (28-33 /H-K)</t>
  </si>
  <si>
    <t>GRID (25-28 /E-I)</t>
  </si>
  <si>
    <t>GRID (25-28 /I-K)</t>
  </si>
  <si>
    <t>GRID (24-25 /B-M)</t>
  </si>
  <si>
    <t>GRID (24-25 /J-K)</t>
  </si>
  <si>
    <t>GRID (22-24 /J-M)</t>
  </si>
  <si>
    <t>GRID (22-24 /E-J)</t>
  </si>
  <si>
    <t>GRID (40-43/M-O)</t>
  </si>
  <si>
    <t>GRID (40-43 /M-O)</t>
  </si>
  <si>
    <t>GRID (37-40 /K-N)</t>
  </si>
  <si>
    <t>GRID (40-43 /O-Q)</t>
  </si>
  <si>
    <t>GRID (36-39 /N-P)</t>
  </si>
  <si>
    <t>GRID (31-36 /O-P)</t>
  </si>
  <si>
    <t>GRID (33-38 /O'-P')</t>
  </si>
  <si>
    <t>GRID (33-38 /P'-Q)</t>
  </si>
  <si>
    <t>GRID (29-32 /O-Q)</t>
  </si>
  <si>
    <t>GRID (26-29 /O-Q)</t>
  </si>
  <si>
    <t>SW1 GRID (38/A-B)</t>
  </si>
  <si>
    <t>C1 GRID (34-35/A)</t>
  </si>
  <si>
    <t>C1 GRID (32/A)</t>
  </si>
  <si>
    <t>SW2, C7 GRID (27,28/B-C)</t>
  </si>
  <si>
    <t>C1 GRID (32/C)</t>
  </si>
  <si>
    <t>C2 GRID ( 25/C)</t>
  </si>
  <si>
    <t>C2 GRID (25/C)</t>
  </si>
  <si>
    <t>C3 GRID (23/C)</t>
  </si>
  <si>
    <t>C1 GRID (38/D)</t>
  </si>
  <si>
    <t>C2 GRID (35/D)</t>
  </si>
  <si>
    <t>C1 GRID (28/D)</t>
  </si>
  <si>
    <t>C1 GRID (26/D)</t>
  </si>
  <si>
    <t>C6 GRID (37/E)</t>
  </si>
  <si>
    <t>SW4, SW3 GRID (32,33/E)</t>
  </si>
  <si>
    <t>SW6 GRID (28/E)</t>
  </si>
  <si>
    <t>SW6 GRID ( 28/E)</t>
  </si>
  <si>
    <t>C2 GRID (26/E)</t>
  </si>
  <si>
    <t>C2 GRID (25/D-E)</t>
  </si>
  <si>
    <t>C8 GRID (23/D-E)</t>
  </si>
  <si>
    <t>SW9, C1 GRID (43/F, J)</t>
  </si>
  <si>
    <t>C2 GRID (41/F)</t>
  </si>
  <si>
    <t>C6 GRID (39/F)</t>
  </si>
  <si>
    <t>C5 GRID (37/H)</t>
  </si>
  <si>
    <t>SW5 GRID (34/F)</t>
  </si>
  <si>
    <t>SW5 GRID (29/F)</t>
  </si>
  <si>
    <t>C1, SW7 GRID (24/E,G,H)</t>
  </si>
  <si>
    <t>C4 GRID (41/J)</t>
  </si>
  <si>
    <t>C5 GRID (39/J)</t>
  </si>
  <si>
    <t>C4 GRID (35/J)</t>
  </si>
  <si>
    <t>C4 GRID (29/J)</t>
  </si>
  <si>
    <t>SW6 GRID (28/I)</t>
  </si>
  <si>
    <t>C2 GRID (26/I)</t>
  </si>
  <si>
    <t>C2 GRID (25/J)</t>
  </si>
  <si>
    <t>C8 GRID (23/J)</t>
  </si>
  <si>
    <t>C1 GRID (28/J-K)</t>
  </si>
  <si>
    <t>C1 GRID ( 26/D)</t>
  </si>
  <si>
    <t>C2 GRID (25/L)</t>
  </si>
  <si>
    <t>C3 GRID (23/L)</t>
  </si>
  <si>
    <t>SW12, C7 GRID (27,28/M-N)</t>
  </si>
  <si>
    <t>C6 GRID (43/M)</t>
  </si>
  <si>
    <t>C6 GRID (43/O)</t>
  </si>
  <si>
    <t>C1 GRID (42/M)</t>
  </si>
  <si>
    <t>C1 GRID (42/O)</t>
  </si>
  <si>
    <t>C4 GRID (39/M)</t>
  </si>
  <si>
    <t>C4 GRID (39/O)</t>
  </si>
  <si>
    <t>C2 GRID (38/N)</t>
  </si>
  <si>
    <t>C5 GRID (37/L)</t>
  </si>
  <si>
    <t>C4 GRID (37/O)</t>
  </si>
  <si>
    <t>C5 GRID (32/O)</t>
  </si>
  <si>
    <t>C1 GRID (29/O)</t>
  </si>
  <si>
    <t>C6 GRID (27/O)</t>
  </si>
  <si>
    <t>SW9, C1 GRID (43/P, Q)</t>
  </si>
  <si>
    <t>SW9, C1 GRID (27/P, Q)</t>
  </si>
  <si>
    <t>C2 GRID (41/Q)</t>
  </si>
  <si>
    <t>C6 GRID (39/Q)</t>
  </si>
  <si>
    <t>C6 GRID (34/Q)</t>
  </si>
  <si>
    <t>C2 GRID (30/Q)</t>
  </si>
  <si>
    <t>C5 GRID (37/P-Q)</t>
  </si>
  <si>
    <t>C4 GRID (41/P)</t>
  </si>
  <si>
    <t>C5 GRID (39/P)</t>
  </si>
  <si>
    <t>C4 GRID (30/P)</t>
  </si>
  <si>
    <t>C5 GRID (34/P)</t>
  </si>
  <si>
    <t>C4 GRID (25/J)</t>
  </si>
  <si>
    <t>SPACER B/W EXTRA BAR</t>
  </si>
  <si>
    <t>C4 GRID (40/O)</t>
  </si>
  <si>
    <t>C4 GRID (29/P)</t>
  </si>
  <si>
    <t>SW10, SW11, SW13 GRID (31-36/K-N)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</si>
</sst>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0.000"/>
    <numFmt numFmtId="165" formatCode="_-* #,##0.00_-;\-* #,##0.00_-;_-* &quot;-&quot;??_-;_-@_-"/>
    <numFmt numFmtId="166" formatCode="0.0"/>
    <numFmt numFmtId="167" formatCode="_([$€-2]* #,##0.00_);_([$€-2]* \(#,##0.00\);_([$€-2]* &quot;-&quot;??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Book Antiqua"/>
      <family val="1"/>
    </font>
    <font>
      <u/>
      <sz val="11"/>
      <color theme="10"/>
      <name val="Calibri"/>
      <family val="2"/>
    </font>
    <font>
      <u/>
      <sz val="10.8"/>
      <color theme="10"/>
      <name val="Calibri"/>
      <family val="2"/>
    </font>
    <font>
      <sz val="12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0">
    <xf numFmtId="0" fontId="0" fillId="0" borderId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" fontId="8" fillId="4" borderId="0">
      <alignment horizontal="center" vertical="center" wrapText="1"/>
    </xf>
    <xf numFmtId="0" fontId="8" fillId="0" borderId="0">
      <alignment vertical="center" wrapText="1" shrinkToFit="1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" fontId="8" fillId="4" borderId="0">
      <alignment horizontal="center" vertical="center" wrapText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" fontId="8" fillId="4" borderId="0">
      <alignment horizontal="center" vertical="center" wrapText="1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 wrapText="1"/>
    </xf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>
      <alignment horizontal="center" vertical="center" wrapText="1"/>
    </xf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1" fontId="8" fillId="4" borderId="0">
      <alignment horizontal="center" vertical="center" wrapText="1"/>
    </xf>
    <xf numFmtId="1" fontId="8" fillId="4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8" fillId="4" borderId="0">
      <alignment horizontal="center" vertical="center" wrapText="1"/>
    </xf>
    <xf numFmtId="1" fontId="8" fillId="4" borderId="0">
      <alignment horizontal="center" vertical="center" wrapText="1"/>
    </xf>
    <xf numFmtId="1" fontId="8" fillId="4" borderId="0">
      <alignment horizontal="center" vertical="center" wrapText="1"/>
    </xf>
    <xf numFmtId="1" fontId="8" fillId="4" borderId="0">
      <alignment horizontal="center" vertical="center" wrapText="1"/>
    </xf>
    <xf numFmtId="1" fontId="8" fillId="4" borderId="0">
      <alignment horizontal="center" vertical="center" wrapText="1"/>
    </xf>
    <xf numFmtId="1" fontId="8" fillId="4" borderId="0">
      <alignment horizontal="center" vertical="center" wrapText="1"/>
    </xf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" fontId="8" fillId="4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8" fillId="4" borderId="0">
      <alignment horizontal="center" vertical="center" wrapText="1"/>
    </xf>
    <xf numFmtId="1" fontId="8" fillId="4" borderId="0">
      <alignment horizontal="center" vertical="center" wrapText="1"/>
    </xf>
    <xf numFmtId="1" fontId="8" fillId="4" borderId="0">
      <alignment horizontal="center" vertical="center" wrapText="1"/>
    </xf>
    <xf numFmtId="1" fontId="8" fillId="4" borderId="0">
      <alignment horizontal="center" vertical="center" wrapText="1"/>
    </xf>
    <xf numFmtId="1" fontId="8" fillId="4" borderId="0">
      <alignment horizontal="center" vertical="center" wrapText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" fontId="8" fillId="4" borderId="0">
      <alignment horizontal="center" vertical="center" wrapText="1"/>
    </xf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>
      <alignment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1" applyNumberFormat="0">
      <alignment vertical="center" wrapText="1"/>
    </xf>
  </cellStyleXfs>
  <cellXfs count="7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/>
    <xf numFmtId="0" fontId="0" fillId="0" borderId="6" xfId="0" applyBorder="1"/>
    <xf numFmtId="0" fontId="5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5" xfId="0" applyBorder="1"/>
    <xf numFmtId="164" fontId="5" fillId="0" borderId="0" xfId="0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64" fontId="7" fillId="3" borderId="8" xfId="0" applyNumberFormat="1" applyFont="1" applyFill="1" applyBorder="1" applyAlignment="1">
      <alignment vertical="center" wrapText="1"/>
    </xf>
    <xf numFmtId="164" fontId="0" fillId="0" borderId="6" xfId="0" applyNumberFormat="1" applyBorder="1"/>
    <xf numFmtId="0" fontId="5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/>
    </xf>
    <xf numFmtId="0" fontId="0" fillId="0" borderId="5" xfId="0" applyFont="1" applyBorder="1"/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righ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0" fontId="2" fillId="0" borderId="0" xfId="0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5" fillId="0" borderId="0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 wrapText="1"/>
    </xf>
    <xf numFmtId="0" fontId="2" fillId="5" borderId="5" xfId="0" applyFont="1" applyFill="1" applyBorder="1"/>
    <xf numFmtId="164" fontId="5" fillId="0" borderId="0" xfId="0" applyNumberFormat="1" applyFont="1" applyBorder="1" applyAlignment="1">
      <alignment horizontal="center" vertical="center"/>
    </xf>
    <xf numFmtId="0" fontId="2" fillId="0" borderId="5" xfId="0" applyFont="1" applyFill="1" applyBorder="1"/>
    <xf numFmtId="164" fontId="0" fillId="0" borderId="0" xfId="0" applyNumberFormat="1" applyBorder="1"/>
    <xf numFmtId="0" fontId="2" fillId="6" borderId="5" xfId="0" applyFont="1" applyFill="1" applyBorder="1"/>
    <xf numFmtId="164" fontId="5" fillId="0" borderId="0" xfId="0" applyNumberFormat="1" applyFont="1" applyBorder="1"/>
    <xf numFmtId="164" fontId="0" fillId="0" borderId="6" xfId="0" applyNumberFormat="1" applyFont="1" applyBorder="1"/>
    <xf numFmtId="164" fontId="0" fillId="0" borderId="0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Font="1"/>
    <xf numFmtId="164" fontId="5" fillId="0" borderId="0" xfId="0" applyNumberFormat="1" applyFont="1" applyBorder="1" applyAlignment="1">
      <alignment horizontal="center" vertical="center"/>
    </xf>
    <xf numFmtId="0" fontId="2" fillId="0" borderId="0" xfId="0" applyFont="1" applyBorder="1"/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4" fontId="5" fillId="0" borderId="0" xfId="0" applyNumberFormat="1" applyFont="1" applyBorder="1" applyAlignment="1">
      <alignment horizontal="center" vertical="center"/>
    </xf>
    <xf numFmtId="0" fontId="0" fillId="0" borderId="0" xfId="0" applyFill="1"/>
    <xf numFmtId="164" fontId="5" fillId="0" borderId="0" xfId="0" applyNumberFormat="1" applyFont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top"/>
    </xf>
    <xf numFmtId="164" fontId="5" fillId="0" borderId="0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2" fillId="0" borderId="0" xfId="0" applyFont="1" applyAlignment="1"/>
  </cellXfs>
  <cellStyles count="500">
    <cellStyle name="Comma 2" xfId="1"/>
    <cellStyle name="Comma 2 10" xfId="2"/>
    <cellStyle name="Comma 2 11" xfId="3"/>
    <cellStyle name="Comma 2 2" xfId="4"/>
    <cellStyle name="Comma 2 2 2" xfId="5"/>
    <cellStyle name="Comma 2 2 2 2" xfId="6"/>
    <cellStyle name="Comma 2 2 2 2 2" xfId="7"/>
    <cellStyle name="Comma 2 2 2 3" xfId="8"/>
    <cellStyle name="Comma 2 2 2 4" xfId="9"/>
    <cellStyle name="Comma 2 2 2 5" xfId="10"/>
    <cellStyle name="Comma 2 2 2 6" xfId="11"/>
    <cellStyle name="Comma 2 2 2 7" xfId="12"/>
    <cellStyle name="Comma 2 2 2 8" xfId="13"/>
    <cellStyle name="Comma 2 2 2 9" xfId="14"/>
    <cellStyle name="Comma 2 2 3" xfId="15"/>
    <cellStyle name="Comma 2 2 3 2" xfId="16"/>
    <cellStyle name="Comma 2 3" xfId="17"/>
    <cellStyle name="Comma 2 3 10" xfId="18"/>
    <cellStyle name="Comma 2 3 11" xfId="19"/>
    <cellStyle name="Comma 2 3 2" xfId="20"/>
    <cellStyle name="Comma 2 3 2 2" xfId="21"/>
    <cellStyle name="Comma 2 3 3" xfId="22"/>
    <cellStyle name="Comma 2 3 4" xfId="23"/>
    <cellStyle name="Comma 2 3 5" xfId="24"/>
    <cellStyle name="Comma 2 3 6" xfId="25"/>
    <cellStyle name="Comma 2 3 7" xfId="26"/>
    <cellStyle name="Comma 2 3 8" xfId="27"/>
    <cellStyle name="Comma 2 3 9" xfId="28"/>
    <cellStyle name="Comma 2 4" xfId="29"/>
    <cellStyle name="Comma 2 4 2" xfId="30"/>
    <cellStyle name="Comma 2 5" xfId="31"/>
    <cellStyle name="Comma 2 6" xfId="32"/>
    <cellStyle name="Comma 2 7" xfId="33"/>
    <cellStyle name="Comma 2 8" xfId="34"/>
    <cellStyle name="Comma 2 9" xfId="35"/>
    <cellStyle name="Comma 28" xfId="36"/>
    <cellStyle name="Comma 3" xfId="37"/>
    <cellStyle name="Comma 3 10" xfId="38"/>
    <cellStyle name="Comma 3 11" xfId="39"/>
    <cellStyle name="Comma 3 2" xfId="40"/>
    <cellStyle name="Comma 3 3" xfId="41"/>
    <cellStyle name="Comma 3 4" xfId="42"/>
    <cellStyle name="Comma 3 5" xfId="43"/>
    <cellStyle name="Comma 3 6" xfId="44"/>
    <cellStyle name="Comma 3 7" xfId="45"/>
    <cellStyle name="Comma 3 8" xfId="46"/>
    <cellStyle name="Comma 3 9" xfId="47"/>
    <cellStyle name="Comma 4" xfId="48"/>
    <cellStyle name="Comma 4 2" xfId="49"/>
    <cellStyle name="Comma 4 3" xfId="50"/>
    <cellStyle name="Comma 4 4" xfId="51"/>
    <cellStyle name="Comma 4 5" xfId="52"/>
    <cellStyle name="Comma 4 6" xfId="53"/>
    <cellStyle name="Comma 4 7" xfId="54"/>
    <cellStyle name="Comma 4 8" xfId="55"/>
    <cellStyle name="Comma 5" xfId="56"/>
    <cellStyle name="Comma 5 2" xfId="57"/>
    <cellStyle name="Comma 5 3" xfId="58"/>
    <cellStyle name="Comma 5 4" xfId="59"/>
    <cellStyle name="Comma 5 5" xfId="60"/>
    <cellStyle name="Comma 5 6" xfId="61"/>
    <cellStyle name="Comma 5 7" xfId="62"/>
    <cellStyle name="Comma 6" xfId="63"/>
    <cellStyle name="Comma 6 2" xfId="64"/>
    <cellStyle name="Comma 6 3" xfId="65"/>
    <cellStyle name="Comma 6 4" xfId="66"/>
    <cellStyle name="Comma 6 5" xfId="67"/>
    <cellStyle name="Comma 6 6" xfId="68"/>
    <cellStyle name="Comma 6 7" xfId="69"/>
    <cellStyle name="Comma 6 8" xfId="70"/>
    <cellStyle name="Comma 6 9" xfId="71"/>
    <cellStyle name="Currency 2" xfId="72"/>
    <cellStyle name="Euro" xfId="73"/>
    <cellStyle name="Hyperlink 2" xfId="74"/>
    <cellStyle name="Hyperlink 3" xfId="75"/>
    <cellStyle name="Normal" xfId="0" builtinId="0"/>
    <cellStyle name="Normal 10" xfId="76"/>
    <cellStyle name="Normal 10 2" xfId="77"/>
    <cellStyle name="Normal 10 2 2" xfId="78"/>
    <cellStyle name="Normal 11" xfId="79"/>
    <cellStyle name="Normal 12" xfId="80"/>
    <cellStyle name="Normal 13" xfId="81"/>
    <cellStyle name="Normal 14" xfId="82"/>
    <cellStyle name="Normal 15" xfId="83"/>
    <cellStyle name="Normal 16" xfId="84"/>
    <cellStyle name="Normal 17" xfId="85"/>
    <cellStyle name="Normal 18" xfId="86"/>
    <cellStyle name="Normal 19" xfId="87"/>
    <cellStyle name="Normal 2" xfId="88"/>
    <cellStyle name="Normal 2 10" xfId="89"/>
    <cellStyle name="Normal 2 11" xfId="90"/>
    <cellStyle name="Normal 2 12" xfId="91"/>
    <cellStyle name="Normal 2 13" xfId="92"/>
    <cellStyle name="Normal 2 14" xfId="93"/>
    <cellStyle name="Normal 2 15" xfId="94"/>
    <cellStyle name="Normal 2 2" xfId="95"/>
    <cellStyle name="Normal 2 2 10" xfId="96"/>
    <cellStyle name="Normal 2 2 11" xfId="97"/>
    <cellStyle name="Normal 2 2 12" xfId="98"/>
    <cellStyle name="Normal 2 2 2" xfId="99"/>
    <cellStyle name="Normal 2 2 2 2" xfId="100"/>
    <cellStyle name="Normal 2 2 2 2 2" xfId="101"/>
    <cellStyle name="Normal 2 2 2 3" xfId="102"/>
    <cellStyle name="Normal 2 2 2 4" xfId="103"/>
    <cellStyle name="Normal 2 2 2 5" xfId="104"/>
    <cellStyle name="Normal 2 2 2 6" xfId="105"/>
    <cellStyle name="Normal 2 2 2 7" xfId="106"/>
    <cellStyle name="Normal 2 2 2 8" xfId="107"/>
    <cellStyle name="Normal 2 2 2 9" xfId="108"/>
    <cellStyle name="Normal 2 2 3" xfId="109"/>
    <cellStyle name="Normal 2 2 3 2" xfId="110"/>
    <cellStyle name="Normal 2 2 3 3" xfId="111"/>
    <cellStyle name="Normal 2 2 4" xfId="112"/>
    <cellStyle name="Normal 2 2 5" xfId="113"/>
    <cellStyle name="Normal 2 2 6" xfId="114"/>
    <cellStyle name="Normal 2 2 7" xfId="115"/>
    <cellStyle name="Normal 2 2 8" xfId="116"/>
    <cellStyle name="Normal 2 2 9" xfId="117"/>
    <cellStyle name="Normal 2 3" xfId="118"/>
    <cellStyle name="Normal 2 3 10" xfId="119"/>
    <cellStyle name="Normal 2 3 11" xfId="120"/>
    <cellStyle name="Normal 2 3 12" xfId="121"/>
    <cellStyle name="Normal 2 3 13" xfId="122"/>
    <cellStyle name="Normal 2 3 2" xfId="123"/>
    <cellStyle name="Normal 2 3 2 2" xfId="124"/>
    <cellStyle name="Normal 2 3 2 3" xfId="125"/>
    <cellStyle name="Normal 2 3 2 4" xfId="126"/>
    <cellStyle name="Normal 2 3 2 5" xfId="127"/>
    <cellStyle name="Normal 2 3 2 6" xfId="128"/>
    <cellStyle name="Normal 2 3 2 7" xfId="129"/>
    <cellStyle name="Normal 2 3 2 8" xfId="130"/>
    <cellStyle name="Normal 2 3 2 9" xfId="131"/>
    <cellStyle name="Normal 2 3 3" xfId="132"/>
    <cellStyle name="Normal 2 3 4" xfId="133"/>
    <cellStyle name="Normal 2 3 5" xfId="134"/>
    <cellStyle name="Normal 2 3 6" xfId="135"/>
    <cellStyle name="Normal 2 3 7" xfId="136"/>
    <cellStyle name="Normal 2 3 8" xfId="137"/>
    <cellStyle name="Normal 2 3 9" xfId="138"/>
    <cellStyle name="Normal 2 4" xfId="139"/>
    <cellStyle name="Normal 2 4 2" xfId="140"/>
    <cellStyle name="Normal 2 4 2 2" xfId="141"/>
    <cellStyle name="Normal 2 4 2 3" xfId="142"/>
    <cellStyle name="Normal 2 4 2 4" xfId="143"/>
    <cellStyle name="Normal 2 4 2 5" xfId="144"/>
    <cellStyle name="Normal 2 4 2 6" xfId="145"/>
    <cellStyle name="Normal 2 4 2 7" xfId="146"/>
    <cellStyle name="Normal 2 4 2 8" xfId="147"/>
    <cellStyle name="Normal 2 4 3" xfId="148"/>
    <cellStyle name="Normal 2 4 4" xfId="149"/>
    <cellStyle name="Normal 2 4 5" xfId="150"/>
    <cellStyle name="Normal 2 4 6" xfId="151"/>
    <cellStyle name="Normal 2 4 7" xfId="152"/>
    <cellStyle name="Normal 2 4 8" xfId="153"/>
    <cellStyle name="Normal 2 4 9" xfId="154"/>
    <cellStyle name="Normal 2 5" xfId="155"/>
    <cellStyle name="Normal 2 5 2" xfId="156"/>
    <cellStyle name="Normal 2 5 2 2" xfId="157"/>
    <cellStyle name="Normal 2 5 2 3" xfId="158"/>
    <cellStyle name="Normal 2 5 2 4" xfId="159"/>
    <cellStyle name="Normal 2 5 2 5" xfId="160"/>
    <cellStyle name="Normal 2 5 2 6" xfId="161"/>
    <cellStyle name="Normal 2 5 2 7" xfId="162"/>
    <cellStyle name="Normal 2 5 2 8" xfId="163"/>
    <cellStyle name="Normal 2 5 3" xfId="164"/>
    <cellStyle name="Normal 2 5 4" xfId="165"/>
    <cellStyle name="Normal 2 5 5" xfId="166"/>
    <cellStyle name="Normal 2 5 6" xfId="167"/>
    <cellStyle name="Normal 2 5 7" xfId="168"/>
    <cellStyle name="Normal 2 5 8" xfId="169"/>
    <cellStyle name="Normal 2 5 9" xfId="170"/>
    <cellStyle name="Normal 2 6" xfId="171"/>
    <cellStyle name="Normal 2 6 2" xfId="172"/>
    <cellStyle name="Normal 2 6 3" xfId="173"/>
    <cellStyle name="Normal 2 6 4" xfId="174"/>
    <cellStyle name="Normal 2 6 5" xfId="175"/>
    <cellStyle name="Normal 2 6 6" xfId="176"/>
    <cellStyle name="Normal 2 6 7" xfId="177"/>
    <cellStyle name="Normal 2 6 8" xfId="178"/>
    <cellStyle name="Normal 2 7" xfId="179"/>
    <cellStyle name="Normal 2 7 2" xfId="180"/>
    <cellStyle name="Normal 2 8" xfId="181"/>
    <cellStyle name="Normal 2 9" xfId="182"/>
    <cellStyle name="Normal 20" xfId="183"/>
    <cellStyle name="Normal 21" xfId="184"/>
    <cellStyle name="Normal 21 10" xfId="185"/>
    <cellStyle name="Normal 21 11" xfId="186"/>
    <cellStyle name="Normal 21 2" xfId="187"/>
    <cellStyle name="Normal 21 2 2" xfId="188"/>
    <cellStyle name="Normal 21 2 3" xfId="189"/>
    <cellStyle name="Normal 21 2 4" xfId="190"/>
    <cellStyle name="Normal 21 2 5" xfId="191"/>
    <cellStyle name="Normal 21 2 6" xfId="192"/>
    <cellStyle name="Normal 21 2 7" xfId="193"/>
    <cellStyle name="Normal 21 3" xfId="194"/>
    <cellStyle name="Normal 21 3 2" xfId="195"/>
    <cellStyle name="Normal 21 3 2 2" xfId="196"/>
    <cellStyle name="Normal 21 3 2 2 2" xfId="197"/>
    <cellStyle name="Normal 21 3 2 2 3" xfId="198"/>
    <cellStyle name="Normal 21 3 2 2 4" xfId="199"/>
    <cellStyle name="Normal 21 3 2 2 5" xfId="200"/>
    <cellStyle name="Normal 21 3 2 2 6" xfId="201"/>
    <cellStyle name="Normal 21 3 2 2 7" xfId="202"/>
    <cellStyle name="Normal 21 3 2 3" xfId="203"/>
    <cellStyle name="Normal 21 3 2 4" xfId="204"/>
    <cellStyle name="Normal 21 3 2 5" xfId="205"/>
    <cellStyle name="Normal 21 3 2 6" xfId="206"/>
    <cellStyle name="Normal 21 3 2 7" xfId="207"/>
    <cellStyle name="Normal 21 3 2 8" xfId="208"/>
    <cellStyle name="Normal 21 3 3" xfId="209"/>
    <cellStyle name="Normal 21 3 3 2" xfId="210"/>
    <cellStyle name="Normal 21 3 3 2 2" xfId="211"/>
    <cellStyle name="Normal 21 3 3 2 3" xfId="212"/>
    <cellStyle name="Normal 21 3 3 2 4" xfId="213"/>
    <cellStyle name="Normal 21 3 3 2 5" xfId="214"/>
    <cellStyle name="Normal 21 3 3 2 6" xfId="215"/>
    <cellStyle name="Normal 21 3 3 2 7" xfId="216"/>
    <cellStyle name="Normal 21 3 3 3" xfId="217"/>
    <cellStyle name="Normal 21 3 3 4" xfId="218"/>
    <cellStyle name="Normal 21 3 3 5" xfId="219"/>
    <cellStyle name="Normal 21 3 3 6" xfId="220"/>
    <cellStyle name="Normal 21 3 3 7" xfId="221"/>
    <cellStyle name="Normal 21 3 3 8" xfId="222"/>
    <cellStyle name="Normal 21 3 4" xfId="223"/>
    <cellStyle name="Normal 21 3 5" xfId="224"/>
    <cellStyle name="Normal 21 3 6" xfId="225"/>
    <cellStyle name="Normal 21 3 7" xfId="226"/>
    <cellStyle name="Normal 21 3 8" xfId="227"/>
    <cellStyle name="Normal 21 3 9" xfId="228"/>
    <cellStyle name="Normal 21 4" xfId="229"/>
    <cellStyle name="Normal 21 5" xfId="230"/>
    <cellStyle name="Normal 21 6" xfId="231"/>
    <cellStyle name="Normal 21 7" xfId="232"/>
    <cellStyle name="Normal 21 8" xfId="233"/>
    <cellStyle name="Normal 21 9" xfId="234"/>
    <cellStyle name="Normal 22" xfId="235"/>
    <cellStyle name="Normal 22 2" xfId="236"/>
    <cellStyle name="Normal 22 3" xfId="237"/>
    <cellStyle name="Normal 22 4" xfId="238"/>
    <cellStyle name="Normal 22 5" xfId="239"/>
    <cellStyle name="Normal 22 6" xfId="240"/>
    <cellStyle name="Normal 22 7" xfId="241"/>
    <cellStyle name="Normal 22 8" xfId="242"/>
    <cellStyle name="Normal 23" xfId="243"/>
    <cellStyle name="Normal 24" xfId="244"/>
    <cellStyle name="Normal 25" xfId="245"/>
    <cellStyle name="Normal 26" xfId="246"/>
    <cellStyle name="Normal 27" xfId="247"/>
    <cellStyle name="Normal 28" xfId="248"/>
    <cellStyle name="Normal 29" xfId="249"/>
    <cellStyle name="Normal 3" xfId="250"/>
    <cellStyle name="Normal 3 10" xfId="251"/>
    <cellStyle name="Normal 3 11" xfId="252"/>
    <cellStyle name="Normal 3 2" xfId="253"/>
    <cellStyle name="Normal 3 2 2" xfId="254"/>
    <cellStyle name="Normal 3 2 3" xfId="255"/>
    <cellStyle name="Normal 3 2 4" xfId="256"/>
    <cellStyle name="Normal 3 2 5" xfId="257"/>
    <cellStyle name="Normal 3 2 6" xfId="258"/>
    <cellStyle name="Normal 3 2 7" xfId="259"/>
    <cellStyle name="Normal 3 2 8" xfId="260"/>
    <cellStyle name="Normal 3 3" xfId="261"/>
    <cellStyle name="Normal 3 3 2" xfId="262"/>
    <cellStyle name="Normal 3 3 3" xfId="263"/>
    <cellStyle name="Normal 3 3 3 2" xfId="264"/>
    <cellStyle name="Normal 3 4" xfId="265"/>
    <cellStyle name="Normal 3 5" xfId="266"/>
    <cellStyle name="Normal 3 6" xfId="267"/>
    <cellStyle name="Normal 3 7" xfId="268"/>
    <cellStyle name="Normal 3 8" xfId="269"/>
    <cellStyle name="Normal 3 9" xfId="270"/>
    <cellStyle name="Normal 30" xfId="271"/>
    <cellStyle name="Normal 30 2" xfId="272"/>
    <cellStyle name="Normal 30 2 2" xfId="273"/>
    <cellStyle name="Normal 30 3" xfId="274"/>
    <cellStyle name="Normal 30 3 2" xfId="275"/>
    <cellStyle name="Normal 30 3 2 2" xfId="276"/>
    <cellStyle name="Normal 30 3 2 2 2" xfId="277"/>
    <cellStyle name="Normal 30 4" xfId="278"/>
    <cellStyle name="Normal 30 5" xfId="279"/>
    <cellStyle name="Normal 30 6" xfId="280"/>
    <cellStyle name="Normal 30 7" xfId="281"/>
    <cellStyle name="Normal 30 8" xfId="282"/>
    <cellStyle name="Normal 30 9" xfId="283"/>
    <cellStyle name="Normal 31" xfId="284"/>
    <cellStyle name="Normal 31 2" xfId="285"/>
    <cellStyle name="Normal 31 2 2" xfId="286"/>
    <cellStyle name="Normal 31 2 2 2" xfId="287"/>
    <cellStyle name="Normal 31 2 2 3" xfId="288"/>
    <cellStyle name="Normal 31 2 2 4" xfId="289"/>
    <cellStyle name="Normal 31 2 2 5" xfId="290"/>
    <cellStyle name="Normal 31 2 2 6" xfId="291"/>
    <cellStyle name="Normal 31 2 2 7" xfId="292"/>
    <cellStyle name="Normal 31 2 3" xfId="293"/>
    <cellStyle name="Normal 31 2 4" xfId="294"/>
    <cellStyle name="Normal 31 2 5" xfId="295"/>
    <cellStyle name="Normal 31 2 6" xfId="296"/>
    <cellStyle name="Normal 31 2 7" xfId="297"/>
    <cellStyle name="Normal 31 2 8" xfId="298"/>
    <cellStyle name="Normal 31 3" xfId="299"/>
    <cellStyle name="Normal 31 4" xfId="300"/>
    <cellStyle name="Normal 31 5" xfId="301"/>
    <cellStyle name="Normal 31 6" xfId="302"/>
    <cellStyle name="Normal 31 7" xfId="303"/>
    <cellStyle name="Normal 31 8" xfId="304"/>
    <cellStyle name="Normal 31 9" xfId="305"/>
    <cellStyle name="Normal 32" xfId="306"/>
    <cellStyle name="Normal 33" xfId="307"/>
    <cellStyle name="Normal 33 2" xfId="308"/>
    <cellStyle name="Normal 33 2 2" xfId="309"/>
    <cellStyle name="Normal 33 2 3" xfId="310"/>
    <cellStyle name="Normal 33 2 3 2" xfId="311"/>
    <cellStyle name="Normal 33 2 3 2 2" xfId="312"/>
    <cellStyle name="Normal 33 3" xfId="313"/>
    <cellStyle name="Normal 33 4" xfId="314"/>
    <cellStyle name="Normal 33 5" xfId="315"/>
    <cellStyle name="Normal 33 6" xfId="316"/>
    <cellStyle name="Normal 33 7" xfId="317"/>
    <cellStyle name="Normal 33 8" xfId="318"/>
    <cellStyle name="Normal 34" xfId="319"/>
    <cellStyle name="Normal 34 2" xfId="320"/>
    <cellStyle name="Normal 34 2 2" xfId="321"/>
    <cellStyle name="Normal 34 2 3" xfId="322"/>
    <cellStyle name="Normal 34 2 4" xfId="323"/>
    <cellStyle name="Normal 34 2 5" xfId="324"/>
    <cellStyle name="Normal 34 2 6" xfId="325"/>
    <cellStyle name="Normal 34 2 7" xfId="326"/>
    <cellStyle name="Normal 34 3" xfId="327"/>
    <cellStyle name="Normal 34 3 2" xfId="328"/>
    <cellStyle name="Normal 34 4" xfId="329"/>
    <cellStyle name="Normal 34 5" xfId="330"/>
    <cellStyle name="Normal 34 6" xfId="331"/>
    <cellStyle name="Normal 34 7" xfId="332"/>
    <cellStyle name="Normal 34 8" xfId="333"/>
    <cellStyle name="Normal 35" xfId="334"/>
    <cellStyle name="Normal 36" xfId="335"/>
    <cellStyle name="Normal 37" xfId="336"/>
    <cellStyle name="Normal 38" xfId="337"/>
    <cellStyle name="Normal 39" xfId="338"/>
    <cellStyle name="Normal 4" xfId="339"/>
    <cellStyle name="Normal 4 2" xfId="340"/>
    <cellStyle name="Normal 4 3" xfId="341"/>
    <cellStyle name="Normal 4 4" xfId="342"/>
    <cellStyle name="Normal 4 5" xfId="343"/>
    <cellStyle name="Normal 40" xfId="344"/>
    <cellStyle name="Normal 41" xfId="345"/>
    <cellStyle name="Normal 42" xfId="346"/>
    <cellStyle name="Normal 5" xfId="347"/>
    <cellStyle name="Normal 5 10" xfId="348"/>
    <cellStyle name="Normal 5 11" xfId="349"/>
    <cellStyle name="Normal 5 12" xfId="350"/>
    <cellStyle name="Normal 5 2" xfId="351"/>
    <cellStyle name="Normal 5 2 10" xfId="352"/>
    <cellStyle name="Normal 5 2 2" xfId="353"/>
    <cellStyle name="Normal 5 2 3" xfId="354"/>
    <cellStyle name="Normal 5 2 4" xfId="355"/>
    <cellStyle name="Normal 5 2 5" xfId="356"/>
    <cellStyle name="Normal 5 2 6" xfId="357"/>
    <cellStyle name="Normal 5 2 7" xfId="358"/>
    <cellStyle name="Normal 5 2 8" xfId="359"/>
    <cellStyle name="Normal 5 2 9" xfId="360"/>
    <cellStyle name="Normal 5 3" xfId="361"/>
    <cellStyle name="Normal 5 4" xfId="362"/>
    <cellStyle name="Normal 5 5" xfId="363"/>
    <cellStyle name="Normal 5 6" xfId="364"/>
    <cellStyle name="Normal 5 7" xfId="365"/>
    <cellStyle name="Normal 5 8" xfId="366"/>
    <cellStyle name="Normal 5 9" xfId="367"/>
    <cellStyle name="Normal 6" xfId="368"/>
    <cellStyle name="Normal 6 10" xfId="369"/>
    <cellStyle name="Normal 6 2" xfId="370"/>
    <cellStyle name="Normal 6 2 2" xfId="371"/>
    <cellStyle name="Normal 6 2 2 2" xfId="372"/>
    <cellStyle name="Normal 6 2 2 3" xfId="373"/>
    <cellStyle name="Normal 6 2 2 4" xfId="374"/>
    <cellStyle name="Normal 6 2 2 5" xfId="375"/>
    <cellStyle name="Normal 6 2 2 6" xfId="376"/>
    <cellStyle name="Normal 6 2 2 7" xfId="377"/>
    <cellStyle name="Normal 6 2 3" xfId="378"/>
    <cellStyle name="Normal 6 2 4" xfId="379"/>
    <cellStyle name="Normal 6 2 5" xfId="380"/>
    <cellStyle name="Normal 6 2 6" xfId="381"/>
    <cellStyle name="Normal 6 2 7" xfId="382"/>
    <cellStyle name="Normal 6 2 8" xfId="383"/>
    <cellStyle name="Normal 6 3" xfId="384"/>
    <cellStyle name="Normal 6 4" xfId="385"/>
    <cellStyle name="Normal 6 5" xfId="386"/>
    <cellStyle name="Normal 6 6" xfId="387"/>
    <cellStyle name="Normal 6 7" xfId="388"/>
    <cellStyle name="Normal 6 8" xfId="389"/>
    <cellStyle name="Normal 6 9" xfId="390"/>
    <cellStyle name="Normal 6 9 2" xfId="391"/>
    <cellStyle name="Normal 6 9 3" xfId="392"/>
    <cellStyle name="Normal 6 9 4" xfId="393"/>
    <cellStyle name="Normal 6 9 5" xfId="394"/>
    <cellStyle name="Normal 6 9 6" xfId="395"/>
    <cellStyle name="Normal 6 9 7" xfId="396"/>
    <cellStyle name="Normal 7" xfId="397"/>
    <cellStyle name="Normal 7 10" xfId="398"/>
    <cellStyle name="Normal 7 11" xfId="399"/>
    <cellStyle name="Normal 7 12" xfId="400"/>
    <cellStyle name="Normal 7 13" xfId="401"/>
    <cellStyle name="Normal 7 14" xfId="402"/>
    <cellStyle name="Normal 7 15" xfId="403"/>
    <cellStyle name="Normal 7 2" xfId="404"/>
    <cellStyle name="Normal 7 3" xfId="405"/>
    <cellStyle name="Normal 7 3 2" xfId="406"/>
    <cellStyle name="Normal 7 3 2 10" xfId="407"/>
    <cellStyle name="Normal 7 3 2 2" xfId="408"/>
    <cellStyle name="Normal 7 3 2 2 2" xfId="409"/>
    <cellStyle name="Normal 7 3 2 2 2 2" xfId="410"/>
    <cellStyle name="Normal 7 3 2 2 2 3" xfId="411"/>
    <cellStyle name="Normal 7 3 2 2 2 4" xfId="412"/>
    <cellStyle name="Normal 7 3 2 2 2 5" xfId="413"/>
    <cellStyle name="Normal 7 3 2 2 2 6" xfId="414"/>
    <cellStyle name="Normal 7 3 2 2 2 7" xfId="415"/>
    <cellStyle name="Normal 7 3 2 2 3" xfId="416"/>
    <cellStyle name="Normal 7 3 2 2 4" xfId="417"/>
    <cellStyle name="Normal 7 3 2 2 5" xfId="418"/>
    <cellStyle name="Normal 7 3 2 2 6" xfId="419"/>
    <cellStyle name="Normal 7 3 2 2 7" xfId="420"/>
    <cellStyle name="Normal 7 3 2 2 8" xfId="421"/>
    <cellStyle name="Normal 7 3 2 3" xfId="422"/>
    <cellStyle name="Normal 7 3 2 3 2" xfId="423"/>
    <cellStyle name="Normal 7 3 2 3 3" xfId="424"/>
    <cellStyle name="Normal 7 3 2 3 4" xfId="425"/>
    <cellStyle name="Normal 7 3 2 3 5" xfId="426"/>
    <cellStyle name="Normal 7 3 2 3 6" xfId="427"/>
    <cellStyle name="Normal 7 3 2 3 7" xfId="428"/>
    <cellStyle name="Normal 7 3 2 4" xfId="429"/>
    <cellStyle name="Normal 7 3 2 4 2" xfId="430"/>
    <cellStyle name="Normal 7 3 2 4 3" xfId="431"/>
    <cellStyle name="Normal 7 3 2 4 4" xfId="432"/>
    <cellStyle name="Normal 7 3 2 4 5" xfId="433"/>
    <cellStyle name="Normal 7 3 2 4 6" xfId="434"/>
    <cellStyle name="Normal 7 3 2 4 7" xfId="435"/>
    <cellStyle name="Normal 7 3 2 5" xfId="436"/>
    <cellStyle name="Normal 7 3 2 6" xfId="437"/>
    <cellStyle name="Normal 7 3 2 7" xfId="438"/>
    <cellStyle name="Normal 7 3 2 8" xfId="439"/>
    <cellStyle name="Normal 7 3 2 9" xfId="440"/>
    <cellStyle name="Normal 7 3 3" xfId="441"/>
    <cellStyle name="Normal 7 3 4" xfId="442"/>
    <cellStyle name="Normal 7 3 5" xfId="443"/>
    <cellStyle name="Normal 7 3 6" xfId="444"/>
    <cellStyle name="Normal 7 3 7" xfId="445"/>
    <cellStyle name="Normal 7 3 8" xfId="446"/>
    <cellStyle name="Normal 7 4" xfId="447"/>
    <cellStyle name="Normal 7 4 2" xfId="448"/>
    <cellStyle name="Normal 7 4 3" xfId="449"/>
    <cellStyle name="Normal 7 4 4" xfId="450"/>
    <cellStyle name="Normal 7 4 5" xfId="451"/>
    <cellStyle name="Normal 7 4 6" xfId="452"/>
    <cellStyle name="Normal 7 4 7" xfId="453"/>
    <cellStyle name="Normal 7 5" xfId="454"/>
    <cellStyle name="Normal 7 5 2" xfId="455"/>
    <cellStyle name="Normal 7 5 2 2" xfId="456"/>
    <cellStyle name="Normal 7 5 2 3" xfId="457"/>
    <cellStyle name="Normal 7 5 2 4" xfId="458"/>
    <cellStyle name="Normal 7 5 2 5" xfId="459"/>
    <cellStyle name="Normal 7 5 2 6" xfId="460"/>
    <cellStyle name="Normal 7 5 2 7" xfId="461"/>
    <cellStyle name="Normal 7 5 3" xfId="462"/>
    <cellStyle name="Normal 7 5 3 2" xfId="463"/>
    <cellStyle name="Normal 7 5 3 3" xfId="464"/>
    <cellStyle name="Normal 7 5 3 4" xfId="465"/>
    <cellStyle name="Normal 7 5 3 5" xfId="466"/>
    <cellStyle name="Normal 7 5 3 6" xfId="467"/>
    <cellStyle name="Normal 7 5 3 7" xfId="468"/>
    <cellStyle name="Normal 7 5 4" xfId="469"/>
    <cellStyle name="Normal 7 5 5" xfId="470"/>
    <cellStyle name="Normal 7 5 6" xfId="471"/>
    <cellStyle name="Normal 7 5 7" xfId="472"/>
    <cellStyle name="Normal 7 5 8" xfId="473"/>
    <cellStyle name="Normal 7 5 9" xfId="474"/>
    <cellStyle name="Normal 7 6" xfId="475"/>
    <cellStyle name="Normal 7 7" xfId="476"/>
    <cellStyle name="Normal 7 8" xfId="477"/>
    <cellStyle name="Normal 7 9" xfId="478"/>
    <cellStyle name="Normal 7 9 2" xfId="479"/>
    <cellStyle name="Normal 7 9 3" xfId="480"/>
    <cellStyle name="Normal 7 9 4" xfId="481"/>
    <cellStyle name="Normal 7 9 5" xfId="482"/>
    <cellStyle name="Normal 7 9 6" xfId="483"/>
    <cellStyle name="Normal 7 9 7" xfId="484"/>
    <cellStyle name="Normal 8" xfId="485"/>
    <cellStyle name="Normal 8 2" xfId="486"/>
    <cellStyle name="Normal 8 3" xfId="487"/>
    <cellStyle name="Normal 8 4" xfId="488"/>
    <cellStyle name="Normal 9" xfId="489"/>
    <cellStyle name="Normal 9 2" xfId="490"/>
    <cellStyle name="Normal 9 2 2" xfId="491"/>
    <cellStyle name="Normal 9 3" xfId="492"/>
    <cellStyle name="Normal 9 4" xfId="493"/>
    <cellStyle name="Normal 9 5" xfId="494"/>
    <cellStyle name="Percent 2" xfId="495"/>
    <cellStyle name="Percent 2 2" xfId="496"/>
    <cellStyle name="Percent 2 3" xfId="497"/>
    <cellStyle name="Percent 2 4" xfId="498"/>
    <cellStyle name="Style 1" xfId="49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179295</xdr:rowOff>
    </xdr:from>
    <xdr:to>
      <xdr:col>5</xdr:col>
      <xdr:colOff>11206</xdr:colOff>
      <xdr:row>6</xdr:row>
      <xdr:rowOff>179295</xdr:rowOff>
    </xdr:to>
    <xdr:cxnSp macro="">
      <xdr:nvCxnSpPr>
        <xdr:cNvPr id="2" name="Straight Connector 1"/>
        <xdr:cNvCxnSpPr/>
      </xdr:nvCxnSpPr>
      <xdr:spPr>
        <a:xfrm>
          <a:off x="2724150" y="1760445"/>
          <a:ext cx="123040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</xdr:row>
      <xdr:rowOff>0</xdr:rowOff>
    </xdr:from>
    <xdr:to>
      <xdr:col>3</xdr:col>
      <xdr:colOff>23112</xdr:colOff>
      <xdr:row>6</xdr:row>
      <xdr:rowOff>188399</xdr:rowOff>
    </xdr:to>
    <xdr:cxnSp macro="">
      <xdr:nvCxnSpPr>
        <xdr:cNvPr id="3" name="Straight Connector 2"/>
        <xdr:cNvCxnSpPr/>
      </xdr:nvCxnSpPr>
      <xdr:spPr>
        <a:xfrm flipV="1">
          <a:off x="2747262" y="1534225"/>
          <a:ext cx="0" cy="235324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</xdr:row>
      <xdr:rowOff>0</xdr:rowOff>
    </xdr:from>
    <xdr:to>
      <xdr:col>4</xdr:col>
      <xdr:colOff>601265</xdr:colOff>
      <xdr:row>6</xdr:row>
      <xdr:rowOff>187699</xdr:rowOff>
    </xdr:to>
    <xdr:cxnSp macro="">
      <xdr:nvCxnSpPr>
        <xdr:cNvPr id="4" name="Straight Connector 3"/>
        <xdr:cNvCxnSpPr/>
      </xdr:nvCxnSpPr>
      <xdr:spPr>
        <a:xfrm flipV="1">
          <a:off x="3935015" y="1533525"/>
          <a:ext cx="0" cy="235324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</xdr:row>
      <xdr:rowOff>0</xdr:rowOff>
    </xdr:from>
    <xdr:to>
      <xdr:col>3</xdr:col>
      <xdr:colOff>23112</xdr:colOff>
      <xdr:row>6</xdr:row>
      <xdr:rowOff>188399</xdr:rowOff>
    </xdr:to>
    <xdr:cxnSp macro="">
      <xdr:nvCxnSpPr>
        <xdr:cNvPr id="19" name="Straight Connector 18"/>
        <xdr:cNvCxnSpPr/>
      </xdr:nvCxnSpPr>
      <xdr:spPr>
        <a:xfrm flipV="1">
          <a:off x="2747262" y="1534225"/>
          <a:ext cx="0" cy="235324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</xdr:row>
      <xdr:rowOff>0</xdr:rowOff>
    </xdr:from>
    <xdr:to>
      <xdr:col>4</xdr:col>
      <xdr:colOff>601265</xdr:colOff>
      <xdr:row>6</xdr:row>
      <xdr:rowOff>187699</xdr:rowOff>
    </xdr:to>
    <xdr:cxnSp macro="">
      <xdr:nvCxnSpPr>
        <xdr:cNvPr id="20" name="Straight Connector 19"/>
        <xdr:cNvCxnSpPr/>
      </xdr:nvCxnSpPr>
      <xdr:spPr>
        <a:xfrm flipV="1">
          <a:off x="3935015" y="1533525"/>
          <a:ext cx="0" cy="235324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</xdr:row>
      <xdr:rowOff>0</xdr:rowOff>
    </xdr:from>
    <xdr:to>
      <xdr:col>3</xdr:col>
      <xdr:colOff>23112</xdr:colOff>
      <xdr:row>6</xdr:row>
      <xdr:rowOff>188399</xdr:rowOff>
    </xdr:to>
    <xdr:cxnSp macro="">
      <xdr:nvCxnSpPr>
        <xdr:cNvPr id="21" name="Straight Connector 20"/>
        <xdr:cNvCxnSpPr/>
      </xdr:nvCxnSpPr>
      <xdr:spPr>
        <a:xfrm flipV="1">
          <a:off x="2747262" y="1534225"/>
          <a:ext cx="0" cy="235324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</xdr:row>
      <xdr:rowOff>0</xdr:rowOff>
    </xdr:from>
    <xdr:to>
      <xdr:col>4</xdr:col>
      <xdr:colOff>601265</xdr:colOff>
      <xdr:row>6</xdr:row>
      <xdr:rowOff>187699</xdr:rowOff>
    </xdr:to>
    <xdr:cxnSp macro="">
      <xdr:nvCxnSpPr>
        <xdr:cNvPr id="22" name="Straight Connector 21"/>
        <xdr:cNvCxnSpPr/>
      </xdr:nvCxnSpPr>
      <xdr:spPr>
        <a:xfrm flipV="1">
          <a:off x="3935015" y="1533525"/>
          <a:ext cx="0" cy="235324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179295</xdr:rowOff>
    </xdr:from>
    <xdr:to>
      <xdr:col>5</xdr:col>
      <xdr:colOff>11206</xdr:colOff>
      <xdr:row>12</xdr:row>
      <xdr:rowOff>179295</xdr:rowOff>
    </xdr:to>
    <xdr:cxnSp macro="">
      <xdr:nvCxnSpPr>
        <xdr:cNvPr id="152" name="Straight Connector 151"/>
        <xdr:cNvCxnSpPr/>
      </xdr:nvCxnSpPr>
      <xdr:spPr>
        <a:xfrm>
          <a:off x="2667000" y="13783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</xdr:row>
      <xdr:rowOff>0</xdr:rowOff>
    </xdr:from>
    <xdr:to>
      <xdr:col>3</xdr:col>
      <xdr:colOff>23112</xdr:colOff>
      <xdr:row>12</xdr:row>
      <xdr:rowOff>188399</xdr:rowOff>
    </xdr:to>
    <xdr:cxnSp macro="">
      <xdr:nvCxnSpPr>
        <xdr:cNvPr id="153" name="Straight Connector 152"/>
        <xdr:cNvCxnSpPr/>
      </xdr:nvCxnSpPr>
      <xdr:spPr>
        <a:xfrm flipV="1">
          <a:off x="2690112" y="1199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</xdr:row>
      <xdr:rowOff>0</xdr:rowOff>
    </xdr:from>
    <xdr:to>
      <xdr:col>4</xdr:col>
      <xdr:colOff>601265</xdr:colOff>
      <xdr:row>12</xdr:row>
      <xdr:rowOff>187699</xdr:rowOff>
    </xdr:to>
    <xdr:cxnSp macro="">
      <xdr:nvCxnSpPr>
        <xdr:cNvPr id="154" name="Straight Connector 153"/>
        <xdr:cNvCxnSpPr/>
      </xdr:nvCxnSpPr>
      <xdr:spPr>
        <a:xfrm flipV="1">
          <a:off x="3677280" y="11990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</xdr:row>
      <xdr:rowOff>0</xdr:rowOff>
    </xdr:from>
    <xdr:to>
      <xdr:col>3</xdr:col>
      <xdr:colOff>23112</xdr:colOff>
      <xdr:row>12</xdr:row>
      <xdr:rowOff>188399</xdr:rowOff>
    </xdr:to>
    <xdr:cxnSp macro="">
      <xdr:nvCxnSpPr>
        <xdr:cNvPr id="155" name="Straight Connector 154"/>
        <xdr:cNvCxnSpPr/>
      </xdr:nvCxnSpPr>
      <xdr:spPr>
        <a:xfrm flipV="1">
          <a:off x="2690112" y="1199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</xdr:row>
      <xdr:rowOff>0</xdr:rowOff>
    </xdr:from>
    <xdr:to>
      <xdr:col>4</xdr:col>
      <xdr:colOff>601265</xdr:colOff>
      <xdr:row>12</xdr:row>
      <xdr:rowOff>187699</xdr:rowOff>
    </xdr:to>
    <xdr:cxnSp macro="">
      <xdr:nvCxnSpPr>
        <xdr:cNvPr id="156" name="Straight Connector 155"/>
        <xdr:cNvCxnSpPr/>
      </xdr:nvCxnSpPr>
      <xdr:spPr>
        <a:xfrm flipV="1">
          <a:off x="3677280" y="11990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</xdr:row>
      <xdr:rowOff>0</xdr:rowOff>
    </xdr:from>
    <xdr:to>
      <xdr:col>3</xdr:col>
      <xdr:colOff>23112</xdr:colOff>
      <xdr:row>12</xdr:row>
      <xdr:rowOff>188399</xdr:rowOff>
    </xdr:to>
    <xdr:cxnSp macro="">
      <xdr:nvCxnSpPr>
        <xdr:cNvPr id="157" name="Straight Connector 156"/>
        <xdr:cNvCxnSpPr/>
      </xdr:nvCxnSpPr>
      <xdr:spPr>
        <a:xfrm flipV="1">
          <a:off x="2690112" y="1199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</xdr:row>
      <xdr:rowOff>0</xdr:rowOff>
    </xdr:from>
    <xdr:to>
      <xdr:col>4</xdr:col>
      <xdr:colOff>601265</xdr:colOff>
      <xdr:row>12</xdr:row>
      <xdr:rowOff>187699</xdr:rowOff>
    </xdr:to>
    <xdr:cxnSp macro="">
      <xdr:nvCxnSpPr>
        <xdr:cNvPr id="158" name="Straight Connector 157"/>
        <xdr:cNvCxnSpPr/>
      </xdr:nvCxnSpPr>
      <xdr:spPr>
        <a:xfrm flipV="1">
          <a:off x="3677280" y="11990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</xdr:row>
      <xdr:rowOff>179295</xdr:rowOff>
    </xdr:from>
    <xdr:to>
      <xdr:col>5</xdr:col>
      <xdr:colOff>11206</xdr:colOff>
      <xdr:row>18</xdr:row>
      <xdr:rowOff>179295</xdr:rowOff>
    </xdr:to>
    <xdr:cxnSp macro="">
      <xdr:nvCxnSpPr>
        <xdr:cNvPr id="159" name="Straight Connector 158"/>
        <xdr:cNvCxnSpPr/>
      </xdr:nvCxnSpPr>
      <xdr:spPr>
        <a:xfrm>
          <a:off x="2667000" y="19498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18</xdr:row>
      <xdr:rowOff>0</xdr:rowOff>
    </xdr:from>
    <xdr:to>
      <xdr:col>3</xdr:col>
      <xdr:colOff>23112</xdr:colOff>
      <xdr:row>18</xdr:row>
      <xdr:rowOff>188399</xdr:rowOff>
    </xdr:to>
    <xdr:cxnSp macro="">
      <xdr:nvCxnSpPr>
        <xdr:cNvPr id="160" name="Straight Connector 159"/>
        <xdr:cNvCxnSpPr/>
      </xdr:nvCxnSpPr>
      <xdr:spPr>
        <a:xfrm flipV="1">
          <a:off x="2690112" y="1770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18</xdr:row>
      <xdr:rowOff>0</xdr:rowOff>
    </xdr:from>
    <xdr:to>
      <xdr:col>4</xdr:col>
      <xdr:colOff>601265</xdr:colOff>
      <xdr:row>18</xdr:row>
      <xdr:rowOff>187699</xdr:rowOff>
    </xdr:to>
    <xdr:cxnSp macro="">
      <xdr:nvCxnSpPr>
        <xdr:cNvPr id="161" name="Straight Connector 160"/>
        <xdr:cNvCxnSpPr/>
      </xdr:nvCxnSpPr>
      <xdr:spPr>
        <a:xfrm flipV="1">
          <a:off x="3677280" y="1770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18</xdr:row>
      <xdr:rowOff>0</xdr:rowOff>
    </xdr:from>
    <xdr:to>
      <xdr:col>3</xdr:col>
      <xdr:colOff>23112</xdr:colOff>
      <xdr:row>18</xdr:row>
      <xdr:rowOff>188399</xdr:rowOff>
    </xdr:to>
    <xdr:cxnSp macro="">
      <xdr:nvCxnSpPr>
        <xdr:cNvPr id="162" name="Straight Connector 161"/>
        <xdr:cNvCxnSpPr/>
      </xdr:nvCxnSpPr>
      <xdr:spPr>
        <a:xfrm flipV="1">
          <a:off x="2690112" y="1770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18</xdr:row>
      <xdr:rowOff>0</xdr:rowOff>
    </xdr:from>
    <xdr:to>
      <xdr:col>4</xdr:col>
      <xdr:colOff>601265</xdr:colOff>
      <xdr:row>18</xdr:row>
      <xdr:rowOff>187699</xdr:rowOff>
    </xdr:to>
    <xdr:cxnSp macro="">
      <xdr:nvCxnSpPr>
        <xdr:cNvPr id="163" name="Straight Connector 162"/>
        <xdr:cNvCxnSpPr/>
      </xdr:nvCxnSpPr>
      <xdr:spPr>
        <a:xfrm flipV="1">
          <a:off x="3677280" y="1770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18</xdr:row>
      <xdr:rowOff>0</xdr:rowOff>
    </xdr:from>
    <xdr:to>
      <xdr:col>3</xdr:col>
      <xdr:colOff>23112</xdr:colOff>
      <xdr:row>18</xdr:row>
      <xdr:rowOff>188399</xdr:rowOff>
    </xdr:to>
    <xdr:cxnSp macro="">
      <xdr:nvCxnSpPr>
        <xdr:cNvPr id="164" name="Straight Connector 163"/>
        <xdr:cNvCxnSpPr/>
      </xdr:nvCxnSpPr>
      <xdr:spPr>
        <a:xfrm flipV="1">
          <a:off x="2690112" y="1770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18</xdr:row>
      <xdr:rowOff>0</xdr:rowOff>
    </xdr:from>
    <xdr:to>
      <xdr:col>4</xdr:col>
      <xdr:colOff>601265</xdr:colOff>
      <xdr:row>18</xdr:row>
      <xdr:rowOff>187699</xdr:rowOff>
    </xdr:to>
    <xdr:cxnSp macro="">
      <xdr:nvCxnSpPr>
        <xdr:cNvPr id="165" name="Straight Connector 164"/>
        <xdr:cNvCxnSpPr/>
      </xdr:nvCxnSpPr>
      <xdr:spPr>
        <a:xfrm flipV="1">
          <a:off x="3677280" y="1770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</xdr:row>
      <xdr:rowOff>179295</xdr:rowOff>
    </xdr:from>
    <xdr:to>
      <xdr:col>5</xdr:col>
      <xdr:colOff>11206</xdr:colOff>
      <xdr:row>24</xdr:row>
      <xdr:rowOff>179295</xdr:rowOff>
    </xdr:to>
    <xdr:cxnSp macro="">
      <xdr:nvCxnSpPr>
        <xdr:cNvPr id="166" name="Straight Connector 165"/>
        <xdr:cNvCxnSpPr/>
      </xdr:nvCxnSpPr>
      <xdr:spPr>
        <a:xfrm>
          <a:off x="2667000" y="25213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24</xdr:row>
      <xdr:rowOff>0</xdr:rowOff>
    </xdr:from>
    <xdr:to>
      <xdr:col>3</xdr:col>
      <xdr:colOff>23112</xdr:colOff>
      <xdr:row>24</xdr:row>
      <xdr:rowOff>188399</xdr:rowOff>
    </xdr:to>
    <xdr:cxnSp macro="">
      <xdr:nvCxnSpPr>
        <xdr:cNvPr id="167" name="Straight Connector 166"/>
        <xdr:cNvCxnSpPr/>
      </xdr:nvCxnSpPr>
      <xdr:spPr>
        <a:xfrm flipV="1">
          <a:off x="2690112" y="2342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24</xdr:row>
      <xdr:rowOff>0</xdr:rowOff>
    </xdr:from>
    <xdr:to>
      <xdr:col>4</xdr:col>
      <xdr:colOff>601265</xdr:colOff>
      <xdr:row>24</xdr:row>
      <xdr:rowOff>187699</xdr:rowOff>
    </xdr:to>
    <xdr:cxnSp macro="">
      <xdr:nvCxnSpPr>
        <xdr:cNvPr id="168" name="Straight Connector 167"/>
        <xdr:cNvCxnSpPr/>
      </xdr:nvCxnSpPr>
      <xdr:spPr>
        <a:xfrm flipV="1">
          <a:off x="3677280" y="23420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24</xdr:row>
      <xdr:rowOff>0</xdr:rowOff>
    </xdr:from>
    <xdr:to>
      <xdr:col>3</xdr:col>
      <xdr:colOff>23112</xdr:colOff>
      <xdr:row>24</xdr:row>
      <xdr:rowOff>188399</xdr:rowOff>
    </xdr:to>
    <xdr:cxnSp macro="">
      <xdr:nvCxnSpPr>
        <xdr:cNvPr id="169" name="Straight Connector 168"/>
        <xdr:cNvCxnSpPr/>
      </xdr:nvCxnSpPr>
      <xdr:spPr>
        <a:xfrm flipV="1">
          <a:off x="2690112" y="2342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24</xdr:row>
      <xdr:rowOff>0</xdr:rowOff>
    </xdr:from>
    <xdr:to>
      <xdr:col>4</xdr:col>
      <xdr:colOff>601265</xdr:colOff>
      <xdr:row>24</xdr:row>
      <xdr:rowOff>187699</xdr:rowOff>
    </xdr:to>
    <xdr:cxnSp macro="">
      <xdr:nvCxnSpPr>
        <xdr:cNvPr id="170" name="Straight Connector 169"/>
        <xdr:cNvCxnSpPr/>
      </xdr:nvCxnSpPr>
      <xdr:spPr>
        <a:xfrm flipV="1">
          <a:off x="3677280" y="23420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24</xdr:row>
      <xdr:rowOff>0</xdr:rowOff>
    </xdr:from>
    <xdr:to>
      <xdr:col>3</xdr:col>
      <xdr:colOff>23112</xdr:colOff>
      <xdr:row>24</xdr:row>
      <xdr:rowOff>188399</xdr:rowOff>
    </xdr:to>
    <xdr:cxnSp macro="">
      <xdr:nvCxnSpPr>
        <xdr:cNvPr id="171" name="Straight Connector 170"/>
        <xdr:cNvCxnSpPr/>
      </xdr:nvCxnSpPr>
      <xdr:spPr>
        <a:xfrm flipV="1">
          <a:off x="2690112" y="2342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24</xdr:row>
      <xdr:rowOff>0</xdr:rowOff>
    </xdr:from>
    <xdr:to>
      <xdr:col>4</xdr:col>
      <xdr:colOff>601265</xdr:colOff>
      <xdr:row>24</xdr:row>
      <xdr:rowOff>187699</xdr:rowOff>
    </xdr:to>
    <xdr:cxnSp macro="">
      <xdr:nvCxnSpPr>
        <xdr:cNvPr id="172" name="Straight Connector 171"/>
        <xdr:cNvCxnSpPr/>
      </xdr:nvCxnSpPr>
      <xdr:spPr>
        <a:xfrm flipV="1">
          <a:off x="3677280" y="23420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36</xdr:row>
      <xdr:rowOff>179295</xdr:rowOff>
    </xdr:from>
    <xdr:to>
      <xdr:col>5</xdr:col>
      <xdr:colOff>11206</xdr:colOff>
      <xdr:row>36</xdr:row>
      <xdr:rowOff>179295</xdr:rowOff>
    </xdr:to>
    <xdr:cxnSp macro="">
      <xdr:nvCxnSpPr>
        <xdr:cNvPr id="173" name="Straight Connector 172"/>
        <xdr:cNvCxnSpPr/>
      </xdr:nvCxnSpPr>
      <xdr:spPr>
        <a:xfrm>
          <a:off x="2667000" y="30928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36</xdr:row>
      <xdr:rowOff>0</xdr:rowOff>
    </xdr:from>
    <xdr:to>
      <xdr:col>3</xdr:col>
      <xdr:colOff>23112</xdr:colOff>
      <xdr:row>36</xdr:row>
      <xdr:rowOff>188399</xdr:rowOff>
    </xdr:to>
    <xdr:cxnSp macro="">
      <xdr:nvCxnSpPr>
        <xdr:cNvPr id="174" name="Straight Connector 173"/>
        <xdr:cNvCxnSpPr/>
      </xdr:nvCxnSpPr>
      <xdr:spPr>
        <a:xfrm flipV="1">
          <a:off x="2690112" y="2913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36</xdr:row>
      <xdr:rowOff>0</xdr:rowOff>
    </xdr:from>
    <xdr:to>
      <xdr:col>4</xdr:col>
      <xdr:colOff>601265</xdr:colOff>
      <xdr:row>36</xdr:row>
      <xdr:rowOff>187699</xdr:rowOff>
    </xdr:to>
    <xdr:cxnSp macro="">
      <xdr:nvCxnSpPr>
        <xdr:cNvPr id="175" name="Straight Connector 174"/>
        <xdr:cNvCxnSpPr/>
      </xdr:nvCxnSpPr>
      <xdr:spPr>
        <a:xfrm flipV="1">
          <a:off x="3677280" y="2913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36</xdr:row>
      <xdr:rowOff>0</xdr:rowOff>
    </xdr:from>
    <xdr:to>
      <xdr:col>3</xdr:col>
      <xdr:colOff>23112</xdr:colOff>
      <xdr:row>36</xdr:row>
      <xdr:rowOff>188399</xdr:rowOff>
    </xdr:to>
    <xdr:cxnSp macro="">
      <xdr:nvCxnSpPr>
        <xdr:cNvPr id="176" name="Straight Connector 175"/>
        <xdr:cNvCxnSpPr/>
      </xdr:nvCxnSpPr>
      <xdr:spPr>
        <a:xfrm flipV="1">
          <a:off x="2690112" y="2913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36</xdr:row>
      <xdr:rowOff>0</xdr:rowOff>
    </xdr:from>
    <xdr:to>
      <xdr:col>4</xdr:col>
      <xdr:colOff>601265</xdr:colOff>
      <xdr:row>36</xdr:row>
      <xdr:rowOff>187699</xdr:rowOff>
    </xdr:to>
    <xdr:cxnSp macro="">
      <xdr:nvCxnSpPr>
        <xdr:cNvPr id="177" name="Straight Connector 176"/>
        <xdr:cNvCxnSpPr/>
      </xdr:nvCxnSpPr>
      <xdr:spPr>
        <a:xfrm flipV="1">
          <a:off x="3677280" y="2913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36</xdr:row>
      <xdr:rowOff>0</xdr:rowOff>
    </xdr:from>
    <xdr:to>
      <xdr:col>3</xdr:col>
      <xdr:colOff>23112</xdr:colOff>
      <xdr:row>36</xdr:row>
      <xdr:rowOff>188399</xdr:rowOff>
    </xdr:to>
    <xdr:cxnSp macro="">
      <xdr:nvCxnSpPr>
        <xdr:cNvPr id="178" name="Straight Connector 177"/>
        <xdr:cNvCxnSpPr/>
      </xdr:nvCxnSpPr>
      <xdr:spPr>
        <a:xfrm flipV="1">
          <a:off x="2690112" y="2913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36</xdr:row>
      <xdr:rowOff>0</xdr:rowOff>
    </xdr:from>
    <xdr:to>
      <xdr:col>4</xdr:col>
      <xdr:colOff>601265</xdr:colOff>
      <xdr:row>36</xdr:row>
      <xdr:rowOff>187699</xdr:rowOff>
    </xdr:to>
    <xdr:cxnSp macro="">
      <xdr:nvCxnSpPr>
        <xdr:cNvPr id="179" name="Straight Connector 178"/>
        <xdr:cNvCxnSpPr/>
      </xdr:nvCxnSpPr>
      <xdr:spPr>
        <a:xfrm flipV="1">
          <a:off x="3677280" y="2913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42</xdr:row>
      <xdr:rowOff>179295</xdr:rowOff>
    </xdr:from>
    <xdr:to>
      <xdr:col>5</xdr:col>
      <xdr:colOff>11206</xdr:colOff>
      <xdr:row>42</xdr:row>
      <xdr:rowOff>179295</xdr:rowOff>
    </xdr:to>
    <xdr:cxnSp macro="">
      <xdr:nvCxnSpPr>
        <xdr:cNvPr id="180" name="Straight Connector 179"/>
        <xdr:cNvCxnSpPr/>
      </xdr:nvCxnSpPr>
      <xdr:spPr>
        <a:xfrm>
          <a:off x="2667000" y="36643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42</xdr:row>
      <xdr:rowOff>0</xdr:rowOff>
    </xdr:from>
    <xdr:to>
      <xdr:col>3</xdr:col>
      <xdr:colOff>23112</xdr:colOff>
      <xdr:row>42</xdr:row>
      <xdr:rowOff>188399</xdr:rowOff>
    </xdr:to>
    <xdr:cxnSp macro="">
      <xdr:nvCxnSpPr>
        <xdr:cNvPr id="181" name="Straight Connector 180"/>
        <xdr:cNvCxnSpPr/>
      </xdr:nvCxnSpPr>
      <xdr:spPr>
        <a:xfrm flipV="1">
          <a:off x="2690112" y="3485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42</xdr:row>
      <xdr:rowOff>0</xdr:rowOff>
    </xdr:from>
    <xdr:to>
      <xdr:col>4</xdr:col>
      <xdr:colOff>601265</xdr:colOff>
      <xdr:row>42</xdr:row>
      <xdr:rowOff>187699</xdr:rowOff>
    </xdr:to>
    <xdr:cxnSp macro="">
      <xdr:nvCxnSpPr>
        <xdr:cNvPr id="182" name="Straight Connector 181"/>
        <xdr:cNvCxnSpPr/>
      </xdr:nvCxnSpPr>
      <xdr:spPr>
        <a:xfrm flipV="1">
          <a:off x="3677280" y="34850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42</xdr:row>
      <xdr:rowOff>0</xdr:rowOff>
    </xdr:from>
    <xdr:to>
      <xdr:col>3</xdr:col>
      <xdr:colOff>23112</xdr:colOff>
      <xdr:row>42</xdr:row>
      <xdr:rowOff>188399</xdr:rowOff>
    </xdr:to>
    <xdr:cxnSp macro="">
      <xdr:nvCxnSpPr>
        <xdr:cNvPr id="183" name="Straight Connector 182"/>
        <xdr:cNvCxnSpPr/>
      </xdr:nvCxnSpPr>
      <xdr:spPr>
        <a:xfrm flipV="1">
          <a:off x="2690112" y="3485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42</xdr:row>
      <xdr:rowOff>0</xdr:rowOff>
    </xdr:from>
    <xdr:to>
      <xdr:col>4</xdr:col>
      <xdr:colOff>601265</xdr:colOff>
      <xdr:row>42</xdr:row>
      <xdr:rowOff>187699</xdr:rowOff>
    </xdr:to>
    <xdr:cxnSp macro="">
      <xdr:nvCxnSpPr>
        <xdr:cNvPr id="184" name="Straight Connector 183"/>
        <xdr:cNvCxnSpPr/>
      </xdr:nvCxnSpPr>
      <xdr:spPr>
        <a:xfrm flipV="1">
          <a:off x="3677280" y="34850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42</xdr:row>
      <xdr:rowOff>0</xdr:rowOff>
    </xdr:from>
    <xdr:to>
      <xdr:col>3</xdr:col>
      <xdr:colOff>23112</xdr:colOff>
      <xdr:row>42</xdr:row>
      <xdr:rowOff>188399</xdr:rowOff>
    </xdr:to>
    <xdr:cxnSp macro="">
      <xdr:nvCxnSpPr>
        <xdr:cNvPr id="185" name="Straight Connector 184"/>
        <xdr:cNvCxnSpPr/>
      </xdr:nvCxnSpPr>
      <xdr:spPr>
        <a:xfrm flipV="1">
          <a:off x="2690112" y="3485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42</xdr:row>
      <xdr:rowOff>0</xdr:rowOff>
    </xdr:from>
    <xdr:to>
      <xdr:col>4</xdr:col>
      <xdr:colOff>601265</xdr:colOff>
      <xdr:row>42</xdr:row>
      <xdr:rowOff>187699</xdr:rowOff>
    </xdr:to>
    <xdr:cxnSp macro="">
      <xdr:nvCxnSpPr>
        <xdr:cNvPr id="186" name="Straight Connector 185"/>
        <xdr:cNvCxnSpPr/>
      </xdr:nvCxnSpPr>
      <xdr:spPr>
        <a:xfrm flipV="1">
          <a:off x="3677280" y="34850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30</xdr:row>
      <xdr:rowOff>179295</xdr:rowOff>
    </xdr:from>
    <xdr:to>
      <xdr:col>5</xdr:col>
      <xdr:colOff>11206</xdr:colOff>
      <xdr:row>30</xdr:row>
      <xdr:rowOff>179295</xdr:rowOff>
    </xdr:to>
    <xdr:cxnSp macro="">
      <xdr:nvCxnSpPr>
        <xdr:cNvPr id="194" name="Straight Connector 193"/>
        <xdr:cNvCxnSpPr/>
      </xdr:nvCxnSpPr>
      <xdr:spPr>
        <a:xfrm>
          <a:off x="2667000" y="30928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30</xdr:row>
      <xdr:rowOff>0</xdr:rowOff>
    </xdr:from>
    <xdr:to>
      <xdr:col>3</xdr:col>
      <xdr:colOff>23112</xdr:colOff>
      <xdr:row>30</xdr:row>
      <xdr:rowOff>188399</xdr:rowOff>
    </xdr:to>
    <xdr:cxnSp macro="">
      <xdr:nvCxnSpPr>
        <xdr:cNvPr id="195" name="Straight Connector 194"/>
        <xdr:cNvCxnSpPr/>
      </xdr:nvCxnSpPr>
      <xdr:spPr>
        <a:xfrm flipV="1">
          <a:off x="2690112" y="2913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30</xdr:row>
      <xdr:rowOff>0</xdr:rowOff>
    </xdr:from>
    <xdr:to>
      <xdr:col>4</xdr:col>
      <xdr:colOff>601265</xdr:colOff>
      <xdr:row>30</xdr:row>
      <xdr:rowOff>187699</xdr:rowOff>
    </xdr:to>
    <xdr:cxnSp macro="">
      <xdr:nvCxnSpPr>
        <xdr:cNvPr id="196" name="Straight Connector 195"/>
        <xdr:cNvCxnSpPr/>
      </xdr:nvCxnSpPr>
      <xdr:spPr>
        <a:xfrm flipV="1">
          <a:off x="3677280" y="2913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30</xdr:row>
      <xdr:rowOff>0</xdr:rowOff>
    </xdr:from>
    <xdr:to>
      <xdr:col>3</xdr:col>
      <xdr:colOff>23112</xdr:colOff>
      <xdr:row>30</xdr:row>
      <xdr:rowOff>188399</xdr:rowOff>
    </xdr:to>
    <xdr:cxnSp macro="">
      <xdr:nvCxnSpPr>
        <xdr:cNvPr id="197" name="Straight Connector 196"/>
        <xdr:cNvCxnSpPr/>
      </xdr:nvCxnSpPr>
      <xdr:spPr>
        <a:xfrm flipV="1">
          <a:off x="2690112" y="2913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30</xdr:row>
      <xdr:rowOff>0</xdr:rowOff>
    </xdr:from>
    <xdr:to>
      <xdr:col>4</xdr:col>
      <xdr:colOff>601265</xdr:colOff>
      <xdr:row>30</xdr:row>
      <xdr:rowOff>187699</xdr:rowOff>
    </xdr:to>
    <xdr:cxnSp macro="">
      <xdr:nvCxnSpPr>
        <xdr:cNvPr id="198" name="Straight Connector 197"/>
        <xdr:cNvCxnSpPr/>
      </xdr:nvCxnSpPr>
      <xdr:spPr>
        <a:xfrm flipV="1">
          <a:off x="3677280" y="2913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30</xdr:row>
      <xdr:rowOff>0</xdr:rowOff>
    </xdr:from>
    <xdr:to>
      <xdr:col>3</xdr:col>
      <xdr:colOff>23112</xdr:colOff>
      <xdr:row>30</xdr:row>
      <xdr:rowOff>188399</xdr:rowOff>
    </xdr:to>
    <xdr:cxnSp macro="">
      <xdr:nvCxnSpPr>
        <xdr:cNvPr id="199" name="Straight Connector 198"/>
        <xdr:cNvCxnSpPr/>
      </xdr:nvCxnSpPr>
      <xdr:spPr>
        <a:xfrm flipV="1">
          <a:off x="2690112" y="2913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30</xdr:row>
      <xdr:rowOff>0</xdr:rowOff>
    </xdr:from>
    <xdr:to>
      <xdr:col>4</xdr:col>
      <xdr:colOff>601265</xdr:colOff>
      <xdr:row>30</xdr:row>
      <xdr:rowOff>187699</xdr:rowOff>
    </xdr:to>
    <xdr:cxnSp macro="">
      <xdr:nvCxnSpPr>
        <xdr:cNvPr id="200" name="Straight Connector 199"/>
        <xdr:cNvCxnSpPr/>
      </xdr:nvCxnSpPr>
      <xdr:spPr>
        <a:xfrm flipV="1">
          <a:off x="3677280" y="2913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65</xdr:row>
      <xdr:rowOff>179295</xdr:rowOff>
    </xdr:from>
    <xdr:to>
      <xdr:col>5</xdr:col>
      <xdr:colOff>11206</xdr:colOff>
      <xdr:row>65</xdr:row>
      <xdr:rowOff>179295</xdr:rowOff>
    </xdr:to>
    <xdr:cxnSp macro="">
      <xdr:nvCxnSpPr>
        <xdr:cNvPr id="121" name="Straight Connector 120"/>
        <xdr:cNvCxnSpPr/>
      </xdr:nvCxnSpPr>
      <xdr:spPr>
        <a:xfrm>
          <a:off x="2667000" y="110938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65</xdr:row>
      <xdr:rowOff>0</xdr:rowOff>
    </xdr:from>
    <xdr:to>
      <xdr:col>3</xdr:col>
      <xdr:colOff>23112</xdr:colOff>
      <xdr:row>65</xdr:row>
      <xdr:rowOff>188399</xdr:rowOff>
    </xdr:to>
    <xdr:cxnSp macro="">
      <xdr:nvCxnSpPr>
        <xdr:cNvPr id="122" name="Straight Connector 121"/>
        <xdr:cNvCxnSpPr/>
      </xdr:nvCxnSpPr>
      <xdr:spPr>
        <a:xfrm flipV="1">
          <a:off x="2690112" y="10914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65</xdr:row>
      <xdr:rowOff>0</xdr:rowOff>
    </xdr:from>
    <xdr:to>
      <xdr:col>4</xdr:col>
      <xdr:colOff>601265</xdr:colOff>
      <xdr:row>65</xdr:row>
      <xdr:rowOff>187699</xdr:rowOff>
    </xdr:to>
    <xdr:cxnSp macro="">
      <xdr:nvCxnSpPr>
        <xdr:cNvPr id="123" name="Straight Connector 122"/>
        <xdr:cNvCxnSpPr/>
      </xdr:nvCxnSpPr>
      <xdr:spPr>
        <a:xfrm flipV="1">
          <a:off x="3677280" y="10914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65</xdr:row>
      <xdr:rowOff>0</xdr:rowOff>
    </xdr:from>
    <xdr:to>
      <xdr:col>3</xdr:col>
      <xdr:colOff>23112</xdr:colOff>
      <xdr:row>65</xdr:row>
      <xdr:rowOff>188399</xdr:rowOff>
    </xdr:to>
    <xdr:cxnSp macro="">
      <xdr:nvCxnSpPr>
        <xdr:cNvPr id="124" name="Straight Connector 123"/>
        <xdr:cNvCxnSpPr/>
      </xdr:nvCxnSpPr>
      <xdr:spPr>
        <a:xfrm flipV="1">
          <a:off x="2690112" y="10914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65</xdr:row>
      <xdr:rowOff>0</xdr:rowOff>
    </xdr:from>
    <xdr:to>
      <xdr:col>4</xdr:col>
      <xdr:colOff>601265</xdr:colOff>
      <xdr:row>65</xdr:row>
      <xdr:rowOff>187699</xdr:rowOff>
    </xdr:to>
    <xdr:cxnSp macro="">
      <xdr:nvCxnSpPr>
        <xdr:cNvPr id="125" name="Straight Connector 124"/>
        <xdr:cNvCxnSpPr/>
      </xdr:nvCxnSpPr>
      <xdr:spPr>
        <a:xfrm flipV="1">
          <a:off x="3677280" y="10914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65</xdr:row>
      <xdr:rowOff>0</xdr:rowOff>
    </xdr:from>
    <xdr:to>
      <xdr:col>3</xdr:col>
      <xdr:colOff>23112</xdr:colOff>
      <xdr:row>65</xdr:row>
      <xdr:rowOff>188399</xdr:rowOff>
    </xdr:to>
    <xdr:cxnSp macro="">
      <xdr:nvCxnSpPr>
        <xdr:cNvPr id="126" name="Straight Connector 125"/>
        <xdr:cNvCxnSpPr/>
      </xdr:nvCxnSpPr>
      <xdr:spPr>
        <a:xfrm flipV="1">
          <a:off x="2690112" y="10914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65</xdr:row>
      <xdr:rowOff>0</xdr:rowOff>
    </xdr:from>
    <xdr:to>
      <xdr:col>4</xdr:col>
      <xdr:colOff>601265</xdr:colOff>
      <xdr:row>65</xdr:row>
      <xdr:rowOff>187699</xdr:rowOff>
    </xdr:to>
    <xdr:cxnSp macro="">
      <xdr:nvCxnSpPr>
        <xdr:cNvPr id="127" name="Straight Connector 126"/>
        <xdr:cNvCxnSpPr/>
      </xdr:nvCxnSpPr>
      <xdr:spPr>
        <a:xfrm flipV="1">
          <a:off x="3677280" y="10914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62</xdr:row>
      <xdr:rowOff>179295</xdr:rowOff>
    </xdr:from>
    <xdr:to>
      <xdr:col>5</xdr:col>
      <xdr:colOff>11206</xdr:colOff>
      <xdr:row>62</xdr:row>
      <xdr:rowOff>179295</xdr:rowOff>
    </xdr:to>
    <xdr:cxnSp macro="">
      <xdr:nvCxnSpPr>
        <xdr:cNvPr id="128" name="Straight Connector 127"/>
        <xdr:cNvCxnSpPr/>
      </xdr:nvCxnSpPr>
      <xdr:spPr>
        <a:xfrm>
          <a:off x="2667000" y="110938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62</xdr:row>
      <xdr:rowOff>0</xdr:rowOff>
    </xdr:from>
    <xdr:to>
      <xdr:col>3</xdr:col>
      <xdr:colOff>23112</xdr:colOff>
      <xdr:row>62</xdr:row>
      <xdr:rowOff>188399</xdr:rowOff>
    </xdr:to>
    <xdr:cxnSp macro="">
      <xdr:nvCxnSpPr>
        <xdr:cNvPr id="129" name="Straight Connector 128"/>
        <xdr:cNvCxnSpPr/>
      </xdr:nvCxnSpPr>
      <xdr:spPr>
        <a:xfrm flipV="1">
          <a:off x="2690112" y="10914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62</xdr:row>
      <xdr:rowOff>0</xdr:rowOff>
    </xdr:from>
    <xdr:to>
      <xdr:col>4</xdr:col>
      <xdr:colOff>601265</xdr:colOff>
      <xdr:row>62</xdr:row>
      <xdr:rowOff>187699</xdr:rowOff>
    </xdr:to>
    <xdr:cxnSp macro="">
      <xdr:nvCxnSpPr>
        <xdr:cNvPr id="130" name="Straight Connector 129"/>
        <xdr:cNvCxnSpPr/>
      </xdr:nvCxnSpPr>
      <xdr:spPr>
        <a:xfrm flipV="1">
          <a:off x="3677280" y="10914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62</xdr:row>
      <xdr:rowOff>0</xdr:rowOff>
    </xdr:from>
    <xdr:to>
      <xdr:col>3</xdr:col>
      <xdr:colOff>23112</xdr:colOff>
      <xdr:row>62</xdr:row>
      <xdr:rowOff>188399</xdr:rowOff>
    </xdr:to>
    <xdr:cxnSp macro="">
      <xdr:nvCxnSpPr>
        <xdr:cNvPr id="131" name="Straight Connector 130"/>
        <xdr:cNvCxnSpPr/>
      </xdr:nvCxnSpPr>
      <xdr:spPr>
        <a:xfrm flipV="1">
          <a:off x="2690112" y="10914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62</xdr:row>
      <xdr:rowOff>0</xdr:rowOff>
    </xdr:from>
    <xdr:to>
      <xdr:col>4</xdr:col>
      <xdr:colOff>601265</xdr:colOff>
      <xdr:row>62</xdr:row>
      <xdr:rowOff>187699</xdr:rowOff>
    </xdr:to>
    <xdr:cxnSp macro="">
      <xdr:nvCxnSpPr>
        <xdr:cNvPr id="132" name="Straight Connector 131"/>
        <xdr:cNvCxnSpPr/>
      </xdr:nvCxnSpPr>
      <xdr:spPr>
        <a:xfrm flipV="1">
          <a:off x="3677280" y="10914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62</xdr:row>
      <xdr:rowOff>0</xdr:rowOff>
    </xdr:from>
    <xdr:to>
      <xdr:col>3</xdr:col>
      <xdr:colOff>23112</xdr:colOff>
      <xdr:row>62</xdr:row>
      <xdr:rowOff>188399</xdr:rowOff>
    </xdr:to>
    <xdr:cxnSp macro="">
      <xdr:nvCxnSpPr>
        <xdr:cNvPr id="133" name="Straight Connector 132"/>
        <xdr:cNvCxnSpPr/>
      </xdr:nvCxnSpPr>
      <xdr:spPr>
        <a:xfrm flipV="1">
          <a:off x="2690112" y="10914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62</xdr:row>
      <xdr:rowOff>0</xdr:rowOff>
    </xdr:from>
    <xdr:to>
      <xdr:col>4</xdr:col>
      <xdr:colOff>601265</xdr:colOff>
      <xdr:row>62</xdr:row>
      <xdr:rowOff>187699</xdr:rowOff>
    </xdr:to>
    <xdr:cxnSp macro="">
      <xdr:nvCxnSpPr>
        <xdr:cNvPr id="134" name="Straight Connector 133"/>
        <xdr:cNvCxnSpPr/>
      </xdr:nvCxnSpPr>
      <xdr:spPr>
        <a:xfrm flipV="1">
          <a:off x="3677280" y="10914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59</xdr:row>
      <xdr:rowOff>179295</xdr:rowOff>
    </xdr:from>
    <xdr:to>
      <xdr:col>5</xdr:col>
      <xdr:colOff>11206</xdr:colOff>
      <xdr:row>59</xdr:row>
      <xdr:rowOff>179295</xdr:rowOff>
    </xdr:to>
    <xdr:cxnSp macro="">
      <xdr:nvCxnSpPr>
        <xdr:cNvPr id="135" name="Straight Connector 134"/>
        <xdr:cNvCxnSpPr/>
      </xdr:nvCxnSpPr>
      <xdr:spPr>
        <a:xfrm>
          <a:off x="2667000" y="122368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56</xdr:row>
      <xdr:rowOff>179295</xdr:rowOff>
    </xdr:from>
    <xdr:to>
      <xdr:col>5</xdr:col>
      <xdr:colOff>11206</xdr:colOff>
      <xdr:row>56</xdr:row>
      <xdr:rowOff>179295</xdr:rowOff>
    </xdr:to>
    <xdr:cxnSp macro="">
      <xdr:nvCxnSpPr>
        <xdr:cNvPr id="146" name="Straight Connector 145"/>
        <xdr:cNvCxnSpPr/>
      </xdr:nvCxnSpPr>
      <xdr:spPr>
        <a:xfrm>
          <a:off x="2667000" y="133798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</xdr:row>
      <xdr:rowOff>179295</xdr:rowOff>
    </xdr:from>
    <xdr:to>
      <xdr:col>5</xdr:col>
      <xdr:colOff>11206</xdr:colOff>
      <xdr:row>50</xdr:row>
      <xdr:rowOff>179295</xdr:rowOff>
    </xdr:to>
    <xdr:cxnSp macro="">
      <xdr:nvCxnSpPr>
        <xdr:cNvPr id="273" name="Straight Connector 272"/>
        <xdr:cNvCxnSpPr/>
      </xdr:nvCxnSpPr>
      <xdr:spPr>
        <a:xfrm>
          <a:off x="2667000" y="145228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50</xdr:row>
      <xdr:rowOff>0</xdr:rowOff>
    </xdr:from>
    <xdr:to>
      <xdr:col>3</xdr:col>
      <xdr:colOff>23112</xdr:colOff>
      <xdr:row>50</xdr:row>
      <xdr:rowOff>188399</xdr:rowOff>
    </xdr:to>
    <xdr:cxnSp macro="">
      <xdr:nvCxnSpPr>
        <xdr:cNvPr id="274" name="Straight Connector 273"/>
        <xdr:cNvCxnSpPr/>
      </xdr:nvCxnSpPr>
      <xdr:spPr>
        <a:xfrm flipV="1">
          <a:off x="2690112" y="14343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50</xdr:row>
      <xdr:rowOff>0</xdr:rowOff>
    </xdr:from>
    <xdr:to>
      <xdr:col>3</xdr:col>
      <xdr:colOff>23112</xdr:colOff>
      <xdr:row>50</xdr:row>
      <xdr:rowOff>188399</xdr:rowOff>
    </xdr:to>
    <xdr:cxnSp macro="">
      <xdr:nvCxnSpPr>
        <xdr:cNvPr id="275" name="Straight Connector 274"/>
        <xdr:cNvCxnSpPr/>
      </xdr:nvCxnSpPr>
      <xdr:spPr>
        <a:xfrm flipV="1">
          <a:off x="2690112" y="14343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50</xdr:row>
      <xdr:rowOff>0</xdr:rowOff>
    </xdr:from>
    <xdr:to>
      <xdr:col>3</xdr:col>
      <xdr:colOff>23112</xdr:colOff>
      <xdr:row>50</xdr:row>
      <xdr:rowOff>188399</xdr:rowOff>
    </xdr:to>
    <xdr:cxnSp macro="">
      <xdr:nvCxnSpPr>
        <xdr:cNvPr id="276" name="Straight Connector 275"/>
        <xdr:cNvCxnSpPr/>
      </xdr:nvCxnSpPr>
      <xdr:spPr>
        <a:xfrm flipV="1">
          <a:off x="2690112" y="14343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</xdr:row>
      <xdr:rowOff>179295</xdr:rowOff>
    </xdr:from>
    <xdr:to>
      <xdr:col>5</xdr:col>
      <xdr:colOff>11206</xdr:colOff>
      <xdr:row>50</xdr:row>
      <xdr:rowOff>179295</xdr:rowOff>
    </xdr:to>
    <xdr:cxnSp macro="">
      <xdr:nvCxnSpPr>
        <xdr:cNvPr id="277" name="Straight Connector 276"/>
        <xdr:cNvCxnSpPr/>
      </xdr:nvCxnSpPr>
      <xdr:spPr>
        <a:xfrm>
          <a:off x="2667000" y="145228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50</xdr:row>
      <xdr:rowOff>0</xdr:rowOff>
    </xdr:from>
    <xdr:to>
      <xdr:col>3</xdr:col>
      <xdr:colOff>23112</xdr:colOff>
      <xdr:row>50</xdr:row>
      <xdr:rowOff>188399</xdr:rowOff>
    </xdr:to>
    <xdr:cxnSp macro="">
      <xdr:nvCxnSpPr>
        <xdr:cNvPr id="278" name="Straight Connector 277"/>
        <xdr:cNvCxnSpPr/>
      </xdr:nvCxnSpPr>
      <xdr:spPr>
        <a:xfrm flipV="1">
          <a:off x="2690112" y="14343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50</xdr:row>
      <xdr:rowOff>0</xdr:rowOff>
    </xdr:from>
    <xdr:to>
      <xdr:col>4</xdr:col>
      <xdr:colOff>601265</xdr:colOff>
      <xdr:row>50</xdr:row>
      <xdr:rowOff>187699</xdr:rowOff>
    </xdr:to>
    <xdr:cxnSp macro="">
      <xdr:nvCxnSpPr>
        <xdr:cNvPr id="279" name="Straight Connector 278"/>
        <xdr:cNvCxnSpPr/>
      </xdr:nvCxnSpPr>
      <xdr:spPr>
        <a:xfrm flipV="1">
          <a:off x="3677280" y="14343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50</xdr:row>
      <xdr:rowOff>0</xdr:rowOff>
    </xdr:from>
    <xdr:to>
      <xdr:col>3</xdr:col>
      <xdr:colOff>23112</xdr:colOff>
      <xdr:row>50</xdr:row>
      <xdr:rowOff>188399</xdr:rowOff>
    </xdr:to>
    <xdr:cxnSp macro="">
      <xdr:nvCxnSpPr>
        <xdr:cNvPr id="280" name="Straight Connector 279"/>
        <xdr:cNvCxnSpPr/>
      </xdr:nvCxnSpPr>
      <xdr:spPr>
        <a:xfrm flipV="1">
          <a:off x="2690112" y="14343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50</xdr:row>
      <xdr:rowOff>0</xdr:rowOff>
    </xdr:from>
    <xdr:to>
      <xdr:col>4</xdr:col>
      <xdr:colOff>601265</xdr:colOff>
      <xdr:row>50</xdr:row>
      <xdr:rowOff>187699</xdr:rowOff>
    </xdr:to>
    <xdr:cxnSp macro="">
      <xdr:nvCxnSpPr>
        <xdr:cNvPr id="281" name="Straight Connector 280"/>
        <xdr:cNvCxnSpPr/>
      </xdr:nvCxnSpPr>
      <xdr:spPr>
        <a:xfrm flipV="1">
          <a:off x="3677280" y="14343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50</xdr:row>
      <xdr:rowOff>0</xdr:rowOff>
    </xdr:from>
    <xdr:to>
      <xdr:col>3</xdr:col>
      <xdr:colOff>23112</xdr:colOff>
      <xdr:row>50</xdr:row>
      <xdr:rowOff>188399</xdr:rowOff>
    </xdr:to>
    <xdr:cxnSp macro="">
      <xdr:nvCxnSpPr>
        <xdr:cNvPr id="282" name="Straight Connector 281"/>
        <xdr:cNvCxnSpPr/>
      </xdr:nvCxnSpPr>
      <xdr:spPr>
        <a:xfrm flipV="1">
          <a:off x="2690112" y="14343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50</xdr:row>
      <xdr:rowOff>0</xdr:rowOff>
    </xdr:from>
    <xdr:to>
      <xdr:col>4</xdr:col>
      <xdr:colOff>601265</xdr:colOff>
      <xdr:row>50</xdr:row>
      <xdr:rowOff>187699</xdr:rowOff>
    </xdr:to>
    <xdr:cxnSp macro="">
      <xdr:nvCxnSpPr>
        <xdr:cNvPr id="283" name="Straight Connector 282"/>
        <xdr:cNvCxnSpPr/>
      </xdr:nvCxnSpPr>
      <xdr:spPr>
        <a:xfrm flipV="1">
          <a:off x="3677280" y="14343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47</xdr:row>
      <xdr:rowOff>179295</xdr:rowOff>
    </xdr:from>
    <xdr:to>
      <xdr:col>5</xdr:col>
      <xdr:colOff>11206</xdr:colOff>
      <xdr:row>47</xdr:row>
      <xdr:rowOff>179295</xdr:rowOff>
    </xdr:to>
    <xdr:cxnSp macro="">
      <xdr:nvCxnSpPr>
        <xdr:cNvPr id="284" name="Straight Connector 283"/>
        <xdr:cNvCxnSpPr/>
      </xdr:nvCxnSpPr>
      <xdr:spPr>
        <a:xfrm>
          <a:off x="2667000" y="150943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47</xdr:row>
      <xdr:rowOff>0</xdr:rowOff>
    </xdr:from>
    <xdr:to>
      <xdr:col>3</xdr:col>
      <xdr:colOff>23112</xdr:colOff>
      <xdr:row>47</xdr:row>
      <xdr:rowOff>188399</xdr:rowOff>
    </xdr:to>
    <xdr:cxnSp macro="">
      <xdr:nvCxnSpPr>
        <xdr:cNvPr id="285" name="Straight Connector 284"/>
        <xdr:cNvCxnSpPr/>
      </xdr:nvCxnSpPr>
      <xdr:spPr>
        <a:xfrm flipV="1">
          <a:off x="2690112" y="14915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47</xdr:row>
      <xdr:rowOff>0</xdr:rowOff>
    </xdr:from>
    <xdr:to>
      <xdr:col>3</xdr:col>
      <xdr:colOff>23112</xdr:colOff>
      <xdr:row>47</xdr:row>
      <xdr:rowOff>188399</xdr:rowOff>
    </xdr:to>
    <xdr:cxnSp macro="">
      <xdr:nvCxnSpPr>
        <xdr:cNvPr id="286" name="Straight Connector 285"/>
        <xdr:cNvCxnSpPr/>
      </xdr:nvCxnSpPr>
      <xdr:spPr>
        <a:xfrm flipV="1">
          <a:off x="2690112" y="14915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47</xdr:row>
      <xdr:rowOff>0</xdr:rowOff>
    </xdr:from>
    <xdr:to>
      <xdr:col>3</xdr:col>
      <xdr:colOff>23112</xdr:colOff>
      <xdr:row>47</xdr:row>
      <xdr:rowOff>188399</xdr:rowOff>
    </xdr:to>
    <xdr:cxnSp macro="">
      <xdr:nvCxnSpPr>
        <xdr:cNvPr id="287" name="Straight Connector 286"/>
        <xdr:cNvCxnSpPr/>
      </xdr:nvCxnSpPr>
      <xdr:spPr>
        <a:xfrm flipV="1">
          <a:off x="2690112" y="14915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47</xdr:row>
      <xdr:rowOff>179295</xdr:rowOff>
    </xdr:from>
    <xdr:to>
      <xdr:col>5</xdr:col>
      <xdr:colOff>11206</xdr:colOff>
      <xdr:row>47</xdr:row>
      <xdr:rowOff>179295</xdr:rowOff>
    </xdr:to>
    <xdr:cxnSp macro="">
      <xdr:nvCxnSpPr>
        <xdr:cNvPr id="288" name="Straight Connector 287"/>
        <xdr:cNvCxnSpPr/>
      </xdr:nvCxnSpPr>
      <xdr:spPr>
        <a:xfrm>
          <a:off x="2667000" y="150943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47</xdr:row>
      <xdr:rowOff>0</xdr:rowOff>
    </xdr:from>
    <xdr:to>
      <xdr:col>3</xdr:col>
      <xdr:colOff>23112</xdr:colOff>
      <xdr:row>47</xdr:row>
      <xdr:rowOff>188399</xdr:rowOff>
    </xdr:to>
    <xdr:cxnSp macro="">
      <xdr:nvCxnSpPr>
        <xdr:cNvPr id="289" name="Straight Connector 288"/>
        <xdr:cNvCxnSpPr/>
      </xdr:nvCxnSpPr>
      <xdr:spPr>
        <a:xfrm flipV="1">
          <a:off x="2690112" y="14915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47</xdr:row>
      <xdr:rowOff>0</xdr:rowOff>
    </xdr:from>
    <xdr:to>
      <xdr:col>4</xdr:col>
      <xdr:colOff>601265</xdr:colOff>
      <xdr:row>47</xdr:row>
      <xdr:rowOff>187699</xdr:rowOff>
    </xdr:to>
    <xdr:cxnSp macro="">
      <xdr:nvCxnSpPr>
        <xdr:cNvPr id="290" name="Straight Connector 289"/>
        <xdr:cNvCxnSpPr/>
      </xdr:nvCxnSpPr>
      <xdr:spPr>
        <a:xfrm flipV="1">
          <a:off x="3677280" y="149150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47</xdr:row>
      <xdr:rowOff>0</xdr:rowOff>
    </xdr:from>
    <xdr:to>
      <xdr:col>3</xdr:col>
      <xdr:colOff>23112</xdr:colOff>
      <xdr:row>47</xdr:row>
      <xdr:rowOff>188399</xdr:rowOff>
    </xdr:to>
    <xdr:cxnSp macro="">
      <xdr:nvCxnSpPr>
        <xdr:cNvPr id="291" name="Straight Connector 290"/>
        <xdr:cNvCxnSpPr/>
      </xdr:nvCxnSpPr>
      <xdr:spPr>
        <a:xfrm flipV="1">
          <a:off x="2690112" y="14915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47</xdr:row>
      <xdr:rowOff>0</xdr:rowOff>
    </xdr:from>
    <xdr:to>
      <xdr:col>4</xdr:col>
      <xdr:colOff>601265</xdr:colOff>
      <xdr:row>47</xdr:row>
      <xdr:rowOff>187699</xdr:rowOff>
    </xdr:to>
    <xdr:cxnSp macro="">
      <xdr:nvCxnSpPr>
        <xdr:cNvPr id="292" name="Straight Connector 291"/>
        <xdr:cNvCxnSpPr/>
      </xdr:nvCxnSpPr>
      <xdr:spPr>
        <a:xfrm flipV="1">
          <a:off x="3677280" y="149150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47</xdr:row>
      <xdr:rowOff>0</xdr:rowOff>
    </xdr:from>
    <xdr:to>
      <xdr:col>3</xdr:col>
      <xdr:colOff>23112</xdr:colOff>
      <xdr:row>47</xdr:row>
      <xdr:rowOff>188399</xdr:rowOff>
    </xdr:to>
    <xdr:cxnSp macro="">
      <xdr:nvCxnSpPr>
        <xdr:cNvPr id="293" name="Straight Connector 292"/>
        <xdr:cNvCxnSpPr/>
      </xdr:nvCxnSpPr>
      <xdr:spPr>
        <a:xfrm flipV="1">
          <a:off x="2690112" y="14915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47</xdr:row>
      <xdr:rowOff>0</xdr:rowOff>
    </xdr:from>
    <xdr:to>
      <xdr:col>4</xdr:col>
      <xdr:colOff>601265</xdr:colOff>
      <xdr:row>47</xdr:row>
      <xdr:rowOff>187699</xdr:rowOff>
    </xdr:to>
    <xdr:cxnSp macro="">
      <xdr:nvCxnSpPr>
        <xdr:cNvPr id="294" name="Straight Connector 293"/>
        <xdr:cNvCxnSpPr/>
      </xdr:nvCxnSpPr>
      <xdr:spPr>
        <a:xfrm flipV="1">
          <a:off x="3677280" y="149150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53</xdr:row>
      <xdr:rowOff>179295</xdr:rowOff>
    </xdr:from>
    <xdr:to>
      <xdr:col>5</xdr:col>
      <xdr:colOff>11206</xdr:colOff>
      <xdr:row>53</xdr:row>
      <xdr:rowOff>179295</xdr:rowOff>
    </xdr:to>
    <xdr:cxnSp macro="">
      <xdr:nvCxnSpPr>
        <xdr:cNvPr id="295" name="Straight Connector 294"/>
        <xdr:cNvCxnSpPr/>
      </xdr:nvCxnSpPr>
      <xdr:spPr>
        <a:xfrm>
          <a:off x="2667000" y="116653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53</xdr:row>
      <xdr:rowOff>0</xdr:rowOff>
    </xdr:from>
    <xdr:to>
      <xdr:col>3</xdr:col>
      <xdr:colOff>23112</xdr:colOff>
      <xdr:row>53</xdr:row>
      <xdr:rowOff>188399</xdr:rowOff>
    </xdr:to>
    <xdr:cxnSp macro="">
      <xdr:nvCxnSpPr>
        <xdr:cNvPr id="296" name="Straight Connector 295"/>
        <xdr:cNvCxnSpPr/>
      </xdr:nvCxnSpPr>
      <xdr:spPr>
        <a:xfrm flipV="1">
          <a:off x="2690112" y="11486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53</xdr:row>
      <xdr:rowOff>0</xdr:rowOff>
    </xdr:from>
    <xdr:to>
      <xdr:col>3</xdr:col>
      <xdr:colOff>23112</xdr:colOff>
      <xdr:row>53</xdr:row>
      <xdr:rowOff>188399</xdr:rowOff>
    </xdr:to>
    <xdr:cxnSp macro="">
      <xdr:nvCxnSpPr>
        <xdr:cNvPr id="297" name="Straight Connector 296"/>
        <xdr:cNvCxnSpPr/>
      </xdr:nvCxnSpPr>
      <xdr:spPr>
        <a:xfrm flipV="1">
          <a:off x="2690112" y="11486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53</xdr:row>
      <xdr:rowOff>0</xdr:rowOff>
    </xdr:from>
    <xdr:to>
      <xdr:col>3</xdr:col>
      <xdr:colOff>23112</xdr:colOff>
      <xdr:row>53</xdr:row>
      <xdr:rowOff>188399</xdr:rowOff>
    </xdr:to>
    <xdr:cxnSp macro="">
      <xdr:nvCxnSpPr>
        <xdr:cNvPr id="298" name="Straight Connector 297"/>
        <xdr:cNvCxnSpPr/>
      </xdr:nvCxnSpPr>
      <xdr:spPr>
        <a:xfrm flipV="1">
          <a:off x="2690112" y="11486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53</xdr:row>
      <xdr:rowOff>179295</xdr:rowOff>
    </xdr:from>
    <xdr:to>
      <xdr:col>5</xdr:col>
      <xdr:colOff>11206</xdr:colOff>
      <xdr:row>53</xdr:row>
      <xdr:rowOff>179295</xdr:rowOff>
    </xdr:to>
    <xdr:cxnSp macro="">
      <xdr:nvCxnSpPr>
        <xdr:cNvPr id="299" name="Straight Connector 298"/>
        <xdr:cNvCxnSpPr/>
      </xdr:nvCxnSpPr>
      <xdr:spPr>
        <a:xfrm>
          <a:off x="2667000" y="116653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53</xdr:row>
      <xdr:rowOff>0</xdr:rowOff>
    </xdr:from>
    <xdr:to>
      <xdr:col>3</xdr:col>
      <xdr:colOff>23112</xdr:colOff>
      <xdr:row>53</xdr:row>
      <xdr:rowOff>188399</xdr:rowOff>
    </xdr:to>
    <xdr:cxnSp macro="">
      <xdr:nvCxnSpPr>
        <xdr:cNvPr id="300" name="Straight Connector 299"/>
        <xdr:cNvCxnSpPr/>
      </xdr:nvCxnSpPr>
      <xdr:spPr>
        <a:xfrm flipV="1">
          <a:off x="2690112" y="11486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53</xdr:row>
      <xdr:rowOff>0</xdr:rowOff>
    </xdr:from>
    <xdr:to>
      <xdr:col>4</xdr:col>
      <xdr:colOff>601265</xdr:colOff>
      <xdr:row>53</xdr:row>
      <xdr:rowOff>187699</xdr:rowOff>
    </xdr:to>
    <xdr:cxnSp macro="">
      <xdr:nvCxnSpPr>
        <xdr:cNvPr id="301" name="Straight Connector 300"/>
        <xdr:cNvCxnSpPr/>
      </xdr:nvCxnSpPr>
      <xdr:spPr>
        <a:xfrm flipV="1">
          <a:off x="3677280" y="114860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53</xdr:row>
      <xdr:rowOff>0</xdr:rowOff>
    </xdr:from>
    <xdr:to>
      <xdr:col>3</xdr:col>
      <xdr:colOff>23112</xdr:colOff>
      <xdr:row>53</xdr:row>
      <xdr:rowOff>188399</xdr:rowOff>
    </xdr:to>
    <xdr:cxnSp macro="">
      <xdr:nvCxnSpPr>
        <xdr:cNvPr id="302" name="Straight Connector 301"/>
        <xdr:cNvCxnSpPr/>
      </xdr:nvCxnSpPr>
      <xdr:spPr>
        <a:xfrm flipV="1">
          <a:off x="2690112" y="11486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53</xdr:row>
      <xdr:rowOff>0</xdr:rowOff>
    </xdr:from>
    <xdr:to>
      <xdr:col>4</xdr:col>
      <xdr:colOff>601265</xdr:colOff>
      <xdr:row>53</xdr:row>
      <xdr:rowOff>187699</xdr:rowOff>
    </xdr:to>
    <xdr:cxnSp macro="">
      <xdr:nvCxnSpPr>
        <xdr:cNvPr id="303" name="Straight Connector 302"/>
        <xdr:cNvCxnSpPr/>
      </xdr:nvCxnSpPr>
      <xdr:spPr>
        <a:xfrm flipV="1">
          <a:off x="3677280" y="114860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53</xdr:row>
      <xdr:rowOff>0</xdr:rowOff>
    </xdr:from>
    <xdr:to>
      <xdr:col>3</xdr:col>
      <xdr:colOff>23112</xdr:colOff>
      <xdr:row>53</xdr:row>
      <xdr:rowOff>188399</xdr:rowOff>
    </xdr:to>
    <xdr:cxnSp macro="">
      <xdr:nvCxnSpPr>
        <xdr:cNvPr id="304" name="Straight Connector 303"/>
        <xdr:cNvCxnSpPr/>
      </xdr:nvCxnSpPr>
      <xdr:spPr>
        <a:xfrm flipV="1">
          <a:off x="2690112" y="11486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53</xdr:row>
      <xdr:rowOff>0</xdr:rowOff>
    </xdr:from>
    <xdr:to>
      <xdr:col>4</xdr:col>
      <xdr:colOff>601265</xdr:colOff>
      <xdr:row>53</xdr:row>
      <xdr:rowOff>187699</xdr:rowOff>
    </xdr:to>
    <xdr:cxnSp macro="">
      <xdr:nvCxnSpPr>
        <xdr:cNvPr id="305" name="Straight Connector 304"/>
        <xdr:cNvCxnSpPr/>
      </xdr:nvCxnSpPr>
      <xdr:spPr>
        <a:xfrm flipV="1">
          <a:off x="3677280" y="114860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133</xdr:row>
      <xdr:rowOff>179295</xdr:rowOff>
    </xdr:from>
    <xdr:to>
      <xdr:col>5</xdr:col>
      <xdr:colOff>11206</xdr:colOff>
      <xdr:row>133</xdr:row>
      <xdr:rowOff>179295</xdr:rowOff>
    </xdr:to>
    <xdr:cxnSp macro="">
      <xdr:nvCxnSpPr>
        <xdr:cNvPr id="372" name="Straight Connector 371"/>
        <xdr:cNvCxnSpPr/>
      </xdr:nvCxnSpPr>
      <xdr:spPr>
        <a:xfrm>
          <a:off x="2667000" y="211903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133</xdr:row>
      <xdr:rowOff>0</xdr:rowOff>
    </xdr:from>
    <xdr:to>
      <xdr:col>3</xdr:col>
      <xdr:colOff>23112</xdr:colOff>
      <xdr:row>133</xdr:row>
      <xdr:rowOff>188399</xdr:rowOff>
    </xdr:to>
    <xdr:cxnSp macro="">
      <xdr:nvCxnSpPr>
        <xdr:cNvPr id="373" name="Straight Connector 372"/>
        <xdr:cNvCxnSpPr/>
      </xdr:nvCxnSpPr>
      <xdr:spPr>
        <a:xfrm flipV="1">
          <a:off x="2690112" y="210110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133</xdr:row>
      <xdr:rowOff>0</xdr:rowOff>
    </xdr:from>
    <xdr:to>
      <xdr:col>4</xdr:col>
      <xdr:colOff>601265</xdr:colOff>
      <xdr:row>133</xdr:row>
      <xdr:rowOff>187699</xdr:rowOff>
    </xdr:to>
    <xdr:cxnSp macro="">
      <xdr:nvCxnSpPr>
        <xdr:cNvPr id="374" name="Straight Connector 373"/>
        <xdr:cNvCxnSpPr/>
      </xdr:nvCxnSpPr>
      <xdr:spPr>
        <a:xfrm flipV="1">
          <a:off x="3677280" y="210110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133</xdr:row>
      <xdr:rowOff>0</xdr:rowOff>
    </xdr:from>
    <xdr:to>
      <xdr:col>4</xdr:col>
      <xdr:colOff>601265</xdr:colOff>
      <xdr:row>133</xdr:row>
      <xdr:rowOff>187699</xdr:rowOff>
    </xdr:to>
    <xdr:cxnSp macro="">
      <xdr:nvCxnSpPr>
        <xdr:cNvPr id="376" name="Straight Connector 375"/>
        <xdr:cNvCxnSpPr/>
      </xdr:nvCxnSpPr>
      <xdr:spPr>
        <a:xfrm flipV="1">
          <a:off x="3677280" y="210110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133</xdr:row>
      <xdr:rowOff>0</xdr:rowOff>
    </xdr:from>
    <xdr:to>
      <xdr:col>4</xdr:col>
      <xdr:colOff>601265</xdr:colOff>
      <xdr:row>133</xdr:row>
      <xdr:rowOff>187699</xdr:rowOff>
    </xdr:to>
    <xdr:cxnSp macro="">
      <xdr:nvCxnSpPr>
        <xdr:cNvPr id="378" name="Straight Connector 377"/>
        <xdr:cNvCxnSpPr/>
      </xdr:nvCxnSpPr>
      <xdr:spPr>
        <a:xfrm flipV="1">
          <a:off x="3677280" y="210110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135</xdr:row>
      <xdr:rowOff>179295</xdr:rowOff>
    </xdr:from>
    <xdr:to>
      <xdr:col>5</xdr:col>
      <xdr:colOff>11206</xdr:colOff>
      <xdr:row>135</xdr:row>
      <xdr:rowOff>179295</xdr:rowOff>
    </xdr:to>
    <xdr:cxnSp macro="">
      <xdr:nvCxnSpPr>
        <xdr:cNvPr id="379" name="Straight Connector 378"/>
        <xdr:cNvCxnSpPr/>
      </xdr:nvCxnSpPr>
      <xdr:spPr>
        <a:xfrm>
          <a:off x="2667000" y="217618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135</xdr:row>
      <xdr:rowOff>0</xdr:rowOff>
    </xdr:from>
    <xdr:to>
      <xdr:col>3</xdr:col>
      <xdr:colOff>23112</xdr:colOff>
      <xdr:row>135</xdr:row>
      <xdr:rowOff>188399</xdr:rowOff>
    </xdr:to>
    <xdr:cxnSp macro="">
      <xdr:nvCxnSpPr>
        <xdr:cNvPr id="380" name="Straight Connector 379"/>
        <xdr:cNvCxnSpPr/>
      </xdr:nvCxnSpPr>
      <xdr:spPr>
        <a:xfrm flipV="1">
          <a:off x="2690112" y="21582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135</xdr:row>
      <xdr:rowOff>0</xdr:rowOff>
    </xdr:from>
    <xdr:to>
      <xdr:col>4</xdr:col>
      <xdr:colOff>601265</xdr:colOff>
      <xdr:row>135</xdr:row>
      <xdr:rowOff>187699</xdr:rowOff>
    </xdr:to>
    <xdr:cxnSp macro="">
      <xdr:nvCxnSpPr>
        <xdr:cNvPr id="381" name="Straight Connector 380"/>
        <xdr:cNvCxnSpPr/>
      </xdr:nvCxnSpPr>
      <xdr:spPr>
        <a:xfrm flipV="1">
          <a:off x="3677280" y="21582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135</xdr:row>
      <xdr:rowOff>0</xdr:rowOff>
    </xdr:from>
    <xdr:to>
      <xdr:col>4</xdr:col>
      <xdr:colOff>601265</xdr:colOff>
      <xdr:row>135</xdr:row>
      <xdr:rowOff>187699</xdr:rowOff>
    </xdr:to>
    <xdr:cxnSp macro="">
      <xdr:nvCxnSpPr>
        <xdr:cNvPr id="382" name="Straight Connector 381"/>
        <xdr:cNvCxnSpPr/>
      </xdr:nvCxnSpPr>
      <xdr:spPr>
        <a:xfrm flipV="1">
          <a:off x="3677280" y="21582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135</xdr:row>
      <xdr:rowOff>0</xdr:rowOff>
    </xdr:from>
    <xdr:to>
      <xdr:col>4</xdr:col>
      <xdr:colOff>601265</xdr:colOff>
      <xdr:row>135</xdr:row>
      <xdr:rowOff>187699</xdr:rowOff>
    </xdr:to>
    <xdr:cxnSp macro="">
      <xdr:nvCxnSpPr>
        <xdr:cNvPr id="383" name="Straight Connector 382"/>
        <xdr:cNvCxnSpPr/>
      </xdr:nvCxnSpPr>
      <xdr:spPr>
        <a:xfrm flipV="1">
          <a:off x="3677280" y="21582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137</xdr:row>
      <xdr:rowOff>179295</xdr:rowOff>
    </xdr:from>
    <xdr:to>
      <xdr:col>5</xdr:col>
      <xdr:colOff>11206</xdr:colOff>
      <xdr:row>137</xdr:row>
      <xdr:rowOff>179295</xdr:rowOff>
    </xdr:to>
    <xdr:cxnSp macro="">
      <xdr:nvCxnSpPr>
        <xdr:cNvPr id="384" name="Straight Connector 383"/>
        <xdr:cNvCxnSpPr/>
      </xdr:nvCxnSpPr>
      <xdr:spPr>
        <a:xfrm>
          <a:off x="2667000" y="221428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137</xdr:row>
      <xdr:rowOff>0</xdr:rowOff>
    </xdr:from>
    <xdr:to>
      <xdr:col>3</xdr:col>
      <xdr:colOff>23112</xdr:colOff>
      <xdr:row>137</xdr:row>
      <xdr:rowOff>188399</xdr:rowOff>
    </xdr:to>
    <xdr:cxnSp macro="">
      <xdr:nvCxnSpPr>
        <xdr:cNvPr id="385" name="Straight Connector 384"/>
        <xdr:cNvCxnSpPr/>
      </xdr:nvCxnSpPr>
      <xdr:spPr>
        <a:xfrm flipV="1">
          <a:off x="2690112" y="21963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137</xdr:row>
      <xdr:rowOff>0</xdr:rowOff>
    </xdr:from>
    <xdr:to>
      <xdr:col>4</xdr:col>
      <xdr:colOff>601265</xdr:colOff>
      <xdr:row>137</xdr:row>
      <xdr:rowOff>187699</xdr:rowOff>
    </xdr:to>
    <xdr:cxnSp macro="">
      <xdr:nvCxnSpPr>
        <xdr:cNvPr id="386" name="Straight Connector 385"/>
        <xdr:cNvCxnSpPr/>
      </xdr:nvCxnSpPr>
      <xdr:spPr>
        <a:xfrm flipV="1">
          <a:off x="3677280" y="21963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137</xdr:row>
      <xdr:rowOff>0</xdr:rowOff>
    </xdr:from>
    <xdr:to>
      <xdr:col>4</xdr:col>
      <xdr:colOff>601265</xdr:colOff>
      <xdr:row>137</xdr:row>
      <xdr:rowOff>187699</xdr:rowOff>
    </xdr:to>
    <xdr:cxnSp macro="">
      <xdr:nvCxnSpPr>
        <xdr:cNvPr id="387" name="Straight Connector 386"/>
        <xdr:cNvCxnSpPr/>
      </xdr:nvCxnSpPr>
      <xdr:spPr>
        <a:xfrm flipV="1">
          <a:off x="3677280" y="21963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137</xdr:row>
      <xdr:rowOff>0</xdr:rowOff>
    </xdr:from>
    <xdr:to>
      <xdr:col>4</xdr:col>
      <xdr:colOff>601265</xdr:colOff>
      <xdr:row>137</xdr:row>
      <xdr:rowOff>187699</xdr:rowOff>
    </xdr:to>
    <xdr:cxnSp macro="">
      <xdr:nvCxnSpPr>
        <xdr:cNvPr id="388" name="Straight Connector 387"/>
        <xdr:cNvCxnSpPr/>
      </xdr:nvCxnSpPr>
      <xdr:spPr>
        <a:xfrm flipV="1">
          <a:off x="3677280" y="21963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139</xdr:row>
      <xdr:rowOff>179295</xdr:rowOff>
    </xdr:from>
    <xdr:to>
      <xdr:col>5</xdr:col>
      <xdr:colOff>11206</xdr:colOff>
      <xdr:row>139</xdr:row>
      <xdr:rowOff>179295</xdr:rowOff>
    </xdr:to>
    <xdr:cxnSp macro="">
      <xdr:nvCxnSpPr>
        <xdr:cNvPr id="394" name="Straight Connector 393"/>
        <xdr:cNvCxnSpPr/>
      </xdr:nvCxnSpPr>
      <xdr:spPr>
        <a:xfrm>
          <a:off x="2667000" y="225238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139</xdr:row>
      <xdr:rowOff>0</xdr:rowOff>
    </xdr:from>
    <xdr:to>
      <xdr:col>3</xdr:col>
      <xdr:colOff>23112</xdr:colOff>
      <xdr:row>139</xdr:row>
      <xdr:rowOff>188399</xdr:rowOff>
    </xdr:to>
    <xdr:cxnSp macro="">
      <xdr:nvCxnSpPr>
        <xdr:cNvPr id="395" name="Straight Connector 394"/>
        <xdr:cNvCxnSpPr/>
      </xdr:nvCxnSpPr>
      <xdr:spPr>
        <a:xfrm flipV="1">
          <a:off x="2690112" y="22344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139</xdr:row>
      <xdr:rowOff>0</xdr:rowOff>
    </xdr:from>
    <xdr:to>
      <xdr:col>4</xdr:col>
      <xdr:colOff>601265</xdr:colOff>
      <xdr:row>139</xdr:row>
      <xdr:rowOff>187699</xdr:rowOff>
    </xdr:to>
    <xdr:cxnSp macro="">
      <xdr:nvCxnSpPr>
        <xdr:cNvPr id="396" name="Straight Connector 395"/>
        <xdr:cNvCxnSpPr/>
      </xdr:nvCxnSpPr>
      <xdr:spPr>
        <a:xfrm flipV="1">
          <a:off x="3677280" y="22344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139</xdr:row>
      <xdr:rowOff>0</xdr:rowOff>
    </xdr:from>
    <xdr:to>
      <xdr:col>4</xdr:col>
      <xdr:colOff>601265</xdr:colOff>
      <xdr:row>139</xdr:row>
      <xdr:rowOff>187699</xdr:rowOff>
    </xdr:to>
    <xdr:cxnSp macro="">
      <xdr:nvCxnSpPr>
        <xdr:cNvPr id="397" name="Straight Connector 396"/>
        <xdr:cNvCxnSpPr/>
      </xdr:nvCxnSpPr>
      <xdr:spPr>
        <a:xfrm flipV="1">
          <a:off x="3677280" y="22344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139</xdr:row>
      <xdr:rowOff>0</xdr:rowOff>
    </xdr:from>
    <xdr:to>
      <xdr:col>4</xdr:col>
      <xdr:colOff>601265</xdr:colOff>
      <xdr:row>139</xdr:row>
      <xdr:rowOff>187699</xdr:rowOff>
    </xdr:to>
    <xdr:cxnSp macro="">
      <xdr:nvCxnSpPr>
        <xdr:cNvPr id="398" name="Straight Connector 397"/>
        <xdr:cNvCxnSpPr/>
      </xdr:nvCxnSpPr>
      <xdr:spPr>
        <a:xfrm flipV="1">
          <a:off x="3677280" y="22344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143</xdr:row>
      <xdr:rowOff>179295</xdr:rowOff>
    </xdr:from>
    <xdr:to>
      <xdr:col>5</xdr:col>
      <xdr:colOff>11206</xdr:colOff>
      <xdr:row>143</xdr:row>
      <xdr:rowOff>179295</xdr:rowOff>
    </xdr:to>
    <xdr:cxnSp macro="">
      <xdr:nvCxnSpPr>
        <xdr:cNvPr id="399" name="Straight Connector 398"/>
        <xdr:cNvCxnSpPr/>
      </xdr:nvCxnSpPr>
      <xdr:spPr>
        <a:xfrm>
          <a:off x="2667000" y="232858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143</xdr:row>
      <xdr:rowOff>0</xdr:rowOff>
    </xdr:from>
    <xdr:to>
      <xdr:col>3</xdr:col>
      <xdr:colOff>23112</xdr:colOff>
      <xdr:row>143</xdr:row>
      <xdr:rowOff>188399</xdr:rowOff>
    </xdr:to>
    <xdr:cxnSp macro="">
      <xdr:nvCxnSpPr>
        <xdr:cNvPr id="400" name="Straight Connector 399"/>
        <xdr:cNvCxnSpPr/>
      </xdr:nvCxnSpPr>
      <xdr:spPr>
        <a:xfrm flipV="1">
          <a:off x="2690112" y="23106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143</xdr:row>
      <xdr:rowOff>0</xdr:rowOff>
    </xdr:from>
    <xdr:to>
      <xdr:col>4</xdr:col>
      <xdr:colOff>601265</xdr:colOff>
      <xdr:row>143</xdr:row>
      <xdr:rowOff>187699</xdr:rowOff>
    </xdr:to>
    <xdr:cxnSp macro="">
      <xdr:nvCxnSpPr>
        <xdr:cNvPr id="401" name="Straight Connector 400"/>
        <xdr:cNvCxnSpPr/>
      </xdr:nvCxnSpPr>
      <xdr:spPr>
        <a:xfrm flipV="1">
          <a:off x="3677280" y="23106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143</xdr:row>
      <xdr:rowOff>0</xdr:rowOff>
    </xdr:from>
    <xdr:to>
      <xdr:col>4</xdr:col>
      <xdr:colOff>601265</xdr:colOff>
      <xdr:row>143</xdr:row>
      <xdr:rowOff>187699</xdr:rowOff>
    </xdr:to>
    <xdr:cxnSp macro="">
      <xdr:nvCxnSpPr>
        <xdr:cNvPr id="402" name="Straight Connector 401"/>
        <xdr:cNvCxnSpPr/>
      </xdr:nvCxnSpPr>
      <xdr:spPr>
        <a:xfrm flipV="1">
          <a:off x="3677280" y="23106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143</xdr:row>
      <xdr:rowOff>0</xdr:rowOff>
    </xdr:from>
    <xdr:to>
      <xdr:col>4</xdr:col>
      <xdr:colOff>601265</xdr:colOff>
      <xdr:row>143</xdr:row>
      <xdr:rowOff>187699</xdr:rowOff>
    </xdr:to>
    <xdr:cxnSp macro="">
      <xdr:nvCxnSpPr>
        <xdr:cNvPr id="403" name="Straight Connector 402"/>
        <xdr:cNvCxnSpPr/>
      </xdr:nvCxnSpPr>
      <xdr:spPr>
        <a:xfrm flipV="1">
          <a:off x="3677280" y="23106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141</xdr:row>
      <xdr:rowOff>179295</xdr:rowOff>
    </xdr:from>
    <xdr:to>
      <xdr:col>5</xdr:col>
      <xdr:colOff>11206</xdr:colOff>
      <xdr:row>141</xdr:row>
      <xdr:rowOff>179295</xdr:rowOff>
    </xdr:to>
    <xdr:cxnSp macro="">
      <xdr:nvCxnSpPr>
        <xdr:cNvPr id="404" name="Straight Connector 403"/>
        <xdr:cNvCxnSpPr/>
      </xdr:nvCxnSpPr>
      <xdr:spPr>
        <a:xfrm>
          <a:off x="2667000" y="232858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141</xdr:row>
      <xdr:rowOff>0</xdr:rowOff>
    </xdr:from>
    <xdr:to>
      <xdr:col>3</xdr:col>
      <xdr:colOff>23112</xdr:colOff>
      <xdr:row>141</xdr:row>
      <xdr:rowOff>188399</xdr:rowOff>
    </xdr:to>
    <xdr:cxnSp macro="">
      <xdr:nvCxnSpPr>
        <xdr:cNvPr id="405" name="Straight Connector 404"/>
        <xdr:cNvCxnSpPr/>
      </xdr:nvCxnSpPr>
      <xdr:spPr>
        <a:xfrm flipV="1">
          <a:off x="2690112" y="23106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141</xdr:row>
      <xdr:rowOff>0</xdr:rowOff>
    </xdr:from>
    <xdr:to>
      <xdr:col>4</xdr:col>
      <xdr:colOff>601265</xdr:colOff>
      <xdr:row>141</xdr:row>
      <xdr:rowOff>187699</xdr:rowOff>
    </xdr:to>
    <xdr:cxnSp macro="">
      <xdr:nvCxnSpPr>
        <xdr:cNvPr id="406" name="Straight Connector 405"/>
        <xdr:cNvCxnSpPr/>
      </xdr:nvCxnSpPr>
      <xdr:spPr>
        <a:xfrm flipV="1">
          <a:off x="3677280" y="23106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141</xdr:row>
      <xdr:rowOff>0</xdr:rowOff>
    </xdr:from>
    <xdr:to>
      <xdr:col>4</xdr:col>
      <xdr:colOff>601265</xdr:colOff>
      <xdr:row>141</xdr:row>
      <xdr:rowOff>187699</xdr:rowOff>
    </xdr:to>
    <xdr:cxnSp macro="">
      <xdr:nvCxnSpPr>
        <xdr:cNvPr id="407" name="Straight Connector 406"/>
        <xdr:cNvCxnSpPr/>
      </xdr:nvCxnSpPr>
      <xdr:spPr>
        <a:xfrm flipV="1">
          <a:off x="3677280" y="23106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141</xdr:row>
      <xdr:rowOff>0</xdr:rowOff>
    </xdr:from>
    <xdr:to>
      <xdr:col>4</xdr:col>
      <xdr:colOff>601265</xdr:colOff>
      <xdr:row>141</xdr:row>
      <xdr:rowOff>187699</xdr:rowOff>
    </xdr:to>
    <xdr:cxnSp macro="">
      <xdr:nvCxnSpPr>
        <xdr:cNvPr id="408" name="Straight Connector 407"/>
        <xdr:cNvCxnSpPr/>
      </xdr:nvCxnSpPr>
      <xdr:spPr>
        <a:xfrm flipV="1">
          <a:off x="3677280" y="23106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145</xdr:row>
      <xdr:rowOff>179295</xdr:rowOff>
    </xdr:from>
    <xdr:to>
      <xdr:col>5</xdr:col>
      <xdr:colOff>11206</xdr:colOff>
      <xdr:row>145</xdr:row>
      <xdr:rowOff>179295</xdr:rowOff>
    </xdr:to>
    <xdr:cxnSp macro="">
      <xdr:nvCxnSpPr>
        <xdr:cNvPr id="409" name="Straight Connector 408"/>
        <xdr:cNvCxnSpPr/>
      </xdr:nvCxnSpPr>
      <xdr:spPr>
        <a:xfrm>
          <a:off x="2667000" y="240478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145</xdr:row>
      <xdr:rowOff>0</xdr:rowOff>
    </xdr:from>
    <xdr:to>
      <xdr:col>3</xdr:col>
      <xdr:colOff>23112</xdr:colOff>
      <xdr:row>145</xdr:row>
      <xdr:rowOff>188399</xdr:rowOff>
    </xdr:to>
    <xdr:cxnSp macro="">
      <xdr:nvCxnSpPr>
        <xdr:cNvPr id="410" name="Straight Connector 409"/>
        <xdr:cNvCxnSpPr/>
      </xdr:nvCxnSpPr>
      <xdr:spPr>
        <a:xfrm flipV="1">
          <a:off x="2690112" y="23868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145</xdr:row>
      <xdr:rowOff>0</xdr:rowOff>
    </xdr:from>
    <xdr:to>
      <xdr:col>4</xdr:col>
      <xdr:colOff>601265</xdr:colOff>
      <xdr:row>145</xdr:row>
      <xdr:rowOff>187699</xdr:rowOff>
    </xdr:to>
    <xdr:cxnSp macro="">
      <xdr:nvCxnSpPr>
        <xdr:cNvPr id="411" name="Straight Connector 410"/>
        <xdr:cNvCxnSpPr/>
      </xdr:nvCxnSpPr>
      <xdr:spPr>
        <a:xfrm flipV="1">
          <a:off x="3677280" y="23868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145</xdr:row>
      <xdr:rowOff>0</xdr:rowOff>
    </xdr:from>
    <xdr:to>
      <xdr:col>4</xdr:col>
      <xdr:colOff>601265</xdr:colOff>
      <xdr:row>145</xdr:row>
      <xdr:rowOff>187699</xdr:rowOff>
    </xdr:to>
    <xdr:cxnSp macro="">
      <xdr:nvCxnSpPr>
        <xdr:cNvPr id="412" name="Straight Connector 411"/>
        <xdr:cNvCxnSpPr/>
      </xdr:nvCxnSpPr>
      <xdr:spPr>
        <a:xfrm flipV="1">
          <a:off x="3677280" y="23868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145</xdr:row>
      <xdr:rowOff>0</xdr:rowOff>
    </xdr:from>
    <xdr:to>
      <xdr:col>4</xdr:col>
      <xdr:colOff>601265</xdr:colOff>
      <xdr:row>145</xdr:row>
      <xdr:rowOff>187699</xdr:rowOff>
    </xdr:to>
    <xdr:cxnSp macro="">
      <xdr:nvCxnSpPr>
        <xdr:cNvPr id="413" name="Straight Connector 412"/>
        <xdr:cNvCxnSpPr/>
      </xdr:nvCxnSpPr>
      <xdr:spPr>
        <a:xfrm flipV="1">
          <a:off x="3677280" y="23868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147</xdr:row>
      <xdr:rowOff>179295</xdr:rowOff>
    </xdr:from>
    <xdr:to>
      <xdr:col>5</xdr:col>
      <xdr:colOff>11206</xdr:colOff>
      <xdr:row>147</xdr:row>
      <xdr:rowOff>179295</xdr:rowOff>
    </xdr:to>
    <xdr:cxnSp macro="">
      <xdr:nvCxnSpPr>
        <xdr:cNvPr id="414" name="Straight Connector 413"/>
        <xdr:cNvCxnSpPr/>
      </xdr:nvCxnSpPr>
      <xdr:spPr>
        <a:xfrm>
          <a:off x="2667000" y="244288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147</xdr:row>
      <xdr:rowOff>0</xdr:rowOff>
    </xdr:from>
    <xdr:to>
      <xdr:col>3</xdr:col>
      <xdr:colOff>23112</xdr:colOff>
      <xdr:row>147</xdr:row>
      <xdr:rowOff>188399</xdr:rowOff>
    </xdr:to>
    <xdr:cxnSp macro="">
      <xdr:nvCxnSpPr>
        <xdr:cNvPr id="415" name="Straight Connector 414"/>
        <xdr:cNvCxnSpPr/>
      </xdr:nvCxnSpPr>
      <xdr:spPr>
        <a:xfrm flipV="1">
          <a:off x="2690112" y="24249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147</xdr:row>
      <xdr:rowOff>0</xdr:rowOff>
    </xdr:from>
    <xdr:to>
      <xdr:col>4</xdr:col>
      <xdr:colOff>601265</xdr:colOff>
      <xdr:row>147</xdr:row>
      <xdr:rowOff>187699</xdr:rowOff>
    </xdr:to>
    <xdr:cxnSp macro="">
      <xdr:nvCxnSpPr>
        <xdr:cNvPr id="416" name="Straight Connector 415"/>
        <xdr:cNvCxnSpPr/>
      </xdr:nvCxnSpPr>
      <xdr:spPr>
        <a:xfrm flipV="1">
          <a:off x="3677280" y="24249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147</xdr:row>
      <xdr:rowOff>0</xdr:rowOff>
    </xdr:from>
    <xdr:to>
      <xdr:col>4</xdr:col>
      <xdr:colOff>601265</xdr:colOff>
      <xdr:row>147</xdr:row>
      <xdr:rowOff>187699</xdr:rowOff>
    </xdr:to>
    <xdr:cxnSp macro="">
      <xdr:nvCxnSpPr>
        <xdr:cNvPr id="417" name="Straight Connector 416"/>
        <xdr:cNvCxnSpPr/>
      </xdr:nvCxnSpPr>
      <xdr:spPr>
        <a:xfrm flipV="1">
          <a:off x="3677280" y="24249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147</xdr:row>
      <xdr:rowOff>0</xdr:rowOff>
    </xdr:from>
    <xdr:to>
      <xdr:col>4</xdr:col>
      <xdr:colOff>601265</xdr:colOff>
      <xdr:row>147</xdr:row>
      <xdr:rowOff>187699</xdr:rowOff>
    </xdr:to>
    <xdr:cxnSp macro="">
      <xdr:nvCxnSpPr>
        <xdr:cNvPr id="418" name="Straight Connector 417"/>
        <xdr:cNvCxnSpPr/>
      </xdr:nvCxnSpPr>
      <xdr:spPr>
        <a:xfrm flipV="1">
          <a:off x="3677280" y="24249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149</xdr:row>
      <xdr:rowOff>179295</xdr:rowOff>
    </xdr:from>
    <xdr:to>
      <xdr:col>5</xdr:col>
      <xdr:colOff>11206</xdr:colOff>
      <xdr:row>149</xdr:row>
      <xdr:rowOff>179295</xdr:rowOff>
    </xdr:to>
    <xdr:cxnSp macro="">
      <xdr:nvCxnSpPr>
        <xdr:cNvPr id="419" name="Straight Connector 418"/>
        <xdr:cNvCxnSpPr/>
      </xdr:nvCxnSpPr>
      <xdr:spPr>
        <a:xfrm>
          <a:off x="2667000" y="248098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149</xdr:row>
      <xdr:rowOff>0</xdr:rowOff>
    </xdr:from>
    <xdr:to>
      <xdr:col>3</xdr:col>
      <xdr:colOff>23112</xdr:colOff>
      <xdr:row>149</xdr:row>
      <xdr:rowOff>188399</xdr:rowOff>
    </xdr:to>
    <xdr:cxnSp macro="">
      <xdr:nvCxnSpPr>
        <xdr:cNvPr id="420" name="Straight Connector 419"/>
        <xdr:cNvCxnSpPr/>
      </xdr:nvCxnSpPr>
      <xdr:spPr>
        <a:xfrm flipV="1">
          <a:off x="2690112" y="24630529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149</xdr:row>
      <xdr:rowOff>0</xdr:rowOff>
    </xdr:from>
    <xdr:to>
      <xdr:col>4</xdr:col>
      <xdr:colOff>601265</xdr:colOff>
      <xdr:row>149</xdr:row>
      <xdr:rowOff>187699</xdr:rowOff>
    </xdr:to>
    <xdr:cxnSp macro="">
      <xdr:nvCxnSpPr>
        <xdr:cNvPr id="421" name="Straight Connector 420"/>
        <xdr:cNvCxnSpPr/>
      </xdr:nvCxnSpPr>
      <xdr:spPr>
        <a:xfrm flipV="1">
          <a:off x="3677280" y="24630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149</xdr:row>
      <xdr:rowOff>0</xdr:rowOff>
    </xdr:from>
    <xdr:to>
      <xdr:col>4</xdr:col>
      <xdr:colOff>601265</xdr:colOff>
      <xdr:row>149</xdr:row>
      <xdr:rowOff>187699</xdr:rowOff>
    </xdr:to>
    <xdr:cxnSp macro="">
      <xdr:nvCxnSpPr>
        <xdr:cNvPr id="422" name="Straight Connector 421"/>
        <xdr:cNvCxnSpPr/>
      </xdr:nvCxnSpPr>
      <xdr:spPr>
        <a:xfrm flipV="1">
          <a:off x="3677280" y="24630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149</xdr:row>
      <xdr:rowOff>0</xdr:rowOff>
    </xdr:from>
    <xdr:to>
      <xdr:col>4</xdr:col>
      <xdr:colOff>601265</xdr:colOff>
      <xdr:row>149</xdr:row>
      <xdr:rowOff>187699</xdr:rowOff>
    </xdr:to>
    <xdr:cxnSp macro="">
      <xdr:nvCxnSpPr>
        <xdr:cNvPr id="423" name="Straight Connector 422"/>
        <xdr:cNvCxnSpPr/>
      </xdr:nvCxnSpPr>
      <xdr:spPr>
        <a:xfrm flipV="1">
          <a:off x="3677280" y="24630529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151</xdr:row>
      <xdr:rowOff>179295</xdr:rowOff>
    </xdr:from>
    <xdr:to>
      <xdr:col>5</xdr:col>
      <xdr:colOff>11206</xdr:colOff>
      <xdr:row>151</xdr:row>
      <xdr:rowOff>179295</xdr:rowOff>
    </xdr:to>
    <xdr:cxnSp macro="">
      <xdr:nvCxnSpPr>
        <xdr:cNvPr id="424" name="Straight Connector 423"/>
        <xdr:cNvCxnSpPr/>
      </xdr:nvCxnSpPr>
      <xdr:spPr>
        <a:xfrm>
          <a:off x="2667000" y="22904824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256761</xdr:colOff>
      <xdr:row>160</xdr:row>
      <xdr:rowOff>132522</xdr:rowOff>
    </xdr:from>
    <xdr:to>
      <xdr:col>5</xdr:col>
      <xdr:colOff>33131</xdr:colOff>
      <xdr:row>161</xdr:row>
      <xdr:rowOff>82826</xdr:rowOff>
    </xdr:to>
    <xdr:cxnSp macro="">
      <xdr:nvCxnSpPr>
        <xdr:cNvPr id="426" name="Straight Connector 425"/>
        <xdr:cNvCxnSpPr/>
      </xdr:nvCxnSpPr>
      <xdr:spPr>
        <a:xfrm>
          <a:off x="2923761" y="26098500"/>
          <a:ext cx="786848" cy="14080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273332</xdr:colOff>
      <xdr:row>160</xdr:row>
      <xdr:rowOff>157370</xdr:rowOff>
    </xdr:from>
    <xdr:to>
      <xdr:col>3</xdr:col>
      <xdr:colOff>281610</xdr:colOff>
      <xdr:row>163</xdr:row>
      <xdr:rowOff>41415</xdr:rowOff>
    </xdr:to>
    <xdr:cxnSp macro="">
      <xdr:nvCxnSpPr>
        <xdr:cNvPr id="427" name="Straight Connector 426"/>
        <xdr:cNvCxnSpPr/>
      </xdr:nvCxnSpPr>
      <xdr:spPr>
        <a:xfrm rot="5400000" flipH="1" flipV="1">
          <a:off x="2716698" y="26346982"/>
          <a:ext cx="455545" cy="8278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8283</xdr:colOff>
      <xdr:row>161</xdr:row>
      <xdr:rowOff>107674</xdr:rowOff>
    </xdr:from>
    <xdr:to>
      <xdr:col>5</xdr:col>
      <xdr:colOff>16569</xdr:colOff>
      <xdr:row>164</xdr:row>
      <xdr:rowOff>3</xdr:rowOff>
    </xdr:to>
    <xdr:cxnSp macro="">
      <xdr:nvCxnSpPr>
        <xdr:cNvPr id="428" name="Straight Connector 427"/>
        <xdr:cNvCxnSpPr/>
      </xdr:nvCxnSpPr>
      <xdr:spPr>
        <a:xfrm rot="5400000" flipH="1" flipV="1">
          <a:off x="3457989" y="26491924"/>
          <a:ext cx="463829" cy="8286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8286</xdr:colOff>
      <xdr:row>162</xdr:row>
      <xdr:rowOff>149678</xdr:rowOff>
    </xdr:from>
    <xdr:to>
      <xdr:col>5</xdr:col>
      <xdr:colOff>421821</xdr:colOff>
      <xdr:row>163</xdr:row>
      <xdr:rowOff>173935</xdr:rowOff>
    </xdr:to>
    <xdr:cxnSp macro="">
      <xdr:nvCxnSpPr>
        <xdr:cNvPr id="437" name="Straight Connector 436"/>
        <xdr:cNvCxnSpPr/>
      </xdr:nvCxnSpPr>
      <xdr:spPr>
        <a:xfrm flipV="1">
          <a:off x="3682215" y="26506714"/>
          <a:ext cx="413535" cy="21475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408214</xdr:colOff>
      <xdr:row>163</xdr:row>
      <xdr:rowOff>16572</xdr:rowOff>
    </xdr:from>
    <xdr:to>
      <xdr:col>3</xdr:col>
      <xdr:colOff>281607</xdr:colOff>
      <xdr:row>163</xdr:row>
      <xdr:rowOff>149678</xdr:rowOff>
    </xdr:to>
    <xdr:cxnSp macro="">
      <xdr:nvCxnSpPr>
        <xdr:cNvPr id="442" name="Straight Connector 441"/>
        <xdr:cNvCxnSpPr/>
      </xdr:nvCxnSpPr>
      <xdr:spPr>
        <a:xfrm flipV="1">
          <a:off x="2571750" y="26564108"/>
          <a:ext cx="376857" cy="133106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168</xdr:row>
      <xdr:rowOff>74934</xdr:rowOff>
    </xdr:from>
    <xdr:to>
      <xdr:col>5</xdr:col>
      <xdr:colOff>14130</xdr:colOff>
      <xdr:row>168</xdr:row>
      <xdr:rowOff>74934</xdr:rowOff>
    </xdr:to>
    <xdr:cxnSp macro="">
      <xdr:nvCxnSpPr>
        <xdr:cNvPr id="375" name="Straight Connector 374"/>
        <xdr:cNvCxnSpPr/>
      </xdr:nvCxnSpPr>
      <xdr:spPr>
        <a:xfrm>
          <a:off x="2670898" y="336589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174</xdr:row>
      <xdr:rowOff>74935</xdr:rowOff>
    </xdr:from>
    <xdr:to>
      <xdr:col>5</xdr:col>
      <xdr:colOff>2924</xdr:colOff>
      <xdr:row>174</xdr:row>
      <xdr:rowOff>74935</xdr:rowOff>
    </xdr:to>
    <xdr:cxnSp macro="">
      <xdr:nvCxnSpPr>
        <xdr:cNvPr id="377" name="Straight Connector 376"/>
        <xdr:cNvCxnSpPr/>
      </xdr:nvCxnSpPr>
      <xdr:spPr>
        <a:xfrm>
          <a:off x="2659692" y="34801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171</xdr:row>
      <xdr:rowOff>86140</xdr:rowOff>
    </xdr:from>
    <xdr:to>
      <xdr:col>5</xdr:col>
      <xdr:colOff>14130</xdr:colOff>
      <xdr:row>171</xdr:row>
      <xdr:rowOff>86140</xdr:rowOff>
    </xdr:to>
    <xdr:cxnSp macro="">
      <xdr:nvCxnSpPr>
        <xdr:cNvPr id="391" name="Straight Connector 390"/>
        <xdr:cNvCxnSpPr/>
      </xdr:nvCxnSpPr>
      <xdr:spPr>
        <a:xfrm>
          <a:off x="2670898" y="34241669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177</xdr:row>
      <xdr:rowOff>74935</xdr:rowOff>
    </xdr:from>
    <xdr:to>
      <xdr:col>5</xdr:col>
      <xdr:colOff>2924</xdr:colOff>
      <xdr:row>177</xdr:row>
      <xdr:rowOff>74935</xdr:rowOff>
    </xdr:to>
    <xdr:cxnSp macro="">
      <xdr:nvCxnSpPr>
        <xdr:cNvPr id="392" name="Straight Connector 391"/>
        <xdr:cNvCxnSpPr/>
      </xdr:nvCxnSpPr>
      <xdr:spPr>
        <a:xfrm>
          <a:off x="2659692" y="34801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180</xdr:row>
      <xdr:rowOff>74935</xdr:rowOff>
    </xdr:from>
    <xdr:to>
      <xdr:col>5</xdr:col>
      <xdr:colOff>2924</xdr:colOff>
      <xdr:row>180</xdr:row>
      <xdr:rowOff>74935</xdr:rowOff>
    </xdr:to>
    <xdr:cxnSp macro="">
      <xdr:nvCxnSpPr>
        <xdr:cNvPr id="393" name="Straight Connector 392"/>
        <xdr:cNvCxnSpPr/>
      </xdr:nvCxnSpPr>
      <xdr:spPr>
        <a:xfrm>
          <a:off x="2659692" y="34801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183</xdr:row>
      <xdr:rowOff>74935</xdr:rowOff>
    </xdr:from>
    <xdr:to>
      <xdr:col>5</xdr:col>
      <xdr:colOff>2924</xdr:colOff>
      <xdr:row>183</xdr:row>
      <xdr:rowOff>74935</xdr:rowOff>
    </xdr:to>
    <xdr:cxnSp macro="">
      <xdr:nvCxnSpPr>
        <xdr:cNvPr id="429" name="Straight Connector 428"/>
        <xdr:cNvCxnSpPr/>
      </xdr:nvCxnSpPr>
      <xdr:spPr>
        <a:xfrm>
          <a:off x="2659692" y="35373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186</xdr:row>
      <xdr:rowOff>74935</xdr:rowOff>
    </xdr:from>
    <xdr:to>
      <xdr:col>5</xdr:col>
      <xdr:colOff>2924</xdr:colOff>
      <xdr:row>186</xdr:row>
      <xdr:rowOff>74935</xdr:rowOff>
    </xdr:to>
    <xdr:cxnSp macro="">
      <xdr:nvCxnSpPr>
        <xdr:cNvPr id="430" name="Straight Connector 429"/>
        <xdr:cNvCxnSpPr/>
      </xdr:nvCxnSpPr>
      <xdr:spPr>
        <a:xfrm>
          <a:off x="2659692" y="35944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192</xdr:row>
      <xdr:rowOff>74935</xdr:rowOff>
    </xdr:from>
    <xdr:to>
      <xdr:col>5</xdr:col>
      <xdr:colOff>2924</xdr:colOff>
      <xdr:row>192</xdr:row>
      <xdr:rowOff>74935</xdr:rowOff>
    </xdr:to>
    <xdr:cxnSp macro="">
      <xdr:nvCxnSpPr>
        <xdr:cNvPr id="431" name="Straight Connector 430"/>
        <xdr:cNvCxnSpPr/>
      </xdr:nvCxnSpPr>
      <xdr:spPr>
        <a:xfrm>
          <a:off x="2659692" y="36516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189</xdr:row>
      <xdr:rowOff>74935</xdr:rowOff>
    </xdr:from>
    <xdr:to>
      <xdr:col>5</xdr:col>
      <xdr:colOff>2924</xdr:colOff>
      <xdr:row>189</xdr:row>
      <xdr:rowOff>74935</xdr:rowOff>
    </xdr:to>
    <xdr:cxnSp macro="">
      <xdr:nvCxnSpPr>
        <xdr:cNvPr id="432" name="Straight Connector 431"/>
        <xdr:cNvCxnSpPr/>
      </xdr:nvCxnSpPr>
      <xdr:spPr>
        <a:xfrm>
          <a:off x="2838986" y="37278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195</xdr:row>
      <xdr:rowOff>74935</xdr:rowOff>
    </xdr:from>
    <xdr:to>
      <xdr:col>5</xdr:col>
      <xdr:colOff>2924</xdr:colOff>
      <xdr:row>195</xdr:row>
      <xdr:rowOff>74935</xdr:rowOff>
    </xdr:to>
    <xdr:cxnSp macro="">
      <xdr:nvCxnSpPr>
        <xdr:cNvPr id="433" name="Straight Connector 432"/>
        <xdr:cNvCxnSpPr/>
      </xdr:nvCxnSpPr>
      <xdr:spPr>
        <a:xfrm>
          <a:off x="2838986" y="38421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198</xdr:row>
      <xdr:rowOff>74935</xdr:rowOff>
    </xdr:from>
    <xdr:to>
      <xdr:col>5</xdr:col>
      <xdr:colOff>2924</xdr:colOff>
      <xdr:row>198</xdr:row>
      <xdr:rowOff>74935</xdr:rowOff>
    </xdr:to>
    <xdr:cxnSp macro="">
      <xdr:nvCxnSpPr>
        <xdr:cNvPr id="434" name="Straight Connector 433"/>
        <xdr:cNvCxnSpPr/>
      </xdr:nvCxnSpPr>
      <xdr:spPr>
        <a:xfrm>
          <a:off x="2838986" y="35944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201</xdr:row>
      <xdr:rowOff>74935</xdr:rowOff>
    </xdr:from>
    <xdr:to>
      <xdr:col>5</xdr:col>
      <xdr:colOff>2924</xdr:colOff>
      <xdr:row>201</xdr:row>
      <xdr:rowOff>74935</xdr:rowOff>
    </xdr:to>
    <xdr:cxnSp macro="">
      <xdr:nvCxnSpPr>
        <xdr:cNvPr id="435" name="Straight Connector 434"/>
        <xdr:cNvCxnSpPr/>
      </xdr:nvCxnSpPr>
      <xdr:spPr>
        <a:xfrm>
          <a:off x="2838986" y="36516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204</xdr:row>
      <xdr:rowOff>74935</xdr:rowOff>
    </xdr:from>
    <xdr:to>
      <xdr:col>5</xdr:col>
      <xdr:colOff>2924</xdr:colOff>
      <xdr:row>204</xdr:row>
      <xdr:rowOff>74935</xdr:rowOff>
    </xdr:to>
    <xdr:cxnSp macro="">
      <xdr:nvCxnSpPr>
        <xdr:cNvPr id="436" name="Straight Connector 435"/>
        <xdr:cNvCxnSpPr/>
      </xdr:nvCxnSpPr>
      <xdr:spPr>
        <a:xfrm>
          <a:off x="2838986" y="39373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207</xdr:row>
      <xdr:rowOff>74935</xdr:rowOff>
    </xdr:from>
    <xdr:to>
      <xdr:col>5</xdr:col>
      <xdr:colOff>2924</xdr:colOff>
      <xdr:row>207</xdr:row>
      <xdr:rowOff>74935</xdr:rowOff>
    </xdr:to>
    <xdr:cxnSp macro="">
      <xdr:nvCxnSpPr>
        <xdr:cNvPr id="438" name="Straight Connector 437"/>
        <xdr:cNvCxnSpPr/>
      </xdr:nvCxnSpPr>
      <xdr:spPr>
        <a:xfrm>
          <a:off x="2838986" y="39945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210</xdr:row>
      <xdr:rowOff>74935</xdr:rowOff>
    </xdr:from>
    <xdr:to>
      <xdr:col>5</xdr:col>
      <xdr:colOff>2924</xdr:colOff>
      <xdr:row>210</xdr:row>
      <xdr:rowOff>74935</xdr:rowOff>
    </xdr:to>
    <xdr:cxnSp macro="">
      <xdr:nvCxnSpPr>
        <xdr:cNvPr id="439" name="Straight Connector 438"/>
        <xdr:cNvCxnSpPr/>
      </xdr:nvCxnSpPr>
      <xdr:spPr>
        <a:xfrm>
          <a:off x="2838986" y="40516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213</xdr:row>
      <xdr:rowOff>74935</xdr:rowOff>
    </xdr:from>
    <xdr:to>
      <xdr:col>5</xdr:col>
      <xdr:colOff>2924</xdr:colOff>
      <xdr:row>213</xdr:row>
      <xdr:rowOff>74935</xdr:rowOff>
    </xdr:to>
    <xdr:cxnSp macro="">
      <xdr:nvCxnSpPr>
        <xdr:cNvPr id="440" name="Straight Connector 439"/>
        <xdr:cNvCxnSpPr/>
      </xdr:nvCxnSpPr>
      <xdr:spPr>
        <a:xfrm>
          <a:off x="2838986" y="41088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216</xdr:row>
      <xdr:rowOff>74935</xdr:rowOff>
    </xdr:from>
    <xdr:to>
      <xdr:col>5</xdr:col>
      <xdr:colOff>2924</xdr:colOff>
      <xdr:row>216</xdr:row>
      <xdr:rowOff>74935</xdr:rowOff>
    </xdr:to>
    <xdr:cxnSp macro="">
      <xdr:nvCxnSpPr>
        <xdr:cNvPr id="441" name="Straight Connector 440"/>
        <xdr:cNvCxnSpPr/>
      </xdr:nvCxnSpPr>
      <xdr:spPr>
        <a:xfrm>
          <a:off x="2838986" y="41659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219</xdr:row>
      <xdr:rowOff>74935</xdr:rowOff>
    </xdr:from>
    <xdr:to>
      <xdr:col>5</xdr:col>
      <xdr:colOff>2924</xdr:colOff>
      <xdr:row>219</xdr:row>
      <xdr:rowOff>74935</xdr:rowOff>
    </xdr:to>
    <xdr:cxnSp macro="">
      <xdr:nvCxnSpPr>
        <xdr:cNvPr id="443" name="Straight Connector 442"/>
        <xdr:cNvCxnSpPr/>
      </xdr:nvCxnSpPr>
      <xdr:spPr>
        <a:xfrm>
          <a:off x="2838986" y="42231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222</xdr:row>
      <xdr:rowOff>74935</xdr:rowOff>
    </xdr:from>
    <xdr:to>
      <xdr:col>5</xdr:col>
      <xdr:colOff>2924</xdr:colOff>
      <xdr:row>222</xdr:row>
      <xdr:rowOff>74935</xdr:rowOff>
    </xdr:to>
    <xdr:cxnSp macro="">
      <xdr:nvCxnSpPr>
        <xdr:cNvPr id="444" name="Straight Connector 443"/>
        <xdr:cNvCxnSpPr/>
      </xdr:nvCxnSpPr>
      <xdr:spPr>
        <a:xfrm>
          <a:off x="2838986" y="42802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225</xdr:row>
      <xdr:rowOff>74935</xdr:rowOff>
    </xdr:from>
    <xdr:to>
      <xdr:col>5</xdr:col>
      <xdr:colOff>2924</xdr:colOff>
      <xdr:row>225</xdr:row>
      <xdr:rowOff>74935</xdr:rowOff>
    </xdr:to>
    <xdr:cxnSp macro="">
      <xdr:nvCxnSpPr>
        <xdr:cNvPr id="445" name="Straight Connector 444"/>
        <xdr:cNvCxnSpPr/>
      </xdr:nvCxnSpPr>
      <xdr:spPr>
        <a:xfrm>
          <a:off x="2838986" y="43374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228</xdr:row>
      <xdr:rowOff>74935</xdr:rowOff>
    </xdr:from>
    <xdr:to>
      <xdr:col>5</xdr:col>
      <xdr:colOff>2924</xdr:colOff>
      <xdr:row>228</xdr:row>
      <xdr:rowOff>74935</xdr:rowOff>
    </xdr:to>
    <xdr:cxnSp macro="">
      <xdr:nvCxnSpPr>
        <xdr:cNvPr id="446" name="Straight Connector 445"/>
        <xdr:cNvCxnSpPr/>
      </xdr:nvCxnSpPr>
      <xdr:spPr>
        <a:xfrm>
          <a:off x="2838986" y="43945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231</xdr:row>
      <xdr:rowOff>74935</xdr:rowOff>
    </xdr:from>
    <xdr:to>
      <xdr:col>5</xdr:col>
      <xdr:colOff>2924</xdr:colOff>
      <xdr:row>231</xdr:row>
      <xdr:rowOff>74935</xdr:rowOff>
    </xdr:to>
    <xdr:cxnSp macro="">
      <xdr:nvCxnSpPr>
        <xdr:cNvPr id="447" name="Straight Connector 446"/>
        <xdr:cNvCxnSpPr/>
      </xdr:nvCxnSpPr>
      <xdr:spPr>
        <a:xfrm>
          <a:off x="2838986" y="44517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234</xdr:row>
      <xdr:rowOff>74935</xdr:rowOff>
    </xdr:from>
    <xdr:to>
      <xdr:col>5</xdr:col>
      <xdr:colOff>2924</xdr:colOff>
      <xdr:row>234</xdr:row>
      <xdr:rowOff>74935</xdr:rowOff>
    </xdr:to>
    <xdr:cxnSp macro="">
      <xdr:nvCxnSpPr>
        <xdr:cNvPr id="448" name="Straight Connector 447"/>
        <xdr:cNvCxnSpPr/>
      </xdr:nvCxnSpPr>
      <xdr:spPr>
        <a:xfrm>
          <a:off x="2838986" y="45088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237</xdr:row>
      <xdr:rowOff>74935</xdr:rowOff>
    </xdr:from>
    <xdr:to>
      <xdr:col>5</xdr:col>
      <xdr:colOff>2924</xdr:colOff>
      <xdr:row>237</xdr:row>
      <xdr:rowOff>74935</xdr:rowOff>
    </xdr:to>
    <xdr:cxnSp macro="">
      <xdr:nvCxnSpPr>
        <xdr:cNvPr id="449" name="Straight Connector 448"/>
        <xdr:cNvCxnSpPr/>
      </xdr:nvCxnSpPr>
      <xdr:spPr>
        <a:xfrm>
          <a:off x="2838986" y="45660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240</xdr:row>
      <xdr:rowOff>74935</xdr:rowOff>
    </xdr:from>
    <xdr:to>
      <xdr:col>5</xdr:col>
      <xdr:colOff>2924</xdr:colOff>
      <xdr:row>240</xdr:row>
      <xdr:rowOff>74935</xdr:rowOff>
    </xdr:to>
    <xdr:cxnSp macro="">
      <xdr:nvCxnSpPr>
        <xdr:cNvPr id="450" name="Straight Connector 449"/>
        <xdr:cNvCxnSpPr/>
      </xdr:nvCxnSpPr>
      <xdr:spPr>
        <a:xfrm>
          <a:off x="2838986" y="46231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243</xdr:row>
      <xdr:rowOff>74935</xdr:rowOff>
    </xdr:from>
    <xdr:to>
      <xdr:col>5</xdr:col>
      <xdr:colOff>2924</xdr:colOff>
      <xdr:row>243</xdr:row>
      <xdr:rowOff>74935</xdr:rowOff>
    </xdr:to>
    <xdr:cxnSp macro="">
      <xdr:nvCxnSpPr>
        <xdr:cNvPr id="451" name="Straight Connector 450"/>
        <xdr:cNvCxnSpPr/>
      </xdr:nvCxnSpPr>
      <xdr:spPr>
        <a:xfrm>
          <a:off x="2838986" y="46803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246</xdr:row>
      <xdr:rowOff>74935</xdr:rowOff>
    </xdr:from>
    <xdr:to>
      <xdr:col>5</xdr:col>
      <xdr:colOff>2924</xdr:colOff>
      <xdr:row>246</xdr:row>
      <xdr:rowOff>74935</xdr:rowOff>
    </xdr:to>
    <xdr:cxnSp macro="">
      <xdr:nvCxnSpPr>
        <xdr:cNvPr id="452" name="Straight Connector 451"/>
        <xdr:cNvCxnSpPr/>
      </xdr:nvCxnSpPr>
      <xdr:spPr>
        <a:xfrm>
          <a:off x="2838986" y="47374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249</xdr:row>
      <xdr:rowOff>74935</xdr:rowOff>
    </xdr:from>
    <xdr:to>
      <xdr:col>5</xdr:col>
      <xdr:colOff>2924</xdr:colOff>
      <xdr:row>249</xdr:row>
      <xdr:rowOff>74935</xdr:rowOff>
    </xdr:to>
    <xdr:cxnSp macro="">
      <xdr:nvCxnSpPr>
        <xdr:cNvPr id="453" name="Straight Connector 452"/>
        <xdr:cNvCxnSpPr/>
      </xdr:nvCxnSpPr>
      <xdr:spPr>
        <a:xfrm>
          <a:off x="2838986" y="47946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252</xdr:row>
      <xdr:rowOff>74935</xdr:rowOff>
    </xdr:from>
    <xdr:to>
      <xdr:col>5</xdr:col>
      <xdr:colOff>2924</xdr:colOff>
      <xdr:row>252</xdr:row>
      <xdr:rowOff>74935</xdr:rowOff>
    </xdr:to>
    <xdr:cxnSp macro="">
      <xdr:nvCxnSpPr>
        <xdr:cNvPr id="454" name="Straight Connector 453"/>
        <xdr:cNvCxnSpPr/>
      </xdr:nvCxnSpPr>
      <xdr:spPr>
        <a:xfrm>
          <a:off x="2838986" y="48517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255</xdr:row>
      <xdr:rowOff>74935</xdr:rowOff>
    </xdr:from>
    <xdr:to>
      <xdr:col>5</xdr:col>
      <xdr:colOff>2924</xdr:colOff>
      <xdr:row>255</xdr:row>
      <xdr:rowOff>74935</xdr:rowOff>
    </xdr:to>
    <xdr:cxnSp macro="">
      <xdr:nvCxnSpPr>
        <xdr:cNvPr id="455" name="Straight Connector 454"/>
        <xdr:cNvCxnSpPr/>
      </xdr:nvCxnSpPr>
      <xdr:spPr>
        <a:xfrm>
          <a:off x="2838986" y="49089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258</xdr:row>
      <xdr:rowOff>74935</xdr:rowOff>
    </xdr:from>
    <xdr:to>
      <xdr:col>5</xdr:col>
      <xdr:colOff>2924</xdr:colOff>
      <xdr:row>258</xdr:row>
      <xdr:rowOff>74935</xdr:rowOff>
    </xdr:to>
    <xdr:cxnSp macro="">
      <xdr:nvCxnSpPr>
        <xdr:cNvPr id="456" name="Straight Connector 455"/>
        <xdr:cNvCxnSpPr/>
      </xdr:nvCxnSpPr>
      <xdr:spPr>
        <a:xfrm>
          <a:off x="2838986" y="49660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261</xdr:row>
      <xdr:rowOff>74935</xdr:rowOff>
    </xdr:from>
    <xdr:to>
      <xdr:col>5</xdr:col>
      <xdr:colOff>2924</xdr:colOff>
      <xdr:row>261</xdr:row>
      <xdr:rowOff>74935</xdr:rowOff>
    </xdr:to>
    <xdr:cxnSp macro="">
      <xdr:nvCxnSpPr>
        <xdr:cNvPr id="457" name="Straight Connector 456"/>
        <xdr:cNvCxnSpPr/>
      </xdr:nvCxnSpPr>
      <xdr:spPr>
        <a:xfrm>
          <a:off x="2838986" y="50232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264</xdr:row>
      <xdr:rowOff>74935</xdr:rowOff>
    </xdr:from>
    <xdr:to>
      <xdr:col>5</xdr:col>
      <xdr:colOff>2924</xdr:colOff>
      <xdr:row>264</xdr:row>
      <xdr:rowOff>74935</xdr:rowOff>
    </xdr:to>
    <xdr:cxnSp macro="">
      <xdr:nvCxnSpPr>
        <xdr:cNvPr id="458" name="Straight Connector 457"/>
        <xdr:cNvCxnSpPr/>
      </xdr:nvCxnSpPr>
      <xdr:spPr>
        <a:xfrm>
          <a:off x="2838986" y="50803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267</xdr:row>
      <xdr:rowOff>74935</xdr:rowOff>
    </xdr:from>
    <xdr:to>
      <xdr:col>5</xdr:col>
      <xdr:colOff>2924</xdr:colOff>
      <xdr:row>267</xdr:row>
      <xdr:rowOff>74935</xdr:rowOff>
    </xdr:to>
    <xdr:cxnSp macro="">
      <xdr:nvCxnSpPr>
        <xdr:cNvPr id="459" name="Straight Connector 458"/>
        <xdr:cNvCxnSpPr/>
      </xdr:nvCxnSpPr>
      <xdr:spPr>
        <a:xfrm>
          <a:off x="2838986" y="51375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270</xdr:row>
      <xdr:rowOff>74935</xdr:rowOff>
    </xdr:from>
    <xdr:to>
      <xdr:col>5</xdr:col>
      <xdr:colOff>2924</xdr:colOff>
      <xdr:row>270</xdr:row>
      <xdr:rowOff>74935</xdr:rowOff>
    </xdr:to>
    <xdr:cxnSp macro="">
      <xdr:nvCxnSpPr>
        <xdr:cNvPr id="460" name="Straight Connector 459"/>
        <xdr:cNvCxnSpPr/>
      </xdr:nvCxnSpPr>
      <xdr:spPr>
        <a:xfrm>
          <a:off x="2838986" y="51946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273</xdr:row>
      <xdr:rowOff>74935</xdr:rowOff>
    </xdr:from>
    <xdr:to>
      <xdr:col>5</xdr:col>
      <xdr:colOff>2924</xdr:colOff>
      <xdr:row>273</xdr:row>
      <xdr:rowOff>74935</xdr:rowOff>
    </xdr:to>
    <xdr:cxnSp macro="">
      <xdr:nvCxnSpPr>
        <xdr:cNvPr id="461" name="Straight Connector 460"/>
        <xdr:cNvCxnSpPr/>
      </xdr:nvCxnSpPr>
      <xdr:spPr>
        <a:xfrm>
          <a:off x="2838986" y="52518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276</xdr:row>
      <xdr:rowOff>74935</xdr:rowOff>
    </xdr:from>
    <xdr:to>
      <xdr:col>5</xdr:col>
      <xdr:colOff>2924</xdr:colOff>
      <xdr:row>276</xdr:row>
      <xdr:rowOff>74935</xdr:rowOff>
    </xdr:to>
    <xdr:cxnSp macro="">
      <xdr:nvCxnSpPr>
        <xdr:cNvPr id="469" name="Straight Connector 468"/>
        <xdr:cNvCxnSpPr/>
      </xdr:nvCxnSpPr>
      <xdr:spPr>
        <a:xfrm>
          <a:off x="2838986" y="53089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282</xdr:row>
      <xdr:rowOff>74935</xdr:rowOff>
    </xdr:from>
    <xdr:to>
      <xdr:col>5</xdr:col>
      <xdr:colOff>2924</xdr:colOff>
      <xdr:row>282</xdr:row>
      <xdr:rowOff>74935</xdr:rowOff>
    </xdr:to>
    <xdr:cxnSp macro="">
      <xdr:nvCxnSpPr>
        <xdr:cNvPr id="470" name="Straight Connector 469"/>
        <xdr:cNvCxnSpPr/>
      </xdr:nvCxnSpPr>
      <xdr:spPr>
        <a:xfrm>
          <a:off x="2838986" y="53661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279</xdr:row>
      <xdr:rowOff>74935</xdr:rowOff>
    </xdr:from>
    <xdr:to>
      <xdr:col>5</xdr:col>
      <xdr:colOff>2924</xdr:colOff>
      <xdr:row>279</xdr:row>
      <xdr:rowOff>74935</xdr:rowOff>
    </xdr:to>
    <xdr:cxnSp macro="">
      <xdr:nvCxnSpPr>
        <xdr:cNvPr id="471" name="Straight Connector 470"/>
        <xdr:cNvCxnSpPr/>
      </xdr:nvCxnSpPr>
      <xdr:spPr>
        <a:xfrm>
          <a:off x="2838986" y="54232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288</xdr:row>
      <xdr:rowOff>74935</xdr:rowOff>
    </xdr:from>
    <xdr:to>
      <xdr:col>5</xdr:col>
      <xdr:colOff>2924</xdr:colOff>
      <xdr:row>288</xdr:row>
      <xdr:rowOff>74935</xdr:rowOff>
    </xdr:to>
    <xdr:cxnSp macro="">
      <xdr:nvCxnSpPr>
        <xdr:cNvPr id="472" name="Straight Connector 471"/>
        <xdr:cNvCxnSpPr/>
      </xdr:nvCxnSpPr>
      <xdr:spPr>
        <a:xfrm>
          <a:off x="2838986" y="55375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285</xdr:row>
      <xdr:rowOff>74935</xdr:rowOff>
    </xdr:from>
    <xdr:to>
      <xdr:col>5</xdr:col>
      <xdr:colOff>2924</xdr:colOff>
      <xdr:row>285</xdr:row>
      <xdr:rowOff>74935</xdr:rowOff>
    </xdr:to>
    <xdr:cxnSp macro="">
      <xdr:nvCxnSpPr>
        <xdr:cNvPr id="473" name="Straight Connector 472"/>
        <xdr:cNvCxnSpPr/>
      </xdr:nvCxnSpPr>
      <xdr:spPr>
        <a:xfrm>
          <a:off x="2838986" y="54804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294</xdr:row>
      <xdr:rowOff>74935</xdr:rowOff>
    </xdr:from>
    <xdr:to>
      <xdr:col>5</xdr:col>
      <xdr:colOff>2924</xdr:colOff>
      <xdr:row>294</xdr:row>
      <xdr:rowOff>74935</xdr:rowOff>
    </xdr:to>
    <xdr:cxnSp macro="">
      <xdr:nvCxnSpPr>
        <xdr:cNvPr id="474" name="Straight Connector 473"/>
        <xdr:cNvCxnSpPr/>
      </xdr:nvCxnSpPr>
      <xdr:spPr>
        <a:xfrm>
          <a:off x="2838986" y="56518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291</xdr:row>
      <xdr:rowOff>74935</xdr:rowOff>
    </xdr:from>
    <xdr:to>
      <xdr:col>5</xdr:col>
      <xdr:colOff>2924</xdr:colOff>
      <xdr:row>291</xdr:row>
      <xdr:rowOff>74935</xdr:rowOff>
    </xdr:to>
    <xdr:cxnSp macro="">
      <xdr:nvCxnSpPr>
        <xdr:cNvPr id="475" name="Straight Connector 474"/>
        <xdr:cNvCxnSpPr/>
      </xdr:nvCxnSpPr>
      <xdr:spPr>
        <a:xfrm>
          <a:off x="2838986" y="55947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300</xdr:row>
      <xdr:rowOff>74935</xdr:rowOff>
    </xdr:from>
    <xdr:to>
      <xdr:col>5</xdr:col>
      <xdr:colOff>2924</xdr:colOff>
      <xdr:row>300</xdr:row>
      <xdr:rowOff>74935</xdr:rowOff>
    </xdr:to>
    <xdr:cxnSp macro="">
      <xdr:nvCxnSpPr>
        <xdr:cNvPr id="476" name="Straight Connector 475"/>
        <xdr:cNvCxnSpPr/>
      </xdr:nvCxnSpPr>
      <xdr:spPr>
        <a:xfrm>
          <a:off x="2838986" y="57661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297</xdr:row>
      <xdr:rowOff>74935</xdr:rowOff>
    </xdr:from>
    <xdr:to>
      <xdr:col>5</xdr:col>
      <xdr:colOff>2924</xdr:colOff>
      <xdr:row>297</xdr:row>
      <xdr:rowOff>74935</xdr:rowOff>
    </xdr:to>
    <xdr:cxnSp macro="">
      <xdr:nvCxnSpPr>
        <xdr:cNvPr id="479" name="Straight Connector 478"/>
        <xdr:cNvCxnSpPr/>
      </xdr:nvCxnSpPr>
      <xdr:spPr>
        <a:xfrm>
          <a:off x="2838986" y="57090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306</xdr:row>
      <xdr:rowOff>74935</xdr:rowOff>
    </xdr:from>
    <xdr:to>
      <xdr:col>5</xdr:col>
      <xdr:colOff>2924</xdr:colOff>
      <xdr:row>306</xdr:row>
      <xdr:rowOff>74935</xdr:rowOff>
    </xdr:to>
    <xdr:cxnSp macro="">
      <xdr:nvCxnSpPr>
        <xdr:cNvPr id="480" name="Straight Connector 479"/>
        <xdr:cNvCxnSpPr/>
      </xdr:nvCxnSpPr>
      <xdr:spPr>
        <a:xfrm>
          <a:off x="2838986" y="58804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303</xdr:row>
      <xdr:rowOff>74935</xdr:rowOff>
    </xdr:from>
    <xdr:to>
      <xdr:col>5</xdr:col>
      <xdr:colOff>2924</xdr:colOff>
      <xdr:row>303</xdr:row>
      <xdr:rowOff>74935</xdr:rowOff>
    </xdr:to>
    <xdr:cxnSp macro="">
      <xdr:nvCxnSpPr>
        <xdr:cNvPr id="481" name="Straight Connector 480"/>
        <xdr:cNvCxnSpPr/>
      </xdr:nvCxnSpPr>
      <xdr:spPr>
        <a:xfrm>
          <a:off x="2838986" y="58233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312</xdr:row>
      <xdr:rowOff>74935</xdr:rowOff>
    </xdr:from>
    <xdr:to>
      <xdr:col>5</xdr:col>
      <xdr:colOff>2924</xdr:colOff>
      <xdr:row>312</xdr:row>
      <xdr:rowOff>74935</xdr:rowOff>
    </xdr:to>
    <xdr:cxnSp macro="">
      <xdr:nvCxnSpPr>
        <xdr:cNvPr id="482" name="Straight Connector 481"/>
        <xdr:cNvCxnSpPr/>
      </xdr:nvCxnSpPr>
      <xdr:spPr>
        <a:xfrm>
          <a:off x="2838986" y="59947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309</xdr:row>
      <xdr:rowOff>74935</xdr:rowOff>
    </xdr:from>
    <xdr:to>
      <xdr:col>5</xdr:col>
      <xdr:colOff>2924</xdr:colOff>
      <xdr:row>309</xdr:row>
      <xdr:rowOff>74935</xdr:rowOff>
    </xdr:to>
    <xdr:cxnSp macro="">
      <xdr:nvCxnSpPr>
        <xdr:cNvPr id="483" name="Straight Connector 482"/>
        <xdr:cNvCxnSpPr/>
      </xdr:nvCxnSpPr>
      <xdr:spPr>
        <a:xfrm>
          <a:off x="2838986" y="59376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318</xdr:row>
      <xdr:rowOff>74935</xdr:rowOff>
    </xdr:from>
    <xdr:to>
      <xdr:col>5</xdr:col>
      <xdr:colOff>2924</xdr:colOff>
      <xdr:row>318</xdr:row>
      <xdr:rowOff>74935</xdr:rowOff>
    </xdr:to>
    <xdr:cxnSp macro="">
      <xdr:nvCxnSpPr>
        <xdr:cNvPr id="484" name="Straight Connector 483"/>
        <xdr:cNvCxnSpPr/>
      </xdr:nvCxnSpPr>
      <xdr:spPr>
        <a:xfrm>
          <a:off x="2838986" y="61090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315</xdr:row>
      <xdr:rowOff>74935</xdr:rowOff>
    </xdr:from>
    <xdr:to>
      <xdr:col>5</xdr:col>
      <xdr:colOff>2924</xdr:colOff>
      <xdr:row>315</xdr:row>
      <xdr:rowOff>74935</xdr:rowOff>
    </xdr:to>
    <xdr:cxnSp macro="">
      <xdr:nvCxnSpPr>
        <xdr:cNvPr id="486" name="Straight Connector 485"/>
        <xdr:cNvCxnSpPr/>
      </xdr:nvCxnSpPr>
      <xdr:spPr>
        <a:xfrm>
          <a:off x="2838986" y="60519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324</xdr:row>
      <xdr:rowOff>74935</xdr:rowOff>
    </xdr:from>
    <xdr:to>
      <xdr:col>5</xdr:col>
      <xdr:colOff>2924</xdr:colOff>
      <xdr:row>324</xdr:row>
      <xdr:rowOff>74935</xdr:rowOff>
    </xdr:to>
    <xdr:cxnSp macro="">
      <xdr:nvCxnSpPr>
        <xdr:cNvPr id="487" name="Straight Connector 486"/>
        <xdr:cNvCxnSpPr/>
      </xdr:nvCxnSpPr>
      <xdr:spPr>
        <a:xfrm>
          <a:off x="2838986" y="62233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321</xdr:row>
      <xdr:rowOff>74935</xdr:rowOff>
    </xdr:from>
    <xdr:to>
      <xdr:col>5</xdr:col>
      <xdr:colOff>2924</xdr:colOff>
      <xdr:row>321</xdr:row>
      <xdr:rowOff>74935</xdr:rowOff>
    </xdr:to>
    <xdr:cxnSp macro="">
      <xdr:nvCxnSpPr>
        <xdr:cNvPr id="488" name="Straight Connector 487"/>
        <xdr:cNvCxnSpPr/>
      </xdr:nvCxnSpPr>
      <xdr:spPr>
        <a:xfrm>
          <a:off x="2838986" y="61662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333</xdr:row>
      <xdr:rowOff>74935</xdr:rowOff>
    </xdr:from>
    <xdr:to>
      <xdr:col>5</xdr:col>
      <xdr:colOff>2924</xdr:colOff>
      <xdr:row>333</xdr:row>
      <xdr:rowOff>74935</xdr:rowOff>
    </xdr:to>
    <xdr:cxnSp macro="">
      <xdr:nvCxnSpPr>
        <xdr:cNvPr id="489" name="Straight Connector 488"/>
        <xdr:cNvCxnSpPr/>
      </xdr:nvCxnSpPr>
      <xdr:spPr>
        <a:xfrm>
          <a:off x="2838986" y="63376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327</xdr:row>
      <xdr:rowOff>74935</xdr:rowOff>
    </xdr:from>
    <xdr:to>
      <xdr:col>5</xdr:col>
      <xdr:colOff>2924</xdr:colOff>
      <xdr:row>327</xdr:row>
      <xdr:rowOff>74935</xdr:rowOff>
    </xdr:to>
    <xdr:cxnSp macro="">
      <xdr:nvCxnSpPr>
        <xdr:cNvPr id="490" name="Straight Connector 489"/>
        <xdr:cNvCxnSpPr/>
      </xdr:nvCxnSpPr>
      <xdr:spPr>
        <a:xfrm>
          <a:off x="2838986" y="62805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330</xdr:row>
      <xdr:rowOff>74935</xdr:rowOff>
    </xdr:from>
    <xdr:to>
      <xdr:col>5</xdr:col>
      <xdr:colOff>2924</xdr:colOff>
      <xdr:row>330</xdr:row>
      <xdr:rowOff>74935</xdr:rowOff>
    </xdr:to>
    <xdr:cxnSp macro="">
      <xdr:nvCxnSpPr>
        <xdr:cNvPr id="491" name="Straight Connector 490"/>
        <xdr:cNvCxnSpPr/>
      </xdr:nvCxnSpPr>
      <xdr:spPr>
        <a:xfrm>
          <a:off x="2838986" y="63948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336</xdr:row>
      <xdr:rowOff>74935</xdr:rowOff>
    </xdr:from>
    <xdr:to>
      <xdr:col>5</xdr:col>
      <xdr:colOff>2924</xdr:colOff>
      <xdr:row>336</xdr:row>
      <xdr:rowOff>74935</xdr:rowOff>
    </xdr:to>
    <xdr:cxnSp macro="">
      <xdr:nvCxnSpPr>
        <xdr:cNvPr id="492" name="Straight Connector 491"/>
        <xdr:cNvCxnSpPr/>
      </xdr:nvCxnSpPr>
      <xdr:spPr>
        <a:xfrm>
          <a:off x="2838986" y="65091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342</xdr:row>
      <xdr:rowOff>74935</xdr:rowOff>
    </xdr:from>
    <xdr:to>
      <xdr:col>5</xdr:col>
      <xdr:colOff>2924</xdr:colOff>
      <xdr:row>342</xdr:row>
      <xdr:rowOff>74935</xdr:rowOff>
    </xdr:to>
    <xdr:cxnSp macro="">
      <xdr:nvCxnSpPr>
        <xdr:cNvPr id="493" name="Straight Connector 492"/>
        <xdr:cNvCxnSpPr/>
      </xdr:nvCxnSpPr>
      <xdr:spPr>
        <a:xfrm>
          <a:off x="2838986" y="65091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339</xdr:row>
      <xdr:rowOff>74935</xdr:rowOff>
    </xdr:from>
    <xdr:to>
      <xdr:col>5</xdr:col>
      <xdr:colOff>2924</xdr:colOff>
      <xdr:row>339</xdr:row>
      <xdr:rowOff>74935</xdr:rowOff>
    </xdr:to>
    <xdr:cxnSp macro="">
      <xdr:nvCxnSpPr>
        <xdr:cNvPr id="548" name="Straight Connector 547"/>
        <xdr:cNvCxnSpPr/>
      </xdr:nvCxnSpPr>
      <xdr:spPr>
        <a:xfrm>
          <a:off x="2838986" y="64519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348</xdr:row>
      <xdr:rowOff>74935</xdr:rowOff>
    </xdr:from>
    <xdr:to>
      <xdr:col>5</xdr:col>
      <xdr:colOff>2924</xdr:colOff>
      <xdr:row>348</xdr:row>
      <xdr:rowOff>74935</xdr:rowOff>
    </xdr:to>
    <xdr:cxnSp macro="">
      <xdr:nvCxnSpPr>
        <xdr:cNvPr id="549" name="Straight Connector 548"/>
        <xdr:cNvCxnSpPr/>
      </xdr:nvCxnSpPr>
      <xdr:spPr>
        <a:xfrm>
          <a:off x="2838986" y="66805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345</xdr:row>
      <xdr:rowOff>74935</xdr:rowOff>
    </xdr:from>
    <xdr:to>
      <xdr:col>5</xdr:col>
      <xdr:colOff>2924</xdr:colOff>
      <xdr:row>345</xdr:row>
      <xdr:rowOff>74935</xdr:rowOff>
    </xdr:to>
    <xdr:cxnSp macro="">
      <xdr:nvCxnSpPr>
        <xdr:cNvPr id="550" name="Straight Connector 549"/>
        <xdr:cNvCxnSpPr/>
      </xdr:nvCxnSpPr>
      <xdr:spPr>
        <a:xfrm>
          <a:off x="2838986" y="66234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357</xdr:row>
      <xdr:rowOff>74935</xdr:rowOff>
    </xdr:from>
    <xdr:to>
      <xdr:col>5</xdr:col>
      <xdr:colOff>2924</xdr:colOff>
      <xdr:row>357</xdr:row>
      <xdr:rowOff>74935</xdr:rowOff>
    </xdr:to>
    <xdr:cxnSp macro="">
      <xdr:nvCxnSpPr>
        <xdr:cNvPr id="551" name="Straight Connector 550"/>
        <xdr:cNvCxnSpPr/>
      </xdr:nvCxnSpPr>
      <xdr:spPr>
        <a:xfrm>
          <a:off x="2838986" y="67948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354</xdr:row>
      <xdr:rowOff>74935</xdr:rowOff>
    </xdr:from>
    <xdr:to>
      <xdr:col>5</xdr:col>
      <xdr:colOff>2924</xdr:colOff>
      <xdr:row>354</xdr:row>
      <xdr:rowOff>74935</xdr:rowOff>
    </xdr:to>
    <xdr:cxnSp macro="">
      <xdr:nvCxnSpPr>
        <xdr:cNvPr id="552" name="Straight Connector 551"/>
        <xdr:cNvCxnSpPr/>
      </xdr:nvCxnSpPr>
      <xdr:spPr>
        <a:xfrm>
          <a:off x="2838986" y="67377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351</xdr:row>
      <xdr:rowOff>74935</xdr:rowOff>
    </xdr:from>
    <xdr:to>
      <xdr:col>5</xdr:col>
      <xdr:colOff>2924</xdr:colOff>
      <xdr:row>351</xdr:row>
      <xdr:rowOff>74935</xdr:rowOff>
    </xdr:to>
    <xdr:cxnSp macro="">
      <xdr:nvCxnSpPr>
        <xdr:cNvPr id="553" name="Straight Connector 552"/>
        <xdr:cNvCxnSpPr/>
      </xdr:nvCxnSpPr>
      <xdr:spPr>
        <a:xfrm>
          <a:off x="2838986" y="67948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360</xdr:row>
      <xdr:rowOff>74935</xdr:rowOff>
    </xdr:from>
    <xdr:to>
      <xdr:col>5</xdr:col>
      <xdr:colOff>2924</xdr:colOff>
      <xdr:row>360</xdr:row>
      <xdr:rowOff>74935</xdr:rowOff>
    </xdr:to>
    <xdr:cxnSp macro="">
      <xdr:nvCxnSpPr>
        <xdr:cNvPr id="554" name="Straight Connector 553"/>
        <xdr:cNvCxnSpPr/>
      </xdr:nvCxnSpPr>
      <xdr:spPr>
        <a:xfrm>
          <a:off x="2838986" y="69663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366</xdr:row>
      <xdr:rowOff>74935</xdr:rowOff>
    </xdr:from>
    <xdr:to>
      <xdr:col>5</xdr:col>
      <xdr:colOff>2924</xdr:colOff>
      <xdr:row>366</xdr:row>
      <xdr:rowOff>74935</xdr:rowOff>
    </xdr:to>
    <xdr:cxnSp macro="">
      <xdr:nvCxnSpPr>
        <xdr:cNvPr id="555" name="Straight Connector 554"/>
        <xdr:cNvCxnSpPr/>
      </xdr:nvCxnSpPr>
      <xdr:spPr>
        <a:xfrm>
          <a:off x="2838986" y="69663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363</xdr:row>
      <xdr:rowOff>74935</xdr:rowOff>
    </xdr:from>
    <xdr:to>
      <xdr:col>5</xdr:col>
      <xdr:colOff>2924</xdr:colOff>
      <xdr:row>363</xdr:row>
      <xdr:rowOff>74935</xdr:rowOff>
    </xdr:to>
    <xdr:cxnSp macro="">
      <xdr:nvCxnSpPr>
        <xdr:cNvPr id="556" name="Straight Connector 555"/>
        <xdr:cNvCxnSpPr/>
      </xdr:nvCxnSpPr>
      <xdr:spPr>
        <a:xfrm>
          <a:off x="2838986" y="69091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372</xdr:row>
      <xdr:rowOff>74935</xdr:rowOff>
    </xdr:from>
    <xdr:to>
      <xdr:col>5</xdr:col>
      <xdr:colOff>2924</xdr:colOff>
      <xdr:row>372</xdr:row>
      <xdr:rowOff>74935</xdr:rowOff>
    </xdr:to>
    <xdr:cxnSp macro="">
      <xdr:nvCxnSpPr>
        <xdr:cNvPr id="558" name="Straight Connector 557"/>
        <xdr:cNvCxnSpPr/>
      </xdr:nvCxnSpPr>
      <xdr:spPr>
        <a:xfrm>
          <a:off x="2838986" y="71377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369</xdr:row>
      <xdr:rowOff>74935</xdr:rowOff>
    </xdr:from>
    <xdr:to>
      <xdr:col>5</xdr:col>
      <xdr:colOff>2924</xdr:colOff>
      <xdr:row>369</xdr:row>
      <xdr:rowOff>74935</xdr:rowOff>
    </xdr:to>
    <xdr:cxnSp macro="">
      <xdr:nvCxnSpPr>
        <xdr:cNvPr id="559" name="Straight Connector 558"/>
        <xdr:cNvCxnSpPr/>
      </xdr:nvCxnSpPr>
      <xdr:spPr>
        <a:xfrm>
          <a:off x="2838986" y="70806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378</xdr:row>
      <xdr:rowOff>74935</xdr:rowOff>
    </xdr:from>
    <xdr:to>
      <xdr:col>5</xdr:col>
      <xdr:colOff>2924</xdr:colOff>
      <xdr:row>378</xdr:row>
      <xdr:rowOff>74935</xdr:rowOff>
    </xdr:to>
    <xdr:cxnSp macro="">
      <xdr:nvCxnSpPr>
        <xdr:cNvPr id="560" name="Straight Connector 559"/>
        <xdr:cNvCxnSpPr/>
      </xdr:nvCxnSpPr>
      <xdr:spPr>
        <a:xfrm>
          <a:off x="2838986" y="72520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375</xdr:row>
      <xdr:rowOff>74935</xdr:rowOff>
    </xdr:from>
    <xdr:to>
      <xdr:col>5</xdr:col>
      <xdr:colOff>2924</xdr:colOff>
      <xdr:row>375</xdr:row>
      <xdr:rowOff>74935</xdr:rowOff>
    </xdr:to>
    <xdr:cxnSp macro="">
      <xdr:nvCxnSpPr>
        <xdr:cNvPr id="561" name="Straight Connector 560"/>
        <xdr:cNvCxnSpPr/>
      </xdr:nvCxnSpPr>
      <xdr:spPr>
        <a:xfrm>
          <a:off x="2838986" y="71949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381</xdr:row>
      <xdr:rowOff>74935</xdr:rowOff>
    </xdr:from>
    <xdr:to>
      <xdr:col>5</xdr:col>
      <xdr:colOff>2924</xdr:colOff>
      <xdr:row>381</xdr:row>
      <xdr:rowOff>74935</xdr:rowOff>
    </xdr:to>
    <xdr:cxnSp macro="">
      <xdr:nvCxnSpPr>
        <xdr:cNvPr id="562" name="Straight Connector 561"/>
        <xdr:cNvCxnSpPr/>
      </xdr:nvCxnSpPr>
      <xdr:spPr>
        <a:xfrm>
          <a:off x="2838986" y="53089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384</xdr:row>
      <xdr:rowOff>74935</xdr:rowOff>
    </xdr:from>
    <xdr:to>
      <xdr:col>5</xdr:col>
      <xdr:colOff>2924</xdr:colOff>
      <xdr:row>384</xdr:row>
      <xdr:rowOff>74935</xdr:rowOff>
    </xdr:to>
    <xdr:cxnSp macro="">
      <xdr:nvCxnSpPr>
        <xdr:cNvPr id="563" name="Straight Connector 562"/>
        <xdr:cNvCxnSpPr/>
      </xdr:nvCxnSpPr>
      <xdr:spPr>
        <a:xfrm>
          <a:off x="2838986" y="53661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387</xdr:row>
      <xdr:rowOff>74935</xdr:rowOff>
    </xdr:from>
    <xdr:to>
      <xdr:col>5</xdr:col>
      <xdr:colOff>2924</xdr:colOff>
      <xdr:row>387</xdr:row>
      <xdr:rowOff>74935</xdr:rowOff>
    </xdr:to>
    <xdr:cxnSp macro="">
      <xdr:nvCxnSpPr>
        <xdr:cNvPr id="564" name="Straight Connector 563"/>
        <xdr:cNvCxnSpPr/>
      </xdr:nvCxnSpPr>
      <xdr:spPr>
        <a:xfrm>
          <a:off x="2838986" y="45088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390</xdr:row>
      <xdr:rowOff>74935</xdr:rowOff>
    </xdr:from>
    <xdr:to>
      <xdr:col>5</xdr:col>
      <xdr:colOff>2924</xdr:colOff>
      <xdr:row>390</xdr:row>
      <xdr:rowOff>74935</xdr:rowOff>
    </xdr:to>
    <xdr:cxnSp macro="">
      <xdr:nvCxnSpPr>
        <xdr:cNvPr id="565" name="Straight Connector 564"/>
        <xdr:cNvCxnSpPr/>
      </xdr:nvCxnSpPr>
      <xdr:spPr>
        <a:xfrm>
          <a:off x="2838986" y="45660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393</xdr:row>
      <xdr:rowOff>74935</xdr:rowOff>
    </xdr:from>
    <xdr:to>
      <xdr:col>5</xdr:col>
      <xdr:colOff>2924</xdr:colOff>
      <xdr:row>393</xdr:row>
      <xdr:rowOff>74935</xdr:rowOff>
    </xdr:to>
    <xdr:cxnSp macro="">
      <xdr:nvCxnSpPr>
        <xdr:cNvPr id="566" name="Straight Connector 565"/>
        <xdr:cNvCxnSpPr/>
      </xdr:nvCxnSpPr>
      <xdr:spPr>
        <a:xfrm>
          <a:off x="2838986" y="46231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396</xdr:row>
      <xdr:rowOff>74935</xdr:rowOff>
    </xdr:from>
    <xdr:to>
      <xdr:col>5</xdr:col>
      <xdr:colOff>2924</xdr:colOff>
      <xdr:row>396</xdr:row>
      <xdr:rowOff>74935</xdr:rowOff>
    </xdr:to>
    <xdr:cxnSp macro="">
      <xdr:nvCxnSpPr>
        <xdr:cNvPr id="567" name="Straight Connector 566"/>
        <xdr:cNvCxnSpPr/>
      </xdr:nvCxnSpPr>
      <xdr:spPr>
        <a:xfrm>
          <a:off x="2838986" y="46803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399</xdr:row>
      <xdr:rowOff>74935</xdr:rowOff>
    </xdr:from>
    <xdr:to>
      <xdr:col>5</xdr:col>
      <xdr:colOff>2924</xdr:colOff>
      <xdr:row>399</xdr:row>
      <xdr:rowOff>74935</xdr:rowOff>
    </xdr:to>
    <xdr:cxnSp macro="">
      <xdr:nvCxnSpPr>
        <xdr:cNvPr id="568" name="Straight Connector 567"/>
        <xdr:cNvCxnSpPr/>
      </xdr:nvCxnSpPr>
      <xdr:spPr>
        <a:xfrm>
          <a:off x="2838986" y="40516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402</xdr:row>
      <xdr:rowOff>74935</xdr:rowOff>
    </xdr:from>
    <xdr:to>
      <xdr:col>5</xdr:col>
      <xdr:colOff>2924</xdr:colOff>
      <xdr:row>402</xdr:row>
      <xdr:rowOff>74935</xdr:rowOff>
    </xdr:to>
    <xdr:cxnSp macro="">
      <xdr:nvCxnSpPr>
        <xdr:cNvPr id="569" name="Straight Connector 568"/>
        <xdr:cNvCxnSpPr/>
      </xdr:nvCxnSpPr>
      <xdr:spPr>
        <a:xfrm>
          <a:off x="2838986" y="41088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405</xdr:row>
      <xdr:rowOff>74935</xdr:rowOff>
    </xdr:from>
    <xdr:to>
      <xdr:col>5</xdr:col>
      <xdr:colOff>2924</xdr:colOff>
      <xdr:row>405</xdr:row>
      <xdr:rowOff>74935</xdr:rowOff>
    </xdr:to>
    <xdr:cxnSp macro="">
      <xdr:nvCxnSpPr>
        <xdr:cNvPr id="570" name="Straight Connector 569"/>
        <xdr:cNvCxnSpPr/>
      </xdr:nvCxnSpPr>
      <xdr:spPr>
        <a:xfrm>
          <a:off x="2838986" y="41659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408</xdr:row>
      <xdr:rowOff>74935</xdr:rowOff>
    </xdr:from>
    <xdr:to>
      <xdr:col>5</xdr:col>
      <xdr:colOff>2924</xdr:colOff>
      <xdr:row>408</xdr:row>
      <xdr:rowOff>74935</xdr:rowOff>
    </xdr:to>
    <xdr:cxnSp macro="">
      <xdr:nvCxnSpPr>
        <xdr:cNvPr id="571" name="Straight Connector 570"/>
        <xdr:cNvCxnSpPr/>
      </xdr:nvCxnSpPr>
      <xdr:spPr>
        <a:xfrm>
          <a:off x="2838986" y="42231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414</xdr:row>
      <xdr:rowOff>74935</xdr:rowOff>
    </xdr:from>
    <xdr:to>
      <xdr:col>5</xdr:col>
      <xdr:colOff>2924</xdr:colOff>
      <xdr:row>414</xdr:row>
      <xdr:rowOff>74935</xdr:rowOff>
    </xdr:to>
    <xdr:cxnSp macro="">
      <xdr:nvCxnSpPr>
        <xdr:cNvPr id="572" name="Straight Connector 571"/>
        <xdr:cNvCxnSpPr/>
      </xdr:nvCxnSpPr>
      <xdr:spPr>
        <a:xfrm>
          <a:off x="2838986" y="382309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411</xdr:row>
      <xdr:rowOff>74935</xdr:rowOff>
    </xdr:from>
    <xdr:to>
      <xdr:col>5</xdr:col>
      <xdr:colOff>2924</xdr:colOff>
      <xdr:row>411</xdr:row>
      <xdr:rowOff>74935</xdr:rowOff>
    </xdr:to>
    <xdr:cxnSp macro="">
      <xdr:nvCxnSpPr>
        <xdr:cNvPr id="573" name="Straight Connector 572"/>
        <xdr:cNvCxnSpPr/>
      </xdr:nvCxnSpPr>
      <xdr:spPr>
        <a:xfrm>
          <a:off x="2838986" y="37659464"/>
          <a:ext cx="101876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420</xdr:row>
      <xdr:rowOff>74935</xdr:rowOff>
    </xdr:from>
    <xdr:to>
      <xdr:col>5</xdr:col>
      <xdr:colOff>2924</xdr:colOff>
      <xdr:row>420</xdr:row>
      <xdr:rowOff>74935</xdr:rowOff>
    </xdr:to>
    <xdr:cxnSp macro="">
      <xdr:nvCxnSpPr>
        <xdr:cNvPr id="557" name="Straight Connector 556"/>
        <xdr:cNvCxnSpPr/>
      </xdr:nvCxnSpPr>
      <xdr:spPr>
        <a:xfrm>
          <a:off x="2973457" y="80521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417</xdr:row>
      <xdr:rowOff>74935</xdr:rowOff>
    </xdr:from>
    <xdr:to>
      <xdr:col>5</xdr:col>
      <xdr:colOff>2924</xdr:colOff>
      <xdr:row>417</xdr:row>
      <xdr:rowOff>74935</xdr:rowOff>
    </xdr:to>
    <xdr:cxnSp macro="">
      <xdr:nvCxnSpPr>
        <xdr:cNvPr id="574" name="Straight Connector 573"/>
        <xdr:cNvCxnSpPr/>
      </xdr:nvCxnSpPr>
      <xdr:spPr>
        <a:xfrm>
          <a:off x="2973457" y="79950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426</xdr:row>
      <xdr:rowOff>74935</xdr:rowOff>
    </xdr:from>
    <xdr:to>
      <xdr:col>5</xdr:col>
      <xdr:colOff>2924</xdr:colOff>
      <xdr:row>426</xdr:row>
      <xdr:rowOff>74935</xdr:rowOff>
    </xdr:to>
    <xdr:cxnSp macro="">
      <xdr:nvCxnSpPr>
        <xdr:cNvPr id="575" name="Straight Connector 574"/>
        <xdr:cNvCxnSpPr/>
      </xdr:nvCxnSpPr>
      <xdr:spPr>
        <a:xfrm>
          <a:off x="2973457" y="81664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423</xdr:row>
      <xdr:rowOff>74935</xdr:rowOff>
    </xdr:from>
    <xdr:to>
      <xdr:col>5</xdr:col>
      <xdr:colOff>2924</xdr:colOff>
      <xdr:row>423</xdr:row>
      <xdr:rowOff>74935</xdr:rowOff>
    </xdr:to>
    <xdr:cxnSp macro="">
      <xdr:nvCxnSpPr>
        <xdr:cNvPr id="576" name="Straight Connector 575"/>
        <xdr:cNvCxnSpPr/>
      </xdr:nvCxnSpPr>
      <xdr:spPr>
        <a:xfrm>
          <a:off x="2973457" y="81093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432</xdr:row>
      <xdr:rowOff>74935</xdr:rowOff>
    </xdr:from>
    <xdr:to>
      <xdr:col>5</xdr:col>
      <xdr:colOff>2924</xdr:colOff>
      <xdr:row>432</xdr:row>
      <xdr:rowOff>74935</xdr:rowOff>
    </xdr:to>
    <xdr:cxnSp macro="">
      <xdr:nvCxnSpPr>
        <xdr:cNvPr id="577" name="Straight Connector 576"/>
        <xdr:cNvCxnSpPr/>
      </xdr:nvCxnSpPr>
      <xdr:spPr>
        <a:xfrm>
          <a:off x="2973457" y="82807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429</xdr:row>
      <xdr:rowOff>74935</xdr:rowOff>
    </xdr:from>
    <xdr:to>
      <xdr:col>5</xdr:col>
      <xdr:colOff>2924</xdr:colOff>
      <xdr:row>429</xdr:row>
      <xdr:rowOff>74935</xdr:rowOff>
    </xdr:to>
    <xdr:cxnSp macro="">
      <xdr:nvCxnSpPr>
        <xdr:cNvPr id="578" name="Straight Connector 577"/>
        <xdr:cNvCxnSpPr/>
      </xdr:nvCxnSpPr>
      <xdr:spPr>
        <a:xfrm>
          <a:off x="2973457" y="82236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438</xdr:row>
      <xdr:rowOff>74935</xdr:rowOff>
    </xdr:from>
    <xdr:to>
      <xdr:col>5</xdr:col>
      <xdr:colOff>2924</xdr:colOff>
      <xdr:row>438</xdr:row>
      <xdr:rowOff>74935</xdr:rowOff>
    </xdr:to>
    <xdr:cxnSp macro="">
      <xdr:nvCxnSpPr>
        <xdr:cNvPr id="579" name="Straight Connector 578"/>
        <xdr:cNvCxnSpPr/>
      </xdr:nvCxnSpPr>
      <xdr:spPr>
        <a:xfrm>
          <a:off x="2973457" y="83950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435</xdr:row>
      <xdr:rowOff>74935</xdr:rowOff>
    </xdr:from>
    <xdr:to>
      <xdr:col>5</xdr:col>
      <xdr:colOff>2924</xdr:colOff>
      <xdr:row>435</xdr:row>
      <xdr:rowOff>74935</xdr:rowOff>
    </xdr:to>
    <xdr:cxnSp macro="">
      <xdr:nvCxnSpPr>
        <xdr:cNvPr id="580" name="Straight Connector 579"/>
        <xdr:cNvCxnSpPr/>
      </xdr:nvCxnSpPr>
      <xdr:spPr>
        <a:xfrm>
          <a:off x="2973457" y="83379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444</xdr:row>
      <xdr:rowOff>74935</xdr:rowOff>
    </xdr:from>
    <xdr:to>
      <xdr:col>5</xdr:col>
      <xdr:colOff>2924</xdr:colOff>
      <xdr:row>444</xdr:row>
      <xdr:rowOff>74935</xdr:rowOff>
    </xdr:to>
    <xdr:cxnSp macro="">
      <xdr:nvCxnSpPr>
        <xdr:cNvPr id="581" name="Straight Connector 580"/>
        <xdr:cNvCxnSpPr/>
      </xdr:nvCxnSpPr>
      <xdr:spPr>
        <a:xfrm>
          <a:off x="2973457" y="83950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441</xdr:row>
      <xdr:rowOff>74935</xdr:rowOff>
    </xdr:from>
    <xdr:to>
      <xdr:col>5</xdr:col>
      <xdr:colOff>2924</xdr:colOff>
      <xdr:row>441</xdr:row>
      <xdr:rowOff>74935</xdr:rowOff>
    </xdr:to>
    <xdr:cxnSp macro="">
      <xdr:nvCxnSpPr>
        <xdr:cNvPr id="582" name="Straight Connector 581"/>
        <xdr:cNvCxnSpPr/>
      </xdr:nvCxnSpPr>
      <xdr:spPr>
        <a:xfrm>
          <a:off x="2973457" y="83379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450</xdr:row>
      <xdr:rowOff>74935</xdr:rowOff>
    </xdr:from>
    <xdr:to>
      <xdr:col>5</xdr:col>
      <xdr:colOff>2924</xdr:colOff>
      <xdr:row>450</xdr:row>
      <xdr:rowOff>74935</xdr:rowOff>
    </xdr:to>
    <xdr:cxnSp macro="">
      <xdr:nvCxnSpPr>
        <xdr:cNvPr id="583" name="Straight Connector 582"/>
        <xdr:cNvCxnSpPr/>
      </xdr:nvCxnSpPr>
      <xdr:spPr>
        <a:xfrm>
          <a:off x="2973457" y="86236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447</xdr:row>
      <xdr:rowOff>74935</xdr:rowOff>
    </xdr:from>
    <xdr:to>
      <xdr:col>5</xdr:col>
      <xdr:colOff>2924</xdr:colOff>
      <xdr:row>447</xdr:row>
      <xdr:rowOff>74935</xdr:rowOff>
    </xdr:to>
    <xdr:cxnSp macro="">
      <xdr:nvCxnSpPr>
        <xdr:cNvPr id="584" name="Straight Connector 583"/>
        <xdr:cNvCxnSpPr/>
      </xdr:nvCxnSpPr>
      <xdr:spPr>
        <a:xfrm>
          <a:off x="2973457" y="85665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453</xdr:row>
      <xdr:rowOff>74935</xdr:rowOff>
    </xdr:from>
    <xdr:to>
      <xdr:col>5</xdr:col>
      <xdr:colOff>2924</xdr:colOff>
      <xdr:row>453</xdr:row>
      <xdr:rowOff>74935</xdr:rowOff>
    </xdr:to>
    <xdr:cxnSp macro="">
      <xdr:nvCxnSpPr>
        <xdr:cNvPr id="585" name="Straight Connector 584"/>
        <xdr:cNvCxnSpPr/>
      </xdr:nvCxnSpPr>
      <xdr:spPr>
        <a:xfrm>
          <a:off x="2973457" y="87379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459</xdr:row>
      <xdr:rowOff>74935</xdr:rowOff>
    </xdr:from>
    <xdr:to>
      <xdr:col>5</xdr:col>
      <xdr:colOff>2924</xdr:colOff>
      <xdr:row>459</xdr:row>
      <xdr:rowOff>74935</xdr:rowOff>
    </xdr:to>
    <xdr:cxnSp macro="">
      <xdr:nvCxnSpPr>
        <xdr:cNvPr id="586" name="Straight Connector 585"/>
        <xdr:cNvCxnSpPr/>
      </xdr:nvCxnSpPr>
      <xdr:spPr>
        <a:xfrm>
          <a:off x="2973457" y="87379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456</xdr:row>
      <xdr:rowOff>74935</xdr:rowOff>
    </xdr:from>
    <xdr:to>
      <xdr:col>5</xdr:col>
      <xdr:colOff>2924</xdr:colOff>
      <xdr:row>456</xdr:row>
      <xdr:rowOff>74935</xdr:rowOff>
    </xdr:to>
    <xdr:cxnSp macro="">
      <xdr:nvCxnSpPr>
        <xdr:cNvPr id="587" name="Straight Connector 586"/>
        <xdr:cNvCxnSpPr/>
      </xdr:nvCxnSpPr>
      <xdr:spPr>
        <a:xfrm>
          <a:off x="2973457" y="86808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465</xdr:row>
      <xdr:rowOff>74935</xdr:rowOff>
    </xdr:from>
    <xdr:to>
      <xdr:col>5</xdr:col>
      <xdr:colOff>2924</xdr:colOff>
      <xdr:row>465</xdr:row>
      <xdr:rowOff>74935</xdr:rowOff>
    </xdr:to>
    <xdr:cxnSp macro="">
      <xdr:nvCxnSpPr>
        <xdr:cNvPr id="588" name="Straight Connector 587"/>
        <xdr:cNvCxnSpPr/>
      </xdr:nvCxnSpPr>
      <xdr:spPr>
        <a:xfrm>
          <a:off x="2973457" y="89094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462</xdr:row>
      <xdr:rowOff>74935</xdr:rowOff>
    </xdr:from>
    <xdr:to>
      <xdr:col>5</xdr:col>
      <xdr:colOff>2924</xdr:colOff>
      <xdr:row>462</xdr:row>
      <xdr:rowOff>74935</xdr:rowOff>
    </xdr:to>
    <xdr:cxnSp macro="">
      <xdr:nvCxnSpPr>
        <xdr:cNvPr id="589" name="Straight Connector 588"/>
        <xdr:cNvCxnSpPr/>
      </xdr:nvCxnSpPr>
      <xdr:spPr>
        <a:xfrm>
          <a:off x="2973457" y="88522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468</xdr:row>
      <xdr:rowOff>74935</xdr:rowOff>
    </xdr:from>
    <xdr:to>
      <xdr:col>5</xdr:col>
      <xdr:colOff>2924</xdr:colOff>
      <xdr:row>468</xdr:row>
      <xdr:rowOff>74935</xdr:rowOff>
    </xdr:to>
    <xdr:cxnSp macro="">
      <xdr:nvCxnSpPr>
        <xdr:cNvPr id="590" name="Straight Connector 589"/>
        <xdr:cNvCxnSpPr/>
      </xdr:nvCxnSpPr>
      <xdr:spPr>
        <a:xfrm>
          <a:off x="2973457" y="90237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474</xdr:row>
      <xdr:rowOff>74935</xdr:rowOff>
    </xdr:from>
    <xdr:to>
      <xdr:col>5</xdr:col>
      <xdr:colOff>2924</xdr:colOff>
      <xdr:row>474</xdr:row>
      <xdr:rowOff>74935</xdr:rowOff>
    </xdr:to>
    <xdr:cxnSp macro="">
      <xdr:nvCxnSpPr>
        <xdr:cNvPr id="591" name="Straight Connector 590"/>
        <xdr:cNvCxnSpPr/>
      </xdr:nvCxnSpPr>
      <xdr:spPr>
        <a:xfrm>
          <a:off x="2973457" y="87379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471</xdr:row>
      <xdr:rowOff>74935</xdr:rowOff>
    </xdr:from>
    <xdr:to>
      <xdr:col>5</xdr:col>
      <xdr:colOff>2924</xdr:colOff>
      <xdr:row>471</xdr:row>
      <xdr:rowOff>74935</xdr:rowOff>
    </xdr:to>
    <xdr:cxnSp macro="">
      <xdr:nvCxnSpPr>
        <xdr:cNvPr id="592" name="Straight Connector 591"/>
        <xdr:cNvCxnSpPr/>
      </xdr:nvCxnSpPr>
      <xdr:spPr>
        <a:xfrm>
          <a:off x="2973457" y="86808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480</xdr:row>
      <xdr:rowOff>74935</xdr:rowOff>
    </xdr:from>
    <xdr:to>
      <xdr:col>5</xdr:col>
      <xdr:colOff>2924</xdr:colOff>
      <xdr:row>480</xdr:row>
      <xdr:rowOff>74935</xdr:rowOff>
    </xdr:to>
    <xdr:cxnSp macro="">
      <xdr:nvCxnSpPr>
        <xdr:cNvPr id="593" name="Straight Connector 592"/>
        <xdr:cNvCxnSpPr/>
      </xdr:nvCxnSpPr>
      <xdr:spPr>
        <a:xfrm>
          <a:off x="2973457" y="91951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477</xdr:row>
      <xdr:rowOff>74935</xdr:rowOff>
    </xdr:from>
    <xdr:to>
      <xdr:col>5</xdr:col>
      <xdr:colOff>2924</xdr:colOff>
      <xdr:row>477</xdr:row>
      <xdr:rowOff>74935</xdr:rowOff>
    </xdr:to>
    <xdr:cxnSp macro="">
      <xdr:nvCxnSpPr>
        <xdr:cNvPr id="594" name="Straight Connector 593"/>
        <xdr:cNvCxnSpPr/>
      </xdr:nvCxnSpPr>
      <xdr:spPr>
        <a:xfrm>
          <a:off x="2973457" y="91380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483</xdr:row>
      <xdr:rowOff>74935</xdr:rowOff>
    </xdr:from>
    <xdr:to>
      <xdr:col>5</xdr:col>
      <xdr:colOff>2924</xdr:colOff>
      <xdr:row>483</xdr:row>
      <xdr:rowOff>74935</xdr:rowOff>
    </xdr:to>
    <xdr:cxnSp macro="">
      <xdr:nvCxnSpPr>
        <xdr:cNvPr id="595" name="Straight Connector 594"/>
        <xdr:cNvCxnSpPr/>
      </xdr:nvCxnSpPr>
      <xdr:spPr>
        <a:xfrm>
          <a:off x="2973457" y="93094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486</xdr:row>
      <xdr:rowOff>74935</xdr:rowOff>
    </xdr:from>
    <xdr:to>
      <xdr:col>5</xdr:col>
      <xdr:colOff>2924</xdr:colOff>
      <xdr:row>486</xdr:row>
      <xdr:rowOff>74935</xdr:rowOff>
    </xdr:to>
    <xdr:cxnSp macro="">
      <xdr:nvCxnSpPr>
        <xdr:cNvPr id="596" name="Straight Connector 595"/>
        <xdr:cNvCxnSpPr/>
      </xdr:nvCxnSpPr>
      <xdr:spPr>
        <a:xfrm>
          <a:off x="2973457" y="93094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489</xdr:row>
      <xdr:rowOff>74935</xdr:rowOff>
    </xdr:from>
    <xdr:to>
      <xdr:col>5</xdr:col>
      <xdr:colOff>2924</xdr:colOff>
      <xdr:row>489</xdr:row>
      <xdr:rowOff>74935</xdr:rowOff>
    </xdr:to>
    <xdr:cxnSp macro="">
      <xdr:nvCxnSpPr>
        <xdr:cNvPr id="597" name="Straight Connector 596"/>
        <xdr:cNvCxnSpPr/>
      </xdr:nvCxnSpPr>
      <xdr:spPr>
        <a:xfrm>
          <a:off x="2973457" y="93666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492</xdr:row>
      <xdr:rowOff>74935</xdr:rowOff>
    </xdr:from>
    <xdr:to>
      <xdr:col>5</xdr:col>
      <xdr:colOff>2924</xdr:colOff>
      <xdr:row>492</xdr:row>
      <xdr:rowOff>74935</xdr:rowOff>
    </xdr:to>
    <xdr:cxnSp macro="">
      <xdr:nvCxnSpPr>
        <xdr:cNvPr id="598" name="Straight Connector 597"/>
        <xdr:cNvCxnSpPr/>
      </xdr:nvCxnSpPr>
      <xdr:spPr>
        <a:xfrm>
          <a:off x="2973457" y="94237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495</xdr:row>
      <xdr:rowOff>74935</xdr:rowOff>
    </xdr:from>
    <xdr:to>
      <xdr:col>5</xdr:col>
      <xdr:colOff>2924</xdr:colOff>
      <xdr:row>495</xdr:row>
      <xdr:rowOff>74935</xdr:rowOff>
    </xdr:to>
    <xdr:cxnSp macro="">
      <xdr:nvCxnSpPr>
        <xdr:cNvPr id="599" name="Straight Connector 598"/>
        <xdr:cNvCxnSpPr/>
      </xdr:nvCxnSpPr>
      <xdr:spPr>
        <a:xfrm>
          <a:off x="2973457" y="94809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498</xdr:row>
      <xdr:rowOff>74935</xdr:rowOff>
    </xdr:from>
    <xdr:to>
      <xdr:col>5</xdr:col>
      <xdr:colOff>2924</xdr:colOff>
      <xdr:row>498</xdr:row>
      <xdr:rowOff>74935</xdr:rowOff>
    </xdr:to>
    <xdr:cxnSp macro="">
      <xdr:nvCxnSpPr>
        <xdr:cNvPr id="600" name="Straight Connector 599"/>
        <xdr:cNvCxnSpPr/>
      </xdr:nvCxnSpPr>
      <xdr:spPr>
        <a:xfrm>
          <a:off x="2973457" y="54232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504</xdr:row>
      <xdr:rowOff>74935</xdr:rowOff>
    </xdr:from>
    <xdr:to>
      <xdr:col>5</xdr:col>
      <xdr:colOff>2924</xdr:colOff>
      <xdr:row>504</xdr:row>
      <xdr:rowOff>74935</xdr:rowOff>
    </xdr:to>
    <xdr:cxnSp macro="">
      <xdr:nvCxnSpPr>
        <xdr:cNvPr id="601" name="Straight Connector 600"/>
        <xdr:cNvCxnSpPr/>
      </xdr:nvCxnSpPr>
      <xdr:spPr>
        <a:xfrm>
          <a:off x="2973457" y="55375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501</xdr:row>
      <xdr:rowOff>74935</xdr:rowOff>
    </xdr:from>
    <xdr:to>
      <xdr:col>5</xdr:col>
      <xdr:colOff>2924</xdr:colOff>
      <xdr:row>501</xdr:row>
      <xdr:rowOff>74935</xdr:rowOff>
    </xdr:to>
    <xdr:cxnSp macro="">
      <xdr:nvCxnSpPr>
        <xdr:cNvPr id="602" name="Straight Connector 601"/>
        <xdr:cNvCxnSpPr/>
      </xdr:nvCxnSpPr>
      <xdr:spPr>
        <a:xfrm>
          <a:off x="2973457" y="54804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510</xdr:row>
      <xdr:rowOff>74935</xdr:rowOff>
    </xdr:from>
    <xdr:to>
      <xdr:col>5</xdr:col>
      <xdr:colOff>2924</xdr:colOff>
      <xdr:row>510</xdr:row>
      <xdr:rowOff>74935</xdr:rowOff>
    </xdr:to>
    <xdr:cxnSp macro="">
      <xdr:nvCxnSpPr>
        <xdr:cNvPr id="603" name="Straight Connector 602"/>
        <xdr:cNvCxnSpPr/>
      </xdr:nvCxnSpPr>
      <xdr:spPr>
        <a:xfrm>
          <a:off x="2973457" y="97666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507</xdr:row>
      <xdr:rowOff>74935</xdr:rowOff>
    </xdr:from>
    <xdr:to>
      <xdr:col>5</xdr:col>
      <xdr:colOff>2924</xdr:colOff>
      <xdr:row>507</xdr:row>
      <xdr:rowOff>74935</xdr:rowOff>
    </xdr:to>
    <xdr:cxnSp macro="">
      <xdr:nvCxnSpPr>
        <xdr:cNvPr id="604" name="Straight Connector 603"/>
        <xdr:cNvCxnSpPr/>
      </xdr:nvCxnSpPr>
      <xdr:spPr>
        <a:xfrm>
          <a:off x="2973457" y="97095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516</xdr:row>
      <xdr:rowOff>74935</xdr:rowOff>
    </xdr:from>
    <xdr:to>
      <xdr:col>5</xdr:col>
      <xdr:colOff>2924</xdr:colOff>
      <xdr:row>516</xdr:row>
      <xdr:rowOff>74935</xdr:rowOff>
    </xdr:to>
    <xdr:cxnSp macro="">
      <xdr:nvCxnSpPr>
        <xdr:cNvPr id="605" name="Straight Connector 604"/>
        <xdr:cNvCxnSpPr/>
      </xdr:nvCxnSpPr>
      <xdr:spPr>
        <a:xfrm>
          <a:off x="2973457" y="56518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513</xdr:row>
      <xdr:rowOff>74935</xdr:rowOff>
    </xdr:from>
    <xdr:to>
      <xdr:col>5</xdr:col>
      <xdr:colOff>2924</xdr:colOff>
      <xdr:row>513</xdr:row>
      <xdr:rowOff>74935</xdr:rowOff>
    </xdr:to>
    <xdr:cxnSp macro="">
      <xdr:nvCxnSpPr>
        <xdr:cNvPr id="606" name="Straight Connector 605"/>
        <xdr:cNvCxnSpPr/>
      </xdr:nvCxnSpPr>
      <xdr:spPr>
        <a:xfrm>
          <a:off x="2973457" y="55947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522</xdr:row>
      <xdr:rowOff>74935</xdr:rowOff>
    </xdr:from>
    <xdr:to>
      <xdr:col>5</xdr:col>
      <xdr:colOff>2924</xdr:colOff>
      <xdr:row>522</xdr:row>
      <xdr:rowOff>74935</xdr:rowOff>
    </xdr:to>
    <xdr:cxnSp macro="">
      <xdr:nvCxnSpPr>
        <xdr:cNvPr id="607" name="Straight Connector 606"/>
        <xdr:cNvCxnSpPr/>
      </xdr:nvCxnSpPr>
      <xdr:spPr>
        <a:xfrm>
          <a:off x="2973457" y="57661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519</xdr:row>
      <xdr:rowOff>74935</xdr:rowOff>
    </xdr:from>
    <xdr:to>
      <xdr:col>5</xdr:col>
      <xdr:colOff>2924</xdr:colOff>
      <xdr:row>519</xdr:row>
      <xdr:rowOff>74935</xdr:rowOff>
    </xdr:to>
    <xdr:cxnSp macro="">
      <xdr:nvCxnSpPr>
        <xdr:cNvPr id="608" name="Straight Connector 607"/>
        <xdr:cNvCxnSpPr/>
      </xdr:nvCxnSpPr>
      <xdr:spPr>
        <a:xfrm>
          <a:off x="2973457" y="57090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540</xdr:row>
      <xdr:rowOff>74935</xdr:rowOff>
    </xdr:from>
    <xdr:to>
      <xdr:col>5</xdr:col>
      <xdr:colOff>2924</xdr:colOff>
      <xdr:row>540</xdr:row>
      <xdr:rowOff>74935</xdr:rowOff>
    </xdr:to>
    <xdr:cxnSp macro="">
      <xdr:nvCxnSpPr>
        <xdr:cNvPr id="609" name="Straight Connector 608"/>
        <xdr:cNvCxnSpPr/>
      </xdr:nvCxnSpPr>
      <xdr:spPr>
        <a:xfrm>
          <a:off x="2973457" y="58804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537</xdr:row>
      <xdr:rowOff>74935</xdr:rowOff>
    </xdr:from>
    <xdr:to>
      <xdr:col>5</xdr:col>
      <xdr:colOff>2924</xdr:colOff>
      <xdr:row>537</xdr:row>
      <xdr:rowOff>74935</xdr:rowOff>
    </xdr:to>
    <xdr:cxnSp macro="">
      <xdr:nvCxnSpPr>
        <xdr:cNvPr id="610" name="Straight Connector 609"/>
        <xdr:cNvCxnSpPr/>
      </xdr:nvCxnSpPr>
      <xdr:spPr>
        <a:xfrm>
          <a:off x="2973457" y="58233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528</xdr:row>
      <xdr:rowOff>74935</xdr:rowOff>
    </xdr:from>
    <xdr:to>
      <xdr:col>5</xdr:col>
      <xdr:colOff>2924</xdr:colOff>
      <xdr:row>528</xdr:row>
      <xdr:rowOff>74935</xdr:rowOff>
    </xdr:to>
    <xdr:cxnSp macro="">
      <xdr:nvCxnSpPr>
        <xdr:cNvPr id="611" name="Straight Connector 610"/>
        <xdr:cNvCxnSpPr/>
      </xdr:nvCxnSpPr>
      <xdr:spPr>
        <a:xfrm>
          <a:off x="2973457" y="101095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525</xdr:row>
      <xdr:rowOff>74935</xdr:rowOff>
    </xdr:from>
    <xdr:to>
      <xdr:col>5</xdr:col>
      <xdr:colOff>2924</xdr:colOff>
      <xdr:row>525</xdr:row>
      <xdr:rowOff>74935</xdr:rowOff>
    </xdr:to>
    <xdr:cxnSp macro="">
      <xdr:nvCxnSpPr>
        <xdr:cNvPr id="612" name="Straight Connector 611"/>
        <xdr:cNvCxnSpPr/>
      </xdr:nvCxnSpPr>
      <xdr:spPr>
        <a:xfrm>
          <a:off x="2973457" y="100524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534</xdr:row>
      <xdr:rowOff>74935</xdr:rowOff>
    </xdr:from>
    <xdr:to>
      <xdr:col>5</xdr:col>
      <xdr:colOff>2924</xdr:colOff>
      <xdr:row>534</xdr:row>
      <xdr:rowOff>74935</xdr:rowOff>
    </xdr:to>
    <xdr:cxnSp macro="">
      <xdr:nvCxnSpPr>
        <xdr:cNvPr id="613" name="Straight Connector 612"/>
        <xdr:cNvCxnSpPr/>
      </xdr:nvCxnSpPr>
      <xdr:spPr>
        <a:xfrm>
          <a:off x="2973457" y="99952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531</xdr:row>
      <xdr:rowOff>74935</xdr:rowOff>
    </xdr:from>
    <xdr:to>
      <xdr:col>5</xdr:col>
      <xdr:colOff>2924</xdr:colOff>
      <xdr:row>531</xdr:row>
      <xdr:rowOff>74935</xdr:rowOff>
    </xdr:to>
    <xdr:cxnSp macro="">
      <xdr:nvCxnSpPr>
        <xdr:cNvPr id="614" name="Straight Connector 613"/>
        <xdr:cNvCxnSpPr/>
      </xdr:nvCxnSpPr>
      <xdr:spPr>
        <a:xfrm>
          <a:off x="2973457" y="99381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549</xdr:row>
      <xdr:rowOff>74935</xdr:rowOff>
    </xdr:from>
    <xdr:to>
      <xdr:col>5</xdr:col>
      <xdr:colOff>2924</xdr:colOff>
      <xdr:row>549</xdr:row>
      <xdr:rowOff>74935</xdr:rowOff>
    </xdr:to>
    <xdr:cxnSp macro="">
      <xdr:nvCxnSpPr>
        <xdr:cNvPr id="615" name="Straight Connector 614"/>
        <xdr:cNvCxnSpPr/>
      </xdr:nvCxnSpPr>
      <xdr:spPr>
        <a:xfrm>
          <a:off x="2973457" y="65091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543</xdr:row>
      <xdr:rowOff>74935</xdr:rowOff>
    </xdr:from>
    <xdr:to>
      <xdr:col>5</xdr:col>
      <xdr:colOff>2924</xdr:colOff>
      <xdr:row>543</xdr:row>
      <xdr:rowOff>74935</xdr:rowOff>
    </xdr:to>
    <xdr:cxnSp macro="">
      <xdr:nvCxnSpPr>
        <xdr:cNvPr id="616" name="Straight Connector 615"/>
        <xdr:cNvCxnSpPr/>
      </xdr:nvCxnSpPr>
      <xdr:spPr>
        <a:xfrm>
          <a:off x="2973457" y="63948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546</xdr:row>
      <xdr:rowOff>74935</xdr:rowOff>
    </xdr:from>
    <xdr:to>
      <xdr:col>5</xdr:col>
      <xdr:colOff>2924</xdr:colOff>
      <xdr:row>546</xdr:row>
      <xdr:rowOff>74935</xdr:rowOff>
    </xdr:to>
    <xdr:cxnSp macro="">
      <xdr:nvCxnSpPr>
        <xdr:cNvPr id="617" name="Straight Connector 616"/>
        <xdr:cNvCxnSpPr/>
      </xdr:nvCxnSpPr>
      <xdr:spPr>
        <a:xfrm>
          <a:off x="2973457" y="64519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552</xdr:row>
      <xdr:rowOff>74935</xdr:rowOff>
    </xdr:from>
    <xdr:to>
      <xdr:col>5</xdr:col>
      <xdr:colOff>2924</xdr:colOff>
      <xdr:row>552</xdr:row>
      <xdr:rowOff>74935</xdr:rowOff>
    </xdr:to>
    <xdr:cxnSp macro="">
      <xdr:nvCxnSpPr>
        <xdr:cNvPr id="618" name="Straight Connector 617"/>
        <xdr:cNvCxnSpPr/>
      </xdr:nvCxnSpPr>
      <xdr:spPr>
        <a:xfrm>
          <a:off x="2973457" y="65662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558</xdr:row>
      <xdr:rowOff>74935</xdr:rowOff>
    </xdr:from>
    <xdr:to>
      <xdr:col>5</xdr:col>
      <xdr:colOff>2924</xdr:colOff>
      <xdr:row>558</xdr:row>
      <xdr:rowOff>74935</xdr:rowOff>
    </xdr:to>
    <xdr:cxnSp macro="">
      <xdr:nvCxnSpPr>
        <xdr:cNvPr id="619" name="Straight Connector 618"/>
        <xdr:cNvCxnSpPr/>
      </xdr:nvCxnSpPr>
      <xdr:spPr>
        <a:xfrm>
          <a:off x="2973457" y="66805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555</xdr:row>
      <xdr:rowOff>74935</xdr:rowOff>
    </xdr:from>
    <xdr:to>
      <xdr:col>5</xdr:col>
      <xdr:colOff>2924</xdr:colOff>
      <xdr:row>555</xdr:row>
      <xdr:rowOff>74935</xdr:rowOff>
    </xdr:to>
    <xdr:cxnSp macro="">
      <xdr:nvCxnSpPr>
        <xdr:cNvPr id="620" name="Straight Connector 619"/>
        <xdr:cNvCxnSpPr/>
      </xdr:nvCxnSpPr>
      <xdr:spPr>
        <a:xfrm>
          <a:off x="2973457" y="66234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561</xdr:row>
      <xdr:rowOff>74935</xdr:rowOff>
    </xdr:from>
    <xdr:to>
      <xdr:col>5</xdr:col>
      <xdr:colOff>2924</xdr:colOff>
      <xdr:row>561</xdr:row>
      <xdr:rowOff>74935</xdr:rowOff>
    </xdr:to>
    <xdr:cxnSp macro="">
      <xdr:nvCxnSpPr>
        <xdr:cNvPr id="621" name="Straight Connector 620"/>
        <xdr:cNvCxnSpPr/>
      </xdr:nvCxnSpPr>
      <xdr:spPr>
        <a:xfrm>
          <a:off x="2973457" y="106239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567</xdr:row>
      <xdr:rowOff>74935</xdr:rowOff>
    </xdr:from>
    <xdr:to>
      <xdr:col>5</xdr:col>
      <xdr:colOff>2924</xdr:colOff>
      <xdr:row>567</xdr:row>
      <xdr:rowOff>74935</xdr:rowOff>
    </xdr:to>
    <xdr:cxnSp macro="">
      <xdr:nvCxnSpPr>
        <xdr:cNvPr id="622" name="Straight Connector 621"/>
        <xdr:cNvCxnSpPr/>
      </xdr:nvCxnSpPr>
      <xdr:spPr>
        <a:xfrm>
          <a:off x="2973457" y="106810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573</xdr:row>
      <xdr:rowOff>74935</xdr:rowOff>
    </xdr:from>
    <xdr:to>
      <xdr:col>5</xdr:col>
      <xdr:colOff>2924</xdr:colOff>
      <xdr:row>573</xdr:row>
      <xdr:rowOff>74935</xdr:rowOff>
    </xdr:to>
    <xdr:cxnSp macro="">
      <xdr:nvCxnSpPr>
        <xdr:cNvPr id="623" name="Straight Connector 622"/>
        <xdr:cNvCxnSpPr/>
      </xdr:nvCxnSpPr>
      <xdr:spPr>
        <a:xfrm>
          <a:off x="2973457" y="107953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570</xdr:row>
      <xdr:rowOff>74935</xdr:rowOff>
    </xdr:from>
    <xdr:to>
      <xdr:col>5</xdr:col>
      <xdr:colOff>2924</xdr:colOff>
      <xdr:row>570</xdr:row>
      <xdr:rowOff>74935</xdr:rowOff>
    </xdr:to>
    <xdr:cxnSp macro="">
      <xdr:nvCxnSpPr>
        <xdr:cNvPr id="624" name="Straight Connector 623"/>
        <xdr:cNvCxnSpPr/>
      </xdr:nvCxnSpPr>
      <xdr:spPr>
        <a:xfrm>
          <a:off x="2973457" y="107382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564</xdr:row>
      <xdr:rowOff>74935</xdr:rowOff>
    </xdr:from>
    <xdr:to>
      <xdr:col>5</xdr:col>
      <xdr:colOff>2924</xdr:colOff>
      <xdr:row>564</xdr:row>
      <xdr:rowOff>74935</xdr:rowOff>
    </xdr:to>
    <xdr:cxnSp macro="">
      <xdr:nvCxnSpPr>
        <xdr:cNvPr id="625" name="Straight Connector 624"/>
        <xdr:cNvCxnSpPr/>
      </xdr:nvCxnSpPr>
      <xdr:spPr>
        <a:xfrm>
          <a:off x="2973457" y="108525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616</xdr:row>
      <xdr:rowOff>74934</xdr:rowOff>
    </xdr:from>
    <xdr:to>
      <xdr:col>5</xdr:col>
      <xdr:colOff>14130</xdr:colOff>
      <xdr:row>616</xdr:row>
      <xdr:rowOff>74934</xdr:rowOff>
    </xdr:to>
    <xdr:cxnSp macro="">
      <xdr:nvCxnSpPr>
        <xdr:cNvPr id="626" name="Straight Connector 625"/>
        <xdr:cNvCxnSpPr/>
      </xdr:nvCxnSpPr>
      <xdr:spPr>
        <a:xfrm>
          <a:off x="2984663" y="1113829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619</xdr:row>
      <xdr:rowOff>86140</xdr:rowOff>
    </xdr:from>
    <xdr:to>
      <xdr:col>5</xdr:col>
      <xdr:colOff>14130</xdr:colOff>
      <xdr:row>619</xdr:row>
      <xdr:rowOff>86140</xdr:rowOff>
    </xdr:to>
    <xdr:cxnSp macro="">
      <xdr:nvCxnSpPr>
        <xdr:cNvPr id="627" name="Straight Connector 626"/>
        <xdr:cNvCxnSpPr/>
      </xdr:nvCxnSpPr>
      <xdr:spPr>
        <a:xfrm>
          <a:off x="2984663" y="34051169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622</xdr:row>
      <xdr:rowOff>74934</xdr:rowOff>
    </xdr:from>
    <xdr:to>
      <xdr:col>5</xdr:col>
      <xdr:colOff>14130</xdr:colOff>
      <xdr:row>622</xdr:row>
      <xdr:rowOff>74934</xdr:rowOff>
    </xdr:to>
    <xdr:cxnSp macro="">
      <xdr:nvCxnSpPr>
        <xdr:cNvPr id="629" name="Straight Connector 628"/>
        <xdr:cNvCxnSpPr/>
      </xdr:nvCxnSpPr>
      <xdr:spPr>
        <a:xfrm>
          <a:off x="2984663" y="1113829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625</xdr:row>
      <xdr:rowOff>86140</xdr:rowOff>
    </xdr:from>
    <xdr:to>
      <xdr:col>5</xdr:col>
      <xdr:colOff>14130</xdr:colOff>
      <xdr:row>625</xdr:row>
      <xdr:rowOff>86140</xdr:rowOff>
    </xdr:to>
    <xdr:cxnSp macro="">
      <xdr:nvCxnSpPr>
        <xdr:cNvPr id="630" name="Straight Connector 629"/>
        <xdr:cNvCxnSpPr/>
      </xdr:nvCxnSpPr>
      <xdr:spPr>
        <a:xfrm>
          <a:off x="2984663" y="111965669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628</xdr:row>
      <xdr:rowOff>74934</xdr:rowOff>
    </xdr:from>
    <xdr:to>
      <xdr:col>5</xdr:col>
      <xdr:colOff>14130</xdr:colOff>
      <xdr:row>628</xdr:row>
      <xdr:rowOff>74934</xdr:rowOff>
    </xdr:to>
    <xdr:cxnSp macro="">
      <xdr:nvCxnSpPr>
        <xdr:cNvPr id="632" name="Straight Connector 631"/>
        <xdr:cNvCxnSpPr/>
      </xdr:nvCxnSpPr>
      <xdr:spPr>
        <a:xfrm>
          <a:off x="2984663" y="1125259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634</xdr:row>
      <xdr:rowOff>86140</xdr:rowOff>
    </xdr:from>
    <xdr:to>
      <xdr:col>5</xdr:col>
      <xdr:colOff>14130</xdr:colOff>
      <xdr:row>634</xdr:row>
      <xdr:rowOff>86140</xdr:rowOff>
    </xdr:to>
    <xdr:cxnSp macro="">
      <xdr:nvCxnSpPr>
        <xdr:cNvPr id="633" name="Straight Connector 632"/>
        <xdr:cNvCxnSpPr/>
      </xdr:nvCxnSpPr>
      <xdr:spPr>
        <a:xfrm>
          <a:off x="2984663" y="113108669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631</xdr:row>
      <xdr:rowOff>74934</xdr:rowOff>
    </xdr:from>
    <xdr:to>
      <xdr:col>5</xdr:col>
      <xdr:colOff>14130</xdr:colOff>
      <xdr:row>631</xdr:row>
      <xdr:rowOff>74934</xdr:rowOff>
    </xdr:to>
    <xdr:cxnSp macro="">
      <xdr:nvCxnSpPr>
        <xdr:cNvPr id="635" name="Straight Connector 634"/>
        <xdr:cNvCxnSpPr/>
      </xdr:nvCxnSpPr>
      <xdr:spPr>
        <a:xfrm>
          <a:off x="2984663" y="1136689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637</xdr:row>
      <xdr:rowOff>86140</xdr:rowOff>
    </xdr:from>
    <xdr:to>
      <xdr:col>5</xdr:col>
      <xdr:colOff>14130</xdr:colOff>
      <xdr:row>637</xdr:row>
      <xdr:rowOff>86140</xdr:rowOff>
    </xdr:to>
    <xdr:cxnSp macro="">
      <xdr:nvCxnSpPr>
        <xdr:cNvPr id="637" name="Straight Connector 636"/>
        <xdr:cNvCxnSpPr/>
      </xdr:nvCxnSpPr>
      <xdr:spPr>
        <a:xfrm>
          <a:off x="2984663" y="114823169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643</xdr:row>
      <xdr:rowOff>86140</xdr:rowOff>
    </xdr:from>
    <xdr:to>
      <xdr:col>5</xdr:col>
      <xdr:colOff>14130</xdr:colOff>
      <xdr:row>643</xdr:row>
      <xdr:rowOff>86140</xdr:rowOff>
    </xdr:to>
    <xdr:cxnSp macro="">
      <xdr:nvCxnSpPr>
        <xdr:cNvPr id="639" name="Straight Connector 638"/>
        <xdr:cNvCxnSpPr/>
      </xdr:nvCxnSpPr>
      <xdr:spPr>
        <a:xfrm>
          <a:off x="2984663" y="114823169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640</xdr:row>
      <xdr:rowOff>74934</xdr:rowOff>
    </xdr:from>
    <xdr:to>
      <xdr:col>5</xdr:col>
      <xdr:colOff>14130</xdr:colOff>
      <xdr:row>640</xdr:row>
      <xdr:rowOff>74934</xdr:rowOff>
    </xdr:to>
    <xdr:cxnSp macro="">
      <xdr:nvCxnSpPr>
        <xdr:cNvPr id="640" name="Straight Connector 639"/>
        <xdr:cNvCxnSpPr/>
      </xdr:nvCxnSpPr>
      <xdr:spPr>
        <a:xfrm>
          <a:off x="2984663" y="1142404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649</xdr:row>
      <xdr:rowOff>86140</xdr:rowOff>
    </xdr:from>
    <xdr:to>
      <xdr:col>5</xdr:col>
      <xdr:colOff>14130</xdr:colOff>
      <xdr:row>649</xdr:row>
      <xdr:rowOff>86140</xdr:rowOff>
    </xdr:to>
    <xdr:cxnSp macro="">
      <xdr:nvCxnSpPr>
        <xdr:cNvPr id="642" name="Straight Connector 641"/>
        <xdr:cNvCxnSpPr/>
      </xdr:nvCxnSpPr>
      <xdr:spPr>
        <a:xfrm>
          <a:off x="2984663" y="116537669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646</xdr:row>
      <xdr:rowOff>74934</xdr:rowOff>
    </xdr:from>
    <xdr:to>
      <xdr:col>5</xdr:col>
      <xdr:colOff>14130</xdr:colOff>
      <xdr:row>646</xdr:row>
      <xdr:rowOff>74934</xdr:rowOff>
    </xdr:to>
    <xdr:cxnSp macro="">
      <xdr:nvCxnSpPr>
        <xdr:cNvPr id="643" name="Straight Connector 642"/>
        <xdr:cNvCxnSpPr/>
      </xdr:nvCxnSpPr>
      <xdr:spPr>
        <a:xfrm>
          <a:off x="2984663" y="1159549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652</xdr:row>
      <xdr:rowOff>86140</xdr:rowOff>
    </xdr:from>
    <xdr:to>
      <xdr:col>5</xdr:col>
      <xdr:colOff>14130</xdr:colOff>
      <xdr:row>652</xdr:row>
      <xdr:rowOff>86140</xdr:rowOff>
    </xdr:to>
    <xdr:cxnSp macro="">
      <xdr:nvCxnSpPr>
        <xdr:cNvPr id="645" name="Straight Connector 644"/>
        <xdr:cNvCxnSpPr/>
      </xdr:nvCxnSpPr>
      <xdr:spPr>
        <a:xfrm>
          <a:off x="2984663" y="117680669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655</xdr:row>
      <xdr:rowOff>74934</xdr:rowOff>
    </xdr:from>
    <xdr:to>
      <xdr:col>5</xdr:col>
      <xdr:colOff>14130</xdr:colOff>
      <xdr:row>655</xdr:row>
      <xdr:rowOff>74934</xdr:rowOff>
    </xdr:to>
    <xdr:cxnSp macro="">
      <xdr:nvCxnSpPr>
        <xdr:cNvPr id="648" name="Straight Connector 647"/>
        <xdr:cNvCxnSpPr/>
      </xdr:nvCxnSpPr>
      <xdr:spPr>
        <a:xfrm>
          <a:off x="2984663" y="1170979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658</xdr:row>
      <xdr:rowOff>74934</xdr:rowOff>
    </xdr:from>
    <xdr:to>
      <xdr:col>5</xdr:col>
      <xdr:colOff>14130</xdr:colOff>
      <xdr:row>658</xdr:row>
      <xdr:rowOff>74934</xdr:rowOff>
    </xdr:to>
    <xdr:cxnSp macro="">
      <xdr:nvCxnSpPr>
        <xdr:cNvPr id="650" name="Straight Connector 649"/>
        <xdr:cNvCxnSpPr/>
      </xdr:nvCxnSpPr>
      <xdr:spPr>
        <a:xfrm>
          <a:off x="2984663" y="1188124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661</xdr:row>
      <xdr:rowOff>74934</xdr:rowOff>
    </xdr:from>
    <xdr:to>
      <xdr:col>5</xdr:col>
      <xdr:colOff>14130</xdr:colOff>
      <xdr:row>661</xdr:row>
      <xdr:rowOff>74934</xdr:rowOff>
    </xdr:to>
    <xdr:cxnSp macro="">
      <xdr:nvCxnSpPr>
        <xdr:cNvPr id="652" name="Straight Connector 651"/>
        <xdr:cNvCxnSpPr/>
      </xdr:nvCxnSpPr>
      <xdr:spPr>
        <a:xfrm>
          <a:off x="2984663" y="1193839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664</xdr:row>
      <xdr:rowOff>74934</xdr:rowOff>
    </xdr:from>
    <xdr:to>
      <xdr:col>5</xdr:col>
      <xdr:colOff>14130</xdr:colOff>
      <xdr:row>664</xdr:row>
      <xdr:rowOff>74934</xdr:rowOff>
    </xdr:to>
    <xdr:cxnSp macro="">
      <xdr:nvCxnSpPr>
        <xdr:cNvPr id="654" name="Straight Connector 653"/>
        <xdr:cNvCxnSpPr/>
      </xdr:nvCxnSpPr>
      <xdr:spPr>
        <a:xfrm>
          <a:off x="2984663" y="1193839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667</xdr:row>
      <xdr:rowOff>74934</xdr:rowOff>
    </xdr:from>
    <xdr:to>
      <xdr:col>5</xdr:col>
      <xdr:colOff>14130</xdr:colOff>
      <xdr:row>667</xdr:row>
      <xdr:rowOff>74934</xdr:rowOff>
    </xdr:to>
    <xdr:cxnSp macro="">
      <xdr:nvCxnSpPr>
        <xdr:cNvPr id="655" name="Straight Connector 654"/>
        <xdr:cNvCxnSpPr/>
      </xdr:nvCxnSpPr>
      <xdr:spPr>
        <a:xfrm>
          <a:off x="2984663" y="1199554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670</xdr:row>
      <xdr:rowOff>74934</xdr:rowOff>
    </xdr:from>
    <xdr:to>
      <xdr:col>5</xdr:col>
      <xdr:colOff>14130</xdr:colOff>
      <xdr:row>670</xdr:row>
      <xdr:rowOff>74934</xdr:rowOff>
    </xdr:to>
    <xdr:cxnSp macro="">
      <xdr:nvCxnSpPr>
        <xdr:cNvPr id="657" name="Straight Connector 656"/>
        <xdr:cNvCxnSpPr/>
      </xdr:nvCxnSpPr>
      <xdr:spPr>
        <a:xfrm>
          <a:off x="2984663" y="1205269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673</xdr:row>
      <xdr:rowOff>74934</xdr:rowOff>
    </xdr:from>
    <xdr:to>
      <xdr:col>5</xdr:col>
      <xdr:colOff>14130</xdr:colOff>
      <xdr:row>673</xdr:row>
      <xdr:rowOff>74934</xdr:rowOff>
    </xdr:to>
    <xdr:cxnSp macro="">
      <xdr:nvCxnSpPr>
        <xdr:cNvPr id="659" name="Straight Connector 658"/>
        <xdr:cNvCxnSpPr/>
      </xdr:nvCxnSpPr>
      <xdr:spPr>
        <a:xfrm>
          <a:off x="2984663" y="1210984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676</xdr:row>
      <xdr:rowOff>74934</xdr:rowOff>
    </xdr:from>
    <xdr:to>
      <xdr:col>5</xdr:col>
      <xdr:colOff>14130</xdr:colOff>
      <xdr:row>676</xdr:row>
      <xdr:rowOff>74934</xdr:rowOff>
    </xdr:to>
    <xdr:cxnSp macro="">
      <xdr:nvCxnSpPr>
        <xdr:cNvPr id="660" name="Straight Connector 659"/>
        <xdr:cNvCxnSpPr/>
      </xdr:nvCxnSpPr>
      <xdr:spPr>
        <a:xfrm>
          <a:off x="2984663" y="1216699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679</xdr:row>
      <xdr:rowOff>74934</xdr:rowOff>
    </xdr:from>
    <xdr:to>
      <xdr:col>5</xdr:col>
      <xdr:colOff>14130</xdr:colOff>
      <xdr:row>679</xdr:row>
      <xdr:rowOff>74934</xdr:rowOff>
    </xdr:to>
    <xdr:cxnSp macro="">
      <xdr:nvCxnSpPr>
        <xdr:cNvPr id="662" name="Straight Connector 661"/>
        <xdr:cNvCxnSpPr/>
      </xdr:nvCxnSpPr>
      <xdr:spPr>
        <a:xfrm>
          <a:off x="2984663" y="1216699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682</xdr:row>
      <xdr:rowOff>74934</xdr:rowOff>
    </xdr:from>
    <xdr:to>
      <xdr:col>5</xdr:col>
      <xdr:colOff>14130</xdr:colOff>
      <xdr:row>682</xdr:row>
      <xdr:rowOff>74934</xdr:rowOff>
    </xdr:to>
    <xdr:cxnSp macro="">
      <xdr:nvCxnSpPr>
        <xdr:cNvPr id="663" name="Straight Connector 662"/>
        <xdr:cNvCxnSpPr/>
      </xdr:nvCxnSpPr>
      <xdr:spPr>
        <a:xfrm>
          <a:off x="2984663" y="1222414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685</xdr:row>
      <xdr:rowOff>74934</xdr:rowOff>
    </xdr:from>
    <xdr:to>
      <xdr:col>5</xdr:col>
      <xdr:colOff>14130</xdr:colOff>
      <xdr:row>685</xdr:row>
      <xdr:rowOff>74934</xdr:rowOff>
    </xdr:to>
    <xdr:cxnSp macro="">
      <xdr:nvCxnSpPr>
        <xdr:cNvPr id="665" name="Straight Connector 664"/>
        <xdr:cNvCxnSpPr/>
      </xdr:nvCxnSpPr>
      <xdr:spPr>
        <a:xfrm>
          <a:off x="2984663" y="1233844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688</xdr:row>
      <xdr:rowOff>74934</xdr:rowOff>
    </xdr:from>
    <xdr:to>
      <xdr:col>5</xdr:col>
      <xdr:colOff>14130</xdr:colOff>
      <xdr:row>688</xdr:row>
      <xdr:rowOff>74934</xdr:rowOff>
    </xdr:to>
    <xdr:cxnSp macro="">
      <xdr:nvCxnSpPr>
        <xdr:cNvPr id="667" name="Straight Connector 666"/>
        <xdr:cNvCxnSpPr/>
      </xdr:nvCxnSpPr>
      <xdr:spPr>
        <a:xfrm>
          <a:off x="2984663" y="1239559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691</xdr:row>
      <xdr:rowOff>74934</xdr:rowOff>
    </xdr:from>
    <xdr:to>
      <xdr:col>5</xdr:col>
      <xdr:colOff>14130</xdr:colOff>
      <xdr:row>691</xdr:row>
      <xdr:rowOff>74934</xdr:rowOff>
    </xdr:to>
    <xdr:cxnSp macro="">
      <xdr:nvCxnSpPr>
        <xdr:cNvPr id="669" name="Straight Connector 668"/>
        <xdr:cNvCxnSpPr/>
      </xdr:nvCxnSpPr>
      <xdr:spPr>
        <a:xfrm>
          <a:off x="2984663" y="1250989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694</xdr:row>
      <xdr:rowOff>74934</xdr:rowOff>
    </xdr:from>
    <xdr:to>
      <xdr:col>5</xdr:col>
      <xdr:colOff>14130</xdr:colOff>
      <xdr:row>694</xdr:row>
      <xdr:rowOff>74934</xdr:rowOff>
    </xdr:to>
    <xdr:cxnSp macro="">
      <xdr:nvCxnSpPr>
        <xdr:cNvPr id="671" name="Straight Connector 670"/>
        <xdr:cNvCxnSpPr/>
      </xdr:nvCxnSpPr>
      <xdr:spPr>
        <a:xfrm>
          <a:off x="2984663" y="1256704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697</xdr:row>
      <xdr:rowOff>74934</xdr:rowOff>
    </xdr:from>
    <xdr:to>
      <xdr:col>5</xdr:col>
      <xdr:colOff>14130</xdr:colOff>
      <xdr:row>697</xdr:row>
      <xdr:rowOff>74934</xdr:rowOff>
    </xdr:to>
    <xdr:cxnSp macro="">
      <xdr:nvCxnSpPr>
        <xdr:cNvPr id="673" name="Straight Connector 672"/>
        <xdr:cNvCxnSpPr/>
      </xdr:nvCxnSpPr>
      <xdr:spPr>
        <a:xfrm>
          <a:off x="2984663" y="1262419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700</xdr:row>
      <xdr:rowOff>74934</xdr:rowOff>
    </xdr:from>
    <xdr:to>
      <xdr:col>5</xdr:col>
      <xdr:colOff>14130</xdr:colOff>
      <xdr:row>700</xdr:row>
      <xdr:rowOff>74934</xdr:rowOff>
    </xdr:to>
    <xdr:cxnSp macro="">
      <xdr:nvCxnSpPr>
        <xdr:cNvPr id="675" name="Straight Connector 674"/>
        <xdr:cNvCxnSpPr/>
      </xdr:nvCxnSpPr>
      <xdr:spPr>
        <a:xfrm>
          <a:off x="2984663" y="1268134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703</xdr:row>
      <xdr:rowOff>74934</xdr:rowOff>
    </xdr:from>
    <xdr:to>
      <xdr:col>5</xdr:col>
      <xdr:colOff>14130</xdr:colOff>
      <xdr:row>703</xdr:row>
      <xdr:rowOff>74934</xdr:rowOff>
    </xdr:to>
    <xdr:cxnSp macro="">
      <xdr:nvCxnSpPr>
        <xdr:cNvPr id="677" name="Straight Connector 676"/>
        <xdr:cNvCxnSpPr/>
      </xdr:nvCxnSpPr>
      <xdr:spPr>
        <a:xfrm>
          <a:off x="2984663" y="1268134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706</xdr:row>
      <xdr:rowOff>74934</xdr:rowOff>
    </xdr:from>
    <xdr:to>
      <xdr:col>5</xdr:col>
      <xdr:colOff>14130</xdr:colOff>
      <xdr:row>706</xdr:row>
      <xdr:rowOff>74934</xdr:rowOff>
    </xdr:to>
    <xdr:cxnSp macro="">
      <xdr:nvCxnSpPr>
        <xdr:cNvPr id="678" name="Straight Connector 677"/>
        <xdr:cNvCxnSpPr/>
      </xdr:nvCxnSpPr>
      <xdr:spPr>
        <a:xfrm>
          <a:off x="2984663" y="1273849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712</xdr:row>
      <xdr:rowOff>86140</xdr:rowOff>
    </xdr:from>
    <xdr:to>
      <xdr:col>5</xdr:col>
      <xdr:colOff>14130</xdr:colOff>
      <xdr:row>712</xdr:row>
      <xdr:rowOff>86140</xdr:rowOff>
    </xdr:to>
    <xdr:cxnSp macro="">
      <xdr:nvCxnSpPr>
        <xdr:cNvPr id="681" name="Straight Connector 680"/>
        <xdr:cNvCxnSpPr/>
      </xdr:nvCxnSpPr>
      <xdr:spPr>
        <a:xfrm>
          <a:off x="2984663" y="117680669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709</xdr:row>
      <xdr:rowOff>74934</xdr:rowOff>
    </xdr:from>
    <xdr:to>
      <xdr:col>5</xdr:col>
      <xdr:colOff>14130</xdr:colOff>
      <xdr:row>709</xdr:row>
      <xdr:rowOff>74934</xdr:rowOff>
    </xdr:to>
    <xdr:cxnSp macro="">
      <xdr:nvCxnSpPr>
        <xdr:cNvPr id="682" name="Straight Connector 681"/>
        <xdr:cNvCxnSpPr/>
      </xdr:nvCxnSpPr>
      <xdr:spPr>
        <a:xfrm>
          <a:off x="2984663" y="1170979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715</xdr:row>
      <xdr:rowOff>86140</xdr:rowOff>
    </xdr:from>
    <xdr:to>
      <xdr:col>5</xdr:col>
      <xdr:colOff>14130</xdr:colOff>
      <xdr:row>715</xdr:row>
      <xdr:rowOff>86140</xdr:rowOff>
    </xdr:to>
    <xdr:cxnSp macro="">
      <xdr:nvCxnSpPr>
        <xdr:cNvPr id="683" name="Straight Connector 682"/>
        <xdr:cNvCxnSpPr/>
      </xdr:nvCxnSpPr>
      <xdr:spPr>
        <a:xfrm>
          <a:off x="2984663" y="118252169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721</xdr:row>
      <xdr:rowOff>86140</xdr:rowOff>
    </xdr:from>
    <xdr:to>
      <xdr:col>5</xdr:col>
      <xdr:colOff>14130</xdr:colOff>
      <xdr:row>721</xdr:row>
      <xdr:rowOff>86140</xdr:rowOff>
    </xdr:to>
    <xdr:cxnSp macro="">
      <xdr:nvCxnSpPr>
        <xdr:cNvPr id="685" name="Straight Connector 684"/>
        <xdr:cNvCxnSpPr/>
      </xdr:nvCxnSpPr>
      <xdr:spPr>
        <a:xfrm>
          <a:off x="2984663" y="129682169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718</xdr:row>
      <xdr:rowOff>74934</xdr:rowOff>
    </xdr:from>
    <xdr:to>
      <xdr:col>5</xdr:col>
      <xdr:colOff>14130</xdr:colOff>
      <xdr:row>718</xdr:row>
      <xdr:rowOff>74934</xdr:rowOff>
    </xdr:to>
    <xdr:cxnSp macro="">
      <xdr:nvCxnSpPr>
        <xdr:cNvPr id="686" name="Straight Connector 685"/>
        <xdr:cNvCxnSpPr/>
      </xdr:nvCxnSpPr>
      <xdr:spPr>
        <a:xfrm>
          <a:off x="2984663" y="1290994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724</xdr:row>
      <xdr:rowOff>86140</xdr:rowOff>
    </xdr:from>
    <xdr:to>
      <xdr:col>5</xdr:col>
      <xdr:colOff>14130</xdr:colOff>
      <xdr:row>724</xdr:row>
      <xdr:rowOff>86140</xdr:rowOff>
    </xdr:to>
    <xdr:cxnSp macro="">
      <xdr:nvCxnSpPr>
        <xdr:cNvPr id="687" name="Straight Connector 686"/>
        <xdr:cNvCxnSpPr/>
      </xdr:nvCxnSpPr>
      <xdr:spPr>
        <a:xfrm>
          <a:off x="2984663" y="130253669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730</xdr:row>
      <xdr:rowOff>86140</xdr:rowOff>
    </xdr:from>
    <xdr:to>
      <xdr:col>5</xdr:col>
      <xdr:colOff>14130</xdr:colOff>
      <xdr:row>730</xdr:row>
      <xdr:rowOff>86140</xdr:rowOff>
    </xdr:to>
    <xdr:cxnSp macro="">
      <xdr:nvCxnSpPr>
        <xdr:cNvPr id="689" name="Straight Connector 688"/>
        <xdr:cNvCxnSpPr/>
      </xdr:nvCxnSpPr>
      <xdr:spPr>
        <a:xfrm>
          <a:off x="2984663" y="131396669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727</xdr:row>
      <xdr:rowOff>74934</xdr:rowOff>
    </xdr:from>
    <xdr:to>
      <xdr:col>5</xdr:col>
      <xdr:colOff>14130</xdr:colOff>
      <xdr:row>727</xdr:row>
      <xdr:rowOff>74934</xdr:rowOff>
    </xdr:to>
    <xdr:cxnSp macro="">
      <xdr:nvCxnSpPr>
        <xdr:cNvPr id="690" name="Straight Connector 689"/>
        <xdr:cNvCxnSpPr/>
      </xdr:nvCxnSpPr>
      <xdr:spPr>
        <a:xfrm>
          <a:off x="2984663" y="1308139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736</xdr:row>
      <xdr:rowOff>86140</xdr:rowOff>
    </xdr:from>
    <xdr:to>
      <xdr:col>5</xdr:col>
      <xdr:colOff>14130</xdr:colOff>
      <xdr:row>736</xdr:row>
      <xdr:rowOff>86140</xdr:rowOff>
    </xdr:to>
    <xdr:cxnSp macro="">
      <xdr:nvCxnSpPr>
        <xdr:cNvPr id="692" name="Straight Connector 691"/>
        <xdr:cNvCxnSpPr/>
      </xdr:nvCxnSpPr>
      <xdr:spPr>
        <a:xfrm>
          <a:off x="2984663" y="133111169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733</xdr:row>
      <xdr:rowOff>74934</xdr:rowOff>
    </xdr:from>
    <xdr:to>
      <xdr:col>5</xdr:col>
      <xdr:colOff>14130</xdr:colOff>
      <xdr:row>733</xdr:row>
      <xdr:rowOff>74934</xdr:rowOff>
    </xdr:to>
    <xdr:cxnSp macro="">
      <xdr:nvCxnSpPr>
        <xdr:cNvPr id="693" name="Straight Connector 692"/>
        <xdr:cNvCxnSpPr/>
      </xdr:nvCxnSpPr>
      <xdr:spPr>
        <a:xfrm>
          <a:off x="2984663" y="1325284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739</xdr:row>
      <xdr:rowOff>74934</xdr:rowOff>
    </xdr:from>
    <xdr:to>
      <xdr:col>5</xdr:col>
      <xdr:colOff>14130</xdr:colOff>
      <xdr:row>739</xdr:row>
      <xdr:rowOff>74934</xdr:rowOff>
    </xdr:to>
    <xdr:cxnSp macro="">
      <xdr:nvCxnSpPr>
        <xdr:cNvPr id="696" name="Straight Connector 695"/>
        <xdr:cNvCxnSpPr/>
      </xdr:nvCxnSpPr>
      <xdr:spPr>
        <a:xfrm>
          <a:off x="2984663" y="13367146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</xdr:row>
      <xdr:rowOff>179295</xdr:rowOff>
    </xdr:from>
    <xdr:to>
      <xdr:col>5</xdr:col>
      <xdr:colOff>11206</xdr:colOff>
      <xdr:row>9</xdr:row>
      <xdr:rowOff>179295</xdr:rowOff>
    </xdr:to>
    <xdr:cxnSp macro="">
      <xdr:nvCxnSpPr>
        <xdr:cNvPr id="628" name="Straight Connector 627"/>
        <xdr:cNvCxnSpPr/>
      </xdr:nvCxnSpPr>
      <xdr:spPr>
        <a:xfrm>
          <a:off x="2980765" y="16136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</xdr:row>
      <xdr:rowOff>0</xdr:rowOff>
    </xdr:from>
    <xdr:to>
      <xdr:col>3</xdr:col>
      <xdr:colOff>23112</xdr:colOff>
      <xdr:row>9</xdr:row>
      <xdr:rowOff>188399</xdr:rowOff>
    </xdr:to>
    <xdr:cxnSp macro="">
      <xdr:nvCxnSpPr>
        <xdr:cNvPr id="631" name="Straight Connector 630"/>
        <xdr:cNvCxnSpPr/>
      </xdr:nvCxnSpPr>
      <xdr:spPr>
        <a:xfrm flipV="1">
          <a:off x="3003877" y="1434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</xdr:row>
      <xdr:rowOff>0</xdr:rowOff>
    </xdr:from>
    <xdr:to>
      <xdr:col>4</xdr:col>
      <xdr:colOff>601265</xdr:colOff>
      <xdr:row>9</xdr:row>
      <xdr:rowOff>187699</xdr:rowOff>
    </xdr:to>
    <xdr:cxnSp macro="">
      <xdr:nvCxnSpPr>
        <xdr:cNvPr id="634" name="Straight Connector 633"/>
        <xdr:cNvCxnSpPr/>
      </xdr:nvCxnSpPr>
      <xdr:spPr>
        <a:xfrm flipV="1">
          <a:off x="3991044" y="1434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</xdr:row>
      <xdr:rowOff>0</xdr:rowOff>
    </xdr:from>
    <xdr:to>
      <xdr:col>3</xdr:col>
      <xdr:colOff>23112</xdr:colOff>
      <xdr:row>9</xdr:row>
      <xdr:rowOff>188399</xdr:rowOff>
    </xdr:to>
    <xdr:cxnSp macro="">
      <xdr:nvCxnSpPr>
        <xdr:cNvPr id="636" name="Straight Connector 635"/>
        <xdr:cNvCxnSpPr/>
      </xdr:nvCxnSpPr>
      <xdr:spPr>
        <a:xfrm flipV="1">
          <a:off x="3003877" y="1434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</xdr:row>
      <xdr:rowOff>0</xdr:rowOff>
    </xdr:from>
    <xdr:to>
      <xdr:col>4</xdr:col>
      <xdr:colOff>601265</xdr:colOff>
      <xdr:row>9</xdr:row>
      <xdr:rowOff>187699</xdr:rowOff>
    </xdr:to>
    <xdr:cxnSp macro="">
      <xdr:nvCxnSpPr>
        <xdr:cNvPr id="638" name="Straight Connector 637"/>
        <xdr:cNvCxnSpPr/>
      </xdr:nvCxnSpPr>
      <xdr:spPr>
        <a:xfrm flipV="1">
          <a:off x="3991044" y="1434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</xdr:row>
      <xdr:rowOff>0</xdr:rowOff>
    </xdr:from>
    <xdr:to>
      <xdr:col>3</xdr:col>
      <xdr:colOff>23112</xdr:colOff>
      <xdr:row>9</xdr:row>
      <xdr:rowOff>188399</xdr:rowOff>
    </xdr:to>
    <xdr:cxnSp macro="">
      <xdr:nvCxnSpPr>
        <xdr:cNvPr id="641" name="Straight Connector 640"/>
        <xdr:cNvCxnSpPr/>
      </xdr:nvCxnSpPr>
      <xdr:spPr>
        <a:xfrm flipV="1">
          <a:off x="3003877" y="1434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</xdr:row>
      <xdr:rowOff>0</xdr:rowOff>
    </xdr:from>
    <xdr:to>
      <xdr:col>4</xdr:col>
      <xdr:colOff>601265</xdr:colOff>
      <xdr:row>9</xdr:row>
      <xdr:rowOff>187699</xdr:rowOff>
    </xdr:to>
    <xdr:cxnSp macro="">
      <xdr:nvCxnSpPr>
        <xdr:cNvPr id="644" name="Straight Connector 643"/>
        <xdr:cNvCxnSpPr/>
      </xdr:nvCxnSpPr>
      <xdr:spPr>
        <a:xfrm flipV="1">
          <a:off x="3991044" y="1434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</xdr:row>
      <xdr:rowOff>179295</xdr:rowOff>
    </xdr:from>
    <xdr:to>
      <xdr:col>5</xdr:col>
      <xdr:colOff>11206</xdr:colOff>
      <xdr:row>15</xdr:row>
      <xdr:rowOff>179295</xdr:rowOff>
    </xdr:to>
    <xdr:cxnSp macro="">
      <xdr:nvCxnSpPr>
        <xdr:cNvPr id="646" name="Straight Connector 645"/>
        <xdr:cNvCxnSpPr/>
      </xdr:nvCxnSpPr>
      <xdr:spPr>
        <a:xfrm>
          <a:off x="2980765" y="27566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15</xdr:row>
      <xdr:rowOff>0</xdr:rowOff>
    </xdr:from>
    <xdr:to>
      <xdr:col>3</xdr:col>
      <xdr:colOff>23112</xdr:colOff>
      <xdr:row>15</xdr:row>
      <xdr:rowOff>188399</xdr:rowOff>
    </xdr:to>
    <xdr:cxnSp macro="">
      <xdr:nvCxnSpPr>
        <xdr:cNvPr id="647" name="Straight Connector 646"/>
        <xdr:cNvCxnSpPr/>
      </xdr:nvCxnSpPr>
      <xdr:spPr>
        <a:xfrm flipV="1">
          <a:off x="3003877" y="2577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</xdr:row>
      <xdr:rowOff>0</xdr:rowOff>
    </xdr:from>
    <xdr:to>
      <xdr:col>4</xdr:col>
      <xdr:colOff>601265</xdr:colOff>
      <xdr:row>15</xdr:row>
      <xdr:rowOff>187699</xdr:rowOff>
    </xdr:to>
    <xdr:cxnSp macro="">
      <xdr:nvCxnSpPr>
        <xdr:cNvPr id="649" name="Straight Connector 648"/>
        <xdr:cNvCxnSpPr/>
      </xdr:nvCxnSpPr>
      <xdr:spPr>
        <a:xfrm flipV="1">
          <a:off x="3991044" y="2577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15</xdr:row>
      <xdr:rowOff>0</xdr:rowOff>
    </xdr:from>
    <xdr:to>
      <xdr:col>3</xdr:col>
      <xdr:colOff>23112</xdr:colOff>
      <xdr:row>15</xdr:row>
      <xdr:rowOff>188399</xdr:rowOff>
    </xdr:to>
    <xdr:cxnSp macro="">
      <xdr:nvCxnSpPr>
        <xdr:cNvPr id="651" name="Straight Connector 650"/>
        <xdr:cNvCxnSpPr/>
      </xdr:nvCxnSpPr>
      <xdr:spPr>
        <a:xfrm flipV="1">
          <a:off x="3003877" y="2577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</xdr:row>
      <xdr:rowOff>0</xdr:rowOff>
    </xdr:from>
    <xdr:to>
      <xdr:col>4</xdr:col>
      <xdr:colOff>601265</xdr:colOff>
      <xdr:row>15</xdr:row>
      <xdr:rowOff>187699</xdr:rowOff>
    </xdr:to>
    <xdr:cxnSp macro="">
      <xdr:nvCxnSpPr>
        <xdr:cNvPr id="653" name="Straight Connector 652"/>
        <xdr:cNvCxnSpPr/>
      </xdr:nvCxnSpPr>
      <xdr:spPr>
        <a:xfrm flipV="1">
          <a:off x="3991044" y="2577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15</xdr:row>
      <xdr:rowOff>0</xdr:rowOff>
    </xdr:from>
    <xdr:to>
      <xdr:col>3</xdr:col>
      <xdr:colOff>23112</xdr:colOff>
      <xdr:row>15</xdr:row>
      <xdr:rowOff>188399</xdr:rowOff>
    </xdr:to>
    <xdr:cxnSp macro="">
      <xdr:nvCxnSpPr>
        <xdr:cNvPr id="656" name="Straight Connector 655"/>
        <xdr:cNvCxnSpPr/>
      </xdr:nvCxnSpPr>
      <xdr:spPr>
        <a:xfrm flipV="1">
          <a:off x="3003877" y="2577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</xdr:row>
      <xdr:rowOff>0</xdr:rowOff>
    </xdr:from>
    <xdr:to>
      <xdr:col>4</xdr:col>
      <xdr:colOff>601265</xdr:colOff>
      <xdr:row>15</xdr:row>
      <xdr:rowOff>187699</xdr:rowOff>
    </xdr:to>
    <xdr:cxnSp macro="">
      <xdr:nvCxnSpPr>
        <xdr:cNvPr id="658" name="Straight Connector 657"/>
        <xdr:cNvCxnSpPr/>
      </xdr:nvCxnSpPr>
      <xdr:spPr>
        <a:xfrm flipV="1">
          <a:off x="3991044" y="2577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21</xdr:row>
      <xdr:rowOff>179295</xdr:rowOff>
    </xdr:from>
    <xdr:to>
      <xdr:col>5</xdr:col>
      <xdr:colOff>11206</xdr:colOff>
      <xdr:row>21</xdr:row>
      <xdr:rowOff>179295</xdr:rowOff>
    </xdr:to>
    <xdr:cxnSp macro="">
      <xdr:nvCxnSpPr>
        <xdr:cNvPr id="661" name="Straight Connector 660"/>
        <xdr:cNvCxnSpPr/>
      </xdr:nvCxnSpPr>
      <xdr:spPr>
        <a:xfrm>
          <a:off x="2980765" y="38996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21</xdr:row>
      <xdr:rowOff>0</xdr:rowOff>
    </xdr:from>
    <xdr:to>
      <xdr:col>3</xdr:col>
      <xdr:colOff>23112</xdr:colOff>
      <xdr:row>21</xdr:row>
      <xdr:rowOff>188399</xdr:rowOff>
    </xdr:to>
    <xdr:cxnSp macro="">
      <xdr:nvCxnSpPr>
        <xdr:cNvPr id="664" name="Straight Connector 663"/>
        <xdr:cNvCxnSpPr/>
      </xdr:nvCxnSpPr>
      <xdr:spPr>
        <a:xfrm flipV="1">
          <a:off x="3003877" y="3720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21</xdr:row>
      <xdr:rowOff>0</xdr:rowOff>
    </xdr:from>
    <xdr:to>
      <xdr:col>4</xdr:col>
      <xdr:colOff>601265</xdr:colOff>
      <xdr:row>21</xdr:row>
      <xdr:rowOff>187699</xdr:rowOff>
    </xdr:to>
    <xdr:cxnSp macro="">
      <xdr:nvCxnSpPr>
        <xdr:cNvPr id="666" name="Straight Connector 665"/>
        <xdr:cNvCxnSpPr/>
      </xdr:nvCxnSpPr>
      <xdr:spPr>
        <a:xfrm flipV="1">
          <a:off x="3991044" y="3720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21</xdr:row>
      <xdr:rowOff>0</xdr:rowOff>
    </xdr:from>
    <xdr:to>
      <xdr:col>3</xdr:col>
      <xdr:colOff>23112</xdr:colOff>
      <xdr:row>21</xdr:row>
      <xdr:rowOff>188399</xdr:rowOff>
    </xdr:to>
    <xdr:cxnSp macro="">
      <xdr:nvCxnSpPr>
        <xdr:cNvPr id="668" name="Straight Connector 667"/>
        <xdr:cNvCxnSpPr/>
      </xdr:nvCxnSpPr>
      <xdr:spPr>
        <a:xfrm flipV="1">
          <a:off x="3003877" y="3720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21</xdr:row>
      <xdr:rowOff>0</xdr:rowOff>
    </xdr:from>
    <xdr:to>
      <xdr:col>4</xdr:col>
      <xdr:colOff>601265</xdr:colOff>
      <xdr:row>21</xdr:row>
      <xdr:rowOff>187699</xdr:rowOff>
    </xdr:to>
    <xdr:cxnSp macro="">
      <xdr:nvCxnSpPr>
        <xdr:cNvPr id="670" name="Straight Connector 669"/>
        <xdr:cNvCxnSpPr/>
      </xdr:nvCxnSpPr>
      <xdr:spPr>
        <a:xfrm flipV="1">
          <a:off x="3991044" y="3720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21</xdr:row>
      <xdr:rowOff>0</xdr:rowOff>
    </xdr:from>
    <xdr:to>
      <xdr:col>3</xdr:col>
      <xdr:colOff>23112</xdr:colOff>
      <xdr:row>21</xdr:row>
      <xdr:rowOff>188399</xdr:rowOff>
    </xdr:to>
    <xdr:cxnSp macro="">
      <xdr:nvCxnSpPr>
        <xdr:cNvPr id="672" name="Straight Connector 671"/>
        <xdr:cNvCxnSpPr/>
      </xdr:nvCxnSpPr>
      <xdr:spPr>
        <a:xfrm flipV="1">
          <a:off x="3003877" y="3720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21</xdr:row>
      <xdr:rowOff>0</xdr:rowOff>
    </xdr:from>
    <xdr:to>
      <xdr:col>4</xdr:col>
      <xdr:colOff>601265</xdr:colOff>
      <xdr:row>21</xdr:row>
      <xdr:rowOff>187699</xdr:rowOff>
    </xdr:to>
    <xdr:cxnSp macro="">
      <xdr:nvCxnSpPr>
        <xdr:cNvPr id="674" name="Straight Connector 673"/>
        <xdr:cNvCxnSpPr/>
      </xdr:nvCxnSpPr>
      <xdr:spPr>
        <a:xfrm flipV="1">
          <a:off x="3991044" y="3720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</xdr:row>
      <xdr:rowOff>179295</xdr:rowOff>
    </xdr:from>
    <xdr:to>
      <xdr:col>5</xdr:col>
      <xdr:colOff>11206</xdr:colOff>
      <xdr:row>27</xdr:row>
      <xdr:rowOff>179295</xdr:rowOff>
    </xdr:to>
    <xdr:cxnSp macro="">
      <xdr:nvCxnSpPr>
        <xdr:cNvPr id="676" name="Straight Connector 675"/>
        <xdr:cNvCxnSpPr/>
      </xdr:nvCxnSpPr>
      <xdr:spPr>
        <a:xfrm>
          <a:off x="2980765" y="50426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27</xdr:row>
      <xdr:rowOff>0</xdr:rowOff>
    </xdr:from>
    <xdr:to>
      <xdr:col>3</xdr:col>
      <xdr:colOff>23112</xdr:colOff>
      <xdr:row>27</xdr:row>
      <xdr:rowOff>188399</xdr:rowOff>
    </xdr:to>
    <xdr:cxnSp macro="">
      <xdr:nvCxnSpPr>
        <xdr:cNvPr id="679" name="Straight Connector 678"/>
        <xdr:cNvCxnSpPr/>
      </xdr:nvCxnSpPr>
      <xdr:spPr>
        <a:xfrm flipV="1">
          <a:off x="3003877" y="4863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27</xdr:row>
      <xdr:rowOff>0</xdr:rowOff>
    </xdr:from>
    <xdr:to>
      <xdr:col>4</xdr:col>
      <xdr:colOff>601265</xdr:colOff>
      <xdr:row>27</xdr:row>
      <xdr:rowOff>187699</xdr:rowOff>
    </xdr:to>
    <xdr:cxnSp macro="">
      <xdr:nvCxnSpPr>
        <xdr:cNvPr id="680" name="Straight Connector 679"/>
        <xdr:cNvCxnSpPr/>
      </xdr:nvCxnSpPr>
      <xdr:spPr>
        <a:xfrm flipV="1">
          <a:off x="3991044" y="4863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27</xdr:row>
      <xdr:rowOff>0</xdr:rowOff>
    </xdr:from>
    <xdr:to>
      <xdr:col>3</xdr:col>
      <xdr:colOff>23112</xdr:colOff>
      <xdr:row>27</xdr:row>
      <xdr:rowOff>188399</xdr:rowOff>
    </xdr:to>
    <xdr:cxnSp macro="">
      <xdr:nvCxnSpPr>
        <xdr:cNvPr id="684" name="Straight Connector 683"/>
        <xdr:cNvCxnSpPr/>
      </xdr:nvCxnSpPr>
      <xdr:spPr>
        <a:xfrm flipV="1">
          <a:off x="3003877" y="4863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27</xdr:row>
      <xdr:rowOff>0</xdr:rowOff>
    </xdr:from>
    <xdr:to>
      <xdr:col>4</xdr:col>
      <xdr:colOff>601265</xdr:colOff>
      <xdr:row>27</xdr:row>
      <xdr:rowOff>187699</xdr:rowOff>
    </xdr:to>
    <xdr:cxnSp macro="">
      <xdr:nvCxnSpPr>
        <xdr:cNvPr id="688" name="Straight Connector 687"/>
        <xdr:cNvCxnSpPr/>
      </xdr:nvCxnSpPr>
      <xdr:spPr>
        <a:xfrm flipV="1">
          <a:off x="3991044" y="4863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27</xdr:row>
      <xdr:rowOff>0</xdr:rowOff>
    </xdr:from>
    <xdr:to>
      <xdr:col>3</xdr:col>
      <xdr:colOff>23112</xdr:colOff>
      <xdr:row>27</xdr:row>
      <xdr:rowOff>188399</xdr:rowOff>
    </xdr:to>
    <xdr:cxnSp macro="">
      <xdr:nvCxnSpPr>
        <xdr:cNvPr id="691" name="Straight Connector 690"/>
        <xdr:cNvCxnSpPr/>
      </xdr:nvCxnSpPr>
      <xdr:spPr>
        <a:xfrm flipV="1">
          <a:off x="3003877" y="4863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27</xdr:row>
      <xdr:rowOff>0</xdr:rowOff>
    </xdr:from>
    <xdr:to>
      <xdr:col>4</xdr:col>
      <xdr:colOff>601265</xdr:colOff>
      <xdr:row>27</xdr:row>
      <xdr:rowOff>187699</xdr:rowOff>
    </xdr:to>
    <xdr:cxnSp macro="">
      <xdr:nvCxnSpPr>
        <xdr:cNvPr id="694" name="Straight Connector 693"/>
        <xdr:cNvCxnSpPr/>
      </xdr:nvCxnSpPr>
      <xdr:spPr>
        <a:xfrm flipV="1">
          <a:off x="3991044" y="4863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33</xdr:row>
      <xdr:rowOff>179295</xdr:rowOff>
    </xdr:from>
    <xdr:to>
      <xdr:col>5</xdr:col>
      <xdr:colOff>11206</xdr:colOff>
      <xdr:row>33</xdr:row>
      <xdr:rowOff>179295</xdr:rowOff>
    </xdr:to>
    <xdr:cxnSp macro="">
      <xdr:nvCxnSpPr>
        <xdr:cNvPr id="695" name="Straight Connector 694"/>
        <xdr:cNvCxnSpPr/>
      </xdr:nvCxnSpPr>
      <xdr:spPr>
        <a:xfrm>
          <a:off x="2980765" y="61856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33</xdr:row>
      <xdr:rowOff>0</xdr:rowOff>
    </xdr:from>
    <xdr:to>
      <xdr:col>3</xdr:col>
      <xdr:colOff>23112</xdr:colOff>
      <xdr:row>33</xdr:row>
      <xdr:rowOff>188399</xdr:rowOff>
    </xdr:to>
    <xdr:cxnSp macro="">
      <xdr:nvCxnSpPr>
        <xdr:cNvPr id="697" name="Straight Connector 696"/>
        <xdr:cNvCxnSpPr/>
      </xdr:nvCxnSpPr>
      <xdr:spPr>
        <a:xfrm flipV="1">
          <a:off x="3003877" y="6006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33</xdr:row>
      <xdr:rowOff>0</xdr:rowOff>
    </xdr:from>
    <xdr:to>
      <xdr:col>4</xdr:col>
      <xdr:colOff>601265</xdr:colOff>
      <xdr:row>33</xdr:row>
      <xdr:rowOff>187699</xdr:rowOff>
    </xdr:to>
    <xdr:cxnSp macro="">
      <xdr:nvCxnSpPr>
        <xdr:cNvPr id="700" name="Straight Connector 699"/>
        <xdr:cNvCxnSpPr/>
      </xdr:nvCxnSpPr>
      <xdr:spPr>
        <a:xfrm flipV="1">
          <a:off x="3991044" y="6006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33</xdr:row>
      <xdr:rowOff>0</xdr:rowOff>
    </xdr:from>
    <xdr:to>
      <xdr:col>3</xdr:col>
      <xdr:colOff>23112</xdr:colOff>
      <xdr:row>33</xdr:row>
      <xdr:rowOff>188399</xdr:rowOff>
    </xdr:to>
    <xdr:cxnSp macro="">
      <xdr:nvCxnSpPr>
        <xdr:cNvPr id="703" name="Straight Connector 702"/>
        <xdr:cNvCxnSpPr/>
      </xdr:nvCxnSpPr>
      <xdr:spPr>
        <a:xfrm flipV="1">
          <a:off x="3003877" y="6006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33</xdr:row>
      <xdr:rowOff>0</xdr:rowOff>
    </xdr:from>
    <xdr:to>
      <xdr:col>4</xdr:col>
      <xdr:colOff>601265</xdr:colOff>
      <xdr:row>33</xdr:row>
      <xdr:rowOff>187699</xdr:rowOff>
    </xdr:to>
    <xdr:cxnSp macro="">
      <xdr:nvCxnSpPr>
        <xdr:cNvPr id="705" name="Straight Connector 704"/>
        <xdr:cNvCxnSpPr/>
      </xdr:nvCxnSpPr>
      <xdr:spPr>
        <a:xfrm flipV="1">
          <a:off x="3991044" y="6006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33</xdr:row>
      <xdr:rowOff>0</xdr:rowOff>
    </xdr:from>
    <xdr:to>
      <xdr:col>3</xdr:col>
      <xdr:colOff>23112</xdr:colOff>
      <xdr:row>33</xdr:row>
      <xdr:rowOff>188399</xdr:rowOff>
    </xdr:to>
    <xdr:cxnSp macro="">
      <xdr:nvCxnSpPr>
        <xdr:cNvPr id="708" name="Straight Connector 707"/>
        <xdr:cNvCxnSpPr/>
      </xdr:nvCxnSpPr>
      <xdr:spPr>
        <a:xfrm flipV="1">
          <a:off x="3003877" y="6006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33</xdr:row>
      <xdr:rowOff>0</xdr:rowOff>
    </xdr:from>
    <xdr:to>
      <xdr:col>4</xdr:col>
      <xdr:colOff>601265</xdr:colOff>
      <xdr:row>33</xdr:row>
      <xdr:rowOff>187699</xdr:rowOff>
    </xdr:to>
    <xdr:cxnSp macro="">
      <xdr:nvCxnSpPr>
        <xdr:cNvPr id="711" name="Straight Connector 710"/>
        <xdr:cNvCxnSpPr/>
      </xdr:nvCxnSpPr>
      <xdr:spPr>
        <a:xfrm flipV="1">
          <a:off x="3991044" y="6006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39</xdr:row>
      <xdr:rowOff>179295</xdr:rowOff>
    </xdr:from>
    <xdr:to>
      <xdr:col>5</xdr:col>
      <xdr:colOff>11206</xdr:colOff>
      <xdr:row>39</xdr:row>
      <xdr:rowOff>179295</xdr:rowOff>
    </xdr:to>
    <xdr:cxnSp macro="">
      <xdr:nvCxnSpPr>
        <xdr:cNvPr id="713" name="Straight Connector 712"/>
        <xdr:cNvCxnSpPr/>
      </xdr:nvCxnSpPr>
      <xdr:spPr>
        <a:xfrm>
          <a:off x="2980765" y="73286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39</xdr:row>
      <xdr:rowOff>0</xdr:rowOff>
    </xdr:from>
    <xdr:to>
      <xdr:col>3</xdr:col>
      <xdr:colOff>23112</xdr:colOff>
      <xdr:row>39</xdr:row>
      <xdr:rowOff>188399</xdr:rowOff>
    </xdr:to>
    <xdr:cxnSp macro="">
      <xdr:nvCxnSpPr>
        <xdr:cNvPr id="717" name="Straight Connector 716"/>
        <xdr:cNvCxnSpPr/>
      </xdr:nvCxnSpPr>
      <xdr:spPr>
        <a:xfrm flipV="1">
          <a:off x="3003877" y="7149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39</xdr:row>
      <xdr:rowOff>0</xdr:rowOff>
    </xdr:from>
    <xdr:to>
      <xdr:col>4</xdr:col>
      <xdr:colOff>601265</xdr:colOff>
      <xdr:row>39</xdr:row>
      <xdr:rowOff>187699</xdr:rowOff>
    </xdr:to>
    <xdr:cxnSp macro="">
      <xdr:nvCxnSpPr>
        <xdr:cNvPr id="718" name="Straight Connector 717"/>
        <xdr:cNvCxnSpPr/>
      </xdr:nvCxnSpPr>
      <xdr:spPr>
        <a:xfrm flipV="1">
          <a:off x="3991044" y="7149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39</xdr:row>
      <xdr:rowOff>0</xdr:rowOff>
    </xdr:from>
    <xdr:to>
      <xdr:col>3</xdr:col>
      <xdr:colOff>23112</xdr:colOff>
      <xdr:row>39</xdr:row>
      <xdr:rowOff>188399</xdr:rowOff>
    </xdr:to>
    <xdr:cxnSp macro="">
      <xdr:nvCxnSpPr>
        <xdr:cNvPr id="719" name="Straight Connector 718"/>
        <xdr:cNvCxnSpPr/>
      </xdr:nvCxnSpPr>
      <xdr:spPr>
        <a:xfrm flipV="1">
          <a:off x="3003877" y="7149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39</xdr:row>
      <xdr:rowOff>0</xdr:rowOff>
    </xdr:from>
    <xdr:to>
      <xdr:col>4</xdr:col>
      <xdr:colOff>601265</xdr:colOff>
      <xdr:row>39</xdr:row>
      <xdr:rowOff>187699</xdr:rowOff>
    </xdr:to>
    <xdr:cxnSp macro="">
      <xdr:nvCxnSpPr>
        <xdr:cNvPr id="720" name="Straight Connector 719"/>
        <xdr:cNvCxnSpPr/>
      </xdr:nvCxnSpPr>
      <xdr:spPr>
        <a:xfrm flipV="1">
          <a:off x="3991044" y="7149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39</xdr:row>
      <xdr:rowOff>0</xdr:rowOff>
    </xdr:from>
    <xdr:to>
      <xdr:col>3</xdr:col>
      <xdr:colOff>23112</xdr:colOff>
      <xdr:row>39</xdr:row>
      <xdr:rowOff>188399</xdr:rowOff>
    </xdr:to>
    <xdr:cxnSp macro="">
      <xdr:nvCxnSpPr>
        <xdr:cNvPr id="721" name="Straight Connector 720"/>
        <xdr:cNvCxnSpPr/>
      </xdr:nvCxnSpPr>
      <xdr:spPr>
        <a:xfrm flipV="1">
          <a:off x="3003877" y="7149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39</xdr:row>
      <xdr:rowOff>0</xdr:rowOff>
    </xdr:from>
    <xdr:to>
      <xdr:col>4</xdr:col>
      <xdr:colOff>601265</xdr:colOff>
      <xdr:row>39</xdr:row>
      <xdr:rowOff>187699</xdr:rowOff>
    </xdr:to>
    <xdr:cxnSp macro="">
      <xdr:nvCxnSpPr>
        <xdr:cNvPr id="722" name="Straight Connector 721"/>
        <xdr:cNvCxnSpPr/>
      </xdr:nvCxnSpPr>
      <xdr:spPr>
        <a:xfrm flipV="1">
          <a:off x="3991044" y="7149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59</xdr:row>
      <xdr:rowOff>0</xdr:rowOff>
    </xdr:from>
    <xdr:to>
      <xdr:col>5</xdr:col>
      <xdr:colOff>0</xdr:colOff>
      <xdr:row>59</xdr:row>
      <xdr:rowOff>187699</xdr:rowOff>
    </xdr:to>
    <xdr:cxnSp macro="">
      <xdr:nvCxnSpPr>
        <xdr:cNvPr id="731" name="Straight Connector 730"/>
        <xdr:cNvCxnSpPr/>
      </xdr:nvCxnSpPr>
      <xdr:spPr>
        <a:xfrm flipV="1">
          <a:off x="3989294" y="12102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56</xdr:row>
      <xdr:rowOff>0</xdr:rowOff>
    </xdr:from>
    <xdr:to>
      <xdr:col>5</xdr:col>
      <xdr:colOff>0</xdr:colOff>
      <xdr:row>56</xdr:row>
      <xdr:rowOff>187699</xdr:rowOff>
    </xdr:to>
    <xdr:cxnSp macro="">
      <xdr:nvCxnSpPr>
        <xdr:cNvPr id="733" name="Straight Connector 732"/>
        <xdr:cNvCxnSpPr/>
      </xdr:nvCxnSpPr>
      <xdr:spPr>
        <a:xfrm flipV="1">
          <a:off x="3989294" y="11530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70</xdr:row>
      <xdr:rowOff>179295</xdr:rowOff>
    </xdr:from>
    <xdr:to>
      <xdr:col>5</xdr:col>
      <xdr:colOff>11206</xdr:colOff>
      <xdr:row>70</xdr:row>
      <xdr:rowOff>179295</xdr:rowOff>
    </xdr:to>
    <xdr:cxnSp macro="">
      <xdr:nvCxnSpPr>
        <xdr:cNvPr id="734" name="Straight Connector 733"/>
        <xdr:cNvCxnSpPr/>
      </xdr:nvCxnSpPr>
      <xdr:spPr>
        <a:xfrm>
          <a:off x="2980765" y="16136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70</xdr:row>
      <xdr:rowOff>0</xdr:rowOff>
    </xdr:from>
    <xdr:to>
      <xdr:col>3</xdr:col>
      <xdr:colOff>23112</xdr:colOff>
      <xdr:row>70</xdr:row>
      <xdr:rowOff>188399</xdr:rowOff>
    </xdr:to>
    <xdr:cxnSp macro="">
      <xdr:nvCxnSpPr>
        <xdr:cNvPr id="735" name="Straight Connector 734"/>
        <xdr:cNvCxnSpPr/>
      </xdr:nvCxnSpPr>
      <xdr:spPr>
        <a:xfrm flipV="1">
          <a:off x="3003877" y="1434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70</xdr:row>
      <xdr:rowOff>0</xdr:rowOff>
    </xdr:from>
    <xdr:to>
      <xdr:col>4</xdr:col>
      <xdr:colOff>601265</xdr:colOff>
      <xdr:row>70</xdr:row>
      <xdr:rowOff>187699</xdr:rowOff>
    </xdr:to>
    <xdr:cxnSp macro="">
      <xdr:nvCxnSpPr>
        <xdr:cNvPr id="736" name="Straight Connector 735"/>
        <xdr:cNvCxnSpPr/>
      </xdr:nvCxnSpPr>
      <xdr:spPr>
        <a:xfrm flipV="1">
          <a:off x="3991044" y="1434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70</xdr:row>
      <xdr:rowOff>0</xdr:rowOff>
    </xdr:from>
    <xdr:to>
      <xdr:col>3</xdr:col>
      <xdr:colOff>23112</xdr:colOff>
      <xdr:row>70</xdr:row>
      <xdr:rowOff>188399</xdr:rowOff>
    </xdr:to>
    <xdr:cxnSp macro="">
      <xdr:nvCxnSpPr>
        <xdr:cNvPr id="737" name="Straight Connector 736"/>
        <xdr:cNvCxnSpPr/>
      </xdr:nvCxnSpPr>
      <xdr:spPr>
        <a:xfrm flipV="1">
          <a:off x="3003877" y="1434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70</xdr:row>
      <xdr:rowOff>0</xdr:rowOff>
    </xdr:from>
    <xdr:to>
      <xdr:col>4</xdr:col>
      <xdr:colOff>601265</xdr:colOff>
      <xdr:row>70</xdr:row>
      <xdr:rowOff>187699</xdr:rowOff>
    </xdr:to>
    <xdr:cxnSp macro="">
      <xdr:nvCxnSpPr>
        <xdr:cNvPr id="738" name="Straight Connector 737"/>
        <xdr:cNvCxnSpPr/>
      </xdr:nvCxnSpPr>
      <xdr:spPr>
        <a:xfrm flipV="1">
          <a:off x="3991044" y="1434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70</xdr:row>
      <xdr:rowOff>0</xdr:rowOff>
    </xdr:from>
    <xdr:to>
      <xdr:col>3</xdr:col>
      <xdr:colOff>23112</xdr:colOff>
      <xdr:row>70</xdr:row>
      <xdr:rowOff>188399</xdr:rowOff>
    </xdr:to>
    <xdr:cxnSp macro="">
      <xdr:nvCxnSpPr>
        <xdr:cNvPr id="739" name="Straight Connector 738"/>
        <xdr:cNvCxnSpPr/>
      </xdr:nvCxnSpPr>
      <xdr:spPr>
        <a:xfrm flipV="1">
          <a:off x="3003877" y="1434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70</xdr:row>
      <xdr:rowOff>0</xdr:rowOff>
    </xdr:from>
    <xdr:to>
      <xdr:col>4</xdr:col>
      <xdr:colOff>601265</xdr:colOff>
      <xdr:row>70</xdr:row>
      <xdr:rowOff>187699</xdr:rowOff>
    </xdr:to>
    <xdr:cxnSp macro="">
      <xdr:nvCxnSpPr>
        <xdr:cNvPr id="740" name="Straight Connector 739"/>
        <xdr:cNvCxnSpPr/>
      </xdr:nvCxnSpPr>
      <xdr:spPr>
        <a:xfrm flipV="1">
          <a:off x="3991044" y="1434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76</xdr:row>
      <xdr:rowOff>179295</xdr:rowOff>
    </xdr:from>
    <xdr:to>
      <xdr:col>5</xdr:col>
      <xdr:colOff>11206</xdr:colOff>
      <xdr:row>76</xdr:row>
      <xdr:rowOff>179295</xdr:rowOff>
    </xdr:to>
    <xdr:cxnSp macro="">
      <xdr:nvCxnSpPr>
        <xdr:cNvPr id="741" name="Straight Connector 740"/>
        <xdr:cNvCxnSpPr/>
      </xdr:nvCxnSpPr>
      <xdr:spPr>
        <a:xfrm>
          <a:off x="2980765" y="27566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76</xdr:row>
      <xdr:rowOff>0</xdr:rowOff>
    </xdr:from>
    <xdr:to>
      <xdr:col>3</xdr:col>
      <xdr:colOff>23112</xdr:colOff>
      <xdr:row>76</xdr:row>
      <xdr:rowOff>188399</xdr:rowOff>
    </xdr:to>
    <xdr:cxnSp macro="">
      <xdr:nvCxnSpPr>
        <xdr:cNvPr id="742" name="Straight Connector 741"/>
        <xdr:cNvCxnSpPr/>
      </xdr:nvCxnSpPr>
      <xdr:spPr>
        <a:xfrm flipV="1">
          <a:off x="3003877" y="2577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76</xdr:row>
      <xdr:rowOff>0</xdr:rowOff>
    </xdr:from>
    <xdr:to>
      <xdr:col>4</xdr:col>
      <xdr:colOff>601265</xdr:colOff>
      <xdr:row>76</xdr:row>
      <xdr:rowOff>187699</xdr:rowOff>
    </xdr:to>
    <xdr:cxnSp macro="">
      <xdr:nvCxnSpPr>
        <xdr:cNvPr id="743" name="Straight Connector 742"/>
        <xdr:cNvCxnSpPr/>
      </xdr:nvCxnSpPr>
      <xdr:spPr>
        <a:xfrm flipV="1">
          <a:off x="3991044" y="2577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76</xdr:row>
      <xdr:rowOff>0</xdr:rowOff>
    </xdr:from>
    <xdr:to>
      <xdr:col>3</xdr:col>
      <xdr:colOff>23112</xdr:colOff>
      <xdr:row>76</xdr:row>
      <xdr:rowOff>188399</xdr:rowOff>
    </xdr:to>
    <xdr:cxnSp macro="">
      <xdr:nvCxnSpPr>
        <xdr:cNvPr id="744" name="Straight Connector 743"/>
        <xdr:cNvCxnSpPr/>
      </xdr:nvCxnSpPr>
      <xdr:spPr>
        <a:xfrm flipV="1">
          <a:off x="3003877" y="2577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76</xdr:row>
      <xdr:rowOff>0</xdr:rowOff>
    </xdr:from>
    <xdr:to>
      <xdr:col>4</xdr:col>
      <xdr:colOff>601265</xdr:colOff>
      <xdr:row>76</xdr:row>
      <xdr:rowOff>187699</xdr:rowOff>
    </xdr:to>
    <xdr:cxnSp macro="">
      <xdr:nvCxnSpPr>
        <xdr:cNvPr id="745" name="Straight Connector 744"/>
        <xdr:cNvCxnSpPr/>
      </xdr:nvCxnSpPr>
      <xdr:spPr>
        <a:xfrm flipV="1">
          <a:off x="3991044" y="2577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76</xdr:row>
      <xdr:rowOff>0</xdr:rowOff>
    </xdr:from>
    <xdr:to>
      <xdr:col>3</xdr:col>
      <xdr:colOff>23112</xdr:colOff>
      <xdr:row>76</xdr:row>
      <xdr:rowOff>188399</xdr:rowOff>
    </xdr:to>
    <xdr:cxnSp macro="">
      <xdr:nvCxnSpPr>
        <xdr:cNvPr id="746" name="Straight Connector 745"/>
        <xdr:cNvCxnSpPr/>
      </xdr:nvCxnSpPr>
      <xdr:spPr>
        <a:xfrm flipV="1">
          <a:off x="3003877" y="2577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76</xdr:row>
      <xdr:rowOff>0</xdr:rowOff>
    </xdr:from>
    <xdr:to>
      <xdr:col>4</xdr:col>
      <xdr:colOff>601265</xdr:colOff>
      <xdr:row>76</xdr:row>
      <xdr:rowOff>187699</xdr:rowOff>
    </xdr:to>
    <xdr:cxnSp macro="">
      <xdr:nvCxnSpPr>
        <xdr:cNvPr id="747" name="Straight Connector 746"/>
        <xdr:cNvCxnSpPr/>
      </xdr:nvCxnSpPr>
      <xdr:spPr>
        <a:xfrm flipV="1">
          <a:off x="3991044" y="2577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82</xdr:row>
      <xdr:rowOff>179295</xdr:rowOff>
    </xdr:from>
    <xdr:to>
      <xdr:col>5</xdr:col>
      <xdr:colOff>11206</xdr:colOff>
      <xdr:row>82</xdr:row>
      <xdr:rowOff>179295</xdr:rowOff>
    </xdr:to>
    <xdr:cxnSp macro="">
      <xdr:nvCxnSpPr>
        <xdr:cNvPr id="748" name="Straight Connector 747"/>
        <xdr:cNvCxnSpPr/>
      </xdr:nvCxnSpPr>
      <xdr:spPr>
        <a:xfrm>
          <a:off x="2980765" y="38996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82</xdr:row>
      <xdr:rowOff>0</xdr:rowOff>
    </xdr:from>
    <xdr:to>
      <xdr:col>3</xdr:col>
      <xdr:colOff>23112</xdr:colOff>
      <xdr:row>82</xdr:row>
      <xdr:rowOff>188399</xdr:rowOff>
    </xdr:to>
    <xdr:cxnSp macro="">
      <xdr:nvCxnSpPr>
        <xdr:cNvPr id="749" name="Straight Connector 748"/>
        <xdr:cNvCxnSpPr/>
      </xdr:nvCxnSpPr>
      <xdr:spPr>
        <a:xfrm flipV="1">
          <a:off x="3003877" y="3720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82</xdr:row>
      <xdr:rowOff>0</xdr:rowOff>
    </xdr:from>
    <xdr:to>
      <xdr:col>4</xdr:col>
      <xdr:colOff>601265</xdr:colOff>
      <xdr:row>82</xdr:row>
      <xdr:rowOff>187699</xdr:rowOff>
    </xdr:to>
    <xdr:cxnSp macro="">
      <xdr:nvCxnSpPr>
        <xdr:cNvPr id="750" name="Straight Connector 749"/>
        <xdr:cNvCxnSpPr/>
      </xdr:nvCxnSpPr>
      <xdr:spPr>
        <a:xfrm flipV="1">
          <a:off x="3991044" y="3720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82</xdr:row>
      <xdr:rowOff>0</xdr:rowOff>
    </xdr:from>
    <xdr:to>
      <xdr:col>3</xdr:col>
      <xdr:colOff>23112</xdr:colOff>
      <xdr:row>82</xdr:row>
      <xdr:rowOff>188399</xdr:rowOff>
    </xdr:to>
    <xdr:cxnSp macro="">
      <xdr:nvCxnSpPr>
        <xdr:cNvPr id="751" name="Straight Connector 750"/>
        <xdr:cNvCxnSpPr/>
      </xdr:nvCxnSpPr>
      <xdr:spPr>
        <a:xfrm flipV="1">
          <a:off x="3003877" y="3720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82</xdr:row>
      <xdr:rowOff>0</xdr:rowOff>
    </xdr:from>
    <xdr:to>
      <xdr:col>4</xdr:col>
      <xdr:colOff>601265</xdr:colOff>
      <xdr:row>82</xdr:row>
      <xdr:rowOff>187699</xdr:rowOff>
    </xdr:to>
    <xdr:cxnSp macro="">
      <xdr:nvCxnSpPr>
        <xdr:cNvPr id="752" name="Straight Connector 751"/>
        <xdr:cNvCxnSpPr/>
      </xdr:nvCxnSpPr>
      <xdr:spPr>
        <a:xfrm flipV="1">
          <a:off x="3991044" y="3720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82</xdr:row>
      <xdr:rowOff>0</xdr:rowOff>
    </xdr:from>
    <xdr:to>
      <xdr:col>3</xdr:col>
      <xdr:colOff>23112</xdr:colOff>
      <xdr:row>82</xdr:row>
      <xdr:rowOff>188399</xdr:rowOff>
    </xdr:to>
    <xdr:cxnSp macro="">
      <xdr:nvCxnSpPr>
        <xdr:cNvPr id="753" name="Straight Connector 752"/>
        <xdr:cNvCxnSpPr/>
      </xdr:nvCxnSpPr>
      <xdr:spPr>
        <a:xfrm flipV="1">
          <a:off x="3003877" y="3720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82</xdr:row>
      <xdr:rowOff>0</xdr:rowOff>
    </xdr:from>
    <xdr:to>
      <xdr:col>4</xdr:col>
      <xdr:colOff>601265</xdr:colOff>
      <xdr:row>82</xdr:row>
      <xdr:rowOff>187699</xdr:rowOff>
    </xdr:to>
    <xdr:cxnSp macro="">
      <xdr:nvCxnSpPr>
        <xdr:cNvPr id="754" name="Straight Connector 753"/>
        <xdr:cNvCxnSpPr/>
      </xdr:nvCxnSpPr>
      <xdr:spPr>
        <a:xfrm flipV="1">
          <a:off x="3991044" y="3720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88</xdr:row>
      <xdr:rowOff>179295</xdr:rowOff>
    </xdr:from>
    <xdr:to>
      <xdr:col>5</xdr:col>
      <xdr:colOff>11206</xdr:colOff>
      <xdr:row>88</xdr:row>
      <xdr:rowOff>179295</xdr:rowOff>
    </xdr:to>
    <xdr:cxnSp macro="">
      <xdr:nvCxnSpPr>
        <xdr:cNvPr id="755" name="Straight Connector 754"/>
        <xdr:cNvCxnSpPr/>
      </xdr:nvCxnSpPr>
      <xdr:spPr>
        <a:xfrm>
          <a:off x="2980765" y="50426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88</xdr:row>
      <xdr:rowOff>0</xdr:rowOff>
    </xdr:from>
    <xdr:to>
      <xdr:col>3</xdr:col>
      <xdr:colOff>23112</xdr:colOff>
      <xdr:row>88</xdr:row>
      <xdr:rowOff>188399</xdr:rowOff>
    </xdr:to>
    <xdr:cxnSp macro="">
      <xdr:nvCxnSpPr>
        <xdr:cNvPr id="756" name="Straight Connector 755"/>
        <xdr:cNvCxnSpPr/>
      </xdr:nvCxnSpPr>
      <xdr:spPr>
        <a:xfrm flipV="1">
          <a:off x="3003877" y="4863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88</xdr:row>
      <xdr:rowOff>0</xdr:rowOff>
    </xdr:from>
    <xdr:to>
      <xdr:col>4</xdr:col>
      <xdr:colOff>601265</xdr:colOff>
      <xdr:row>88</xdr:row>
      <xdr:rowOff>187699</xdr:rowOff>
    </xdr:to>
    <xdr:cxnSp macro="">
      <xdr:nvCxnSpPr>
        <xdr:cNvPr id="757" name="Straight Connector 756"/>
        <xdr:cNvCxnSpPr/>
      </xdr:nvCxnSpPr>
      <xdr:spPr>
        <a:xfrm flipV="1">
          <a:off x="3991044" y="4863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88</xdr:row>
      <xdr:rowOff>0</xdr:rowOff>
    </xdr:from>
    <xdr:to>
      <xdr:col>3</xdr:col>
      <xdr:colOff>23112</xdr:colOff>
      <xdr:row>88</xdr:row>
      <xdr:rowOff>188399</xdr:rowOff>
    </xdr:to>
    <xdr:cxnSp macro="">
      <xdr:nvCxnSpPr>
        <xdr:cNvPr id="758" name="Straight Connector 757"/>
        <xdr:cNvCxnSpPr/>
      </xdr:nvCxnSpPr>
      <xdr:spPr>
        <a:xfrm flipV="1">
          <a:off x="3003877" y="4863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88</xdr:row>
      <xdr:rowOff>0</xdr:rowOff>
    </xdr:from>
    <xdr:to>
      <xdr:col>4</xdr:col>
      <xdr:colOff>601265</xdr:colOff>
      <xdr:row>88</xdr:row>
      <xdr:rowOff>187699</xdr:rowOff>
    </xdr:to>
    <xdr:cxnSp macro="">
      <xdr:nvCxnSpPr>
        <xdr:cNvPr id="759" name="Straight Connector 758"/>
        <xdr:cNvCxnSpPr/>
      </xdr:nvCxnSpPr>
      <xdr:spPr>
        <a:xfrm flipV="1">
          <a:off x="3991044" y="4863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88</xdr:row>
      <xdr:rowOff>0</xdr:rowOff>
    </xdr:from>
    <xdr:to>
      <xdr:col>3</xdr:col>
      <xdr:colOff>23112</xdr:colOff>
      <xdr:row>88</xdr:row>
      <xdr:rowOff>188399</xdr:rowOff>
    </xdr:to>
    <xdr:cxnSp macro="">
      <xdr:nvCxnSpPr>
        <xdr:cNvPr id="760" name="Straight Connector 759"/>
        <xdr:cNvCxnSpPr/>
      </xdr:nvCxnSpPr>
      <xdr:spPr>
        <a:xfrm flipV="1">
          <a:off x="3003877" y="4863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88</xdr:row>
      <xdr:rowOff>0</xdr:rowOff>
    </xdr:from>
    <xdr:to>
      <xdr:col>4</xdr:col>
      <xdr:colOff>601265</xdr:colOff>
      <xdr:row>88</xdr:row>
      <xdr:rowOff>187699</xdr:rowOff>
    </xdr:to>
    <xdr:cxnSp macro="">
      <xdr:nvCxnSpPr>
        <xdr:cNvPr id="761" name="Straight Connector 760"/>
        <xdr:cNvCxnSpPr/>
      </xdr:nvCxnSpPr>
      <xdr:spPr>
        <a:xfrm flipV="1">
          <a:off x="3991044" y="4863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100</xdr:row>
      <xdr:rowOff>179295</xdr:rowOff>
    </xdr:from>
    <xdr:to>
      <xdr:col>5</xdr:col>
      <xdr:colOff>11206</xdr:colOff>
      <xdr:row>100</xdr:row>
      <xdr:rowOff>179295</xdr:rowOff>
    </xdr:to>
    <xdr:cxnSp macro="">
      <xdr:nvCxnSpPr>
        <xdr:cNvPr id="762" name="Straight Connector 761"/>
        <xdr:cNvCxnSpPr/>
      </xdr:nvCxnSpPr>
      <xdr:spPr>
        <a:xfrm>
          <a:off x="2980765" y="73286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100</xdr:row>
      <xdr:rowOff>0</xdr:rowOff>
    </xdr:from>
    <xdr:to>
      <xdr:col>3</xdr:col>
      <xdr:colOff>23112</xdr:colOff>
      <xdr:row>100</xdr:row>
      <xdr:rowOff>188399</xdr:rowOff>
    </xdr:to>
    <xdr:cxnSp macro="">
      <xdr:nvCxnSpPr>
        <xdr:cNvPr id="763" name="Straight Connector 762"/>
        <xdr:cNvCxnSpPr/>
      </xdr:nvCxnSpPr>
      <xdr:spPr>
        <a:xfrm flipV="1">
          <a:off x="3003877" y="7149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100</xdr:row>
      <xdr:rowOff>0</xdr:rowOff>
    </xdr:from>
    <xdr:to>
      <xdr:col>4</xdr:col>
      <xdr:colOff>601265</xdr:colOff>
      <xdr:row>100</xdr:row>
      <xdr:rowOff>187699</xdr:rowOff>
    </xdr:to>
    <xdr:cxnSp macro="">
      <xdr:nvCxnSpPr>
        <xdr:cNvPr id="764" name="Straight Connector 763"/>
        <xdr:cNvCxnSpPr/>
      </xdr:nvCxnSpPr>
      <xdr:spPr>
        <a:xfrm flipV="1">
          <a:off x="3991044" y="7149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100</xdr:row>
      <xdr:rowOff>0</xdr:rowOff>
    </xdr:from>
    <xdr:to>
      <xdr:col>3</xdr:col>
      <xdr:colOff>23112</xdr:colOff>
      <xdr:row>100</xdr:row>
      <xdr:rowOff>188399</xdr:rowOff>
    </xdr:to>
    <xdr:cxnSp macro="">
      <xdr:nvCxnSpPr>
        <xdr:cNvPr id="765" name="Straight Connector 764"/>
        <xdr:cNvCxnSpPr/>
      </xdr:nvCxnSpPr>
      <xdr:spPr>
        <a:xfrm flipV="1">
          <a:off x="3003877" y="7149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100</xdr:row>
      <xdr:rowOff>0</xdr:rowOff>
    </xdr:from>
    <xdr:to>
      <xdr:col>4</xdr:col>
      <xdr:colOff>601265</xdr:colOff>
      <xdr:row>100</xdr:row>
      <xdr:rowOff>187699</xdr:rowOff>
    </xdr:to>
    <xdr:cxnSp macro="">
      <xdr:nvCxnSpPr>
        <xdr:cNvPr id="766" name="Straight Connector 765"/>
        <xdr:cNvCxnSpPr/>
      </xdr:nvCxnSpPr>
      <xdr:spPr>
        <a:xfrm flipV="1">
          <a:off x="3991044" y="7149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100</xdr:row>
      <xdr:rowOff>0</xdr:rowOff>
    </xdr:from>
    <xdr:to>
      <xdr:col>3</xdr:col>
      <xdr:colOff>23112</xdr:colOff>
      <xdr:row>100</xdr:row>
      <xdr:rowOff>188399</xdr:rowOff>
    </xdr:to>
    <xdr:cxnSp macro="">
      <xdr:nvCxnSpPr>
        <xdr:cNvPr id="767" name="Straight Connector 766"/>
        <xdr:cNvCxnSpPr/>
      </xdr:nvCxnSpPr>
      <xdr:spPr>
        <a:xfrm flipV="1">
          <a:off x="3003877" y="7149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100</xdr:row>
      <xdr:rowOff>0</xdr:rowOff>
    </xdr:from>
    <xdr:to>
      <xdr:col>4</xdr:col>
      <xdr:colOff>601265</xdr:colOff>
      <xdr:row>100</xdr:row>
      <xdr:rowOff>187699</xdr:rowOff>
    </xdr:to>
    <xdr:cxnSp macro="">
      <xdr:nvCxnSpPr>
        <xdr:cNvPr id="768" name="Straight Connector 767"/>
        <xdr:cNvCxnSpPr/>
      </xdr:nvCxnSpPr>
      <xdr:spPr>
        <a:xfrm flipV="1">
          <a:off x="3991044" y="7149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106</xdr:row>
      <xdr:rowOff>179295</xdr:rowOff>
    </xdr:from>
    <xdr:to>
      <xdr:col>5</xdr:col>
      <xdr:colOff>11206</xdr:colOff>
      <xdr:row>106</xdr:row>
      <xdr:rowOff>179295</xdr:rowOff>
    </xdr:to>
    <xdr:cxnSp macro="">
      <xdr:nvCxnSpPr>
        <xdr:cNvPr id="769" name="Straight Connector 768"/>
        <xdr:cNvCxnSpPr/>
      </xdr:nvCxnSpPr>
      <xdr:spPr>
        <a:xfrm>
          <a:off x="2980765" y="84716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106</xdr:row>
      <xdr:rowOff>0</xdr:rowOff>
    </xdr:from>
    <xdr:to>
      <xdr:col>3</xdr:col>
      <xdr:colOff>23112</xdr:colOff>
      <xdr:row>106</xdr:row>
      <xdr:rowOff>188399</xdr:rowOff>
    </xdr:to>
    <xdr:cxnSp macro="">
      <xdr:nvCxnSpPr>
        <xdr:cNvPr id="770" name="Straight Connector 769"/>
        <xdr:cNvCxnSpPr/>
      </xdr:nvCxnSpPr>
      <xdr:spPr>
        <a:xfrm flipV="1">
          <a:off x="3003877" y="8292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106</xdr:row>
      <xdr:rowOff>0</xdr:rowOff>
    </xdr:from>
    <xdr:to>
      <xdr:col>4</xdr:col>
      <xdr:colOff>601265</xdr:colOff>
      <xdr:row>106</xdr:row>
      <xdr:rowOff>187699</xdr:rowOff>
    </xdr:to>
    <xdr:cxnSp macro="">
      <xdr:nvCxnSpPr>
        <xdr:cNvPr id="771" name="Straight Connector 770"/>
        <xdr:cNvCxnSpPr/>
      </xdr:nvCxnSpPr>
      <xdr:spPr>
        <a:xfrm flipV="1">
          <a:off x="3991044" y="8292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106</xdr:row>
      <xdr:rowOff>0</xdr:rowOff>
    </xdr:from>
    <xdr:to>
      <xdr:col>3</xdr:col>
      <xdr:colOff>23112</xdr:colOff>
      <xdr:row>106</xdr:row>
      <xdr:rowOff>188399</xdr:rowOff>
    </xdr:to>
    <xdr:cxnSp macro="">
      <xdr:nvCxnSpPr>
        <xdr:cNvPr id="772" name="Straight Connector 771"/>
        <xdr:cNvCxnSpPr/>
      </xdr:nvCxnSpPr>
      <xdr:spPr>
        <a:xfrm flipV="1">
          <a:off x="3003877" y="8292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106</xdr:row>
      <xdr:rowOff>0</xdr:rowOff>
    </xdr:from>
    <xdr:to>
      <xdr:col>4</xdr:col>
      <xdr:colOff>601265</xdr:colOff>
      <xdr:row>106</xdr:row>
      <xdr:rowOff>187699</xdr:rowOff>
    </xdr:to>
    <xdr:cxnSp macro="">
      <xdr:nvCxnSpPr>
        <xdr:cNvPr id="773" name="Straight Connector 772"/>
        <xdr:cNvCxnSpPr/>
      </xdr:nvCxnSpPr>
      <xdr:spPr>
        <a:xfrm flipV="1">
          <a:off x="3991044" y="8292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106</xdr:row>
      <xdr:rowOff>0</xdr:rowOff>
    </xdr:from>
    <xdr:to>
      <xdr:col>3</xdr:col>
      <xdr:colOff>23112</xdr:colOff>
      <xdr:row>106</xdr:row>
      <xdr:rowOff>188399</xdr:rowOff>
    </xdr:to>
    <xdr:cxnSp macro="">
      <xdr:nvCxnSpPr>
        <xdr:cNvPr id="774" name="Straight Connector 773"/>
        <xdr:cNvCxnSpPr/>
      </xdr:nvCxnSpPr>
      <xdr:spPr>
        <a:xfrm flipV="1">
          <a:off x="3003877" y="8292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106</xdr:row>
      <xdr:rowOff>0</xdr:rowOff>
    </xdr:from>
    <xdr:to>
      <xdr:col>4</xdr:col>
      <xdr:colOff>601265</xdr:colOff>
      <xdr:row>106</xdr:row>
      <xdr:rowOff>187699</xdr:rowOff>
    </xdr:to>
    <xdr:cxnSp macro="">
      <xdr:nvCxnSpPr>
        <xdr:cNvPr id="775" name="Straight Connector 774"/>
        <xdr:cNvCxnSpPr/>
      </xdr:nvCxnSpPr>
      <xdr:spPr>
        <a:xfrm flipV="1">
          <a:off x="3991044" y="8292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94</xdr:row>
      <xdr:rowOff>179295</xdr:rowOff>
    </xdr:from>
    <xdr:to>
      <xdr:col>5</xdr:col>
      <xdr:colOff>11206</xdr:colOff>
      <xdr:row>94</xdr:row>
      <xdr:rowOff>179295</xdr:rowOff>
    </xdr:to>
    <xdr:cxnSp macro="">
      <xdr:nvCxnSpPr>
        <xdr:cNvPr id="776" name="Straight Connector 775"/>
        <xdr:cNvCxnSpPr/>
      </xdr:nvCxnSpPr>
      <xdr:spPr>
        <a:xfrm>
          <a:off x="2980765" y="61856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94</xdr:row>
      <xdr:rowOff>0</xdr:rowOff>
    </xdr:from>
    <xdr:to>
      <xdr:col>3</xdr:col>
      <xdr:colOff>23112</xdr:colOff>
      <xdr:row>94</xdr:row>
      <xdr:rowOff>188399</xdr:rowOff>
    </xdr:to>
    <xdr:cxnSp macro="">
      <xdr:nvCxnSpPr>
        <xdr:cNvPr id="777" name="Straight Connector 776"/>
        <xdr:cNvCxnSpPr/>
      </xdr:nvCxnSpPr>
      <xdr:spPr>
        <a:xfrm flipV="1">
          <a:off x="3003877" y="6006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94</xdr:row>
      <xdr:rowOff>0</xdr:rowOff>
    </xdr:from>
    <xdr:to>
      <xdr:col>4</xdr:col>
      <xdr:colOff>601265</xdr:colOff>
      <xdr:row>94</xdr:row>
      <xdr:rowOff>187699</xdr:rowOff>
    </xdr:to>
    <xdr:cxnSp macro="">
      <xdr:nvCxnSpPr>
        <xdr:cNvPr id="778" name="Straight Connector 777"/>
        <xdr:cNvCxnSpPr/>
      </xdr:nvCxnSpPr>
      <xdr:spPr>
        <a:xfrm flipV="1">
          <a:off x="3991044" y="6006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94</xdr:row>
      <xdr:rowOff>0</xdr:rowOff>
    </xdr:from>
    <xdr:to>
      <xdr:col>3</xdr:col>
      <xdr:colOff>23112</xdr:colOff>
      <xdr:row>94</xdr:row>
      <xdr:rowOff>188399</xdr:rowOff>
    </xdr:to>
    <xdr:cxnSp macro="">
      <xdr:nvCxnSpPr>
        <xdr:cNvPr id="779" name="Straight Connector 778"/>
        <xdr:cNvCxnSpPr/>
      </xdr:nvCxnSpPr>
      <xdr:spPr>
        <a:xfrm flipV="1">
          <a:off x="3003877" y="6006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94</xdr:row>
      <xdr:rowOff>0</xdr:rowOff>
    </xdr:from>
    <xdr:to>
      <xdr:col>4</xdr:col>
      <xdr:colOff>601265</xdr:colOff>
      <xdr:row>94</xdr:row>
      <xdr:rowOff>187699</xdr:rowOff>
    </xdr:to>
    <xdr:cxnSp macro="">
      <xdr:nvCxnSpPr>
        <xdr:cNvPr id="780" name="Straight Connector 779"/>
        <xdr:cNvCxnSpPr/>
      </xdr:nvCxnSpPr>
      <xdr:spPr>
        <a:xfrm flipV="1">
          <a:off x="3991044" y="6006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94</xdr:row>
      <xdr:rowOff>0</xdr:rowOff>
    </xdr:from>
    <xdr:to>
      <xdr:col>3</xdr:col>
      <xdr:colOff>23112</xdr:colOff>
      <xdr:row>94</xdr:row>
      <xdr:rowOff>188399</xdr:rowOff>
    </xdr:to>
    <xdr:cxnSp macro="">
      <xdr:nvCxnSpPr>
        <xdr:cNvPr id="781" name="Straight Connector 780"/>
        <xdr:cNvCxnSpPr/>
      </xdr:nvCxnSpPr>
      <xdr:spPr>
        <a:xfrm flipV="1">
          <a:off x="3003877" y="6006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94</xdr:row>
      <xdr:rowOff>0</xdr:rowOff>
    </xdr:from>
    <xdr:to>
      <xdr:col>4</xdr:col>
      <xdr:colOff>601265</xdr:colOff>
      <xdr:row>94</xdr:row>
      <xdr:rowOff>187699</xdr:rowOff>
    </xdr:to>
    <xdr:cxnSp macro="">
      <xdr:nvCxnSpPr>
        <xdr:cNvPr id="782" name="Straight Connector 781"/>
        <xdr:cNvCxnSpPr/>
      </xdr:nvCxnSpPr>
      <xdr:spPr>
        <a:xfrm flipV="1">
          <a:off x="3991044" y="6006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73</xdr:row>
      <xdr:rowOff>179295</xdr:rowOff>
    </xdr:from>
    <xdr:to>
      <xdr:col>5</xdr:col>
      <xdr:colOff>11206</xdr:colOff>
      <xdr:row>73</xdr:row>
      <xdr:rowOff>179295</xdr:rowOff>
    </xdr:to>
    <xdr:cxnSp macro="">
      <xdr:nvCxnSpPr>
        <xdr:cNvPr id="783" name="Straight Connector 782"/>
        <xdr:cNvCxnSpPr/>
      </xdr:nvCxnSpPr>
      <xdr:spPr>
        <a:xfrm>
          <a:off x="2980765" y="21851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73</xdr:row>
      <xdr:rowOff>0</xdr:rowOff>
    </xdr:from>
    <xdr:to>
      <xdr:col>3</xdr:col>
      <xdr:colOff>23112</xdr:colOff>
      <xdr:row>73</xdr:row>
      <xdr:rowOff>188399</xdr:rowOff>
    </xdr:to>
    <xdr:cxnSp macro="">
      <xdr:nvCxnSpPr>
        <xdr:cNvPr id="784" name="Straight Connector 783"/>
        <xdr:cNvCxnSpPr/>
      </xdr:nvCxnSpPr>
      <xdr:spPr>
        <a:xfrm flipV="1">
          <a:off x="3003877" y="2005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73</xdr:row>
      <xdr:rowOff>0</xdr:rowOff>
    </xdr:from>
    <xdr:to>
      <xdr:col>4</xdr:col>
      <xdr:colOff>601265</xdr:colOff>
      <xdr:row>73</xdr:row>
      <xdr:rowOff>187699</xdr:rowOff>
    </xdr:to>
    <xdr:cxnSp macro="">
      <xdr:nvCxnSpPr>
        <xdr:cNvPr id="785" name="Straight Connector 784"/>
        <xdr:cNvCxnSpPr/>
      </xdr:nvCxnSpPr>
      <xdr:spPr>
        <a:xfrm flipV="1">
          <a:off x="3991044" y="2005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73</xdr:row>
      <xdr:rowOff>0</xdr:rowOff>
    </xdr:from>
    <xdr:to>
      <xdr:col>3</xdr:col>
      <xdr:colOff>23112</xdr:colOff>
      <xdr:row>73</xdr:row>
      <xdr:rowOff>188399</xdr:rowOff>
    </xdr:to>
    <xdr:cxnSp macro="">
      <xdr:nvCxnSpPr>
        <xdr:cNvPr id="786" name="Straight Connector 785"/>
        <xdr:cNvCxnSpPr/>
      </xdr:nvCxnSpPr>
      <xdr:spPr>
        <a:xfrm flipV="1">
          <a:off x="3003877" y="2005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73</xdr:row>
      <xdr:rowOff>0</xdr:rowOff>
    </xdr:from>
    <xdr:to>
      <xdr:col>4</xdr:col>
      <xdr:colOff>601265</xdr:colOff>
      <xdr:row>73</xdr:row>
      <xdr:rowOff>187699</xdr:rowOff>
    </xdr:to>
    <xdr:cxnSp macro="">
      <xdr:nvCxnSpPr>
        <xdr:cNvPr id="787" name="Straight Connector 786"/>
        <xdr:cNvCxnSpPr/>
      </xdr:nvCxnSpPr>
      <xdr:spPr>
        <a:xfrm flipV="1">
          <a:off x="3991044" y="2005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73</xdr:row>
      <xdr:rowOff>0</xdr:rowOff>
    </xdr:from>
    <xdr:to>
      <xdr:col>3</xdr:col>
      <xdr:colOff>23112</xdr:colOff>
      <xdr:row>73</xdr:row>
      <xdr:rowOff>188399</xdr:rowOff>
    </xdr:to>
    <xdr:cxnSp macro="">
      <xdr:nvCxnSpPr>
        <xdr:cNvPr id="788" name="Straight Connector 787"/>
        <xdr:cNvCxnSpPr/>
      </xdr:nvCxnSpPr>
      <xdr:spPr>
        <a:xfrm flipV="1">
          <a:off x="3003877" y="2005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73</xdr:row>
      <xdr:rowOff>0</xdr:rowOff>
    </xdr:from>
    <xdr:to>
      <xdr:col>4</xdr:col>
      <xdr:colOff>601265</xdr:colOff>
      <xdr:row>73</xdr:row>
      <xdr:rowOff>187699</xdr:rowOff>
    </xdr:to>
    <xdr:cxnSp macro="">
      <xdr:nvCxnSpPr>
        <xdr:cNvPr id="789" name="Straight Connector 788"/>
        <xdr:cNvCxnSpPr/>
      </xdr:nvCxnSpPr>
      <xdr:spPr>
        <a:xfrm flipV="1">
          <a:off x="3991044" y="2005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79</xdr:row>
      <xdr:rowOff>179295</xdr:rowOff>
    </xdr:from>
    <xdr:to>
      <xdr:col>5</xdr:col>
      <xdr:colOff>11206</xdr:colOff>
      <xdr:row>79</xdr:row>
      <xdr:rowOff>179295</xdr:rowOff>
    </xdr:to>
    <xdr:cxnSp macro="">
      <xdr:nvCxnSpPr>
        <xdr:cNvPr id="790" name="Straight Connector 789"/>
        <xdr:cNvCxnSpPr/>
      </xdr:nvCxnSpPr>
      <xdr:spPr>
        <a:xfrm>
          <a:off x="2980765" y="33281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79</xdr:row>
      <xdr:rowOff>0</xdr:rowOff>
    </xdr:from>
    <xdr:to>
      <xdr:col>3</xdr:col>
      <xdr:colOff>23112</xdr:colOff>
      <xdr:row>79</xdr:row>
      <xdr:rowOff>188399</xdr:rowOff>
    </xdr:to>
    <xdr:cxnSp macro="">
      <xdr:nvCxnSpPr>
        <xdr:cNvPr id="791" name="Straight Connector 790"/>
        <xdr:cNvCxnSpPr/>
      </xdr:nvCxnSpPr>
      <xdr:spPr>
        <a:xfrm flipV="1">
          <a:off x="3003877" y="3148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79</xdr:row>
      <xdr:rowOff>0</xdr:rowOff>
    </xdr:from>
    <xdr:to>
      <xdr:col>4</xdr:col>
      <xdr:colOff>601265</xdr:colOff>
      <xdr:row>79</xdr:row>
      <xdr:rowOff>187699</xdr:rowOff>
    </xdr:to>
    <xdr:cxnSp macro="">
      <xdr:nvCxnSpPr>
        <xdr:cNvPr id="792" name="Straight Connector 791"/>
        <xdr:cNvCxnSpPr/>
      </xdr:nvCxnSpPr>
      <xdr:spPr>
        <a:xfrm flipV="1">
          <a:off x="3991044" y="3148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79</xdr:row>
      <xdr:rowOff>0</xdr:rowOff>
    </xdr:from>
    <xdr:to>
      <xdr:col>3</xdr:col>
      <xdr:colOff>23112</xdr:colOff>
      <xdr:row>79</xdr:row>
      <xdr:rowOff>188399</xdr:rowOff>
    </xdr:to>
    <xdr:cxnSp macro="">
      <xdr:nvCxnSpPr>
        <xdr:cNvPr id="793" name="Straight Connector 792"/>
        <xdr:cNvCxnSpPr/>
      </xdr:nvCxnSpPr>
      <xdr:spPr>
        <a:xfrm flipV="1">
          <a:off x="3003877" y="3148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79</xdr:row>
      <xdr:rowOff>0</xdr:rowOff>
    </xdr:from>
    <xdr:to>
      <xdr:col>4</xdr:col>
      <xdr:colOff>601265</xdr:colOff>
      <xdr:row>79</xdr:row>
      <xdr:rowOff>187699</xdr:rowOff>
    </xdr:to>
    <xdr:cxnSp macro="">
      <xdr:nvCxnSpPr>
        <xdr:cNvPr id="794" name="Straight Connector 793"/>
        <xdr:cNvCxnSpPr/>
      </xdr:nvCxnSpPr>
      <xdr:spPr>
        <a:xfrm flipV="1">
          <a:off x="3991044" y="3148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79</xdr:row>
      <xdr:rowOff>0</xdr:rowOff>
    </xdr:from>
    <xdr:to>
      <xdr:col>3</xdr:col>
      <xdr:colOff>23112</xdr:colOff>
      <xdr:row>79</xdr:row>
      <xdr:rowOff>188399</xdr:rowOff>
    </xdr:to>
    <xdr:cxnSp macro="">
      <xdr:nvCxnSpPr>
        <xdr:cNvPr id="795" name="Straight Connector 794"/>
        <xdr:cNvCxnSpPr/>
      </xdr:nvCxnSpPr>
      <xdr:spPr>
        <a:xfrm flipV="1">
          <a:off x="3003877" y="3148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79</xdr:row>
      <xdr:rowOff>0</xdr:rowOff>
    </xdr:from>
    <xdr:to>
      <xdr:col>4</xdr:col>
      <xdr:colOff>601265</xdr:colOff>
      <xdr:row>79</xdr:row>
      <xdr:rowOff>187699</xdr:rowOff>
    </xdr:to>
    <xdr:cxnSp macro="">
      <xdr:nvCxnSpPr>
        <xdr:cNvPr id="796" name="Straight Connector 795"/>
        <xdr:cNvCxnSpPr/>
      </xdr:nvCxnSpPr>
      <xdr:spPr>
        <a:xfrm flipV="1">
          <a:off x="3991044" y="3148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85</xdr:row>
      <xdr:rowOff>179295</xdr:rowOff>
    </xdr:from>
    <xdr:to>
      <xdr:col>5</xdr:col>
      <xdr:colOff>11206</xdr:colOff>
      <xdr:row>85</xdr:row>
      <xdr:rowOff>179295</xdr:rowOff>
    </xdr:to>
    <xdr:cxnSp macro="">
      <xdr:nvCxnSpPr>
        <xdr:cNvPr id="797" name="Straight Connector 796"/>
        <xdr:cNvCxnSpPr/>
      </xdr:nvCxnSpPr>
      <xdr:spPr>
        <a:xfrm>
          <a:off x="2980765" y="44711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85</xdr:row>
      <xdr:rowOff>0</xdr:rowOff>
    </xdr:from>
    <xdr:to>
      <xdr:col>3</xdr:col>
      <xdr:colOff>23112</xdr:colOff>
      <xdr:row>85</xdr:row>
      <xdr:rowOff>188399</xdr:rowOff>
    </xdr:to>
    <xdr:cxnSp macro="">
      <xdr:nvCxnSpPr>
        <xdr:cNvPr id="798" name="Straight Connector 797"/>
        <xdr:cNvCxnSpPr/>
      </xdr:nvCxnSpPr>
      <xdr:spPr>
        <a:xfrm flipV="1">
          <a:off x="3003877" y="4291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85</xdr:row>
      <xdr:rowOff>0</xdr:rowOff>
    </xdr:from>
    <xdr:to>
      <xdr:col>4</xdr:col>
      <xdr:colOff>601265</xdr:colOff>
      <xdr:row>85</xdr:row>
      <xdr:rowOff>187699</xdr:rowOff>
    </xdr:to>
    <xdr:cxnSp macro="">
      <xdr:nvCxnSpPr>
        <xdr:cNvPr id="799" name="Straight Connector 798"/>
        <xdr:cNvCxnSpPr/>
      </xdr:nvCxnSpPr>
      <xdr:spPr>
        <a:xfrm flipV="1">
          <a:off x="3991044" y="4291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85</xdr:row>
      <xdr:rowOff>0</xdr:rowOff>
    </xdr:from>
    <xdr:to>
      <xdr:col>3</xdr:col>
      <xdr:colOff>23112</xdr:colOff>
      <xdr:row>85</xdr:row>
      <xdr:rowOff>188399</xdr:rowOff>
    </xdr:to>
    <xdr:cxnSp macro="">
      <xdr:nvCxnSpPr>
        <xdr:cNvPr id="800" name="Straight Connector 799"/>
        <xdr:cNvCxnSpPr/>
      </xdr:nvCxnSpPr>
      <xdr:spPr>
        <a:xfrm flipV="1">
          <a:off x="3003877" y="4291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85</xdr:row>
      <xdr:rowOff>0</xdr:rowOff>
    </xdr:from>
    <xdr:to>
      <xdr:col>4</xdr:col>
      <xdr:colOff>601265</xdr:colOff>
      <xdr:row>85</xdr:row>
      <xdr:rowOff>187699</xdr:rowOff>
    </xdr:to>
    <xdr:cxnSp macro="">
      <xdr:nvCxnSpPr>
        <xdr:cNvPr id="801" name="Straight Connector 800"/>
        <xdr:cNvCxnSpPr/>
      </xdr:nvCxnSpPr>
      <xdr:spPr>
        <a:xfrm flipV="1">
          <a:off x="3991044" y="4291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85</xdr:row>
      <xdr:rowOff>0</xdr:rowOff>
    </xdr:from>
    <xdr:to>
      <xdr:col>3</xdr:col>
      <xdr:colOff>23112</xdr:colOff>
      <xdr:row>85</xdr:row>
      <xdr:rowOff>188399</xdr:rowOff>
    </xdr:to>
    <xdr:cxnSp macro="">
      <xdr:nvCxnSpPr>
        <xdr:cNvPr id="802" name="Straight Connector 801"/>
        <xdr:cNvCxnSpPr/>
      </xdr:nvCxnSpPr>
      <xdr:spPr>
        <a:xfrm flipV="1">
          <a:off x="3003877" y="4291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85</xdr:row>
      <xdr:rowOff>0</xdr:rowOff>
    </xdr:from>
    <xdr:to>
      <xdr:col>4</xdr:col>
      <xdr:colOff>601265</xdr:colOff>
      <xdr:row>85</xdr:row>
      <xdr:rowOff>187699</xdr:rowOff>
    </xdr:to>
    <xdr:cxnSp macro="">
      <xdr:nvCxnSpPr>
        <xdr:cNvPr id="803" name="Straight Connector 802"/>
        <xdr:cNvCxnSpPr/>
      </xdr:nvCxnSpPr>
      <xdr:spPr>
        <a:xfrm flipV="1">
          <a:off x="3991044" y="4291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91</xdr:row>
      <xdr:rowOff>179295</xdr:rowOff>
    </xdr:from>
    <xdr:to>
      <xdr:col>5</xdr:col>
      <xdr:colOff>11206</xdr:colOff>
      <xdr:row>91</xdr:row>
      <xdr:rowOff>179295</xdr:rowOff>
    </xdr:to>
    <xdr:cxnSp macro="">
      <xdr:nvCxnSpPr>
        <xdr:cNvPr id="804" name="Straight Connector 803"/>
        <xdr:cNvCxnSpPr/>
      </xdr:nvCxnSpPr>
      <xdr:spPr>
        <a:xfrm>
          <a:off x="2980765" y="56141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91</xdr:row>
      <xdr:rowOff>0</xdr:rowOff>
    </xdr:from>
    <xdr:to>
      <xdr:col>3</xdr:col>
      <xdr:colOff>23112</xdr:colOff>
      <xdr:row>91</xdr:row>
      <xdr:rowOff>188399</xdr:rowOff>
    </xdr:to>
    <xdr:cxnSp macro="">
      <xdr:nvCxnSpPr>
        <xdr:cNvPr id="805" name="Straight Connector 804"/>
        <xdr:cNvCxnSpPr/>
      </xdr:nvCxnSpPr>
      <xdr:spPr>
        <a:xfrm flipV="1">
          <a:off x="3003877" y="5434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91</xdr:row>
      <xdr:rowOff>0</xdr:rowOff>
    </xdr:from>
    <xdr:to>
      <xdr:col>4</xdr:col>
      <xdr:colOff>601265</xdr:colOff>
      <xdr:row>91</xdr:row>
      <xdr:rowOff>187699</xdr:rowOff>
    </xdr:to>
    <xdr:cxnSp macro="">
      <xdr:nvCxnSpPr>
        <xdr:cNvPr id="806" name="Straight Connector 805"/>
        <xdr:cNvCxnSpPr/>
      </xdr:nvCxnSpPr>
      <xdr:spPr>
        <a:xfrm flipV="1">
          <a:off x="3991044" y="5434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91</xdr:row>
      <xdr:rowOff>0</xdr:rowOff>
    </xdr:from>
    <xdr:to>
      <xdr:col>3</xdr:col>
      <xdr:colOff>23112</xdr:colOff>
      <xdr:row>91</xdr:row>
      <xdr:rowOff>188399</xdr:rowOff>
    </xdr:to>
    <xdr:cxnSp macro="">
      <xdr:nvCxnSpPr>
        <xdr:cNvPr id="807" name="Straight Connector 806"/>
        <xdr:cNvCxnSpPr/>
      </xdr:nvCxnSpPr>
      <xdr:spPr>
        <a:xfrm flipV="1">
          <a:off x="3003877" y="5434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91</xdr:row>
      <xdr:rowOff>0</xdr:rowOff>
    </xdr:from>
    <xdr:to>
      <xdr:col>4</xdr:col>
      <xdr:colOff>601265</xdr:colOff>
      <xdr:row>91</xdr:row>
      <xdr:rowOff>187699</xdr:rowOff>
    </xdr:to>
    <xdr:cxnSp macro="">
      <xdr:nvCxnSpPr>
        <xdr:cNvPr id="808" name="Straight Connector 807"/>
        <xdr:cNvCxnSpPr/>
      </xdr:nvCxnSpPr>
      <xdr:spPr>
        <a:xfrm flipV="1">
          <a:off x="3991044" y="5434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91</xdr:row>
      <xdr:rowOff>0</xdr:rowOff>
    </xdr:from>
    <xdr:to>
      <xdr:col>3</xdr:col>
      <xdr:colOff>23112</xdr:colOff>
      <xdr:row>91</xdr:row>
      <xdr:rowOff>188399</xdr:rowOff>
    </xdr:to>
    <xdr:cxnSp macro="">
      <xdr:nvCxnSpPr>
        <xdr:cNvPr id="809" name="Straight Connector 808"/>
        <xdr:cNvCxnSpPr/>
      </xdr:nvCxnSpPr>
      <xdr:spPr>
        <a:xfrm flipV="1">
          <a:off x="3003877" y="5434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91</xdr:row>
      <xdr:rowOff>0</xdr:rowOff>
    </xdr:from>
    <xdr:to>
      <xdr:col>4</xdr:col>
      <xdr:colOff>601265</xdr:colOff>
      <xdr:row>91</xdr:row>
      <xdr:rowOff>187699</xdr:rowOff>
    </xdr:to>
    <xdr:cxnSp macro="">
      <xdr:nvCxnSpPr>
        <xdr:cNvPr id="810" name="Straight Connector 809"/>
        <xdr:cNvCxnSpPr/>
      </xdr:nvCxnSpPr>
      <xdr:spPr>
        <a:xfrm flipV="1">
          <a:off x="3991044" y="5434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97</xdr:row>
      <xdr:rowOff>179295</xdr:rowOff>
    </xdr:from>
    <xdr:to>
      <xdr:col>5</xdr:col>
      <xdr:colOff>11206</xdr:colOff>
      <xdr:row>97</xdr:row>
      <xdr:rowOff>179295</xdr:rowOff>
    </xdr:to>
    <xdr:cxnSp macro="">
      <xdr:nvCxnSpPr>
        <xdr:cNvPr id="811" name="Straight Connector 810"/>
        <xdr:cNvCxnSpPr/>
      </xdr:nvCxnSpPr>
      <xdr:spPr>
        <a:xfrm>
          <a:off x="2980765" y="67571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97</xdr:row>
      <xdr:rowOff>0</xdr:rowOff>
    </xdr:from>
    <xdr:to>
      <xdr:col>3</xdr:col>
      <xdr:colOff>23112</xdr:colOff>
      <xdr:row>97</xdr:row>
      <xdr:rowOff>188399</xdr:rowOff>
    </xdr:to>
    <xdr:cxnSp macro="">
      <xdr:nvCxnSpPr>
        <xdr:cNvPr id="812" name="Straight Connector 811"/>
        <xdr:cNvCxnSpPr/>
      </xdr:nvCxnSpPr>
      <xdr:spPr>
        <a:xfrm flipV="1">
          <a:off x="3003877" y="6577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97</xdr:row>
      <xdr:rowOff>0</xdr:rowOff>
    </xdr:from>
    <xdr:to>
      <xdr:col>4</xdr:col>
      <xdr:colOff>601265</xdr:colOff>
      <xdr:row>97</xdr:row>
      <xdr:rowOff>187699</xdr:rowOff>
    </xdr:to>
    <xdr:cxnSp macro="">
      <xdr:nvCxnSpPr>
        <xdr:cNvPr id="813" name="Straight Connector 812"/>
        <xdr:cNvCxnSpPr/>
      </xdr:nvCxnSpPr>
      <xdr:spPr>
        <a:xfrm flipV="1">
          <a:off x="3991044" y="6577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97</xdr:row>
      <xdr:rowOff>0</xdr:rowOff>
    </xdr:from>
    <xdr:to>
      <xdr:col>3</xdr:col>
      <xdr:colOff>23112</xdr:colOff>
      <xdr:row>97</xdr:row>
      <xdr:rowOff>188399</xdr:rowOff>
    </xdr:to>
    <xdr:cxnSp macro="">
      <xdr:nvCxnSpPr>
        <xdr:cNvPr id="814" name="Straight Connector 813"/>
        <xdr:cNvCxnSpPr/>
      </xdr:nvCxnSpPr>
      <xdr:spPr>
        <a:xfrm flipV="1">
          <a:off x="3003877" y="6577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97</xdr:row>
      <xdr:rowOff>0</xdr:rowOff>
    </xdr:from>
    <xdr:to>
      <xdr:col>4</xdr:col>
      <xdr:colOff>601265</xdr:colOff>
      <xdr:row>97</xdr:row>
      <xdr:rowOff>187699</xdr:rowOff>
    </xdr:to>
    <xdr:cxnSp macro="">
      <xdr:nvCxnSpPr>
        <xdr:cNvPr id="815" name="Straight Connector 814"/>
        <xdr:cNvCxnSpPr/>
      </xdr:nvCxnSpPr>
      <xdr:spPr>
        <a:xfrm flipV="1">
          <a:off x="3991044" y="6577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97</xdr:row>
      <xdr:rowOff>0</xdr:rowOff>
    </xdr:from>
    <xdr:to>
      <xdr:col>3</xdr:col>
      <xdr:colOff>23112</xdr:colOff>
      <xdr:row>97</xdr:row>
      <xdr:rowOff>188399</xdr:rowOff>
    </xdr:to>
    <xdr:cxnSp macro="">
      <xdr:nvCxnSpPr>
        <xdr:cNvPr id="816" name="Straight Connector 815"/>
        <xdr:cNvCxnSpPr/>
      </xdr:nvCxnSpPr>
      <xdr:spPr>
        <a:xfrm flipV="1">
          <a:off x="3003877" y="6577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97</xdr:row>
      <xdr:rowOff>0</xdr:rowOff>
    </xdr:from>
    <xdr:to>
      <xdr:col>4</xdr:col>
      <xdr:colOff>601265</xdr:colOff>
      <xdr:row>97</xdr:row>
      <xdr:rowOff>187699</xdr:rowOff>
    </xdr:to>
    <xdr:cxnSp macro="">
      <xdr:nvCxnSpPr>
        <xdr:cNvPr id="817" name="Straight Connector 816"/>
        <xdr:cNvCxnSpPr/>
      </xdr:nvCxnSpPr>
      <xdr:spPr>
        <a:xfrm flipV="1">
          <a:off x="3991044" y="6577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103</xdr:row>
      <xdr:rowOff>179295</xdr:rowOff>
    </xdr:from>
    <xdr:to>
      <xdr:col>5</xdr:col>
      <xdr:colOff>11206</xdr:colOff>
      <xdr:row>103</xdr:row>
      <xdr:rowOff>179295</xdr:rowOff>
    </xdr:to>
    <xdr:cxnSp macro="">
      <xdr:nvCxnSpPr>
        <xdr:cNvPr id="818" name="Straight Connector 817"/>
        <xdr:cNvCxnSpPr/>
      </xdr:nvCxnSpPr>
      <xdr:spPr>
        <a:xfrm>
          <a:off x="2980765" y="79001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103</xdr:row>
      <xdr:rowOff>0</xdr:rowOff>
    </xdr:from>
    <xdr:to>
      <xdr:col>3</xdr:col>
      <xdr:colOff>23112</xdr:colOff>
      <xdr:row>103</xdr:row>
      <xdr:rowOff>188399</xdr:rowOff>
    </xdr:to>
    <xdr:cxnSp macro="">
      <xdr:nvCxnSpPr>
        <xdr:cNvPr id="819" name="Straight Connector 818"/>
        <xdr:cNvCxnSpPr/>
      </xdr:nvCxnSpPr>
      <xdr:spPr>
        <a:xfrm flipV="1">
          <a:off x="3003877" y="7720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103</xdr:row>
      <xdr:rowOff>0</xdr:rowOff>
    </xdr:from>
    <xdr:to>
      <xdr:col>4</xdr:col>
      <xdr:colOff>601265</xdr:colOff>
      <xdr:row>103</xdr:row>
      <xdr:rowOff>187699</xdr:rowOff>
    </xdr:to>
    <xdr:cxnSp macro="">
      <xdr:nvCxnSpPr>
        <xdr:cNvPr id="820" name="Straight Connector 819"/>
        <xdr:cNvCxnSpPr/>
      </xdr:nvCxnSpPr>
      <xdr:spPr>
        <a:xfrm flipV="1">
          <a:off x="3991044" y="7720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103</xdr:row>
      <xdr:rowOff>0</xdr:rowOff>
    </xdr:from>
    <xdr:to>
      <xdr:col>3</xdr:col>
      <xdr:colOff>23112</xdr:colOff>
      <xdr:row>103</xdr:row>
      <xdr:rowOff>188399</xdr:rowOff>
    </xdr:to>
    <xdr:cxnSp macro="">
      <xdr:nvCxnSpPr>
        <xdr:cNvPr id="821" name="Straight Connector 820"/>
        <xdr:cNvCxnSpPr/>
      </xdr:nvCxnSpPr>
      <xdr:spPr>
        <a:xfrm flipV="1">
          <a:off x="3003877" y="7720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103</xdr:row>
      <xdr:rowOff>0</xdr:rowOff>
    </xdr:from>
    <xdr:to>
      <xdr:col>4</xdr:col>
      <xdr:colOff>601265</xdr:colOff>
      <xdr:row>103</xdr:row>
      <xdr:rowOff>187699</xdr:rowOff>
    </xdr:to>
    <xdr:cxnSp macro="">
      <xdr:nvCxnSpPr>
        <xdr:cNvPr id="822" name="Straight Connector 821"/>
        <xdr:cNvCxnSpPr/>
      </xdr:nvCxnSpPr>
      <xdr:spPr>
        <a:xfrm flipV="1">
          <a:off x="3991044" y="7720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103</xdr:row>
      <xdr:rowOff>0</xdr:rowOff>
    </xdr:from>
    <xdr:to>
      <xdr:col>3</xdr:col>
      <xdr:colOff>23112</xdr:colOff>
      <xdr:row>103</xdr:row>
      <xdr:rowOff>188399</xdr:rowOff>
    </xdr:to>
    <xdr:cxnSp macro="">
      <xdr:nvCxnSpPr>
        <xdr:cNvPr id="823" name="Straight Connector 822"/>
        <xdr:cNvCxnSpPr/>
      </xdr:nvCxnSpPr>
      <xdr:spPr>
        <a:xfrm flipV="1">
          <a:off x="3003877" y="7720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103</xdr:row>
      <xdr:rowOff>0</xdr:rowOff>
    </xdr:from>
    <xdr:to>
      <xdr:col>4</xdr:col>
      <xdr:colOff>601265</xdr:colOff>
      <xdr:row>103</xdr:row>
      <xdr:rowOff>187699</xdr:rowOff>
    </xdr:to>
    <xdr:cxnSp macro="">
      <xdr:nvCxnSpPr>
        <xdr:cNvPr id="824" name="Straight Connector 823"/>
        <xdr:cNvCxnSpPr/>
      </xdr:nvCxnSpPr>
      <xdr:spPr>
        <a:xfrm flipV="1">
          <a:off x="3991044" y="7720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129</xdr:row>
      <xdr:rowOff>179295</xdr:rowOff>
    </xdr:from>
    <xdr:to>
      <xdr:col>5</xdr:col>
      <xdr:colOff>11206</xdr:colOff>
      <xdr:row>129</xdr:row>
      <xdr:rowOff>179295</xdr:rowOff>
    </xdr:to>
    <xdr:cxnSp macro="">
      <xdr:nvCxnSpPr>
        <xdr:cNvPr id="825" name="Straight Connector 824"/>
        <xdr:cNvCxnSpPr/>
      </xdr:nvCxnSpPr>
      <xdr:spPr>
        <a:xfrm>
          <a:off x="2980765" y="128531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129</xdr:row>
      <xdr:rowOff>0</xdr:rowOff>
    </xdr:from>
    <xdr:to>
      <xdr:col>3</xdr:col>
      <xdr:colOff>23112</xdr:colOff>
      <xdr:row>129</xdr:row>
      <xdr:rowOff>188399</xdr:rowOff>
    </xdr:to>
    <xdr:cxnSp macro="">
      <xdr:nvCxnSpPr>
        <xdr:cNvPr id="826" name="Straight Connector 825"/>
        <xdr:cNvCxnSpPr/>
      </xdr:nvCxnSpPr>
      <xdr:spPr>
        <a:xfrm flipV="1">
          <a:off x="3003877" y="12673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129</xdr:row>
      <xdr:rowOff>0</xdr:rowOff>
    </xdr:from>
    <xdr:to>
      <xdr:col>4</xdr:col>
      <xdr:colOff>601265</xdr:colOff>
      <xdr:row>129</xdr:row>
      <xdr:rowOff>187699</xdr:rowOff>
    </xdr:to>
    <xdr:cxnSp macro="">
      <xdr:nvCxnSpPr>
        <xdr:cNvPr id="827" name="Straight Connector 826"/>
        <xdr:cNvCxnSpPr/>
      </xdr:nvCxnSpPr>
      <xdr:spPr>
        <a:xfrm flipV="1">
          <a:off x="3991044" y="12673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129</xdr:row>
      <xdr:rowOff>0</xdr:rowOff>
    </xdr:from>
    <xdr:to>
      <xdr:col>3</xdr:col>
      <xdr:colOff>23112</xdr:colOff>
      <xdr:row>129</xdr:row>
      <xdr:rowOff>188399</xdr:rowOff>
    </xdr:to>
    <xdr:cxnSp macro="">
      <xdr:nvCxnSpPr>
        <xdr:cNvPr id="828" name="Straight Connector 827"/>
        <xdr:cNvCxnSpPr/>
      </xdr:nvCxnSpPr>
      <xdr:spPr>
        <a:xfrm flipV="1">
          <a:off x="3003877" y="12673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129</xdr:row>
      <xdr:rowOff>0</xdr:rowOff>
    </xdr:from>
    <xdr:to>
      <xdr:col>4</xdr:col>
      <xdr:colOff>601265</xdr:colOff>
      <xdr:row>129</xdr:row>
      <xdr:rowOff>187699</xdr:rowOff>
    </xdr:to>
    <xdr:cxnSp macro="">
      <xdr:nvCxnSpPr>
        <xdr:cNvPr id="829" name="Straight Connector 828"/>
        <xdr:cNvCxnSpPr/>
      </xdr:nvCxnSpPr>
      <xdr:spPr>
        <a:xfrm flipV="1">
          <a:off x="3991044" y="12673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129</xdr:row>
      <xdr:rowOff>0</xdr:rowOff>
    </xdr:from>
    <xdr:to>
      <xdr:col>3</xdr:col>
      <xdr:colOff>23112</xdr:colOff>
      <xdr:row>129</xdr:row>
      <xdr:rowOff>188399</xdr:rowOff>
    </xdr:to>
    <xdr:cxnSp macro="">
      <xdr:nvCxnSpPr>
        <xdr:cNvPr id="830" name="Straight Connector 829"/>
        <xdr:cNvCxnSpPr/>
      </xdr:nvCxnSpPr>
      <xdr:spPr>
        <a:xfrm flipV="1">
          <a:off x="3003877" y="12673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129</xdr:row>
      <xdr:rowOff>0</xdr:rowOff>
    </xdr:from>
    <xdr:to>
      <xdr:col>4</xdr:col>
      <xdr:colOff>601265</xdr:colOff>
      <xdr:row>129</xdr:row>
      <xdr:rowOff>187699</xdr:rowOff>
    </xdr:to>
    <xdr:cxnSp macro="">
      <xdr:nvCxnSpPr>
        <xdr:cNvPr id="831" name="Straight Connector 830"/>
        <xdr:cNvCxnSpPr/>
      </xdr:nvCxnSpPr>
      <xdr:spPr>
        <a:xfrm flipV="1">
          <a:off x="3991044" y="12673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126</xdr:row>
      <xdr:rowOff>179295</xdr:rowOff>
    </xdr:from>
    <xdr:to>
      <xdr:col>5</xdr:col>
      <xdr:colOff>11206</xdr:colOff>
      <xdr:row>126</xdr:row>
      <xdr:rowOff>179295</xdr:rowOff>
    </xdr:to>
    <xdr:cxnSp macro="">
      <xdr:nvCxnSpPr>
        <xdr:cNvPr id="832" name="Straight Connector 831"/>
        <xdr:cNvCxnSpPr/>
      </xdr:nvCxnSpPr>
      <xdr:spPr>
        <a:xfrm>
          <a:off x="2980765" y="122816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126</xdr:row>
      <xdr:rowOff>0</xdr:rowOff>
    </xdr:from>
    <xdr:to>
      <xdr:col>3</xdr:col>
      <xdr:colOff>23112</xdr:colOff>
      <xdr:row>126</xdr:row>
      <xdr:rowOff>188399</xdr:rowOff>
    </xdr:to>
    <xdr:cxnSp macro="">
      <xdr:nvCxnSpPr>
        <xdr:cNvPr id="833" name="Straight Connector 832"/>
        <xdr:cNvCxnSpPr/>
      </xdr:nvCxnSpPr>
      <xdr:spPr>
        <a:xfrm flipV="1">
          <a:off x="3003877" y="12102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126</xdr:row>
      <xdr:rowOff>0</xdr:rowOff>
    </xdr:from>
    <xdr:to>
      <xdr:col>4</xdr:col>
      <xdr:colOff>601265</xdr:colOff>
      <xdr:row>126</xdr:row>
      <xdr:rowOff>187699</xdr:rowOff>
    </xdr:to>
    <xdr:cxnSp macro="">
      <xdr:nvCxnSpPr>
        <xdr:cNvPr id="834" name="Straight Connector 833"/>
        <xdr:cNvCxnSpPr/>
      </xdr:nvCxnSpPr>
      <xdr:spPr>
        <a:xfrm flipV="1">
          <a:off x="3991044" y="12102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126</xdr:row>
      <xdr:rowOff>0</xdr:rowOff>
    </xdr:from>
    <xdr:to>
      <xdr:col>3</xdr:col>
      <xdr:colOff>23112</xdr:colOff>
      <xdr:row>126</xdr:row>
      <xdr:rowOff>188399</xdr:rowOff>
    </xdr:to>
    <xdr:cxnSp macro="">
      <xdr:nvCxnSpPr>
        <xdr:cNvPr id="835" name="Straight Connector 834"/>
        <xdr:cNvCxnSpPr/>
      </xdr:nvCxnSpPr>
      <xdr:spPr>
        <a:xfrm flipV="1">
          <a:off x="3003877" y="12102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126</xdr:row>
      <xdr:rowOff>0</xdr:rowOff>
    </xdr:from>
    <xdr:to>
      <xdr:col>4</xdr:col>
      <xdr:colOff>601265</xdr:colOff>
      <xdr:row>126</xdr:row>
      <xdr:rowOff>187699</xdr:rowOff>
    </xdr:to>
    <xdr:cxnSp macro="">
      <xdr:nvCxnSpPr>
        <xdr:cNvPr id="836" name="Straight Connector 835"/>
        <xdr:cNvCxnSpPr/>
      </xdr:nvCxnSpPr>
      <xdr:spPr>
        <a:xfrm flipV="1">
          <a:off x="3991044" y="12102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126</xdr:row>
      <xdr:rowOff>0</xdr:rowOff>
    </xdr:from>
    <xdr:to>
      <xdr:col>3</xdr:col>
      <xdr:colOff>23112</xdr:colOff>
      <xdr:row>126</xdr:row>
      <xdr:rowOff>188399</xdr:rowOff>
    </xdr:to>
    <xdr:cxnSp macro="">
      <xdr:nvCxnSpPr>
        <xdr:cNvPr id="837" name="Straight Connector 836"/>
        <xdr:cNvCxnSpPr/>
      </xdr:nvCxnSpPr>
      <xdr:spPr>
        <a:xfrm flipV="1">
          <a:off x="3003877" y="12102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126</xdr:row>
      <xdr:rowOff>0</xdr:rowOff>
    </xdr:from>
    <xdr:to>
      <xdr:col>4</xdr:col>
      <xdr:colOff>601265</xdr:colOff>
      <xdr:row>126</xdr:row>
      <xdr:rowOff>187699</xdr:rowOff>
    </xdr:to>
    <xdr:cxnSp macro="">
      <xdr:nvCxnSpPr>
        <xdr:cNvPr id="838" name="Straight Connector 837"/>
        <xdr:cNvCxnSpPr/>
      </xdr:nvCxnSpPr>
      <xdr:spPr>
        <a:xfrm flipV="1">
          <a:off x="3991044" y="12102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123</xdr:row>
      <xdr:rowOff>179295</xdr:rowOff>
    </xdr:from>
    <xdr:to>
      <xdr:col>5</xdr:col>
      <xdr:colOff>11206</xdr:colOff>
      <xdr:row>123</xdr:row>
      <xdr:rowOff>179295</xdr:rowOff>
    </xdr:to>
    <xdr:cxnSp macro="">
      <xdr:nvCxnSpPr>
        <xdr:cNvPr id="839" name="Straight Connector 838"/>
        <xdr:cNvCxnSpPr/>
      </xdr:nvCxnSpPr>
      <xdr:spPr>
        <a:xfrm>
          <a:off x="2980765" y="117101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120</xdr:row>
      <xdr:rowOff>179295</xdr:rowOff>
    </xdr:from>
    <xdr:to>
      <xdr:col>5</xdr:col>
      <xdr:colOff>11206</xdr:colOff>
      <xdr:row>120</xdr:row>
      <xdr:rowOff>179295</xdr:rowOff>
    </xdr:to>
    <xdr:cxnSp macro="">
      <xdr:nvCxnSpPr>
        <xdr:cNvPr id="840" name="Straight Connector 839"/>
        <xdr:cNvCxnSpPr/>
      </xdr:nvCxnSpPr>
      <xdr:spPr>
        <a:xfrm>
          <a:off x="2980765" y="111386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114</xdr:row>
      <xdr:rowOff>179295</xdr:rowOff>
    </xdr:from>
    <xdr:to>
      <xdr:col>5</xdr:col>
      <xdr:colOff>11206</xdr:colOff>
      <xdr:row>114</xdr:row>
      <xdr:rowOff>179295</xdr:rowOff>
    </xdr:to>
    <xdr:cxnSp macro="">
      <xdr:nvCxnSpPr>
        <xdr:cNvPr id="841" name="Straight Connector 840"/>
        <xdr:cNvCxnSpPr/>
      </xdr:nvCxnSpPr>
      <xdr:spPr>
        <a:xfrm>
          <a:off x="2980765" y="99956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114</xdr:row>
      <xdr:rowOff>0</xdr:rowOff>
    </xdr:from>
    <xdr:to>
      <xdr:col>3</xdr:col>
      <xdr:colOff>23112</xdr:colOff>
      <xdr:row>114</xdr:row>
      <xdr:rowOff>188399</xdr:rowOff>
    </xdr:to>
    <xdr:cxnSp macro="">
      <xdr:nvCxnSpPr>
        <xdr:cNvPr id="842" name="Straight Connector 841"/>
        <xdr:cNvCxnSpPr/>
      </xdr:nvCxnSpPr>
      <xdr:spPr>
        <a:xfrm flipV="1">
          <a:off x="3003877" y="9816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114</xdr:row>
      <xdr:rowOff>0</xdr:rowOff>
    </xdr:from>
    <xdr:to>
      <xdr:col>3</xdr:col>
      <xdr:colOff>23112</xdr:colOff>
      <xdr:row>114</xdr:row>
      <xdr:rowOff>188399</xdr:rowOff>
    </xdr:to>
    <xdr:cxnSp macro="">
      <xdr:nvCxnSpPr>
        <xdr:cNvPr id="843" name="Straight Connector 842"/>
        <xdr:cNvCxnSpPr/>
      </xdr:nvCxnSpPr>
      <xdr:spPr>
        <a:xfrm flipV="1">
          <a:off x="3003877" y="9816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114</xdr:row>
      <xdr:rowOff>0</xdr:rowOff>
    </xdr:from>
    <xdr:to>
      <xdr:col>3</xdr:col>
      <xdr:colOff>23112</xdr:colOff>
      <xdr:row>114</xdr:row>
      <xdr:rowOff>188399</xdr:rowOff>
    </xdr:to>
    <xdr:cxnSp macro="">
      <xdr:nvCxnSpPr>
        <xdr:cNvPr id="844" name="Straight Connector 843"/>
        <xdr:cNvCxnSpPr/>
      </xdr:nvCxnSpPr>
      <xdr:spPr>
        <a:xfrm flipV="1">
          <a:off x="3003877" y="9816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114</xdr:row>
      <xdr:rowOff>179295</xdr:rowOff>
    </xdr:from>
    <xdr:to>
      <xdr:col>5</xdr:col>
      <xdr:colOff>11206</xdr:colOff>
      <xdr:row>114</xdr:row>
      <xdr:rowOff>179295</xdr:rowOff>
    </xdr:to>
    <xdr:cxnSp macro="">
      <xdr:nvCxnSpPr>
        <xdr:cNvPr id="845" name="Straight Connector 844"/>
        <xdr:cNvCxnSpPr/>
      </xdr:nvCxnSpPr>
      <xdr:spPr>
        <a:xfrm>
          <a:off x="2980765" y="99956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114</xdr:row>
      <xdr:rowOff>0</xdr:rowOff>
    </xdr:from>
    <xdr:to>
      <xdr:col>3</xdr:col>
      <xdr:colOff>23112</xdr:colOff>
      <xdr:row>114</xdr:row>
      <xdr:rowOff>188399</xdr:rowOff>
    </xdr:to>
    <xdr:cxnSp macro="">
      <xdr:nvCxnSpPr>
        <xdr:cNvPr id="846" name="Straight Connector 845"/>
        <xdr:cNvCxnSpPr/>
      </xdr:nvCxnSpPr>
      <xdr:spPr>
        <a:xfrm flipV="1">
          <a:off x="3003877" y="9816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114</xdr:row>
      <xdr:rowOff>0</xdr:rowOff>
    </xdr:from>
    <xdr:to>
      <xdr:col>4</xdr:col>
      <xdr:colOff>601265</xdr:colOff>
      <xdr:row>114</xdr:row>
      <xdr:rowOff>187699</xdr:rowOff>
    </xdr:to>
    <xdr:cxnSp macro="">
      <xdr:nvCxnSpPr>
        <xdr:cNvPr id="847" name="Straight Connector 846"/>
        <xdr:cNvCxnSpPr/>
      </xdr:nvCxnSpPr>
      <xdr:spPr>
        <a:xfrm flipV="1">
          <a:off x="3991044" y="9816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114</xdr:row>
      <xdr:rowOff>0</xdr:rowOff>
    </xdr:from>
    <xdr:to>
      <xdr:col>3</xdr:col>
      <xdr:colOff>23112</xdr:colOff>
      <xdr:row>114</xdr:row>
      <xdr:rowOff>188399</xdr:rowOff>
    </xdr:to>
    <xdr:cxnSp macro="">
      <xdr:nvCxnSpPr>
        <xdr:cNvPr id="848" name="Straight Connector 847"/>
        <xdr:cNvCxnSpPr/>
      </xdr:nvCxnSpPr>
      <xdr:spPr>
        <a:xfrm flipV="1">
          <a:off x="3003877" y="9816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114</xdr:row>
      <xdr:rowOff>0</xdr:rowOff>
    </xdr:from>
    <xdr:to>
      <xdr:col>4</xdr:col>
      <xdr:colOff>601265</xdr:colOff>
      <xdr:row>114</xdr:row>
      <xdr:rowOff>187699</xdr:rowOff>
    </xdr:to>
    <xdr:cxnSp macro="">
      <xdr:nvCxnSpPr>
        <xdr:cNvPr id="849" name="Straight Connector 848"/>
        <xdr:cNvCxnSpPr/>
      </xdr:nvCxnSpPr>
      <xdr:spPr>
        <a:xfrm flipV="1">
          <a:off x="3991044" y="9816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114</xdr:row>
      <xdr:rowOff>0</xdr:rowOff>
    </xdr:from>
    <xdr:to>
      <xdr:col>3</xdr:col>
      <xdr:colOff>23112</xdr:colOff>
      <xdr:row>114</xdr:row>
      <xdr:rowOff>188399</xdr:rowOff>
    </xdr:to>
    <xdr:cxnSp macro="">
      <xdr:nvCxnSpPr>
        <xdr:cNvPr id="850" name="Straight Connector 849"/>
        <xdr:cNvCxnSpPr/>
      </xdr:nvCxnSpPr>
      <xdr:spPr>
        <a:xfrm flipV="1">
          <a:off x="3003877" y="98163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114</xdr:row>
      <xdr:rowOff>0</xdr:rowOff>
    </xdr:from>
    <xdr:to>
      <xdr:col>4</xdr:col>
      <xdr:colOff>601265</xdr:colOff>
      <xdr:row>114</xdr:row>
      <xdr:rowOff>187699</xdr:rowOff>
    </xdr:to>
    <xdr:cxnSp macro="">
      <xdr:nvCxnSpPr>
        <xdr:cNvPr id="851" name="Straight Connector 850"/>
        <xdr:cNvCxnSpPr/>
      </xdr:nvCxnSpPr>
      <xdr:spPr>
        <a:xfrm flipV="1">
          <a:off x="3991044" y="9816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111</xdr:row>
      <xdr:rowOff>179295</xdr:rowOff>
    </xdr:from>
    <xdr:to>
      <xdr:col>5</xdr:col>
      <xdr:colOff>11206</xdr:colOff>
      <xdr:row>111</xdr:row>
      <xdr:rowOff>179295</xdr:rowOff>
    </xdr:to>
    <xdr:cxnSp macro="">
      <xdr:nvCxnSpPr>
        <xdr:cNvPr id="852" name="Straight Connector 851"/>
        <xdr:cNvCxnSpPr/>
      </xdr:nvCxnSpPr>
      <xdr:spPr>
        <a:xfrm>
          <a:off x="2980765" y="94241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111</xdr:row>
      <xdr:rowOff>0</xdr:rowOff>
    </xdr:from>
    <xdr:to>
      <xdr:col>3</xdr:col>
      <xdr:colOff>23112</xdr:colOff>
      <xdr:row>111</xdr:row>
      <xdr:rowOff>188399</xdr:rowOff>
    </xdr:to>
    <xdr:cxnSp macro="">
      <xdr:nvCxnSpPr>
        <xdr:cNvPr id="853" name="Straight Connector 852"/>
        <xdr:cNvCxnSpPr/>
      </xdr:nvCxnSpPr>
      <xdr:spPr>
        <a:xfrm flipV="1">
          <a:off x="3003877" y="9244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111</xdr:row>
      <xdr:rowOff>0</xdr:rowOff>
    </xdr:from>
    <xdr:to>
      <xdr:col>3</xdr:col>
      <xdr:colOff>23112</xdr:colOff>
      <xdr:row>111</xdr:row>
      <xdr:rowOff>188399</xdr:rowOff>
    </xdr:to>
    <xdr:cxnSp macro="">
      <xdr:nvCxnSpPr>
        <xdr:cNvPr id="854" name="Straight Connector 853"/>
        <xdr:cNvCxnSpPr/>
      </xdr:nvCxnSpPr>
      <xdr:spPr>
        <a:xfrm flipV="1">
          <a:off x="3003877" y="9244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111</xdr:row>
      <xdr:rowOff>0</xdr:rowOff>
    </xdr:from>
    <xdr:to>
      <xdr:col>3</xdr:col>
      <xdr:colOff>23112</xdr:colOff>
      <xdr:row>111</xdr:row>
      <xdr:rowOff>188399</xdr:rowOff>
    </xdr:to>
    <xdr:cxnSp macro="">
      <xdr:nvCxnSpPr>
        <xdr:cNvPr id="855" name="Straight Connector 854"/>
        <xdr:cNvCxnSpPr/>
      </xdr:nvCxnSpPr>
      <xdr:spPr>
        <a:xfrm flipV="1">
          <a:off x="3003877" y="9244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111</xdr:row>
      <xdr:rowOff>179295</xdr:rowOff>
    </xdr:from>
    <xdr:to>
      <xdr:col>5</xdr:col>
      <xdr:colOff>11206</xdr:colOff>
      <xdr:row>111</xdr:row>
      <xdr:rowOff>179295</xdr:rowOff>
    </xdr:to>
    <xdr:cxnSp macro="">
      <xdr:nvCxnSpPr>
        <xdr:cNvPr id="856" name="Straight Connector 855"/>
        <xdr:cNvCxnSpPr/>
      </xdr:nvCxnSpPr>
      <xdr:spPr>
        <a:xfrm>
          <a:off x="2980765" y="94241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111</xdr:row>
      <xdr:rowOff>0</xdr:rowOff>
    </xdr:from>
    <xdr:to>
      <xdr:col>3</xdr:col>
      <xdr:colOff>23112</xdr:colOff>
      <xdr:row>111</xdr:row>
      <xdr:rowOff>188399</xdr:rowOff>
    </xdr:to>
    <xdr:cxnSp macro="">
      <xdr:nvCxnSpPr>
        <xdr:cNvPr id="857" name="Straight Connector 856"/>
        <xdr:cNvCxnSpPr/>
      </xdr:nvCxnSpPr>
      <xdr:spPr>
        <a:xfrm flipV="1">
          <a:off x="3003877" y="9244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111</xdr:row>
      <xdr:rowOff>0</xdr:rowOff>
    </xdr:from>
    <xdr:to>
      <xdr:col>4</xdr:col>
      <xdr:colOff>601265</xdr:colOff>
      <xdr:row>111</xdr:row>
      <xdr:rowOff>187699</xdr:rowOff>
    </xdr:to>
    <xdr:cxnSp macro="">
      <xdr:nvCxnSpPr>
        <xdr:cNvPr id="858" name="Straight Connector 857"/>
        <xdr:cNvCxnSpPr/>
      </xdr:nvCxnSpPr>
      <xdr:spPr>
        <a:xfrm flipV="1">
          <a:off x="3991044" y="9244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111</xdr:row>
      <xdr:rowOff>0</xdr:rowOff>
    </xdr:from>
    <xdr:to>
      <xdr:col>3</xdr:col>
      <xdr:colOff>23112</xdr:colOff>
      <xdr:row>111</xdr:row>
      <xdr:rowOff>188399</xdr:rowOff>
    </xdr:to>
    <xdr:cxnSp macro="">
      <xdr:nvCxnSpPr>
        <xdr:cNvPr id="859" name="Straight Connector 858"/>
        <xdr:cNvCxnSpPr/>
      </xdr:nvCxnSpPr>
      <xdr:spPr>
        <a:xfrm flipV="1">
          <a:off x="3003877" y="9244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111</xdr:row>
      <xdr:rowOff>0</xdr:rowOff>
    </xdr:from>
    <xdr:to>
      <xdr:col>4</xdr:col>
      <xdr:colOff>601265</xdr:colOff>
      <xdr:row>111</xdr:row>
      <xdr:rowOff>187699</xdr:rowOff>
    </xdr:to>
    <xdr:cxnSp macro="">
      <xdr:nvCxnSpPr>
        <xdr:cNvPr id="860" name="Straight Connector 859"/>
        <xdr:cNvCxnSpPr/>
      </xdr:nvCxnSpPr>
      <xdr:spPr>
        <a:xfrm flipV="1">
          <a:off x="3991044" y="9244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111</xdr:row>
      <xdr:rowOff>0</xdr:rowOff>
    </xdr:from>
    <xdr:to>
      <xdr:col>3</xdr:col>
      <xdr:colOff>23112</xdr:colOff>
      <xdr:row>111</xdr:row>
      <xdr:rowOff>188399</xdr:rowOff>
    </xdr:to>
    <xdr:cxnSp macro="">
      <xdr:nvCxnSpPr>
        <xdr:cNvPr id="861" name="Straight Connector 860"/>
        <xdr:cNvCxnSpPr/>
      </xdr:nvCxnSpPr>
      <xdr:spPr>
        <a:xfrm flipV="1">
          <a:off x="3003877" y="9244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111</xdr:row>
      <xdr:rowOff>0</xdr:rowOff>
    </xdr:from>
    <xdr:to>
      <xdr:col>4</xdr:col>
      <xdr:colOff>601265</xdr:colOff>
      <xdr:row>111</xdr:row>
      <xdr:rowOff>187699</xdr:rowOff>
    </xdr:to>
    <xdr:cxnSp macro="">
      <xdr:nvCxnSpPr>
        <xdr:cNvPr id="862" name="Straight Connector 861"/>
        <xdr:cNvCxnSpPr/>
      </xdr:nvCxnSpPr>
      <xdr:spPr>
        <a:xfrm flipV="1">
          <a:off x="3991044" y="9244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117</xdr:row>
      <xdr:rowOff>179295</xdr:rowOff>
    </xdr:from>
    <xdr:to>
      <xdr:col>5</xdr:col>
      <xdr:colOff>11206</xdr:colOff>
      <xdr:row>117</xdr:row>
      <xdr:rowOff>179295</xdr:rowOff>
    </xdr:to>
    <xdr:cxnSp macro="">
      <xdr:nvCxnSpPr>
        <xdr:cNvPr id="863" name="Straight Connector 862"/>
        <xdr:cNvCxnSpPr/>
      </xdr:nvCxnSpPr>
      <xdr:spPr>
        <a:xfrm>
          <a:off x="2980765" y="105671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117</xdr:row>
      <xdr:rowOff>0</xdr:rowOff>
    </xdr:from>
    <xdr:to>
      <xdr:col>3</xdr:col>
      <xdr:colOff>23112</xdr:colOff>
      <xdr:row>117</xdr:row>
      <xdr:rowOff>188399</xdr:rowOff>
    </xdr:to>
    <xdr:cxnSp macro="">
      <xdr:nvCxnSpPr>
        <xdr:cNvPr id="864" name="Straight Connector 863"/>
        <xdr:cNvCxnSpPr/>
      </xdr:nvCxnSpPr>
      <xdr:spPr>
        <a:xfrm flipV="1">
          <a:off x="3003877" y="10387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117</xdr:row>
      <xdr:rowOff>0</xdr:rowOff>
    </xdr:from>
    <xdr:to>
      <xdr:col>3</xdr:col>
      <xdr:colOff>23112</xdr:colOff>
      <xdr:row>117</xdr:row>
      <xdr:rowOff>188399</xdr:rowOff>
    </xdr:to>
    <xdr:cxnSp macro="">
      <xdr:nvCxnSpPr>
        <xdr:cNvPr id="865" name="Straight Connector 864"/>
        <xdr:cNvCxnSpPr/>
      </xdr:nvCxnSpPr>
      <xdr:spPr>
        <a:xfrm flipV="1">
          <a:off x="3003877" y="10387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117</xdr:row>
      <xdr:rowOff>0</xdr:rowOff>
    </xdr:from>
    <xdr:to>
      <xdr:col>3</xdr:col>
      <xdr:colOff>23112</xdr:colOff>
      <xdr:row>117</xdr:row>
      <xdr:rowOff>188399</xdr:rowOff>
    </xdr:to>
    <xdr:cxnSp macro="">
      <xdr:nvCxnSpPr>
        <xdr:cNvPr id="866" name="Straight Connector 865"/>
        <xdr:cNvCxnSpPr/>
      </xdr:nvCxnSpPr>
      <xdr:spPr>
        <a:xfrm flipV="1">
          <a:off x="3003877" y="10387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117</xdr:row>
      <xdr:rowOff>179295</xdr:rowOff>
    </xdr:from>
    <xdr:to>
      <xdr:col>5</xdr:col>
      <xdr:colOff>11206</xdr:colOff>
      <xdr:row>117</xdr:row>
      <xdr:rowOff>179295</xdr:rowOff>
    </xdr:to>
    <xdr:cxnSp macro="">
      <xdr:nvCxnSpPr>
        <xdr:cNvPr id="867" name="Straight Connector 866"/>
        <xdr:cNvCxnSpPr/>
      </xdr:nvCxnSpPr>
      <xdr:spPr>
        <a:xfrm>
          <a:off x="2980765" y="105671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117</xdr:row>
      <xdr:rowOff>0</xdr:rowOff>
    </xdr:from>
    <xdr:to>
      <xdr:col>3</xdr:col>
      <xdr:colOff>23112</xdr:colOff>
      <xdr:row>117</xdr:row>
      <xdr:rowOff>188399</xdr:rowOff>
    </xdr:to>
    <xdr:cxnSp macro="">
      <xdr:nvCxnSpPr>
        <xdr:cNvPr id="868" name="Straight Connector 867"/>
        <xdr:cNvCxnSpPr/>
      </xdr:nvCxnSpPr>
      <xdr:spPr>
        <a:xfrm flipV="1">
          <a:off x="3003877" y="10387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117</xdr:row>
      <xdr:rowOff>0</xdr:rowOff>
    </xdr:from>
    <xdr:to>
      <xdr:col>4</xdr:col>
      <xdr:colOff>601265</xdr:colOff>
      <xdr:row>117</xdr:row>
      <xdr:rowOff>187699</xdr:rowOff>
    </xdr:to>
    <xdr:cxnSp macro="">
      <xdr:nvCxnSpPr>
        <xdr:cNvPr id="869" name="Straight Connector 868"/>
        <xdr:cNvCxnSpPr/>
      </xdr:nvCxnSpPr>
      <xdr:spPr>
        <a:xfrm flipV="1">
          <a:off x="3991044" y="10387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117</xdr:row>
      <xdr:rowOff>0</xdr:rowOff>
    </xdr:from>
    <xdr:to>
      <xdr:col>3</xdr:col>
      <xdr:colOff>23112</xdr:colOff>
      <xdr:row>117</xdr:row>
      <xdr:rowOff>188399</xdr:rowOff>
    </xdr:to>
    <xdr:cxnSp macro="">
      <xdr:nvCxnSpPr>
        <xdr:cNvPr id="870" name="Straight Connector 869"/>
        <xdr:cNvCxnSpPr/>
      </xdr:nvCxnSpPr>
      <xdr:spPr>
        <a:xfrm flipV="1">
          <a:off x="3003877" y="10387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117</xdr:row>
      <xdr:rowOff>0</xdr:rowOff>
    </xdr:from>
    <xdr:to>
      <xdr:col>4</xdr:col>
      <xdr:colOff>601265</xdr:colOff>
      <xdr:row>117</xdr:row>
      <xdr:rowOff>187699</xdr:rowOff>
    </xdr:to>
    <xdr:cxnSp macro="">
      <xdr:nvCxnSpPr>
        <xdr:cNvPr id="871" name="Straight Connector 870"/>
        <xdr:cNvCxnSpPr/>
      </xdr:nvCxnSpPr>
      <xdr:spPr>
        <a:xfrm flipV="1">
          <a:off x="3991044" y="10387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117</xdr:row>
      <xdr:rowOff>0</xdr:rowOff>
    </xdr:from>
    <xdr:to>
      <xdr:col>3</xdr:col>
      <xdr:colOff>23112</xdr:colOff>
      <xdr:row>117</xdr:row>
      <xdr:rowOff>188399</xdr:rowOff>
    </xdr:to>
    <xdr:cxnSp macro="">
      <xdr:nvCxnSpPr>
        <xdr:cNvPr id="872" name="Straight Connector 871"/>
        <xdr:cNvCxnSpPr/>
      </xdr:nvCxnSpPr>
      <xdr:spPr>
        <a:xfrm flipV="1">
          <a:off x="3003877" y="10387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117</xdr:row>
      <xdr:rowOff>0</xdr:rowOff>
    </xdr:from>
    <xdr:to>
      <xdr:col>4</xdr:col>
      <xdr:colOff>601265</xdr:colOff>
      <xdr:row>117</xdr:row>
      <xdr:rowOff>187699</xdr:rowOff>
    </xdr:to>
    <xdr:cxnSp macro="">
      <xdr:nvCxnSpPr>
        <xdr:cNvPr id="873" name="Straight Connector 872"/>
        <xdr:cNvCxnSpPr/>
      </xdr:nvCxnSpPr>
      <xdr:spPr>
        <a:xfrm flipV="1">
          <a:off x="3991044" y="10387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123</xdr:row>
      <xdr:rowOff>0</xdr:rowOff>
    </xdr:from>
    <xdr:to>
      <xdr:col>5</xdr:col>
      <xdr:colOff>0</xdr:colOff>
      <xdr:row>123</xdr:row>
      <xdr:rowOff>187699</xdr:rowOff>
    </xdr:to>
    <xdr:cxnSp macro="">
      <xdr:nvCxnSpPr>
        <xdr:cNvPr id="874" name="Straight Connector 873"/>
        <xdr:cNvCxnSpPr/>
      </xdr:nvCxnSpPr>
      <xdr:spPr>
        <a:xfrm flipV="1">
          <a:off x="3989294" y="11530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120</xdr:row>
      <xdr:rowOff>0</xdr:rowOff>
    </xdr:from>
    <xdr:to>
      <xdr:col>5</xdr:col>
      <xdr:colOff>0</xdr:colOff>
      <xdr:row>120</xdr:row>
      <xdr:rowOff>187699</xdr:rowOff>
    </xdr:to>
    <xdr:cxnSp macro="">
      <xdr:nvCxnSpPr>
        <xdr:cNvPr id="875" name="Straight Connector 874"/>
        <xdr:cNvCxnSpPr/>
      </xdr:nvCxnSpPr>
      <xdr:spPr>
        <a:xfrm flipV="1">
          <a:off x="3989294" y="109593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151</xdr:row>
      <xdr:rowOff>0</xdr:rowOff>
    </xdr:from>
    <xdr:to>
      <xdr:col>5</xdr:col>
      <xdr:colOff>0</xdr:colOff>
      <xdr:row>151</xdr:row>
      <xdr:rowOff>188399</xdr:rowOff>
    </xdr:to>
    <xdr:cxnSp macro="">
      <xdr:nvCxnSpPr>
        <xdr:cNvPr id="876" name="Straight Connector 875"/>
        <xdr:cNvCxnSpPr/>
      </xdr:nvCxnSpPr>
      <xdr:spPr>
        <a:xfrm flipV="1">
          <a:off x="3989294" y="29056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153</xdr:row>
      <xdr:rowOff>179295</xdr:rowOff>
    </xdr:from>
    <xdr:to>
      <xdr:col>5</xdr:col>
      <xdr:colOff>11206</xdr:colOff>
      <xdr:row>153</xdr:row>
      <xdr:rowOff>179295</xdr:rowOff>
    </xdr:to>
    <xdr:cxnSp macro="">
      <xdr:nvCxnSpPr>
        <xdr:cNvPr id="877" name="Straight Connector 876"/>
        <xdr:cNvCxnSpPr/>
      </xdr:nvCxnSpPr>
      <xdr:spPr>
        <a:xfrm>
          <a:off x="2980765" y="292361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153</xdr:row>
      <xdr:rowOff>0</xdr:rowOff>
    </xdr:from>
    <xdr:to>
      <xdr:col>5</xdr:col>
      <xdr:colOff>0</xdr:colOff>
      <xdr:row>153</xdr:row>
      <xdr:rowOff>188399</xdr:rowOff>
    </xdr:to>
    <xdr:cxnSp macro="">
      <xdr:nvCxnSpPr>
        <xdr:cNvPr id="878" name="Straight Connector 877"/>
        <xdr:cNvCxnSpPr/>
      </xdr:nvCxnSpPr>
      <xdr:spPr>
        <a:xfrm flipV="1">
          <a:off x="3989294" y="29056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155</xdr:row>
      <xdr:rowOff>179295</xdr:rowOff>
    </xdr:from>
    <xdr:to>
      <xdr:col>5</xdr:col>
      <xdr:colOff>11206</xdr:colOff>
      <xdr:row>155</xdr:row>
      <xdr:rowOff>179295</xdr:rowOff>
    </xdr:to>
    <xdr:cxnSp macro="">
      <xdr:nvCxnSpPr>
        <xdr:cNvPr id="879" name="Straight Connector 878"/>
        <xdr:cNvCxnSpPr/>
      </xdr:nvCxnSpPr>
      <xdr:spPr>
        <a:xfrm>
          <a:off x="2980765" y="288551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155</xdr:row>
      <xdr:rowOff>0</xdr:rowOff>
    </xdr:from>
    <xdr:to>
      <xdr:col>3</xdr:col>
      <xdr:colOff>23112</xdr:colOff>
      <xdr:row>155</xdr:row>
      <xdr:rowOff>188399</xdr:rowOff>
    </xdr:to>
    <xdr:cxnSp macro="">
      <xdr:nvCxnSpPr>
        <xdr:cNvPr id="880" name="Straight Connector 879"/>
        <xdr:cNvCxnSpPr/>
      </xdr:nvCxnSpPr>
      <xdr:spPr>
        <a:xfrm flipV="1">
          <a:off x="3003877" y="28675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155</xdr:row>
      <xdr:rowOff>0</xdr:rowOff>
    </xdr:from>
    <xdr:to>
      <xdr:col>4</xdr:col>
      <xdr:colOff>601265</xdr:colOff>
      <xdr:row>155</xdr:row>
      <xdr:rowOff>187699</xdr:rowOff>
    </xdr:to>
    <xdr:cxnSp macro="">
      <xdr:nvCxnSpPr>
        <xdr:cNvPr id="881" name="Straight Connector 880"/>
        <xdr:cNvCxnSpPr/>
      </xdr:nvCxnSpPr>
      <xdr:spPr>
        <a:xfrm flipV="1">
          <a:off x="3991044" y="28675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155</xdr:row>
      <xdr:rowOff>0</xdr:rowOff>
    </xdr:from>
    <xdr:to>
      <xdr:col>4</xdr:col>
      <xdr:colOff>601265</xdr:colOff>
      <xdr:row>155</xdr:row>
      <xdr:rowOff>187699</xdr:rowOff>
    </xdr:to>
    <xdr:cxnSp macro="">
      <xdr:nvCxnSpPr>
        <xdr:cNvPr id="882" name="Straight Connector 881"/>
        <xdr:cNvCxnSpPr/>
      </xdr:nvCxnSpPr>
      <xdr:spPr>
        <a:xfrm flipV="1">
          <a:off x="3991044" y="28675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155</xdr:row>
      <xdr:rowOff>0</xdr:rowOff>
    </xdr:from>
    <xdr:to>
      <xdr:col>4</xdr:col>
      <xdr:colOff>601265</xdr:colOff>
      <xdr:row>155</xdr:row>
      <xdr:rowOff>187699</xdr:rowOff>
    </xdr:to>
    <xdr:cxnSp macro="">
      <xdr:nvCxnSpPr>
        <xdr:cNvPr id="883" name="Straight Connector 882"/>
        <xdr:cNvCxnSpPr/>
      </xdr:nvCxnSpPr>
      <xdr:spPr>
        <a:xfrm flipV="1">
          <a:off x="3991044" y="28675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157</xdr:row>
      <xdr:rowOff>179295</xdr:rowOff>
    </xdr:from>
    <xdr:to>
      <xdr:col>5</xdr:col>
      <xdr:colOff>11206</xdr:colOff>
      <xdr:row>157</xdr:row>
      <xdr:rowOff>179295</xdr:rowOff>
    </xdr:to>
    <xdr:cxnSp macro="">
      <xdr:nvCxnSpPr>
        <xdr:cNvPr id="884" name="Straight Connector 883"/>
        <xdr:cNvCxnSpPr/>
      </xdr:nvCxnSpPr>
      <xdr:spPr>
        <a:xfrm>
          <a:off x="2980765" y="29998148"/>
          <a:ext cx="101973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157</xdr:row>
      <xdr:rowOff>0</xdr:rowOff>
    </xdr:from>
    <xdr:to>
      <xdr:col>3</xdr:col>
      <xdr:colOff>23112</xdr:colOff>
      <xdr:row>157</xdr:row>
      <xdr:rowOff>188399</xdr:rowOff>
    </xdr:to>
    <xdr:cxnSp macro="">
      <xdr:nvCxnSpPr>
        <xdr:cNvPr id="885" name="Straight Connector 884"/>
        <xdr:cNvCxnSpPr/>
      </xdr:nvCxnSpPr>
      <xdr:spPr>
        <a:xfrm flipV="1">
          <a:off x="3003877" y="29818853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157</xdr:row>
      <xdr:rowOff>0</xdr:rowOff>
    </xdr:from>
    <xdr:to>
      <xdr:col>4</xdr:col>
      <xdr:colOff>601265</xdr:colOff>
      <xdr:row>157</xdr:row>
      <xdr:rowOff>187699</xdr:rowOff>
    </xdr:to>
    <xdr:cxnSp macro="">
      <xdr:nvCxnSpPr>
        <xdr:cNvPr id="886" name="Straight Connector 885"/>
        <xdr:cNvCxnSpPr/>
      </xdr:nvCxnSpPr>
      <xdr:spPr>
        <a:xfrm flipV="1">
          <a:off x="3991044" y="29818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157</xdr:row>
      <xdr:rowOff>0</xdr:rowOff>
    </xdr:from>
    <xdr:to>
      <xdr:col>4</xdr:col>
      <xdr:colOff>601265</xdr:colOff>
      <xdr:row>157</xdr:row>
      <xdr:rowOff>187699</xdr:rowOff>
    </xdr:to>
    <xdr:cxnSp macro="">
      <xdr:nvCxnSpPr>
        <xdr:cNvPr id="887" name="Straight Connector 886"/>
        <xdr:cNvCxnSpPr/>
      </xdr:nvCxnSpPr>
      <xdr:spPr>
        <a:xfrm flipV="1">
          <a:off x="3991044" y="29818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157</xdr:row>
      <xdr:rowOff>0</xdr:rowOff>
    </xdr:from>
    <xdr:to>
      <xdr:col>4</xdr:col>
      <xdr:colOff>601265</xdr:colOff>
      <xdr:row>157</xdr:row>
      <xdr:rowOff>187699</xdr:rowOff>
    </xdr:to>
    <xdr:cxnSp macro="">
      <xdr:nvCxnSpPr>
        <xdr:cNvPr id="888" name="Straight Connector 887"/>
        <xdr:cNvCxnSpPr/>
      </xdr:nvCxnSpPr>
      <xdr:spPr>
        <a:xfrm flipV="1">
          <a:off x="3991044" y="29818853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742</xdr:row>
      <xdr:rowOff>0</xdr:rowOff>
    </xdr:from>
    <xdr:to>
      <xdr:col>5</xdr:col>
      <xdr:colOff>10232</xdr:colOff>
      <xdr:row>742</xdr:row>
      <xdr:rowOff>0</xdr:rowOff>
    </xdr:to>
    <xdr:cxnSp macro="">
      <xdr:nvCxnSpPr>
        <xdr:cNvPr id="890" name="Straight Connector 889"/>
        <xdr:cNvCxnSpPr/>
      </xdr:nvCxnSpPr>
      <xdr:spPr>
        <a:xfrm>
          <a:off x="2980765" y="13421285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745</xdr:row>
      <xdr:rowOff>0</xdr:rowOff>
    </xdr:from>
    <xdr:to>
      <xdr:col>5</xdr:col>
      <xdr:colOff>10232</xdr:colOff>
      <xdr:row>745</xdr:row>
      <xdr:rowOff>0</xdr:rowOff>
    </xdr:to>
    <xdr:cxnSp macro="">
      <xdr:nvCxnSpPr>
        <xdr:cNvPr id="891" name="Straight Connector 890"/>
        <xdr:cNvCxnSpPr/>
      </xdr:nvCxnSpPr>
      <xdr:spPr>
        <a:xfrm>
          <a:off x="2980765" y="13478435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748</xdr:row>
      <xdr:rowOff>0</xdr:rowOff>
    </xdr:from>
    <xdr:to>
      <xdr:col>5</xdr:col>
      <xdr:colOff>10232</xdr:colOff>
      <xdr:row>748</xdr:row>
      <xdr:rowOff>0</xdr:rowOff>
    </xdr:to>
    <xdr:cxnSp macro="">
      <xdr:nvCxnSpPr>
        <xdr:cNvPr id="892" name="Straight Connector 891"/>
        <xdr:cNvCxnSpPr/>
      </xdr:nvCxnSpPr>
      <xdr:spPr>
        <a:xfrm>
          <a:off x="2980765" y="13535585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751</xdr:row>
      <xdr:rowOff>0</xdr:rowOff>
    </xdr:from>
    <xdr:to>
      <xdr:col>5</xdr:col>
      <xdr:colOff>10232</xdr:colOff>
      <xdr:row>751</xdr:row>
      <xdr:rowOff>0</xdr:rowOff>
    </xdr:to>
    <xdr:cxnSp macro="">
      <xdr:nvCxnSpPr>
        <xdr:cNvPr id="893" name="Straight Connector 892"/>
        <xdr:cNvCxnSpPr/>
      </xdr:nvCxnSpPr>
      <xdr:spPr>
        <a:xfrm>
          <a:off x="2980765" y="13592735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754</xdr:row>
      <xdr:rowOff>0</xdr:rowOff>
    </xdr:from>
    <xdr:to>
      <xdr:col>5</xdr:col>
      <xdr:colOff>10232</xdr:colOff>
      <xdr:row>754</xdr:row>
      <xdr:rowOff>0</xdr:rowOff>
    </xdr:to>
    <xdr:cxnSp macro="">
      <xdr:nvCxnSpPr>
        <xdr:cNvPr id="894" name="Straight Connector 893"/>
        <xdr:cNvCxnSpPr/>
      </xdr:nvCxnSpPr>
      <xdr:spPr>
        <a:xfrm>
          <a:off x="2980765" y="13649885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757</xdr:row>
      <xdr:rowOff>0</xdr:rowOff>
    </xdr:from>
    <xdr:to>
      <xdr:col>5</xdr:col>
      <xdr:colOff>10232</xdr:colOff>
      <xdr:row>757</xdr:row>
      <xdr:rowOff>0</xdr:rowOff>
    </xdr:to>
    <xdr:cxnSp macro="">
      <xdr:nvCxnSpPr>
        <xdr:cNvPr id="895" name="Straight Connector 894"/>
        <xdr:cNvCxnSpPr/>
      </xdr:nvCxnSpPr>
      <xdr:spPr>
        <a:xfrm>
          <a:off x="2980765" y="13707035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760</xdr:row>
      <xdr:rowOff>0</xdr:rowOff>
    </xdr:from>
    <xdr:to>
      <xdr:col>5</xdr:col>
      <xdr:colOff>10232</xdr:colOff>
      <xdr:row>760</xdr:row>
      <xdr:rowOff>0</xdr:rowOff>
    </xdr:to>
    <xdr:cxnSp macro="">
      <xdr:nvCxnSpPr>
        <xdr:cNvPr id="896" name="Straight Connector 895"/>
        <xdr:cNvCxnSpPr/>
      </xdr:nvCxnSpPr>
      <xdr:spPr>
        <a:xfrm>
          <a:off x="2980765" y="13764185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763</xdr:row>
      <xdr:rowOff>0</xdr:rowOff>
    </xdr:from>
    <xdr:to>
      <xdr:col>5</xdr:col>
      <xdr:colOff>10232</xdr:colOff>
      <xdr:row>763</xdr:row>
      <xdr:rowOff>0</xdr:rowOff>
    </xdr:to>
    <xdr:cxnSp macro="">
      <xdr:nvCxnSpPr>
        <xdr:cNvPr id="897" name="Straight Connector 896"/>
        <xdr:cNvCxnSpPr/>
      </xdr:nvCxnSpPr>
      <xdr:spPr>
        <a:xfrm>
          <a:off x="2980765" y="13821335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766</xdr:row>
      <xdr:rowOff>0</xdr:rowOff>
    </xdr:from>
    <xdr:to>
      <xdr:col>5</xdr:col>
      <xdr:colOff>10232</xdr:colOff>
      <xdr:row>766</xdr:row>
      <xdr:rowOff>0</xdr:rowOff>
    </xdr:to>
    <xdr:cxnSp macro="">
      <xdr:nvCxnSpPr>
        <xdr:cNvPr id="898" name="Straight Connector 897"/>
        <xdr:cNvCxnSpPr/>
      </xdr:nvCxnSpPr>
      <xdr:spPr>
        <a:xfrm>
          <a:off x="2980765" y="13878485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769</xdr:row>
      <xdr:rowOff>0</xdr:rowOff>
    </xdr:from>
    <xdr:to>
      <xdr:col>5</xdr:col>
      <xdr:colOff>10232</xdr:colOff>
      <xdr:row>769</xdr:row>
      <xdr:rowOff>0</xdr:rowOff>
    </xdr:to>
    <xdr:cxnSp macro="">
      <xdr:nvCxnSpPr>
        <xdr:cNvPr id="899" name="Straight Connector 898"/>
        <xdr:cNvCxnSpPr/>
      </xdr:nvCxnSpPr>
      <xdr:spPr>
        <a:xfrm>
          <a:off x="2980765" y="13935635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772</xdr:row>
      <xdr:rowOff>0</xdr:rowOff>
    </xdr:from>
    <xdr:to>
      <xdr:col>5</xdr:col>
      <xdr:colOff>10232</xdr:colOff>
      <xdr:row>772</xdr:row>
      <xdr:rowOff>0</xdr:rowOff>
    </xdr:to>
    <xdr:cxnSp macro="">
      <xdr:nvCxnSpPr>
        <xdr:cNvPr id="900" name="Straight Connector 899"/>
        <xdr:cNvCxnSpPr/>
      </xdr:nvCxnSpPr>
      <xdr:spPr>
        <a:xfrm>
          <a:off x="2980765" y="13992785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775</xdr:row>
      <xdr:rowOff>0</xdr:rowOff>
    </xdr:from>
    <xdr:to>
      <xdr:col>5</xdr:col>
      <xdr:colOff>10232</xdr:colOff>
      <xdr:row>775</xdr:row>
      <xdr:rowOff>0</xdr:rowOff>
    </xdr:to>
    <xdr:cxnSp macro="">
      <xdr:nvCxnSpPr>
        <xdr:cNvPr id="901" name="Straight Connector 900"/>
        <xdr:cNvCxnSpPr/>
      </xdr:nvCxnSpPr>
      <xdr:spPr>
        <a:xfrm>
          <a:off x="2980765" y="14049935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778</xdr:row>
      <xdr:rowOff>0</xdr:rowOff>
    </xdr:from>
    <xdr:to>
      <xdr:col>5</xdr:col>
      <xdr:colOff>10232</xdr:colOff>
      <xdr:row>778</xdr:row>
      <xdr:rowOff>0</xdr:rowOff>
    </xdr:to>
    <xdr:cxnSp macro="">
      <xdr:nvCxnSpPr>
        <xdr:cNvPr id="902" name="Straight Connector 901"/>
        <xdr:cNvCxnSpPr/>
      </xdr:nvCxnSpPr>
      <xdr:spPr>
        <a:xfrm>
          <a:off x="2980765" y="141070853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582</xdr:row>
      <xdr:rowOff>74935</xdr:rowOff>
    </xdr:from>
    <xdr:to>
      <xdr:col>5</xdr:col>
      <xdr:colOff>2924</xdr:colOff>
      <xdr:row>582</xdr:row>
      <xdr:rowOff>74935</xdr:rowOff>
    </xdr:to>
    <xdr:cxnSp macro="">
      <xdr:nvCxnSpPr>
        <xdr:cNvPr id="543" name="Straight Connector 542"/>
        <xdr:cNvCxnSpPr/>
      </xdr:nvCxnSpPr>
      <xdr:spPr>
        <a:xfrm>
          <a:off x="2973457" y="110665788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585</xdr:row>
      <xdr:rowOff>74935</xdr:rowOff>
    </xdr:from>
    <xdr:to>
      <xdr:col>5</xdr:col>
      <xdr:colOff>2924</xdr:colOff>
      <xdr:row>585</xdr:row>
      <xdr:rowOff>74935</xdr:rowOff>
    </xdr:to>
    <xdr:cxnSp macro="">
      <xdr:nvCxnSpPr>
        <xdr:cNvPr id="544" name="Straight Connector 543"/>
        <xdr:cNvCxnSpPr/>
      </xdr:nvCxnSpPr>
      <xdr:spPr>
        <a:xfrm>
          <a:off x="2973457" y="111237288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588</xdr:row>
      <xdr:rowOff>74935</xdr:rowOff>
    </xdr:from>
    <xdr:to>
      <xdr:col>5</xdr:col>
      <xdr:colOff>2924</xdr:colOff>
      <xdr:row>588</xdr:row>
      <xdr:rowOff>74935</xdr:rowOff>
    </xdr:to>
    <xdr:cxnSp macro="">
      <xdr:nvCxnSpPr>
        <xdr:cNvPr id="545" name="Straight Connector 544"/>
        <xdr:cNvCxnSpPr/>
      </xdr:nvCxnSpPr>
      <xdr:spPr>
        <a:xfrm>
          <a:off x="2973457" y="111808788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591</xdr:row>
      <xdr:rowOff>74935</xdr:rowOff>
    </xdr:from>
    <xdr:to>
      <xdr:col>5</xdr:col>
      <xdr:colOff>2924</xdr:colOff>
      <xdr:row>591</xdr:row>
      <xdr:rowOff>74935</xdr:rowOff>
    </xdr:to>
    <xdr:cxnSp macro="">
      <xdr:nvCxnSpPr>
        <xdr:cNvPr id="546" name="Straight Connector 545"/>
        <xdr:cNvCxnSpPr/>
      </xdr:nvCxnSpPr>
      <xdr:spPr>
        <a:xfrm>
          <a:off x="2973457" y="112380288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594</xdr:row>
      <xdr:rowOff>74935</xdr:rowOff>
    </xdr:from>
    <xdr:to>
      <xdr:col>5</xdr:col>
      <xdr:colOff>2924</xdr:colOff>
      <xdr:row>594</xdr:row>
      <xdr:rowOff>74935</xdr:rowOff>
    </xdr:to>
    <xdr:cxnSp macro="">
      <xdr:nvCxnSpPr>
        <xdr:cNvPr id="547" name="Straight Connector 546"/>
        <xdr:cNvCxnSpPr/>
      </xdr:nvCxnSpPr>
      <xdr:spPr>
        <a:xfrm>
          <a:off x="2973457" y="112951788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597</xdr:row>
      <xdr:rowOff>74935</xdr:rowOff>
    </xdr:from>
    <xdr:to>
      <xdr:col>5</xdr:col>
      <xdr:colOff>2924</xdr:colOff>
      <xdr:row>597</xdr:row>
      <xdr:rowOff>74935</xdr:rowOff>
    </xdr:to>
    <xdr:cxnSp macro="">
      <xdr:nvCxnSpPr>
        <xdr:cNvPr id="698" name="Straight Connector 697"/>
        <xdr:cNvCxnSpPr/>
      </xdr:nvCxnSpPr>
      <xdr:spPr>
        <a:xfrm>
          <a:off x="2973457" y="113523288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600</xdr:row>
      <xdr:rowOff>74935</xdr:rowOff>
    </xdr:from>
    <xdr:to>
      <xdr:col>5</xdr:col>
      <xdr:colOff>2924</xdr:colOff>
      <xdr:row>600</xdr:row>
      <xdr:rowOff>74935</xdr:rowOff>
    </xdr:to>
    <xdr:cxnSp macro="">
      <xdr:nvCxnSpPr>
        <xdr:cNvPr id="699" name="Straight Connector 698"/>
        <xdr:cNvCxnSpPr/>
      </xdr:nvCxnSpPr>
      <xdr:spPr>
        <a:xfrm>
          <a:off x="2973457" y="114094788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603</xdr:row>
      <xdr:rowOff>74935</xdr:rowOff>
    </xdr:from>
    <xdr:to>
      <xdr:col>5</xdr:col>
      <xdr:colOff>2924</xdr:colOff>
      <xdr:row>603</xdr:row>
      <xdr:rowOff>74935</xdr:rowOff>
    </xdr:to>
    <xdr:cxnSp macro="">
      <xdr:nvCxnSpPr>
        <xdr:cNvPr id="701" name="Straight Connector 700"/>
        <xdr:cNvCxnSpPr/>
      </xdr:nvCxnSpPr>
      <xdr:spPr>
        <a:xfrm>
          <a:off x="2973457" y="114666288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606</xdr:row>
      <xdr:rowOff>74935</xdr:rowOff>
    </xdr:from>
    <xdr:to>
      <xdr:col>5</xdr:col>
      <xdr:colOff>2924</xdr:colOff>
      <xdr:row>606</xdr:row>
      <xdr:rowOff>74935</xdr:rowOff>
    </xdr:to>
    <xdr:cxnSp macro="">
      <xdr:nvCxnSpPr>
        <xdr:cNvPr id="702" name="Straight Connector 701"/>
        <xdr:cNvCxnSpPr/>
      </xdr:nvCxnSpPr>
      <xdr:spPr>
        <a:xfrm>
          <a:off x="2973457" y="115237788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609</xdr:row>
      <xdr:rowOff>74935</xdr:rowOff>
    </xdr:from>
    <xdr:to>
      <xdr:col>5</xdr:col>
      <xdr:colOff>2924</xdr:colOff>
      <xdr:row>609</xdr:row>
      <xdr:rowOff>74935</xdr:rowOff>
    </xdr:to>
    <xdr:cxnSp macro="">
      <xdr:nvCxnSpPr>
        <xdr:cNvPr id="704" name="Straight Connector 703"/>
        <xdr:cNvCxnSpPr/>
      </xdr:nvCxnSpPr>
      <xdr:spPr>
        <a:xfrm>
          <a:off x="2973457" y="115809288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579</xdr:row>
      <xdr:rowOff>74935</xdr:rowOff>
    </xdr:from>
    <xdr:to>
      <xdr:col>5</xdr:col>
      <xdr:colOff>2924</xdr:colOff>
      <xdr:row>579</xdr:row>
      <xdr:rowOff>74935</xdr:rowOff>
    </xdr:to>
    <xdr:cxnSp macro="">
      <xdr:nvCxnSpPr>
        <xdr:cNvPr id="706" name="Straight Connector 705"/>
        <xdr:cNvCxnSpPr/>
      </xdr:nvCxnSpPr>
      <xdr:spPr>
        <a:xfrm>
          <a:off x="2973457" y="110622085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576</xdr:row>
      <xdr:rowOff>74935</xdr:rowOff>
    </xdr:from>
    <xdr:to>
      <xdr:col>5</xdr:col>
      <xdr:colOff>2924</xdr:colOff>
      <xdr:row>576</xdr:row>
      <xdr:rowOff>74935</xdr:rowOff>
    </xdr:to>
    <xdr:cxnSp macro="">
      <xdr:nvCxnSpPr>
        <xdr:cNvPr id="707" name="Straight Connector 706"/>
        <xdr:cNvCxnSpPr/>
      </xdr:nvCxnSpPr>
      <xdr:spPr>
        <a:xfrm>
          <a:off x="2973457" y="110050585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612</xdr:row>
      <xdr:rowOff>74935</xdr:rowOff>
    </xdr:from>
    <xdr:to>
      <xdr:col>5</xdr:col>
      <xdr:colOff>2924</xdr:colOff>
      <xdr:row>612</xdr:row>
      <xdr:rowOff>74935</xdr:rowOff>
    </xdr:to>
    <xdr:cxnSp macro="">
      <xdr:nvCxnSpPr>
        <xdr:cNvPr id="709" name="Straight Connector 708"/>
        <xdr:cNvCxnSpPr/>
      </xdr:nvCxnSpPr>
      <xdr:spPr>
        <a:xfrm>
          <a:off x="2973457" y="116380788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179295</xdr:rowOff>
    </xdr:from>
    <xdr:to>
      <xdr:col>5</xdr:col>
      <xdr:colOff>11206</xdr:colOff>
      <xdr:row>6</xdr:row>
      <xdr:rowOff>179295</xdr:rowOff>
    </xdr:to>
    <xdr:cxnSp macro="">
      <xdr:nvCxnSpPr>
        <xdr:cNvPr id="2" name="Straight Connector 1"/>
        <xdr:cNvCxnSpPr/>
      </xdr:nvCxnSpPr>
      <xdr:spPr>
        <a:xfrm>
          <a:off x="2981325" y="1617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</xdr:row>
      <xdr:rowOff>0</xdr:rowOff>
    </xdr:from>
    <xdr:to>
      <xdr:col>3</xdr:col>
      <xdr:colOff>23112</xdr:colOff>
      <xdr:row>6</xdr:row>
      <xdr:rowOff>188399</xdr:rowOff>
    </xdr:to>
    <xdr:cxnSp macro="">
      <xdr:nvCxnSpPr>
        <xdr:cNvPr id="3" name="Straight Connector 2"/>
        <xdr:cNvCxnSpPr/>
      </xdr:nvCxnSpPr>
      <xdr:spPr>
        <a:xfrm flipV="1">
          <a:off x="3004437" y="1438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</xdr:row>
      <xdr:rowOff>0</xdr:rowOff>
    </xdr:from>
    <xdr:to>
      <xdr:col>4</xdr:col>
      <xdr:colOff>601265</xdr:colOff>
      <xdr:row>6</xdr:row>
      <xdr:rowOff>187699</xdr:rowOff>
    </xdr:to>
    <xdr:cxnSp macro="">
      <xdr:nvCxnSpPr>
        <xdr:cNvPr id="4" name="Straight Connector 3"/>
        <xdr:cNvCxnSpPr/>
      </xdr:nvCxnSpPr>
      <xdr:spPr>
        <a:xfrm flipV="1">
          <a:off x="3992165" y="1438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</xdr:row>
      <xdr:rowOff>0</xdr:rowOff>
    </xdr:from>
    <xdr:to>
      <xdr:col>3</xdr:col>
      <xdr:colOff>23112</xdr:colOff>
      <xdr:row>6</xdr:row>
      <xdr:rowOff>188399</xdr:rowOff>
    </xdr:to>
    <xdr:cxnSp macro="">
      <xdr:nvCxnSpPr>
        <xdr:cNvPr id="5" name="Straight Connector 4"/>
        <xdr:cNvCxnSpPr/>
      </xdr:nvCxnSpPr>
      <xdr:spPr>
        <a:xfrm flipV="1">
          <a:off x="3004437" y="1438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</xdr:row>
      <xdr:rowOff>0</xdr:rowOff>
    </xdr:from>
    <xdr:to>
      <xdr:col>4</xdr:col>
      <xdr:colOff>601265</xdr:colOff>
      <xdr:row>6</xdr:row>
      <xdr:rowOff>187699</xdr:rowOff>
    </xdr:to>
    <xdr:cxnSp macro="">
      <xdr:nvCxnSpPr>
        <xdr:cNvPr id="6" name="Straight Connector 5"/>
        <xdr:cNvCxnSpPr/>
      </xdr:nvCxnSpPr>
      <xdr:spPr>
        <a:xfrm flipV="1">
          <a:off x="3992165" y="1438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</xdr:row>
      <xdr:rowOff>0</xdr:rowOff>
    </xdr:from>
    <xdr:to>
      <xdr:col>3</xdr:col>
      <xdr:colOff>23112</xdr:colOff>
      <xdr:row>6</xdr:row>
      <xdr:rowOff>188399</xdr:rowOff>
    </xdr:to>
    <xdr:cxnSp macro="">
      <xdr:nvCxnSpPr>
        <xdr:cNvPr id="7" name="Straight Connector 6"/>
        <xdr:cNvCxnSpPr/>
      </xdr:nvCxnSpPr>
      <xdr:spPr>
        <a:xfrm flipV="1">
          <a:off x="3004437" y="1438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</xdr:row>
      <xdr:rowOff>0</xdr:rowOff>
    </xdr:from>
    <xdr:to>
      <xdr:col>4</xdr:col>
      <xdr:colOff>601265</xdr:colOff>
      <xdr:row>6</xdr:row>
      <xdr:rowOff>187699</xdr:rowOff>
    </xdr:to>
    <xdr:cxnSp macro="">
      <xdr:nvCxnSpPr>
        <xdr:cNvPr id="8" name="Straight Connector 7"/>
        <xdr:cNvCxnSpPr/>
      </xdr:nvCxnSpPr>
      <xdr:spPr>
        <a:xfrm flipV="1">
          <a:off x="3992165" y="1438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179295</xdr:rowOff>
    </xdr:from>
    <xdr:to>
      <xdr:col>5</xdr:col>
      <xdr:colOff>11206</xdr:colOff>
      <xdr:row>12</xdr:row>
      <xdr:rowOff>179295</xdr:rowOff>
    </xdr:to>
    <xdr:cxnSp macro="">
      <xdr:nvCxnSpPr>
        <xdr:cNvPr id="9" name="Straight Connector 8"/>
        <xdr:cNvCxnSpPr/>
      </xdr:nvCxnSpPr>
      <xdr:spPr>
        <a:xfrm>
          <a:off x="2981325" y="2760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</xdr:row>
      <xdr:rowOff>0</xdr:rowOff>
    </xdr:from>
    <xdr:to>
      <xdr:col>3</xdr:col>
      <xdr:colOff>23112</xdr:colOff>
      <xdr:row>12</xdr:row>
      <xdr:rowOff>188399</xdr:rowOff>
    </xdr:to>
    <xdr:cxnSp macro="">
      <xdr:nvCxnSpPr>
        <xdr:cNvPr id="10" name="Straight Connector 9"/>
        <xdr:cNvCxnSpPr/>
      </xdr:nvCxnSpPr>
      <xdr:spPr>
        <a:xfrm flipV="1">
          <a:off x="3004437" y="2581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</xdr:row>
      <xdr:rowOff>0</xdr:rowOff>
    </xdr:from>
    <xdr:to>
      <xdr:col>4</xdr:col>
      <xdr:colOff>601265</xdr:colOff>
      <xdr:row>12</xdr:row>
      <xdr:rowOff>187699</xdr:rowOff>
    </xdr:to>
    <xdr:cxnSp macro="">
      <xdr:nvCxnSpPr>
        <xdr:cNvPr id="11" name="Straight Connector 10"/>
        <xdr:cNvCxnSpPr/>
      </xdr:nvCxnSpPr>
      <xdr:spPr>
        <a:xfrm flipV="1">
          <a:off x="3992165" y="2581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</xdr:row>
      <xdr:rowOff>0</xdr:rowOff>
    </xdr:from>
    <xdr:to>
      <xdr:col>3</xdr:col>
      <xdr:colOff>23112</xdr:colOff>
      <xdr:row>12</xdr:row>
      <xdr:rowOff>188399</xdr:rowOff>
    </xdr:to>
    <xdr:cxnSp macro="">
      <xdr:nvCxnSpPr>
        <xdr:cNvPr id="12" name="Straight Connector 11"/>
        <xdr:cNvCxnSpPr/>
      </xdr:nvCxnSpPr>
      <xdr:spPr>
        <a:xfrm flipV="1">
          <a:off x="3004437" y="2581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</xdr:row>
      <xdr:rowOff>0</xdr:rowOff>
    </xdr:from>
    <xdr:to>
      <xdr:col>4</xdr:col>
      <xdr:colOff>601265</xdr:colOff>
      <xdr:row>12</xdr:row>
      <xdr:rowOff>187699</xdr:rowOff>
    </xdr:to>
    <xdr:cxnSp macro="">
      <xdr:nvCxnSpPr>
        <xdr:cNvPr id="13" name="Straight Connector 12"/>
        <xdr:cNvCxnSpPr/>
      </xdr:nvCxnSpPr>
      <xdr:spPr>
        <a:xfrm flipV="1">
          <a:off x="3992165" y="2581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</xdr:row>
      <xdr:rowOff>0</xdr:rowOff>
    </xdr:from>
    <xdr:to>
      <xdr:col>3</xdr:col>
      <xdr:colOff>23112</xdr:colOff>
      <xdr:row>12</xdr:row>
      <xdr:rowOff>188399</xdr:rowOff>
    </xdr:to>
    <xdr:cxnSp macro="">
      <xdr:nvCxnSpPr>
        <xdr:cNvPr id="14" name="Straight Connector 13"/>
        <xdr:cNvCxnSpPr/>
      </xdr:nvCxnSpPr>
      <xdr:spPr>
        <a:xfrm flipV="1">
          <a:off x="3004437" y="2581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</xdr:row>
      <xdr:rowOff>0</xdr:rowOff>
    </xdr:from>
    <xdr:to>
      <xdr:col>4</xdr:col>
      <xdr:colOff>601265</xdr:colOff>
      <xdr:row>12</xdr:row>
      <xdr:rowOff>187699</xdr:rowOff>
    </xdr:to>
    <xdr:cxnSp macro="">
      <xdr:nvCxnSpPr>
        <xdr:cNvPr id="15" name="Straight Connector 14"/>
        <xdr:cNvCxnSpPr/>
      </xdr:nvCxnSpPr>
      <xdr:spPr>
        <a:xfrm flipV="1">
          <a:off x="3992165" y="2581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</xdr:row>
      <xdr:rowOff>179295</xdr:rowOff>
    </xdr:from>
    <xdr:to>
      <xdr:col>5</xdr:col>
      <xdr:colOff>11206</xdr:colOff>
      <xdr:row>18</xdr:row>
      <xdr:rowOff>179295</xdr:rowOff>
    </xdr:to>
    <xdr:cxnSp macro="">
      <xdr:nvCxnSpPr>
        <xdr:cNvPr id="16" name="Straight Connector 15"/>
        <xdr:cNvCxnSpPr/>
      </xdr:nvCxnSpPr>
      <xdr:spPr>
        <a:xfrm>
          <a:off x="2981325" y="3903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18</xdr:row>
      <xdr:rowOff>0</xdr:rowOff>
    </xdr:from>
    <xdr:to>
      <xdr:col>3</xdr:col>
      <xdr:colOff>23112</xdr:colOff>
      <xdr:row>18</xdr:row>
      <xdr:rowOff>188399</xdr:rowOff>
    </xdr:to>
    <xdr:cxnSp macro="">
      <xdr:nvCxnSpPr>
        <xdr:cNvPr id="17" name="Straight Connector 16"/>
        <xdr:cNvCxnSpPr/>
      </xdr:nvCxnSpPr>
      <xdr:spPr>
        <a:xfrm flipV="1">
          <a:off x="3004437" y="3724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18</xdr:row>
      <xdr:rowOff>0</xdr:rowOff>
    </xdr:from>
    <xdr:to>
      <xdr:col>4</xdr:col>
      <xdr:colOff>601265</xdr:colOff>
      <xdr:row>18</xdr:row>
      <xdr:rowOff>187699</xdr:rowOff>
    </xdr:to>
    <xdr:cxnSp macro="">
      <xdr:nvCxnSpPr>
        <xdr:cNvPr id="18" name="Straight Connector 17"/>
        <xdr:cNvCxnSpPr/>
      </xdr:nvCxnSpPr>
      <xdr:spPr>
        <a:xfrm flipV="1">
          <a:off x="3992165" y="3724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18</xdr:row>
      <xdr:rowOff>0</xdr:rowOff>
    </xdr:from>
    <xdr:to>
      <xdr:col>3</xdr:col>
      <xdr:colOff>23112</xdr:colOff>
      <xdr:row>18</xdr:row>
      <xdr:rowOff>188399</xdr:rowOff>
    </xdr:to>
    <xdr:cxnSp macro="">
      <xdr:nvCxnSpPr>
        <xdr:cNvPr id="19" name="Straight Connector 18"/>
        <xdr:cNvCxnSpPr/>
      </xdr:nvCxnSpPr>
      <xdr:spPr>
        <a:xfrm flipV="1">
          <a:off x="3004437" y="3724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18</xdr:row>
      <xdr:rowOff>0</xdr:rowOff>
    </xdr:from>
    <xdr:to>
      <xdr:col>4</xdr:col>
      <xdr:colOff>601265</xdr:colOff>
      <xdr:row>18</xdr:row>
      <xdr:rowOff>187699</xdr:rowOff>
    </xdr:to>
    <xdr:cxnSp macro="">
      <xdr:nvCxnSpPr>
        <xdr:cNvPr id="20" name="Straight Connector 19"/>
        <xdr:cNvCxnSpPr/>
      </xdr:nvCxnSpPr>
      <xdr:spPr>
        <a:xfrm flipV="1">
          <a:off x="3992165" y="3724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18</xdr:row>
      <xdr:rowOff>0</xdr:rowOff>
    </xdr:from>
    <xdr:to>
      <xdr:col>3</xdr:col>
      <xdr:colOff>23112</xdr:colOff>
      <xdr:row>18</xdr:row>
      <xdr:rowOff>188399</xdr:rowOff>
    </xdr:to>
    <xdr:cxnSp macro="">
      <xdr:nvCxnSpPr>
        <xdr:cNvPr id="21" name="Straight Connector 20"/>
        <xdr:cNvCxnSpPr/>
      </xdr:nvCxnSpPr>
      <xdr:spPr>
        <a:xfrm flipV="1">
          <a:off x="3004437" y="3724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18</xdr:row>
      <xdr:rowOff>0</xdr:rowOff>
    </xdr:from>
    <xdr:to>
      <xdr:col>4</xdr:col>
      <xdr:colOff>601265</xdr:colOff>
      <xdr:row>18</xdr:row>
      <xdr:rowOff>187699</xdr:rowOff>
    </xdr:to>
    <xdr:cxnSp macro="">
      <xdr:nvCxnSpPr>
        <xdr:cNvPr id="22" name="Straight Connector 21"/>
        <xdr:cNvCxnSpPr/>
      </xdr:nvCxnSpPr>
      <xdr:spPr>
        <a:xfrm flipV="1">
          <a:off x="3992165" y="3724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</xdr:row>
      <xdr:rowOff>179295</xdr:rowOff>
    </xdr:from>
    <xdr:to>
      <xdr:col>5</xdr:col>
      <xdr:colOff>11206</xdr:colOff>
      <xdr:row>24</xdr:row>
      <xdr:rowOff>179295</xdr:rowOff>
    </xdr:to>
    <xdr:cxnSp macro="">
      <xdr:nvCxnSpPr>
        <xdr:cNvPr id="23" name="Straight Connector 22"/>
        <xdr:cNvCxnSpPr/>
      </xdr:nvCxnSpPr>
      <xdr:spPr>
        <a:xfrm>
          <a:off x="2981325" y="5046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24</xdr:row>
      <xdr:rowOff>0</xdr:rowOff>
    </xdr:from>
    <xdr:to>
      <xdr:col>3</xdr:col>
      <xdr:colOff>23112</xdr:colOff>
      <xdr:row>24</xdr:row>
      <xdr:rowOff>188399</xdr:rowOff>
    </xdr:to>
    <xdr:cxnSp macro="">
      <xdr:nvCxnSpPr>
        <xdr:cNvPr id="24" name="Straight Connector 23"/>
        <xdr:cNvCxnSpPr/>
      </xdr:nvCxnSpPr>
      <xdr:spPr>
        <a:xfrm flipV="1">
          <a:off x="3004437" y="4867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24</xdr:row>
      <xdr:rowOff>0</xdr:rowOff>
    </xdr:from>
    <xdr:to>
      <xdr:col>4</xdr:col>
      <xdr:colOff>601265</xdr:colOff>
      <xdr:row>24</xdr:row>
      <xdr:rowOff>187699</xdr:rowOff>
    </xdr:to>
    <xdr:cxnSp macro="">
      <xdr:nvCxnSpPr>
        <xdr:cNvPr id="25" name="Straight Connector 24"/>
        <xdr:cNvCxnSpPr/>
      </xdr:nvCxnSpPr>
      <xdr:spPr>
        <a:xfrm flipV="1">
          <a:off x="3992165" y="4867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24</xdr:row>
      <xdr:rowOff>0</xdr:rowOff>
    </xdr:from>
    <xdr:to>
      <xdr:col>3</xdr:col>
      <xdr:colOff>23112</xdr:colOff>
      <xdr:row>24</xdr:row>
      <xdr:rowOff>188399</xdr:rowOff>
    </xdr:to>
    <xdr:cxnSp macro="">
      <xdr:nvCxnSpPr>
        <xdr:cNvPr id="26" name="Straight Connector 25"/>
        <xdr:cNvCxnSpPr/>
      </xdr:nvCxnSpPr>
      <xdr:spPr>
        <a:xfrm flipV="1">
          <a:off x="3004437" y="4867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24</xdr:row>
      <xdr:rowOff>0</xdr:rowOff>
    </xdr:from>
    <xdr:to>
      <xdr:col>4</xdr:col>
      <xdr:colOff>601265</xdr:colOff>
      <xdr:row>24</xdr:row>
      <xdr:rowOff>187699</xdr:rowOff>
    </xdr:to>
    <xdr:cxnSp macro="">
      <xdr:nvCxnSpPr>
        <xdr:cNvPr id="27" name="Straight Connector 26"/>
        <xdr:cNvCxnSpPr/>
      </xdr:nvCxnSpPr>
      <xdr:spPr>
        <a:xfrm flipV="1">
          <a:off x="3992165" y="4867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24</xdr:row>
      <xdr:rowOff>0</xdr:rowOff>
    </xdr:from>
    <xdr:to>
      <xdr:col>3</xdr:col>
      <xdr:colOff>23112</xdr:colOff>
      <xdr:row>24</xdr:row>
      <xdr:rowOff>188399</xdr:rowOff>
    </xdr:to>
    <xdr:cxnSp macro="">
      <xdr:nvCxnSpPr>
        <xdr:cNvPr id="28" name="Straight Connector 27"/>
        <xdr:cNvCxnSpPr/>
      </xdr:nvCxnSpPr>
      <xdr:spPr>
        <a:xfrm flipV="1">
          <a:off x="3004437" y="4867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24</xdr:row>
      <xdr:rowOff>0</xdr:rowOff>
    </xdr:from>
    <xdr:to>
      <xdr:col>4</xdr:col>
      <xdr:colOff>601265</xdr:colOff>
      <xdr:row>24</xdr:row>
      <xdr:rowOff>187699</xdr:rowOff>
    </xdr:to>
    <xdr:cxnSp macro="">
      <xdr:nvCxnSpPr>
        <xdr:cNvPr id="29" name="Straight Connector 28"/>
        <xdr:cNvCxnSpPr/>
      </xdr:nvCxnSpPr>
      <xdr:spPr>
        <a:xfrm flipV="1">
          <a:off x="3992165" y="4867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36</xdr:row>
      <xdr:rowOff>179295</xdr:rowOff>
    </xdr:from>
    <xdr:to>
      <xdr:col>5</xdr:col>
      <xdr:colOff>11206</xdr:colOff>
      <xdr:row>36</xdr:row>
      <xdr:rowOff>179295</xdr:rowOff>
    </xdr:to>
    <xdr:cxnSp macro="">
      <xdr:nvCxnSpPr>
        <xdr:cNvPr id="30" name="Straight Connector 29"/>
        <xdr:cNvCxnSpPr/>
      </xdr:nvCxnSpPr>
      <xdr:spPr>
        <a:xfrm>
          <a:off x="2981325" y="7332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36</xdr:row>
      <xdr:rowOff>0</xdr:rowOff>
    </xdr:from>
    <xdr:to>
      <xdr:col>3</xdr:col>
      <xdr:colOff>23112</xdr:colOff>
      <xdr:row>36</xdr:row>
      <xdr:rowOff>188399</xdr:rowOff>
    </xdr:to>
    <xdr:cxnSp macro="">
      <xdr:nvCxnSpPr>
        <xdr:cNvPr id="31" name="Straight Connector 30"/>
        <xdr:cNvCxnSpPr/>
      </xdr:nvCxnSpPr>
      <xdr:spPr>
        <a:xfrm flipV="1">
          <a:off x="3004437" y="7153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36</xdr:row>
      <xdr:rowOff>0</xdr:rowOff>
    </xdr:from>
    <xdr:to>
      <xdr:col>4</xdr:col>
      <xdr:colOff>601265</xdr:colOff>
      <xdr:row>36</xdr:row>
      <xdr:rowOff>187699</xdr:rowOff>
    </xdr:to>
    <xdr:cxnSp macro="">
      <xdr:nvCxnSpPr>
        <xdr:cNvPr id="32" name="Straight Connector 31"/>
        <xdr:cNvCxnSpPr/>
      </xdr:nvCxnSpPr>
      <xdr:spPr>
        <a:xfrm flipV="1">
          <a:off x="3992165" y="7153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36</xdr:row>
      <xdr:rowOff>0</xdr:rowOff>
    </xdr:from>
    <xdr:to>
      <xdr:col>3</xdr:col>
      <xdr:colOff>23112</xdr:colOff>
      <xdr:row>36</xdr:row>
      <xdr:rowOff>188399</xdr:rowOff>
    </xdr:to>
    <xdr:cxnSp macro="">
      <xdr:nvCxnSpPr>
        <xdr:cNvPr id="33" name="Straight Connector 32"/>
        <xdr:cNvCxnSpPr/>
      </xdr:nvCxnSpPr>
      <xdr:spPr>
        <a:xfrm flipV="1">
          <a:off x="3004437" y="7153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36</xdr:row>
      <xdr:rowOff>0</xdr:rowOff>
    </xdr:from>
    <xdr:to>
      <xdr:col>4</xdr:col>
      <xdr:colOff>601265</xdr:colOff>
      <xdr:row>36</xdr:row>
      <xdr:rowOff>187699</xdr:rowOff>
    </xdr:to>
    <xdr:cxnSp macro="">
      <xdr:nvCxnSpPr>
        <xdr:cNvPr id="34" name="Straight Connector 33"/>
        <xdr:cNvCxnSpPr/>
      </xdr:nvCxnSpPr>
      <xdr:spPr>
        <a:xfrm flipV="1">
          <a:off x="3992165" y="7153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36</xdr:row>
      <xdr:rowOff>0</xdr:rowOff>
    </xdr:from>
    <xdr:to>
      <xdr:col>3</xdr:col>
      <xdr:colOff>23112</xdr:colOff>
      <xdr:row>36</xdr:row>
      <xdr:rowOff>188399</xdr:rowOff>
    </xdr:to>
    <xdr:cxnSp macro="">
      <xdr:nvCxnSpPr>
        <xdr:cNvPr id="35" name="Straight Connector 34"/>
        <xdr:cNvCxnSpPr/>
      </xdr:nvCxnSpPr>
      <xdr:spPr>
        <a:xfrm flipV="1">
          <a:off x="3004437" y="7153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36</xdr:row>
      <xdr:rowOff>0</xdr:rowOff>
    </xdr:from>
    <xdr:to>
      <xdr:col>4</xdr:col>
      <xdr:colOff>601265</xdr:colOff>
      <xdr:row>36</xdr:row>
      <xdr:rowOff>187699</xdr:rowOff>
    </xdr:to>
    <xdr:cxnSp macro="">
      <xdr:nvCxnSpPr>
        <xdr:cNvPr id="36" name="Straight Connector 35"/>
        <xdr:cNvCxnSpPr/>
      </xdr:nvCxnSpPr>
      <xdr:spPr>
        <a:xfrm flipV="1">
          <a:off x="3992165" y="7153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42</xdr:row>
      <xdr:rowOff>179295</xdr:rowOff>
    </xdr:from>
    <xdr:to>
      <xdr:col>5</xdr:col>
      <xdr:colOff>11206</xdr:colOff>
      <xdr:row>42</xdr:row>
      <xdr:rowOff>179295</xdr:rowOff>
    </xdr:to>
    <xdr:cxnSp macro="">
      <xdr:nvCxnSpPr>
        <xdr:cNvPr id="37" name="Straight Connector 36"/>
        <xdr:cNvCxnSpPr/>
      </xdr:nvCxnSpPr>
      <xdr:spPr>
        <a:xfrm>
          <a:off x="2981325" y="8475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42</xdr:row>
      <xdr:rowOff>0</xdr:rowOff>
    </xdr:from>
    <xdr:to>
      <xdr:col>3</xdr:col>
      <xdr:colOff>23112</xdr:colOff>
      <xdr:row>42</xdr:row>
      <xdr:rowOff>188399</xdr:rowOff>
    </xdr:to>
    <xdr:cxnSp macro="">
      <xdr:nvCxnSpPr>
        <xdr:cNvPr id="38" name="Straight Connector 37"/>
        <xdr:cNvCxnSpPr/>
      </xdr:nvCxnSpPr>
      <xdr:spPr>
        <a:xfrm flipV="1">
          <a:off x="3004437" y="8296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42</xdr:row>
      <xdr:rowOff>0</xdr:rowOff>
    </xdr:from>
    <xdr:to>
      <xdr:col>4</xdr:col>
      <xdr:colOff>601265</xdr:colOff>
      <xdr:row>42</xdr:row>
      <xdr:rowOff>187699</xdr:rowOff>
    </xdr:to>
    <xdr:cxnSp macro="">
      <xdr:nvCxnSpPr>
        <xdr:cNvPr id="39" name="Straight Connector 38"/>
        <xdr:cNvCxnSpPr/>
      </xdr:nvCxnSpPr>
      <xdr:spPr>
        <a:xfrm flipV="1">
          <a:off x="3992165" y="8296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42</xdr:row>
      <xdr:rowOff>0</xdr:rowOff>
    </xdr:from>
    <xdr:to>
      <xdr:col>3</xdr:col>
      <xdr:colOff>23112</xdr:colOff>
      <xdr:row>42</xdr:row>
      <xdr:rowOff>188399</xdr:rowOff>
    </xdr:to>
    <xdr:cxnSp macro="">
      <xdr:nvCxnSpPr>
        <xdr:cNvPr id="40" name="Straight Connector 39"/>
        <xdr:cNvCxnSpPr/>
      </xdr:nvCxnSpPr>
      <xdr:spPr>
        <a:xfrm flipV="1">
          <a:off x="3004437" y="8296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42</xdr:row>
      <xdr:rowOff>0</xdr:rowOff>
    </xdr:from>
    <xdr:to>
      <xdr:col>4</xdr:col>
      <xdr:colOff>601265</xdr:colOff>
      <xdr:row>42</xdr:row>
      <xdr:rowOff>187699</xdr:rowOff>
    </xdr:to>
    <xdr:cxnSp macro="">
      <xdr:nvCxnSpPr>
        <xdr:cNvPr id="41" name="Straight Connector 40"/>
        <xdr:cNvCxnSpPr/>
      </xdr:nvCxnSpPr>
      <xdr:spPr>
        <a:xfrm flipV="1">
          <a:off x="3992165" y="8296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42</xdr:row>
      <xdr:rowOff>0</xdr:rowOff>
    </xdr:from>
    <xdr:to>
      <xdr:col>3</xdr:col>
      <xdr:colOff>23112</xdr:colOff>
      <xdr:row>42</xdr:row>
      <xdr:rowOff>188399</xdr:rowOff>
    </xdr:to>
    <xdr:cxnSp macro="">
      <xdr:nvCxnSpPr>
        <xdr:cNvPr id="42" name="Straight Connector 41"/>
        <xdr:cNvCxnSpPr/>
      </xdr:nvCxnSpPr>
      <xdr:spPr>
        <a:xfrm flipV="1">
          <a:off x="3004437" y="8296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42</xdr:row>
      <xdr:rowOff>0</xdr:rowOff>
    </xdr:from>
    <xdr:to>
      <xdr:col>4</xdr:col>
      <xdr:colOff>601265</xdr:colOff>
      <xdr:row>42</xdr:row>
      <xdr:rowOff>187699</xdr:rowOff>
    </xdr:to>
    <xdr:cxnSp macro="">
      <xdr:nvCxnSpPr>
        <xdr:cNvPr id="43" name="Straight Connector 42"/>
        <xdr:cNvCxnSpPr/>
      </xdr:nvCxnSpPr>
      <xdr:spPr>
        <a:xfrm flipV="1">
          <a:off x="3992165" y="8296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30</xdr:row>
      <xdr:rowOff>179295</xdr:rowOff>
    </xdr:from>
    <xdr:to>
      <xdr:col>5</xdr:col>
      <xdr:colOff>11206</xdr:colOff>
      <xdr:row>30</xdr:row>
      <xdr:rowOff>179295</xdr:rowOff>
    </xdr:to>
    <xdr:cxnSp macro="">
      <xdr:nvCxnSpPr>
        <xdr:cNvPr id="44" name="Straight Connector 43"/>
        <xdr:cNvCxnSpPr/>
      </xdr:nvCxnSpPr>
      <xdr:spPr>
        <a:xfrm>
          <a:off x="2981325" y="6189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30</xdr:row>
      <xdr:rowOff>0</xdr:rowOff>
    </xdr:from>
    <xdr:to>
      <xdr:col>3</xdr:col>
      <xdr:colOff>23112</xdr:colOff>
      <xdr:row>30</xdr:row>
      <xdr:rowOff>188399</xdr:rowOff>
    </xdr:to>
    <xdr:cxnSp macro="">
      <xdr:nvCxnSpPr>
        <xdr:cNvPr id="45" name="Straight Connector 44"/>
        <xdr:cNvCxnSpPr/>
      </xdr:nvCxnSpPr>
      <xdr:spPr>
        <a:xfrm flipV="1">
          <a:off x="3004437" y="601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30</xdr:row>
      <xdr:rowOff>0</xdr:rowOff>
    </xdr:from>
    <xdr:to>
      <xdr:col>4</xdr:col>
      <xdr:colOff>601265</xdr:colOff>
      <xdr:row>30</xdr:row>
      <xdr:rowOff>187699</xdr:rowOff>
    </xdr:to>
    <xdr:cxnSp macro="">
      <xdr:nvCxnSpPr>
        <xdr:cNvPr id="46" name="Straight Connector 45"/>
        <xdr:cNvCxnSpPr/>
      </xdr:nvCxnSpPr>
      <xdr:spPr>
        <a:xfrm flipV="1">
          <a:off x="3992165" y="6010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30</xdr:row>
      <xdr:rowOff>0</xdr:rowOff>
    </xdr:from>
    <xdr:to>
      <xdr:col>3</xdr:col>
      <xdr:colOff>23112</xdr:colOff>
      <xdr:row>30</xdr:row>
      <xdr:rowOff>188399</xdr:rowOff>
    </xdr:to>
    <xdr:cxnSp macro="">
      <xdr:nvCxnSpPr>
        <xdr:cNvPr id="47" name="Straight Connector 46"/>
        <xdr:cNvCxnSpPr/>
      </xdr:nvCxnSpPr>
      <xdr:spPr>
        <a:xfrm flipV="1">
          <a:off x="3004437" y="601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30</xdr:row>
      <xdr:rowOff>0</xdr:rowOff>
    </xdr:from>
    <xdr:to>
      <xdr:col>4</xdr:col>
      <xdr:colOff>601265</xdr:colOff>
      <xdr:row>30</xdr:row>
      <xdr:rowOff>187699</xdr:rowOff>
    </xdr:to>
    <xdr:cxnSp macro="">
      <xdr:nvCxnSpPr>
        <xdr:cNvPr id="48" name="Straight Connector 47"/>
        <xdr:cNvCxnSpPr/>
      </xdr:nvCxnSpPr>
      <xdr:spPr>
        <a:xfrm flipV="1">
          <a:off x="3992165" y="6010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30</xdr:row>
      <xdr:rowOff>0</xdr:rowOff>
    </xdr:from>
    <xdr:to>
      <xdr:col>3</xdr:col>
      <xdr:colOff>23112</xdr:colOff>
      <xdr:row>30</xdr:row>
      <xdr:rowOff>188399</xdr:rowOff>
    </xdr:to>
    <xdr:cxnSp macro="">
      <xdr:nvCxnSpPr>
        <xdr:cNvPr id="49" name="Straight Connector 48"/>
        <xdr:cNvCxnSpPr/>
      </xdr:nvCxnSpPr>
      <xdr:spPr>
        <a:xfrm flipV="1">
          <a:off x="3004437" y="601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30</xdr:row>
      <xdr:rowOff>0</xdr:rowOff>
    </xdr:from>
    <xdr:to>
      <xdr:col>4</xdr:col>
      <xdr:colOff>601265</xdr:colOff>
      <xdr:row>30</xdr:row>
      <xdr:rowOff>187699</xdr:rowOff>
    </xdr:to>
    <xdr:cxnSp macro="">
      <xdr:nvCxnSpPr>
        <xdr:cNvPr id="50" name="Straight Connector 49"/>
        <xdr:cNvCxnSpPr/>
      </xdr:nvCxnSpPr>
      <xdr:spPr>
        <a:xfrm flipV="1">
          <a:off x="3992165" y="6010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65</xdr:row>
      <xdr:rowOff>179295</xdr:rowOff>
    </xdr:from>
    <xdr:to>
      <xdr:col>5</xdr:col>
      <xdr:colOff>11206</xdr:colOff>
      <xdr:row>65</xdr:row>
      <xdr:rowOff>179295</xdr:rowOff>
    </xdr:to>
    <xdr:cxnSp macro="">
      <xdr:nvCxnSpPr>
        <xdr:cNvPr id="51" name="Straight Connector 50"/>
        <xdr:cNvCxnSpPr/>
      </xdr:nvCxnSpPr>
      <xdr:spPr>
        <a:xfrm>
          <a:off x="2981325" y="12857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65</xdr:row>
      <xdr:rowOff>0</xdr:rowOff>
    </xdr:from>
    <xdr:to>
      <xdr:col>3</xdr:col>
      <xdr:colOff>23112</xdr:colOff>
      <xdr:row>65</xdr:row>
      <xdr:rowOff>188399</xdr:rowOff>
    </xdr:to>
    <xdr:cxnSp macro="">
      <xdr:nvCxnSpPr>
        <xdr:cNvPr id="52" name="Straight Connector 51"/>
        <xdr:cNvCxnSpPr/>
      </xdr:nvCxnSpPr>
      <xdr:spPr>
        <a:xfrm flipV="1">
          <a:off x="3004437" y="12677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65</xdr:row>
      <xdr:rowOff>0</xdr:rowOff>
    </xdr:from>
    <xdr:to>
      <xdr:col>4</xdr:col>
      <xdr:colOff>601265</xdr:colOff>
      <xdr:row>65</xdr:row>
      <xdr:rowOff>187699</xdr:rowOff>
    </xdr:to>
    <xdr:cxnSp macro="">
      <xdr:nvCxnSpPr>
        <xdr:cNvPr id="53" name="Straight Connector 52"/>
        <xdr:cNvCxnSpPr/>
      </xdr:nvCxnSpPr>
      <xdr:spPr>
        <a:xfrm flipV="1">
          <a:off x="3992165" y="12677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65</xdr:row>
      <xdr:rowOff>0</xdr:rowOff>
    </xdr:from>
    <xdr:to>
      <xdr:col>3</xdr:col>
      <xdr:colOff>23112</xdr:colOff>
      <xdr:row>65</xdr:row>
      <xdr:rowOff>188399</xdr:rowOff>
    </xdr:to>
    <xdr:cxnSp macro="">
      <xdr:nvCxnSpPr>
        <xdr:cNvPr id="54" name="Straight Connector 53"/>
        <xdr:cNvCxnSpPr/>
      </xdr:nvCxnSpPr>
      <xdr:spPr>
        <a:xfrm flipV="1">
          <a:off x="3004437" y="12677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65</xdr:row>
      <xdr:rowOff>0</xdr:rowOff>
    </xdr:from>
    <xdr:to>
      <xdr:col>4</xdr:col>
      <xdr:colOff>601265</xdr:colOff>
      <xdr:row>65</xdr:row>
      <xdr:rowOff>187699</xdr:rowOff>
    </xdr:to>
    <xdr:cxnSp macro="">
      <xdr:nvCxnSpPr>
        <xdr:cNvPr id="55" name="Straight Connector 54"/>
        <xdr:cNvCxnSpPr/>
      </xdr:nvCxnSpPr>
      <xdr:spPr>
        <a:xfrm flipV="1">
          <a:off x="3992165" y="12677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65</xdr:row>
      <xdr:rowOff>0</xdr:rowOff>
    </xdr:from>
    <xdr:to>
      <xdr:col>3</xdr:col>
      <xdr:colOff>23112</xdr:colOff>
      <xdr:row>65</xdr:row>
      <xdr:rowOff>188399</xdr:rowOff>
    </xdr:to>
    <xdr:cxnSp macro="">
      <xdr:nvCxnSpPr>
        <xdr:cNvPr id="56" name="Straight Connector 55"/>
        <xdr:cNvCxnSpPr/>
      </xdr:nvCxnSpPr>
      <xdr:spPr>
        <a:xfrm flipV="1">
          <a:off x="3004437" y="12677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65</xdr:row>
      <xdr:rowOff>0</xdr:rowOff>
    </xdr:from>
    <xdr:to>
      <xdr:col>4</xdr:col>
      <xdr:colOff>601265</xdr:colOff>
      <xdr:row>65</xdr:row>
      <xdr:rowOff>187699</xdr:rowOff>
    </xdr:to>
    <xdr:cxnSp macro="">
      <xdr:nvCxnSpPr>
        <xdr:cNvPr id="57" name="Straight Connector 56"/>
        <xdr:cNvCxnSpPr/>
      </xdr:nvCxnSpPr>
      <xdr:spPr>
        <a:xfrm flipV="1">
          <a:off x="3992165" y="12677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62</xdr:row>
      <xdr:rowOff>179295</xdr:rowOff>
    </xdr:from>
    <xdr:to>
      <xdr:col>5</xdr:col>
      <xdr:colOff>11206</xdr:colOff>
      <xdr:row>62</xdr:row>
      <xdr:rowOff>179295</xdr:rowOff>
    </xdr:to>
    <xdr:cxnSp macro="">
      <xdr:nvCxnSpPr>
        <xdr:cNvPr id="58" name="Straight Connector 57"/>
        <xdr:cNvCxnSpPr/>
      </xdr:nvCxnSpPr>
      <xdr:spPr>
        <a:xfrm>
          <a:off x="2981325" y="12285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62</xdr:row>
      <xdr:rowOff>0</xdr:rowOff>
    </xdr:from>
    <xdr:to>
      <xdr:col>3</xdr:col>
      <xdr:colOff>23112</xdr:colOff>
      <xdr:row>62</xdr:row>
      <xdr:rowOff>188399</xdr:rowOff>
    </xdr:to>
    <xdr:cxnSp macro="">
      <xdr:nvCxnSpPr>
        <xdr:cNvPr id="59" name="Straight Connector 58"/>
        <xdr:cNvCxnSpPr/>
      </xdr:nvCxnSpPr>
      <xdr:spPr>
        <a:xfrm flipV="1">
          <a:off x="3004437" y="12106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62</xdr:row>
      <xdr:rowOff>0</xdr:rowOff>
    </xdr:from>
    <xdr:to>
      <xdr:col>4</xdr:col>
      <xdr:colOff>601265</xdr:colOff>
      <xdr:row>62</xdr:row>
      <xdr:rowOff>187699</xdr:rowOff>
    </xdr:to>
    <xdr:cxnSp macro="">
      <xdr:nvCxnSpPr>
        <xdr:cNvPr id="60" name="Straight Connector 59"/>
        <xdr:cNvCxnSpPr/>
      </xdr:nvCxnSpPr>
      <xdr:spPr>
        <a:xfrm flipV="1">
          <a:off x="3992165" y="12106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62</xdr:row>
      <xdr:rowOff>0</xdr:rowOff>
    </xdr:from>
    <xdr:to>
      <xdr:col>3</xdr:col>
      <xdr:colOff>23112</xdr:colOff>
      <xdr:row>62</xdr:row>
      <xdr:rowOff>188399</xdr:rowOff>
    </xdr:to>
    <xdr:cxnSp macro="">
      <xdr:nvCxnSpPr>
        <xdr:cNvPr id="61" name="Straight Connector 60"/>
        <xdr:cNvCxnSpPr/>
      </xdr:nvCxnSpPr>
      <xdr:spPr>
        <a:xfrm flipV="1">
          <a:off x="3004437" y="12106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62</xdr:row>
      <xdr:rowOff>0</xdr:rowOff>
    </xdr:from>
    <xdr:to>
      <xdr:col>4</xdr:col>
      <xdr:colOff>601265</xdr:colOff>
      <xdr:row>62</xdr:row>
      <xdr:rowOff>187699</xdr:rowOff>
    </xdr:to>
    <xdr:cxnSp macro="">
      <xdr:nvCxnSpPr>
        <xdr:cNvPr id="62" name="Straight Connector 61"/>
        <xdr:cNvCxnSpPr/>
      </xdr:nvCxnSpPr>
      <xdr:spPr>
        <a:xfrm flipV="1">
          <a:off x="3992165" y="12106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62</xdr:row>
      <xdr:rowOff>0</xdr:rowOff>
    </xdr:from>
    <xdr:to>
      <xdr:col>3</xdr:col>
      <xdr:colOff>23112</xdr:colOff>
      <xdr:row>62</xdr:row>
      <xdr:rowOff>188399</xdr:rowOff>
    </xdr:to>
    <xdr:cxnSp macro="">
      <xdr:nvCxnSpPr>
        <xdr:cNvPr id="63" name="Straight Connector 62"/>
        <xdr:cNvCxnSpPr/>
      </xdr:nvCxnSpPr>
      <xdr:spPr>
        <a:xfrm flipV="1">
          <a:off x="3004437" y="12106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62</xdr:row>
      <xdr:rowOff>0</xdr:rowOff>
    </xdr:from>
    <xdr:to>
      <xdr:col>4</xdr:col>
      <xdr:colOff>601265</xdr:colOff>
      <xdr:row>62</xdr:row>
      <xdr:rowOff>187699</xdr:rowOff>
    </xdr:to>
    <xdr:cxnSp macro="">
      <xdr:nvCxnSpPr>
        <xdr:cNvPr id="64" name="Straight Connector 63"/>
        <xdr:cNvCxnSpPr/>
      </xdr:nvCxnSpPr>
      <xdr:spPr>
        <a:xfrm flipV="1">
          <a:off x="3992165" y="12106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59</xdr:row>
      <xdr:rowOff>179295</xdr:rowOff>
    </xdr:from>
    <xdr:to>
      <xdr:col>5</xdr:col>
      <xdr:colOff>11206</xdr:colOff>
      <xdr:row>59</xdr:row>
      <xdr:rowOff>179295</xdr:rowOff>
    </xdr:to>
    <xdr:cxnSp macro="">
      <xdr:nvCxnSpPr>
        <xdr:cNvPr id="65" name="Straight Connector 64"/>
        <xdr:cNvCxnSpPr/>
      </xdr:nvCxnSpPr>
      <xdr:spPr>
        <a:xfrm>
          <a:off x="2981325" y="11714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56</xdr:row>
      <xdr:rowOff>179295</xdr:rowOff>
    </xdr:from>
    <xdr:to>
      <xdr:col>5</xdr:col>
      <xdr:colOff>11206</xdr:colOff>
      <xdr:row>56</xdr:row>
      <xdr:rowOff>179295</xdr:rowOff>
    </xdr:to>
    <xdr:cxnSp macro="">
      <xdr:nvCxnSpPr>
        <xdr:cNvPr id="66" name="Straight Connector 65"/>
        <xdr:cNvCxnSpPr/>
      </xdr:nvCxnSpPr>
      <xdr:spPr>
        <a:xfrm>
          <a:off x="2981325" y="11142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</xdr:row>
      <xdr:rowOff>179295</xdr:rowOff>
    </xdr:from>
    <xdr:to>
      <xdr:col>5</xdr:col>
      <xdr:colOff>11206</xdr:colOff>
      <xdr:row>50</xdr:row>
      <xdr:rowOff>179295</xdr:rowOff>
    </xdr:to>
    <xdr:cxnSp macro="">
      <xdr:nvCxnSpPr>
        <xdr:cNvPr id="67" name="Straight Connector 66"/>
        <xdr:cNvCxnSpPr/>
      </xdr:nvCxnSpPr>
      <xdr:spPr>
        <a:xfrm>
          <a:off x="2981325" y="9999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50</xdr:row>
      <xdr:rowOff>0</xdr:rowOff>
    </xdr:from>
    <xdr:to>
      <xdr:col>3</xdr:col>
      <xdr:colOff>23112</xdr:colOff>
      <xdr:row>50</xdr:row>
      <xdr:rowOff>188399</xdr:rowOff>
    </xdr:to>
    <xdr:cxnSp macro="">
      <xdr:nvCxnSpPr>
        <xdr:cNvPr id="68" name="Straight Connector 67"/>
        <xdr:cNvCxnSpPr/>
      </xdr:nvCxnSpPr>
      <xdr:spPr>
        <a:xfrm flipV="1">
          <a:off x="3004437" y="982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50</xdr:row>
      <xdr:rowOff>0</xdr:rowOff>
    </xdr:from>
    <xdr:to>
      <xdr:col>3</xdr:col>
      <xdr:colOff>23112</xdr:colOff>
      <xdr:row>50</xdr:row>
      <xdr:rowOff>188399</xdr:rowOff>
    </xdr:to>
    <xdr:cxnSp macro="">
      <xdr:nvCxnSpPr>
        <xdr:cNvPr id="69" name="Straight Connector 68"/>
        <xdr:cNvCxnSpPr/>
      </xdr:nvCxnSpPr>
      <xdr:spPr>
        <a:xfrm flipV="1">
          <a:off x="3004437" y="982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50</xdr:row>
      <xdr:rowOff>0</xdr:rowOff>
    </xdr:from>
    <xdr:to>
      <xdr:col>3</xdr:col>
      <xdr:colOff>23112</xdr:colOff>
      <xdr:row>50</xdr:row>
      <xdr:rowOff>188399</xdr:rowOff>
    </xdr:to>
    <xdr:cxnSp macro="">
      <xdr:nvCxnSpPr>
        <xdr:cNvPr id="70" name="Straight Connector 69"/>
        <xdr:cNvCxnSpPr/>
      </xdr:nvCxnSpPr>
      <xdr:spPr>
        <a:xfrm flipV="1">
          <a:off x="3004437" y="982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</xdr:row>
      <xdr:rowOff>179295</xdr:rowOff>
    </xdr:from>
    <xdr:to>
      <xdr:col>5</xdr:col>
      <xdr:colOff>11206</xdr:colOff>
      <xdr:row>50</xdr:row>
      <xdr:rowOff>179295</xdr:rowOff>
    </xdr:to>
    <xdr:cxnSp macro="">
      <xdr:nvCxnSpPr>
        <xdr:cNvPr id="71" name="Straight Connector 70"/>
        <xdr:cNvCxnSpPr/>
      </xdr:nvCxnSpPr>
      <xdr:spPr>
        <a:xfrm>
          <a:off x="2981325" y="9999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50</xdr:row>
      <xdr:rowOff>0</xdr:rowOff>
    </xdr:from>
    <xdr:to>
      <xdr:col>3</xdr:col>
      <xdr:colOff>23112</xdr:colOff>
      <xdr:row>50</xdr:row>
      <xdr:rowOff>188399</xdr:rowOff>
    </xdr:to>
    <xdr:cxnSp macro="">
      <xdr:nvCxnSpPr>
        <xdr:cNvPr id="72" name="Straight Connector 71"/>
        <xdr:cNvCxnSpPr/>
      </xdr:nvCxnSpPr>
      <xdr:spPr>
        <a:xfrm flipV="1">
          <a:off x="3004437" y="982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50</xdr:row>
      <xdr:rowOff>0</xdr:rowOff>
    </xdr:from>
    <xdr:to>
      <xdr:col>4</xdr:col>
      <xdr:colOff>601265</xdr:colOff>
      <xdr:row>50</xdr:row>
      <xdr:rowOff>187699</xdr:rowOff>
    </xdr:to>
    <xdr:cxnSp macro="">
      <xdr:nvCxnSpPr>
        <xdr:cNvPr id="73" name="Straight Connector 72"/>
        <xdr:cNvCxnSpPr/>
      </xdr:nvCxnSpPr>
      <xdr:spPr>
        <a:xfrm flipV="1">
          <a:off x="3992165" y="9820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50</xdr:row>
      <xdr:rowOff>0</xdr:rowOff>
    </xdr:from>
    <xdr:to>
      <xdr:col>3</xdr:col>
      <xdr:colOff>23112</xdr:colOff>
      <xdr:row>50</xdr:row>
      <xdr:rowOff>188399</xdr:rowOff>
    </xdr:to>
    <xdr:cxnSp macro="">
      <xdr:nvCxnSpPr>
        <xdr:cNvPr id="74" name="Straight Connector 73"/>
        <xdr:cNvCxnSpPr/>
      </xdr:nvCxnSpPr>
      <xdr:spPr>
        <a:xfrm flipV="1">
          <a:off x="3004437" y="982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50</xdr:row>
      <xdr:rowOff>0</xdr:rowOff>
    </xdr:from>
    <xdr:to>
      <xdr:col>4</xdr:col>
      <xdr:colOff>601265</xdr:colOff>
      <xdr:row>50</xdr:row>
      <xdr:rowOff>187699</xdr:rowOff>
    </xdr:to>
    <xdr:cxnSp macro="">
      <xdr:nvCxnSpPr>
        <xdr:cNvPr id="75" name="Straight Connector 74"/>
        <xdr:cNvCxnSpPr/>
      </xdr:nvCxnSpPr>
      <xdr:spPr>
        <a:xfrm flipV="1">
          <a:off x="3992165" y="9820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50</xdr:row>
      <xdr:rowOff>0</xdr:rowOff>
    </xdr:from>
    <xdr:to>
      <xdr:col>3</xdr:col>
      <xdr:colOff>23112</xdr:colOff>
      <xdr:row>50</xdr:row>
      <xdr:rowOff>188399</xdr:rowOff>
    </xdr:to>
    <xdr:cxnSp macro="">
      <xdr:nvCxnSpPr>
        <xdr:cNvPr id="76" name="Straight Connector 75"/>
        <xdr:cNvCxnSpPr/>
      </xdr:nvCxnSpPr>
      <xdr:spPr>
        <a:xfrm flipV="1">
          <a:off x="3004437" y="982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50</xdr:row>
      <xdr:rowOff>0</xdr:rowOff>
    </xdr:from>
    <xdr:to>
      <xdr:col>4</xdr:col>
      <xdr:colOff>601265</xdr:colOff>
      <xdr:row>50</xdr:row>
      <xdr:rowOff>187699</xdr:rowOff>
    </xdr:to>
    <xdr:cxnSp macro="">
      <xdr:nvCxnSpPr>
        <xdr:cNvPr id="77" name="Straight Connector 76"/>
        <xdr:cNvCxnSpPr/>
      </xdr:nvCxnSpPr>
      <xdr:spPr>
        <a:xfrm flipV="1">
          <a:off x="3992165" y="9820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47</xdr:row>
      <xdr:rowOff>179295</xdr:rowOff>
    </xdr:from>
    <xdr:to>
      <xdr:col>5</xdr:col>
      <xdr:colOff>11206</xdr:colOff>
      <xdr:row>47</xdr:row>
      <xdr:rowOff>179295</xdr:rowOff>
    </xdr:to>
    <xdr:cxnSp macro="">
      <xdr:nvCxnSpPr>
        <xdr:cNvPr id="78" name="Straight Connector 77"/>
        <xdr:cNvCxnSpPr/>
      </xdr:nvCxnSpPr>
      <xdr:spPr>
        <a:xfrm>
          <a:off x="2981325" y="9428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47</xdr:row>
      <xdr:rowOff>0</xdr:rowOff>
    </xdr:from>
    <xdr:to>
      <xdr:col>3</xdr:col>
      <xdr:colOff>23112</xdr:colOff>
      <xdr:row>47</xdr:row>
      <xdr:rowOff>188399</xdr:rowOff>
    </xdr:to>
    <xdr:cxnSp macro="">
      <xdr:nvCxnSpPr>
        <xdr:cNvPr id="79" name="Straight Connector 78"/>
        <xdr:cNvCxnSpPr/>
      </xdr:nvCxnSpPr>
      <xdr:spPr>
        <a:xfrm flipV="1">
          <a:off x="3004437" y="9248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47</xdr:row>
      <xdr:rowOff>0</xdr:rowOff>
    </xdr:from>
    <xdr:to>
      <xdr:col>3</xdr:col>
      <xdr:colOff>23112</xdr:colOff>
      <xdr:row>47</xdr:row>
      <xdr:rowOff>188399</xdr:rowOff>
    </xdr:to>
    <xdr:cxnSp macro="">
      <xdr:nvCxnSpPr>
        <xdr:cNvPr id="80" name="Straight Connector 79"/>
        <xdr:cNvCxnSpPr/>
      </xdr:nvCxnSpPr>
      <xdr:spPr>
        <a:xfrm flipV="1">
          <a:off x="3004437" y="9248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47</xdr:row>
      <xdr:rowOff>0</xdr:rowOff>
    </xdr:from>
    <xdr:to>
      <xdr:col>3</xdr:col>
      <xdr:colOff>23112</xdr:colOff>
      <xdr:row>47</xdr:row>
      <xdr:rowOff>188399</xdr:rowOff>
    </xdr:to>
    <xdr:cxnSp macro="">
      <xdr:nvCxnSpPr>
        <xdr:cNvPr id="81" name="Straight Connector 80"/>
        <xdr:cNvCxnSpPr/>
      </xdr:nvCxnSpPr>
      <xdr:spPr>
        <a:xfrm flipV="1">
          <a:off x="3004437" y="9248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47</xdr:row>
      <xdr:rowOff>179295</xdr:rowOff>
    </xdr:from>
    <xdr:to>
      <xdr:col>5</xdr:col>
      <xdr:colOff>11206</xdr:colOff>
      <xdr:row>47</xdr:row>
      <xdr:rowOff>179295</xdr:rowOff>
    </xdr:to>
    <xdr:cxnSp macro="">
      <xdr:nvCxnSpPr>
        <xdr:cNvPr id="82" name="Straight Connector 81"/>
        <xdr:cNvCxnSpPr/>
      </xdr:nvCxnSpPr>
      <xdr:spPr>
        <a:xfrm>
          <a:off x="2981325" y="9428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47</xdr:row>
      <xdr:rowOff>0</xdr:rowOff>
    </xdr:from>
    <xdr:to>
      <xdr:col>3</xdr:col>
      <xdr:colOff>23112</xdr:colOff>
      <xdr:row>47</xdr:row>
      <xdr:rowOff>188399</xdr:rowOff>
    </xdr:to>
    <xdr:cxnSp macro="">
      <xdr:nvCxnSpPr>
        <xdr:cNvPr id="83" name="Straight Connector 82"/>
        <xdr:cNvCxnSpPr/>
      </xdr:nvCxnSpPr>
      <xdr:spPr>
        <a:xfrm flipV="1">
          <a:off x="3004437" y="9248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47</xdr:row>
      <xdr:rowOff>0</xdr:rowOff>
    </xdr:from>
    <xdr:to>
      <xdr:col>4</xdr:col>
      <xdr:colOff>601265</xdr:colOff>
      <xdr:row>47</xdr:row>
      <xdr:rowOff>187699</xdr:rowOff>
    </xdr:to>
    <xdr:cxnSp macro="">
      <xdr:nvCxnSpPr>
        <xdr:cNvPr id="84" name="Straight Connector 83"/>
        <xdr:cNvCxnSpPr/>
      </xdr:nvCxnSpPr>
      <xdr:spPr>
        <a:xfrm flipV="1">
          <a:off x="3992165" y="9248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47</xdr:row>
      <xdr:rowOff>0</xdr:rowOff>
    </xdr:from>
    <xdr:to>
      <xdr:col>3</xdr:col>
      <xdr:colOff>23112</xdr:colOff>
      <xdr:row>47</xdr:row>
      <xdr:rowOff>188399</xdr:rowOff>
    </xdr:to>
    <xdr:cxnSp macro="">
      <xdr:nvCxnSpPr>
        <xdr:cNvPr id="85" name="Straight Connector 84"/>
        <xdr:cNvCxnSpPr/>
      </xdr:nvCxnSpPr>
      <xdr:spPr>
        <a:xfrm flipV="1">
          <a:off x="3004437" y="9248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47</xdr:row>
      <xdr:rowOff>0</xdr:rowOff>
    </xdr:from>
    <xdr:to>
      <xdr:col>4</xdr:col>
      <xdr:colOff>601265</xdr:colOff>
      <xdr:row>47</xdr:row>
      <xdr:rowOff>187699</xdr:rowOff>
    </xdr:to>
    <xdr:cxnSp macro="">
      <xdr:nvCxnSpPr>
        <xdr:cNvPr id="86" name="Straight Connector 85"/>
        <xdr:cNvCxnSpPr/>
      </xdr:nvCxnSpPr>
      <xdr:spPr>
        <a:xfrm flipV="1">
          <a:off x="3992165" y="9248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47</xdr:row>
      <xdr:rowOff>0</xdr:rowOff>
    </xdr:from>
    <xdr:to>
      <xdr:col>3</xdr:col>
      <xdr:colOff>23112</xdr:colOff>
      <xdr:row>47</xdr:row>
      <xdr:rowOff>188399</xdr:rowOff>
    </xdr:to>
    <xdr:cxnSp macro="">
      <xdr:nvCxnSpPr>
        <xdr:cNvPr id="87" name="Straight Connector 86"/>
        <xdr:cNvCxnSpPr/>
      </xdr:nvCxnSpPr>
      <xdr:spPr>
        <a:xfrm flipV="1">
          <a:off x="3004437" y="9248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47</xdr:row>
      <xdr:rowOff>0</xdr:rowOff>
    </xdr:from>
    <xdr:to>
      <xdr:col>4</xdr:col>
      <xdr:colOff>601265</xdr:colOff>
      <xdr:row>47</xdr:row>
      <xdr:rowOff>187699</xdr:rowOff>
    </xdr:to>
    <xdr:cxnSp macro="">
      <xdr:nvCxnSpPr>
        <xdr:cNvPr id="88" name="Straight Connector 87"/>
        <xdr:cNvCxnSpPr/>
      </xdr:nvCxnSpPr>
      <xdr:spPr>
        <a:xfrm flipV="1">
          <a:off x="3992165" y="9248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53</xdr:row>
      <xdr:rowOff>179295</xdr:rowOff>
    </xdr:from>
    <xdr:to>
      <xdr:col>5</xdr:col>
      <xdr:colOff>11206</xdr:colOff>
      <xdr:row>53</xdr:row>
      <xdr:rowOff>179295</xdr:rowOff>
    </xdr:to>
    <xdr:cxnSp macro="">
      <xdr:nvCxnSpPr>
        <xdr:cNvPr id="89" name="Straight Connector 88"/>
        <xdr:cNvCxnSpPr/>
      </xdr:nvCxnSpPr>
      <xdr:spPr>
        <a:xfrm>
          <a:off x="2981325" y="10571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53</xdr:row>
      <xdr:rowOff>0</xdr:rowOff>
    </xdr:from>
    <xdr:to>
      <xdr:col>3</xdr:col>
      <xdr:colOff>23112</xdr:colOff>
      <xdr:row>53</xdr:row>
      <xdr:rowOff>188399</xdr:rowOff>
    </xdr:to>
    <xdr:cxnSp macro="">
      <xdr:nvCxnSpPr>
        <xdr:cNvPr id="90" name="Straight Connector 89"/>
        <xdr:cNvCxnSpPr/>
      </xdr:nvCxnSpPr>
      <xdr:spPr>
        <a:xfrm flipV="1">
          <a:off x="3004437" y="1039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53</xdr:row>
      <xdr:rowOff>0</xdr:rowOff>
    </xdr:from>
    <xdr:to>
      <xdr:col>3</xdr:col>
      <xdr:colOff>23112</xdr:colOff>
      <xdr:row>53</xdr:row>
      <xdr:rowOff>188399</xdr:rowOff>
    </xdr:to>
    <xdr:cxnSp macro="">
      <xdr:nvCxnSpPr>
        <xdr:cNvPr id="91" name="Straight Connector 90"/>
        <xdr:cNvCxnSpPr/>
      </xdr:nvCxnSpPr>
      <xdr:spPr>
        <a:xfrm flipV="1">
          <a:off x="3004437" y="1039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53</xdr:row>
      <xdr:rowOff>0</xdr:rowOff>
    </xdr:from>
    <xdr:to>
      <xdr:col>3</xdr:col>
      <xdr:colOff>23112</xdr:colOff>
      <xdr:row>53</xdr:row>
      <xdr:rowOff>188399</xdr:rowOff>
    </xdr:to>
    <xdr:cxnSp macro="">
      <xdr:nvCxnSpPr>
        <xdr:cNvPr id="92" name="Straight Connector 91"/>
        <xdr:cNvCxnSpPr/>
      </xdr:nvCxnSpPr>
      <xdr:spPr>
        <a:xfrm flipV="1">
          <a:off x="3004437" y="1039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53</xdr:row>
      <xdr:rowOff>179295</xdr:rowOff>
    </xdr:from>
    <xdr:to>
      <xdr:col>5</xdr:col>
      <xdr:colOff>11206</xdr:colOff>
      <xdr:row>53</xdr:row>
      <xdr:rowOff>179295</xdr:rowOff>
    </xdr:to>
    <xdr:cxnSp macro="">
      <xdr:nvCxnSpPr>
        <xdr:cNvPr id="93" name="Straight Connector 92"/>
        <xdr:cNvCxnSpPr/>
      </xdr:nvCxnSpPr>
      <xdr:spPr>
        <a:xfrm>
          <a:off x="2981325" y="10571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53</xdr:row>
      <xdr:rowOff>0</xdr:rowOff>
    </xdr:from>
    <xdr:to>
      <xdr:col>3</xdr:col>
      <xdr:colOff>23112</xdr:colOff>
      <xdr:row>53</xdr:row>
      <xdr:rowOff>188399</xdr:rowOff>
    </xdr:to>
    <xdr:cxnSp macro="">
      <xdr:nvCxnSpPr>
        <xdr:cNvPr id="94" name="Straight Connector 93"/>
        <xdr:cNvCxnSpPr/>
      </xdr:nvCxnSpPr>
      <xdr:spPr>
        <a:xfrm flipV="1">
          <a:off x="3004437" y="1039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53</xdr:row>
      <xdr:rowOff>0</xdr:rowOff>
    </xdr:from>
    <xdr:to>
      <xdr:col>4</xdr:col>
      <xdr:colOff>601265</xdr:colOff>
      <xdr:row>53</xdr:row>
      <xdr:rowOff>187699</xdr:rowOff>
    </xdr:to>
    <xdr:cxnSp macro="">
      <xdr:nvCxnSpPr>
        <xdr:cNvPr id="95" name="Straight Connector 94"/>
        <xdr:cNvCxnSpPr/>
      </xdr:nvCxnSpPr>
      <xdr:spPr>
        <a:xfrm flipV="1">
          <a:off x="3992165" y="1039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53</xdr:row>
      <xdr:rowOff>0</xdr:rowOff>
    </xdr:from>
    <xdr:to>
      <xdr:col>3</xdr:col>
      <xdr:colOff>23112</xdr:colOff>
      <xdr:row>53</xdr:row>
      <xdr:rowOff>188399</xdr:rowOff>
    </xdr:to>
    <xdr:cxnSp macro="">
      <xdr:nvCxnSpPr>
        <xdr:cNvPr id="96" name="Straight Connector 95"/>
        <xdr:cNvCxnSpPr/>
      </xdr:nvCxnSpPr>
      <xdr:spPr>
        <a:xfrm flipV="1">
          <a:off x="3004437" y="1039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53</xdr:row>
      <xdr:rowOff>0</xdr:rowOff>
    </xdr:from>
    <xdr:to>
      <xdr:col>4</xdr:col>
      <xdr:colOff>601265</xdr:colOff>
      <xdr:row>53</xdr:row>
      <xdr:rowOff>187699</xdr:rowOff>
    </xdr:to>
    <xdr:cxnSp macro="">
      <xdr:nvCxnSpPr>
        <xdr:cNvPr id="97" name="Straight Connector 96"/>
        <xdr:cNvCxnSpPr/>
      </xdr:nvCxnSpPr>
      <xdr:spPr>
        <a:xfrm flipV="1">
          <a:off x="3992165" y="1039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53</xdr:row>
      <xdr:rowOff>0</xdr:rowOff>
    </xdr:from>
    <xdr:to>
      <xdr:col>3</xdr:col>
      <xdr:colOff>23112</xdr:colOff>
      <xdr:row>53</xdr:row>
      <xdr:rowOff>188399</xdr:rowOff>
    </xdr:to>
    <xdr:cxnSp macro="">
      <xdr:nvCxnSpPr>
        <xdr:cNvPr id="98" name="Straight Connector 97"/>
        <xdr:cNvCxnSpPr/>
      </xdr:nvCxnSpPr>
      <xdr:spPr>
        <a:xfrm flipV="1">
          <a:off x="3004437" y="1039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53</xdr:row>
      <xdr:rowOff>0</xdr:rowOff>
    </xdr:from>
    <xdr:to>
      <xdr:col>4</xdr:col>
      <xdr:colOff>601265</xdr:colOff>
      <xdr:row>53</xdr:row>
      <xdr:rowOff>187699</xdr:rowOff>
    </xdr:to>
    <xdr:cxnSp macro="">
      <xdr:nvCxnSpPr>
        <xdr:cNvPr id="99" name="Straight Connector 98"/>
        <xdr:cNvCxnSpPr/>
      </xdr:nvCxnSpPr>
      <xdr:spPr>
        <a:xfrm flipV="1">
          <a:off x="3992165" y="1039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133</xdr:row>
      <xdr:rowOff>179295</xdr:rowOff>
    </xdr:from>
    <xdr:to>
      <xdr:col>5</xdr:col>
      <xdr:colOff>11206</xdr:colOff>
      <xdr:row>133</xdr:row>
      <xdr:rowOff>179295</xdr:rowOff>
    </xdr:to>
    <xdr:cxnSp macro="">
      <xdr:nvCxnSpPr>
        <xdr:cNvPr id="100" name="Straight Connector 99"/>
        <xdr:cNvCxnSpPr/>
      </xdr:nvCxnSpPr>
      <xdr:spPr>
        <a:xfrm>
          <a:off x="2981325" y="25811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133</xdr:row>
      <xdr:rowOff>0</xdr:rowOff>
    </xdr:from>
    <xdr:to>
      <xdr:col>3</xdr:col>
      <xdr:colOff>23112</xdr:colOff>
      <xdr:row>133</xdr:row>
      <xdr:rowOff>188399</xdr:rowOff>
    </xdr:to>
    <xdr:cxnSp macro="">
      <xdr:nvCxnSpPr>
        <xdr:cNvPr id="101" name="Straight Connector 100"/>
        <xdr:cNvCxnSpPr/>
      </xdr:nvCxnSpPr>
      <xdr:spPr>
        <a:xfrm flipV="1">
          <a:off x="3004437" y="2563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133</xdr:row>
      <xdr:rowOff>0</xdr:rowOff>
    </xdr:from>
    <xdr:to>
      <xdr:col>4</xdr:col>
      <xdr:colOff>601265</xdr:colOff>
      <xdr:row>133</xdr:row>
      <xdr:rowOff>187699</xdr:rowOff>
    </xdr:to>
    <xdr:cxnSp macro="">
      <xdr:nvCxnSpPr>
        <xdr:cNvPr id="102" name="Straight Connector 101"/>
        <xdr:cNvCxnSpPr/>
      </xdr:nvCxnSpPr>
      <xdr:spPr>
        <a:xfrm flipV="1">
          <a:off x="3992165" y="2563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133</xdr:row>
      <xdr:rowOff>0</xdr:rowOff>
    </xdr:from>
    <xdr:to>
      <xdr:col>4</xdr:col>
      <xdr:colOff>601265</xdr:colOff>
      <xdr:row>133</xdr:row>
      <xdr:rowOff>187699</xdr:rowOff>
    </xdr:to>
    <xdr:cxnSp macro="">
      <xdr:nvCxnSpPr>
        <xdr:cNvPr id="103" name="Straight Connector 102"/>
        <xdr:cNvCxnSpPr/>
      </xdr:nvCxnSpPr>
      <xdr:spPr>
        <a:xfrm flipV="1">
          <a:off x="3992165" y="2563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133</xdr:row>
      <xdr:rowOff>0</xdr:rowOff>
    </xdr:from>
    <xdr:to>
      <xdr:col>4</xdr:col>
      <xdr:colOff>601265</xdr:colOff>
      <xdr:row>133</xdr:row>
      <xdr:rowOff>187699</xdr:rowOff>
    </xdr:to>
    <xdr:cxnSp macro="">
      <xdr:nvCxnSpPr>
        <xdr:cNvPr id="104" name="Straight Connector 103"/>
        <xdr:cNvCxnSpPr/>
      </xdr:nvCxnSpPr>
      <xdr:spPr>
        <a:xfrm flipV="1">
          <a:off x="3992165" y="2563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135</xdr:row>
      <xdr:rowOff>179295</xdr:rowOff>
    </xdr:from>
    <xdr:to>
      <xdr:col>5</xdr:col>
      <xdr:colOff>11206</xdr:colOff>
      <xdr:row>135</xdr:row>
      <xdr:rowOff>179295</xdr:rowOff>
    </xdr:to>
    <xdr:cxnSp macro="">
      <xdr:nvCxnSpPr>
        <xdr:cNvPr id="105" name="Straight Connector 104"/>
        <xdr:cNvCxnSpPr/>
      </xdr:nvCxnSpPr>
      <xdr:spPr>
        <a:xfrm>
          <a:off x="2981325" y="26192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135</xdr:row>
      <xdr:rowOff>0</xdr:rowOff>
    </xdr:from>
    <xdr:to>
      <xdr:col>3</xdr:col>
      <xdr:colOff>23112</xdr:colOff>
      <xdr:row>135</xdr:row>
      <xdr:rowOff>188399</xdr:rowOff>
    </xdr:to>
    <xdr:cxnSp macro="">
      <xdr:nvCxnSpPr>
        <xdr:cNvPr id="106" name="Straight Connector 105"/>
        <xdr:cNvCxnSpPr/>
      </xdr:nvCxnSpPr>
      <xdr:spPr>
        <a:xfrm flipV="1">
          <a:off x="3004437" y="26012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135</xdr:row>
      <xdr:rowOff>0</xdr:rowOff>
    </xdr:from>
    <xdr:to>
      <xdr:col>4</xdr:col>
      <xdr:colOff>601265</xdr:colOff>
      <xdr:row>135</xdr:row>
      <xdr:rowOff>187699</xdr:rowOff>
    </xdr:to>
    <xdr:cxnSp macro="">
      <xdr:nvCxnSpPr>
        <xdr:cNvPr id="107" name="Straight Connector 106"/>
        <xdr:cNvCxnSpPr/>
      </xdr:nvCxnSpPr>
      <xdr:spPr>
        <a:xfrm flipV="1">
          <a:off x="3992165" y="26012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135</xdr:row>
      <xdr:rowOff>0</xdr:rowOff>
    </xdr:from>
    <xdr:to>
      <xdr:col>4</xdr:col>
      <xdr:colOff>601265</xdr:colOff>
      <xdr:row>135</xdr:row>
      <xdr:rowOff>187699</xdr:rowOff>
    </xdr:to>
    <xdr:cxnSp macro="">
      <xdr:nvCxnSpPr>
        <xdr:cNvPr id="108" name="Straight Connector 107"/>
        <xdr:cNvCxnSpPr/>
      </xdr:nvCxnSpPr>
      <xdr:spPr>
        <a:xfrm flipV="1">
          <a:off x="3992165" y="26012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135</xdr:row>
      <xdr:rowOff>0</xdr:rowOff>
    </xdr:from>
    <xdr:to>
      <xdr:col>4</xdr:col>
      <xdr:colOff>601265</xdr:colOff>
      <xdr:row>135</xdr:row>
      <xdr:rowOff>187699</xdr:rowOff>
    </xdr:to>
    <xdr:cxnSp macro="">
      <xdr:nvCxnSpPr>
        <xdr:cNvPr id="109" name="Straight Connector 108"/>
        <xdr:cNvCxnSpPr/>
      </xdr:nvCxnSpPr>
      <xdr:spPr>
        <a:xfrm flipV="1">
          <a:off x="3992165" y="26012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137</xdr:row>
      <xdr:rowOff>179295</xdr:rowOff>
    </xdr:from>
    <xdr:to>
      <xdr:col>5</xdr:col>
      <xdr:colOff>11206</xdr:colOff>
      <xdr:row>137</xdr:row>
      <xdr:rowOff>179295</xdr:rowOff>
    </xdr:to>
    <xdr:cxnSp macro="">
      <xdr:nvCxnSpPr>
        <xdr:cNvPr id="110" name="Straight Connector 109"/>
        <xdr:cNvCxnSpPr/>
      </xdr:nvCxnSpPr>
      <xdr:spPr>
        <a:xfrm>
          <a:off x="2981325" y="26573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137</xdr:row>
      <xdr:rowOff>0</xdr:rowOff>
    </xdr:from>
    <xdr:to>
      <xdr:col>3</xdr:col>
      <xdr:colOff>23112</xdr:colOff>
      <xdr:row>137</xdr:row>
      <xdr:rowOff>188399</xdr:rowOff>
    </xdr:to>
    <xdr:cxnSp macro="">
      <xdr:nvCxnSpPr>
        <xdr:cNvPr id="111" name="Straight Connector 110"/>
        <xdr:cNvCxnSpPr/>
      </xdr:nvCxnSpPr>
      <xdr:spPr>
        <a:xfrm flipV="1">
          <a:off x="3004437" y="2639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137</xdr:row>
      <xdr:rowOff>0</xdr:rowOff>
    </xdr:from>
    <xdr:to>
      <xdr:col>4</xdr:col>
      <xdr:colOff>601265</xdr:colOff>
      <xdr:row>137</xdr:row>
      <xdr:rowOff>187699</xdr:rowOff>
    </xdr:to>
    <xdr:cxnSp macro="">
      <xdr:nvCxnSpPr>
        <xdr:cNvPr id="112" name="Straight Connector 111"/>
        <xdr:cNvCxnSpPr/>
      </xdr:nvCxnSpPr>
      <xdr:spPr>
        <a:xfrm flipV="1">
          <a:off x="3992165" y="2639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137</xdr:row>
      <xdr:rowOff>0</xdr:rowOff>
    </xdr:from>
    <xdr:to>
      <xdr:col>4</xdr:col>
      <xdr:colOff>601265</xdr:colOff>
      <xdr:row>137</xdr:row>
      <xdr:rowOff>187699</xdr:rowOff>
    </xdr:to>
    <xdr:cxnSp macro="">
      <xdr:nvCxnSpPr>
        <xdr:cNvPr id="113" name="Straight Connector 112"/>
        <xdr:cNvCxnSpPr/>
      </xdr:nvCxnSpPr>
      <xdr:spPr>
        <a:xfrm flipV="1">
          <a:off x="3992165" y="2639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137</xdr:row>
      <xdr:rowOff>0</xdr:rowOff>
    </xdr:from>
    <xdr:to>
      <xdr:col>4</xdr:col>
      <xdr:colOff>601265</xdr:colOff>
      <xdr:row>137</xdr:row>
      <xdr:rowOff>187699</xdr:rowOff>
    </xdr:to>
    <xdr:cxnSp macro="">
      <xdr:nvCxnSpPr>
        <xdr:cNvPr id="114" name="Straight Connector 113"/>
        <xdr:cNvCxnSpPr/>
      </xdr:nvCxnSpPr>
      <xdr:spPr>
        <a:xfrm flipV="1">
          <a:off x="3992165" y="2639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139</xdr:row>
      <xdr:rowOff>179295</xdr:rowOff>
    </xdr:from>
    <xdr:to>
      <xdr:col>5</xdr:col>
      <xdr:colOff>11206</xdr:colOff>
      <xdr:row>139</xdr:row>
      <xdr:rowOff>179295</xdr:rowOff>
    </xdr:to>
    <xdr:cxnSp macro="">
      <xdr:nvCxnSpPr>
        <xdr:cNvPr id="115" name="Straight Connector 114"/>
        <xdr:cNvCxnSpPr/>
      </xdr:nvCxnSpPr>
      <xdr:spPr>
        <a:xfrm>
          <a:off x="2981325" y="26954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139</xdr:row>
      <xdr:rowOff>0</xdr:rowOff>
    </xdr:from>
    <xdr:to>
      <xdr:col>3</xdr:col>
      <xdr:colOff>23112</xdr:colOff>
      <xdr:row>139</xdr:row>
      <xdr:rowOff>188399</xdr:rowOff>
    </xdr:to>
    <xdr:cxnSp macro="">
      <xdr:nvCxnSpPr>
        <xdr:cNvPr id="116" name="Straight Connector 115"/>
        <xdr:cNvCxnSpPr/>
      </xdr:nvCxnSpPr>
      <xdr:spPr>
        <a:xfrm flipV="1">
          <a:off x="3004437" y="26774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139</xdr:row>
      <xdr:rowOff>0</xdr:rowOff>
    </xdr:from>
    <xdr:to>
      <xdr:col>4</xdr:col>
      <xdr:colOff>601265</xdr:colOff>
      <xdr:row>139</xdr:row>
      <xdr:rowOff>187699</xdr:rowOff>
    </xdr:to>
    <xdr:cxnSp macro="">
      <xdr:nvCxnSpPr>
        <xdr:cNvPr id="117" name="Straight Connector 116"/>
        <xdr:cNvCxnSpPr/>
      </xdr:nvCxnSpPr>
      <xdr:spPr>
        <a:xfrm flipV="1">
          <a:off x="3992165" y="26774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139</xdr:row>
      <xdr:rowOff>0</xdr:rowOff>
    </xdr:from>
    <xdr:to>
      <xdr:col>4</xdr:col>
      <xdr:colOff>601265</xdr:colOff>
      <xdr:row>139</xdr:row>
      <xdr:rowOff>187699</xdr:rowOff>
    </xdr:to>
    <xdr:cxnSp macro="">
      <xdr:nvCxnSpPr>
        <xdr:cNvPr id="118" name="Straight Connector 117"/>
        <xdr:cNvCxnSpPr/>
      </xdr:nvCxnSpPr>
      <xdr:spPr>
        <a:xfrm flipV="1">
          <a:off x="3992165" y="26774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139</xdr:row>
      <xdr:rowOff>0</xdr:rowOff>
    </xdr:from>
    <xdr:to>
      <xdr:col>4</xdr:col>
      <xdr:colOff>601265</xdr:colOff>
      <xdr:row>139</xdr:row>
      <xdr:rowOff>187699</xdr:rowOff>
    </xdr:to>
    <xdr:cxnSp macro="">
      <xdr:nvCxnSpPr>
        <xdr:cNvPr id="119" name="Straight Connector 118"/>
        <xdr:cNvCxnSpPr/>
      </xdr:nvCxnSpPr>
      <xdr:spPr>
        <a:xfrm flipV="1">
          <a:off x="3992165" y="26774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143</xdr:row>
      <xdr:rowOff>179295</xdr:rowOff>
    </xdr:from>
    <xdr:to>
      <xdr:col>5</xdr:col>
      <xdr:colOff>11206</xdr:colOff>
      <xdr:row>143</xdr:row>
      <xdr:rowOff>179295</xdr:rowOff>
    </xdr:to>
    <xdr:cxnSp macro="">
      <xdr:nvCxnSpPr>
        <xdr:cNvPr id="120" name="Straight Connector 119"/>
        <xdr:cNvCxnSpPr/>
      </xdr:nvCxnSpPr>
      <xdr:spPr>
        <a:xfrm>
          <a:off x="2981325" y="27716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143</xdr:row>
      <xdr:rowOff>0</xdr:rowOff>
    </xdr:from>
    <xdr:to>
      <xdr:col>3</xdr:col>
      <xdr:colOff>23112</xdr:colOff>
      <xdr:row>143</xdr:row>
      <xdr:rowOff>188399</xdr:rowOff>
    </xdr:to>
    <xdr:cxnSp macro="">
      <xdr:nvCxnSpPr>
        <xdr:cNvPr id="121" name="Straight Connector 120"/>
        <xdr:cNvCxnSpPr/>
      </xdr:nvCxnSpPr>
      <xdr:spPr>
        <a:xfrm flipV="1">
          <a:off x="3004437" y="27536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143</xdr:row>
      <xdr:rowOff>0</xdr:rowOff>
    </xdr:from>
    <xdr:to>
      <xdr:col>4</xdr:col>
      <xdr:colOff>601265</xdr:colOff>
      <xdr:row>143</xdr:row>
      <xdr:rowOff>187699</xdr:rowOff>
    </xdr:to>
    <xdr:cxnSp macro="">
      <xdr:nvCxnSpPr>
        <xdr:cNvPr id="122" name="Straight Connector 121"/>
        <xdr:cNvCxnSpPr/>
      </xdr:nvCxnSpPr>
      <xdr:spPr>
        <a:xfrm flipV="1">
          <a:off x="3992165" y="27536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143</xdr:row>
      <xdr:rowOff>0</xdr:rowOff>
    </xdr:from>
    <xdr:to>
      <xdr:col>4</xdr:col>
      <xdr:colOff>601265</xdr:colOff>
      <xdr:row>143</xdr:row>
      <xdr:rowOff>187699</xdr:rowOff>
    </xdr:to>
    <xdr:cxnSp macro="">
      <xdr:nvCxnSpPr>
        <xdr:cNvPr id="123" name="Straight Connector 122"/>
        <xdr:cNvCxnSpPr/>
      </xdr:nvCxnSpPr>
      <xdr:spPr>
        <a:xfrm flipV="1">
          <a:off x="3992165" y="27536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143</xdr:row>
      <xdr:rowOff>0</xdr:rowOff>
    </xdr:from>
    <xdr:to>
      <xdr:col>4</xdr:col>
      <xdr:colOff>601265</xdr:colOff>
      <xdr:row>143</xdr:row>
      <xdr:rowOff>187699</xdr:rowOff>
    </xdr:to>
    <xdr:cxnSp macro="">
      <xdr:nvCxnSpPr>
        <xdr:cNvPr id="124" name="Straight Connector 123"/>
        <xdr:cNvCxnSpPr/>
      </xdr:nvCxnSpPr>
      <xdr:spPr>
        <a:xfrm flipV="1">
          <a:off x="3992165" y="27536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141</xdr:row>
      <xdr:rowOff>179295</xdr:rowOff>
    </xdr:from>
    <xdr:to>
      <xdr:col>5</xdr:col>
      <xdr:colOff>11206</xdr:colOff>
      <xdr:row>141</xdr:row>
      <xdr:rowOff>179295</xdr:rowOff>
    </xdr:to>
    <xdr:cxnSp macro="">
      <xdr:nvCxnSpPr>
        <xdr:cNvPr id="125" name="Straight Connector 124"/>
        <xdr:cNvCxnSpPr/>
      </xdr:nvCxnSpPr>
      <xdr:spPr>
        <a:xfrm>
          <a:off x="2981325" y="27335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141</xdr:row>
      <xdr:rowOff>0</xdr:rowOff>
    </xdr:from>
    <xdr:to>
      <xdr:col>3</xdr:col>
      <xdr:colOff>23112</xdr:colOff>
      <xdr:row>141</xdr:row>
      <xdr:rowOff>188399</xdr:rowOff>
    </xdr:to>
    <xdr:cxnSp macro="">
      <xdr:nvCxnSpPr>
        <xdr:cNvPr id="126" name="Straight Connector 125"/>
        <xdr:cNvCxnSpPr/>
      </xdr:nvCxnSpPr>
      <xdr:spPr>
        <a:xfrm flipV="1">
          <a:off x="3004437" y="27155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141</xdr:row>
      <xdr:rowOff>0</xdr:rowOff>
    </xdr:from>
    <xdr:to>
      <xdr:col>4</xdr:col>
      <xdr:colOff>601265</xdr:colOff>
      <xdr:row>141</xdr:row>
      <xdr:rowOff>187699</xdr:rowOff>
    </xdr:to>
    <xdr:cxnSp macro="">
      <xdr:nvCxnSpPr>
        <xdr:cNvPr id="127" name="Straight Connector 126"/>
        <xdr:cNvCxnSpPr/>
      </xdr:nvCxnSpPr>
      <xdr:spPr>
        <a:xfrm flipV="1">
          <a:off x="3992165" y="27155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141</xdr:row>
      <xdr:rowOff>0</xdr:rowOff>
    </xdr:from>
    <xdr:to>
      <xdr:col>4</xdr:col>
      <xdr:colOff>601265</xdr:colOff>
      <xdr:row>141</xdr:row>
      <xdr:rowOff>187699</xdr:rowOff>
    </xdr:to>
    <xdr:cxnSp macro="">
      <xdr:nvCxnSpPr>
        <xdr:cNvPr id="128" name="Straight Connector 127"/>
        <xdr:cNvCxnSpPr/>
      </xdr:nvCxnSpPr>
      <xdr:spPr>
        <a:xfrm flipV="1">
          <a:off x="3992165" y="27155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141</xdr:row>
      <xdr:rowOff>0</xdr:rowOff>
    </xdr:from>
    <xdr:to>
      <xdr:col>4</xdr:col>
      <xdr:colOff>601265</xdr:colOff>
      <xdr:row>141</xdr:row>
      <xdr:rowOff>187699</xdr:rowOff>
    </xdr:to>
    <xdr:cxnSp macro="">
      <xdr:nvCxnSpPr>
        <xdr:cNvPr id="129" name="Straight Connector 128"/>
        <xdr:cNvCxnSpPr/>
      </xdr:nvCxnSpPr>
      <xdr:spPr>
        <a:xfrm flipV="1">
          <a:off x="3992165" y="27155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145</xdr:row>
      <xdr:rowOff>179295</xdr:rowOff>
    </xdr:from>
    <xdr:to>
      <xdr:col>5</xdr:col>
      <xdr:colOff>11206</xdr:colOff>
      <xdr:row>145</xdr:row>
      <xdr:rowOff>179295</xdr:rowOff>
    </xdr:to>
    <xdr:cxnSp macro="">
      <xdr:nvCxnSpPr>
        <xdr:cNvPr id="130" name="Straight Connector 129"/>
        <xdr:cNvCxnSpPr/>
      </xdr:nvCxnSpPr>
      <xdr:spPr>
        <a:xfrm>
          <a:off x="2981325" y="28097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145</xdr:row>
      <xdr:rowOff>0</xdr:rowOff>
    </xdr:from>
    <xdr:to>
      <xdr:col>3</xdr:col>
      <xdr:colOff>23112</xdr:colOff>
      <xdr:row>145</xdr:row>
      <xdr:rowOff>188399</xdr:rowOff>
    </xdr:to>
    <xdr:cxnSp macro="">
      <xdr:nvCxnSpPr>
        <xdr:cNvPr id="131" name="Straight Connector 130"/>
        <xdr:cNvCxnSpPr/>
      </xdr:nvCxnSpPr>
      <xdr:spPr>
        <a:xfrm flipV="1">
          <a:off x="3004437" y="27917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145</xdr:row>
      <xdr:rowOff>0</xdr:rowOff>
    </xdr:from>
    <xdr:to>
      <xdr:col>4</xdr:col>
      <xdr:colOff>601265</xdr:colOff>
      <xdr:row>145</xdr:row>
      <xdr:rowOff>187699</xdr:rowOff>
    </xdr:to>
    <xdr:cxnSp macro="">
      <xdr:nvCxnSpPr>
        <xdr:cNvPr id="132" name="Straight Connector 131"/>
        <xdr:cNvCxnSpPr/>
      </xdr:nvCxnSpPr>
      <xdr:spPr>
        <a:xfrm flipV="1">
          <a:off x="3992165" y="27917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145</xdr:row>
      <xdr:rowOff>0</xdr:rowOff>
    </xdr:from>
    <xdr:to>
      <xdr:col>4</xdr:col>
      <xdr:colOff>601265</xdr:colOff>
      <xdr:row>145</xdr:row>
      <xdr:rowOff>187699</xdr:rowOff>
    </xdr:to>
    <xdr:cxnSp macro="">
      <xdr:nvCxnSpPr>
        <xdr:cNvPr id="133" name="Straight Connector 132"/>
        <xdr:cNvCxnSpPr/>
      </xdr:nvCxnSpPr>
      <xdr:spPr>
        <a:xfrm flipV="1">
          <a:off x="3992165" y="27917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145</xdr:row>
      <xdr:rowOff>0</xdr:rowOff>
    </xdr:from>
    <xdr:to>
      <xdr:col>4</xdr:col>
      <xdr:colOff>601265</xdr:colOff>
      <xdr:row>145</xdr:row>
      <xdr:rowOff>187699</xdr:rowOff>
    </xdr:to>
    <xdr:cxnSp macro="">
      <xdr:nvCxnSpPr>
        <xdr:cNvPr id="134" name="Straight Connector 133"/>
        <xdr:cNvCxnSpPr/>
      </xdr:nvCxnSpPr>
      <xdr:spPr>
        <a:xfrm flipV="1">
          <a:off x="3992165" y="27917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147</xdr:row>
      <xdr:rowOff>179295</xdr:rowOff>
    </xdr:from>
    <xdr:to>
      <xdr:col>5</xdr:col>
      <xdr:colOff>11206</xdr:colOff>
      <xdr:row>147</xdr:row>
      <xdr:rowOff>179295</xdr:rowOff>
    </xdr:to>
    <xdr:cxnSp macro="">
      <xdr:nvCxnSpPr>
        <xdr:cNvPr id="135" name="Straight Connector 134"/>
        <xdr:cNvCxnSpPr/>
      </xdr:nvCxnSpPr>
      <xdr:spPr>
        <a:xfrm>
          <a:off x="2981325" y="28478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147</xdr:row>
      <xdr:rowOff>0</xdr:rowOff>
    </xdr:from>
    <xdr:to>
      <xdr:col>3</xdr:col>
      <xdr:colOff>23112</xdr:colOff>
      <xdr:row>147</xdr:row>
      <xdr:rowOff>188399</xdr:rowOff>
    </xdr:to>
    <xdr:cxnSp macro="">
      <xdr:nvCxnSpPr>
        <xdr:cNvPr id="136" name="Straight Connector 135"/>
        <xdr:cNvCxnSpPr/>
      </xdr:nvCxnSpPr>
      <xdr:spPr>
        <a:xfrm flipV="1">
          <a:off x="3004437" y="28298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147</xdr:row>
      <xdr:rowOff>0</xdr:rowOff>
    </xdr:from>
    <xdr:to>
      <xdr:col>4</xdr:col>
      <xdr:colOff>601265</xdr:colOff>
      <xdr:row>147</xdr:row>
      <xdr:rowOff>187699</xdr:rowOff>
    </xdr:to>
    <xdr:cxnSp macro="">
      <xdr:nvCxnSpPr>
        <xdr:cNvPr id="137" name="Straight Connector 136"/>
        <xdr:cNvCxnSpPr/>
      </xdr:nvCxnSpPr>
      <xdr:spPr>
        <a:xfrm flipV="1">
          <a:off x="3992165" y="28298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147</xdr:row>
      <xdr:rowOff>0</xdr:rowOff>
    </xdr:from>
    <xdr:to>
      <xdr:col>4</xdr:col>
      <xdr:colOff>601265</xdr:colOff>
      <xdr:row>147</xdr:row>
      <xdr:rowOff>187699</xdr:rowOff>
    </xdr:to>
    <xdr:cxnSp macro="">
      <xdr:nvCxnSpPr>
        <xdr:cNvPr id="138" name="Straight Connector 137"/>
        <xdr:cNvCxnSpPr/>
      </xdr:nvCxnSpPr>
      <xdr:spPr>
        <a:xfrm flipV="1">
          <a:off x="3992165" y="28298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147</xdr:row>
      <xdr:rowOff>0</xdr:rowOff>
    </xdr:from>
    <xdr:to>
      <xdr:col>4</xdr:col>
      <xdr:colOff>601265</xdr:colOff>
      <xdr:row>147</xdr:row>
      <xdr:rowOff>187699</xdr:rowOff>
    </xdr:to>
    <xdr:cxnSp macro="">
      <xdr:nvCxnSpPr>
        <xdr:cNvPr id="139" name="Straight Connector 138"/>
        <xdr:cNvCxnSpPr/>
      </xdr:nvCxnSpPr>
      <xdr:spPr>
        <a:xfrm flipV="1">
          <a:off x="3992165" y="28298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149</xdr:row>
      <xdr:rowOff>179295</xdr:rowOff>
    </xdr:from>
    <xdr:to>
      <xdr:col>5</xdr:col>
      <xdr:colOff>11206</xdr:colOff>
      <xdr:row>149</xdr:row>
      <xdr:rowOff>179295</xdr:rowOff>
    </xdr:to>
    <xdr:cxnSp macro="">
      <xdr:nvCxnSpPr>
        <xdr:cNvPr id="140" name="Straight Connector 139"/>
        <xdr:cNvCxnSpPr/>
      </xdr:nvCxnSpPr>
      <xdr:spPr>
        <a:xfrm>
          <a:off x="2981325" y="28859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149</xdr:row>
      <xdr:rowOff>0</xdr:rowOff>
    </xdr:from>
    <xdr:to>
      <xdr:col>3</xdr:col>
      <xdr:colOff>23112</xdr:colOff>
      <xdr:row>149</xdr:row>
      <xdr:rowOff>188399</xdr:rowOff>
    </xdr:to>
    <xdr:cxnSp macro="">
      <xdr:nvCxnSpPr>
        <xdr:cNvPr id="141" name="Straight Connector 140"/>
        <xdr:cNvCxnSpPr/>
      </xdr:nvCxnSpPr>
      <xdr:spPr>
        <a:xfrm flipV="1">
          <a:off x="3004437" y="28679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149</xdr:row>
      <xdr:rowOff>0</xdr:rowOff>
    </xdr:from>
    <xdr:to>
      <xdr:col>4</xdr:col>
      <xdr:colOff>601265</xdr:colOff>
      <xdr:row>149</xdr:row>
      <xdr:rowOff>187699</xdr:rowOff>
    </xdr:to>
    <xdr:cxnSp macro="">
      <xdr:nvCxnSpPr>
        <xdr:cNvPr id="142" name="Straight Connector 141"/>
        <xdr:cNvCxnSpPr/>
      </xdr:nvCxnSpPr>
      <xdr:spPr>
        <a:xfrm flipV="1">
          <a:off x="3992165" y="28679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149</xdr:row>
      <xdr:rowOff>0</xdr:rowOff>
    </xdr:from>
    <xdr:to>
      <xdr:col>4</xdr:col>
      <xdr:colOff>601265</xdr:colOff>
      <xdr:row>149</xdr:row>
      <xdr:rowOff>187699</xdr:rowOff>
    </xdr:to>
    <xdr:cxnSp macro="">
      <xdr:nvCxnSpPr>
        <xdr:cNvPr id="143" name="Straight Connector 142"/>
        <xdr:cNvCxnSpPr/>
      </xdr:nvCxnSpPr>
      <xdr:spPr>
        <a:xfrm flipV="1">
          <a:off x="3992165" y="28679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149</xdr:row>
      <xdr:rowOff>0</xdr:rowOff>
    </xdr:from>
    <xdr:to>
      <xdr:col>4</xdr:col>
      <xdr:colOff>601265</xdr:colOff>
      <xdr:row>149</xdr:row>
      <xdr:rowOff>187699</xdr:rowOff>
    </xdr:to>
    <xdr:cxnSp macro="">
      <xdr:nvCxnSpPr>
        <xdr:cNvPr id="144" name="Straight Connector 143"/>
        <xdr:cNvCxnSpPr/>
      </xdr:nvCxnSpPr>
      <xdr:spPr>
        <a:xfrm flipV="1">
          <a:off x="3992165" y="28679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151</xdr:row>
      <xdr:rowOff>179295</xdr:rowOff>
    </xdr:from>
    <xdr:to>
      <xdr:col>5</xdr:col>
      <xdr:colOff>11206</xdr:colOff>
      <xdr:row>151</xdr:row>
      <xdr:rowOff>179295</xdr:rowOff>
    </xdr:to>
    <xdr:cxnSp macro="">
      <xdr:nvCxnSpPr>
        <xdr:cNvPr id="145" name="Straight Connector 144"/>
        <xdr:cNvCxnSpPr/>
      </xdr:nvCxnSpPr>
      <xdr:spPr>
        <a:xfrm>
          <a:off x="2981325" y="29240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256761</xdr:colOff>
      <xdr:row>160</xdr:row>
      <xdr:rowOff>132522</xdr:rowOff>
    </xdr:from>
    <xdr:to>
      <xdr:col>5</xdr:col>
      <xdr:colOff>33131</xdr:colOff>
      <xdr:row>161</xdr:row>
      <xdr:rowOff>82826</xdr:rowOff>
    </xdr:to>
    <xdr:cxnSp macro="">
      <xdr:nvCxnSpPr>
        <xdr:cNvPr id="146" name="Straight Connector 145"/>
        <xdr:cNvCxnSpPr/>
      </xdr:nvCxnSpPr>
      <xdr:spPr>
        <a:xfrm>
          <a:off x="3238086" y="30907797"/>
          <a:ext cx="786020" cy="14080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273332</xdr:colOff>
      <xdr:row>160</xdr:row>
      <xdr:rowOff>157370</xdr:rowOff>
    </xdr:from>
    <xdr:to>
      <xdr:col>3</xdr:col>
      <xdr:colOff>281610</xdr:colOff>
      <xdr:row>163</xdr:row>
      <xdr:rowOff>41415</xdr:rowOff>
    </xdr:to>
    <xdr:cxnSp macro="">
      <xdr:nvCxnSpPr>
        <xdr:cNvPr id="147" name="Straight Connector 146"/>
        <xdr:cNvCxnSpPr/>
      </xdr:nvCxnSpPr>
      <xdr:spPr>
        <a:xfrm rot="5400000" flipH="1" flipV="1">
          <a:off x="3031023" y="31156279"/>
          <a:ext cx="455545" cy="8278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8283</xdr:colOff>
      <xdr:row>161</xdr:row>
      <xdr:rowOff>107674</xdr:rowOff>
    </xdr:from>
    <xdr:to>
      <xdr:col>5</xdr:col>
      <xdr:colOff>16569</xdr:colOff>
      <xdr:row>164</xdr:row>
      <xdr:rowOff>3</xdr:rowOff>
    </xdr:to>
    <xdr:cxnSp macro="">
      <xdr:nvCxnSpPr>
        <xdr:cNvPr id="148" name="Straight Connector 147"/>
        <xdr:cNvCxnSpPr/>
      </xdr:nvCxnSpPr>
      <xdr:spPr>
        <a:xfrm rot="5400000" flipH="1" flipV="1">
          <a:off x="3771486" y="31301221"/>
          <a:ext cx="463829" cy="8286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8286</xdr:colOff>
      <xdr:row>162</xdr:row>
      <xdr:rowOff>149678</xdr:rowOff>
    </xdr:from>
    <xdr:to>
      <xdr:col>5</xdr:col>
      <xdr:colOff>421821</xdr:colOff>
      <xdr:row>163</xdr:row>
      <xdr:rowOff>173935</xdr:rowOff>
    </xdr:to>
    <xdr:cxnSp macro="">
      <xdr:nvCxnSpPr>
        <xdr:cNvPr id="149" name="Straight Connector 148"/>
        <xdr:cNvCxnSpPr/>
      </xdr:nvCxnSpPr>
      <xdr:spPr>
        <a:xfrm flipV="1">
          <a:off x="3999261" y="31305953"/>
          <a:ext cx="413535" cy="21475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408214</xdr:colOff>
      <xdr:row>163</xdr:row>
      <xdr:rowOff>16572</xdr:rowOff>
    </xdr:from>
    <xdr:to>
      <xdr:col>3</xdr:col>
      <xdr:colOff>281607</xdr:colOff>
      <xdr:row>163</xdr:row>
      <xdr:rowOff>149678</xdr:rowOff>
    </xdr:to>
    <xdr:cxnSp macro="">
      <xdr:nvCxnSpPr>
        <xdr:cNvPr id="150" name="Straight Connector 149"/>
        <xdr:cNvCxnSpPr/>
      </xdr:nvCxnSpPr>
      <xdr:spPr>
        <a:xfrm flipV="1">
          <a:off x="2884714" y="31363347"/>
          <a:ext cx="378218" cy="133106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168</xdr:row>
      <xdr:rowOff>74934</xdr:rowOff>
    </xdr:from>
    <xdr:to>
      <xdr:col>5</xdr:col>
      <xdr:colOff>14130</xdr:colOff>
      <xdr:row>168</xdr:row>
      <xdr:rowOff>74934</xdr:rowOff>
    </xdr:to>
    <xdr:cxnSp macro="">
      <xdr:nvCxnSpPr>
        <xdr:cNvPr id="151" name="Straight Connector 150"/>
        <xdr:cNvCxnSpPr/>
      </xdr:nvCxnSpPr>
      <xdr:spPr>
        <a:xfrm>
          <a:off x="2985223" y="32374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174</xdr:row>
      <xdr:rowOff>74935</xdr:rowOff>
    </xdr:from>
    <xdr:to>
      <xdr:col>5</xdr:col>
      <xdr:colOff>2924</xdr:colOff>
      <xdr:row>174</xdr:row>
      <xdr:rowOff>74935</xdr:rowOff>
    </xdr:to>
    <xdr:cxnSp macro="">
      <xdr:nvCxnSpPr>
        <xdr:cNvPr id="152" name="Straight Connector 151"/>
        <xdr:cNvCxnSpPr/>
      </xdr:nvCxnSpPr>
      <xdr:spPr>
        <a:xfrm>
          <a:off x="2973457" y="33517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171</xdr:row>
      <xdr:rowOff>86140</xdr:rowOff>
    </xdr:from>
    <xdr:to>
      <xdr:col>5</xdr:col>
      <xdr:colOff>14130</xdr:colOff>
      <xdr:row>171</xdr:row>
      <xdr:rowOff>86140</xdr:rowOff>
    </xdr:to>
    <xdr:cxnSp macro="">
      <xdr:nvCxnSpPr>
        <xdr:cNvPr id="153" name="Straight Connector 152"/>
        <xdr:cNvCxnSpPr/>
      </xdr:nvCxnSpPr>
      <xdr:spPr>
        <a:xfrm>
          <a:off x="2985223" y="329569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177</xdr:row>
      <xdr:rowOff>74935</xdr:rowOff>
    </xdr:from>
    <xdr:to>
      <xdr:col>5</xdr:col>
      <xdr:colOff>2924</xdr:colOff>
      <xdr:row>177</xdr:row>
      <xdr:rowOff>74935</xdr:rowOff>
    </xdr:to>
    <xdr:cxnSp macro="">
      <xdr:nvCxnSpPr>
        <xdr:cNvPr id="154" name="Straight Connector 153"/>
        <xdr:cNvCxnSpPr/>
      </xdr:nvCxnSpPr>
      <xdr:spPr>
        <a:xfrm>
          <a:off x="2973457" y="34088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180</xdr:row>
      <xdr:rowOff>74935</xdr:rowOff>
    </xdr:from>
    <xdr:to>
      <xdr:col>5</xdr:col>
      <xdr:colOff>2924</xdr:colOff>
      <xdr:row>180</xdr:row>
      <xdr:rowOff>74935</xdr:rowOff>
    </xdr:to>
    <xdr:cxnSp macro="">
      <xdr:nvCxnSpPr>
        <xdr:cNvPr id="155" name="Straight Connector 154"/>
        <xdr:cNvCxnSpPr/>
      </xdr:nvCxnSpPr>
      <xdr:spPr>
        <a:xfrm>
          <a:off x="2973457" y="34660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183</xdr:row>
      <xdr:rowOff>74935</xdr:rowOff>
    </xdr:from>
    <xdr:to>
      <xdr:col>5</xdr:col>
      <xdr:colOff>2924</xdr:colOff>
      <xdr:row>183</xdr:row>
      <xdr:rowOff>74935</xdr:rowOff>
    </xdr:to>
    <xdr:cxnSp macro="">
      <xdr:nvCxnSpPr>
        <xdr:cNvPr id="156" name="Straight Connector 155"/>
        <xdr:cNvCxnSpPr/>
      </xdr:nvCxnSpPr>
      <xdr:spPr>
        <a:xfrm>
          <a:off x="2973457" y="35231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186</xdr:row>
      <xdr:rowOff>74935</xdr:rowOff>
    </xdr:from>
    <xdr:to>
      <xdr:col>5</xdr:col>
      <xdr:colOff>2924</xdr:colOff>
      <xdr:row>186</xdr:row>
      <xdr:rowOff>74935</xdr:rowOff>
    </xdr:to>
    <xdr:cxnSp macro="">
      <xdr:nvCxnSpPr>
        <xdr:cNvPr id="157" name="Straight Connector 156"/>
        <xdr:cNvCxnSpPr/>
      </xdr:nvCxnSpPr>
      <xdr:spPr>
        <a:xfrm>
          <a:off x="2973457" y="35803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192</xdr:row>
      <xdr:rowOff>74935</xdr:rowOff>
    </xdr:from>
    <xdr:to>
      <xdr:col>5</xdr:col>
      <xdr:colOff>2924</xdr:colOff>
      <xdr:row>192</xdr:row>
      <xdr:rowOff>74935</xdr:rowOff>
    </xdr:to>
    <xdr:cxnSp macro="">
      <xdr:nvCxnSpPr>
        <xdr:cNvPr id="158" name="Straight Connector 157"/>
        <xdr:cNvCxnSpPr/>
      </xdr:nvCxnSpPr>
      <xdr:spPr>
        <a:xfrm>
          <a:off x="2973457" y="36946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189</xdr:row>
      <xdr:rowOff>74935</xdr:rowOff>
    </xdr:from>
    <xdr:to>
      <xdr:col>5</xdr:col>
      <xdr:colOff>2924</xdr:colOff>
      <xdr:row>189</xdr:row>
      <xdr:rowOff>74935</xdr:rowOff>
    </xdr:to>
    <xdr:cxnSp macro="">
      <xdr:nvCxnSpPr>
        <xdr:cNvPr id="159" name="Straight Connector 158"/>
        <xdr:cNvCxnSpPr/>
      </xdr:nvCxnSpPr>
      <xdr:spPr>
        <a:xfrm>
          <a:off x="2973457" y="36374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195</xdr:row>
      <xdr:rowOff>74935</xdr:rowOff>
    </xdr:from>
    <xdr:to>
      <xdr:col>5</xdr:col>
      <xdr:colOff>2924</xdr:colOff>
      <xdr:row>195</xdr:row>
      <xdr:rowOff>74935</xdr:rowOff>
    </xdr:to>
    <xdr:cxnSp macro="">
      <xdr:nvCxnSpPr>
        <xdr:cNvPr id="160" name="Straight Connector 159"/>
        <xdr:cNvCxnSpPr/>
      </xdr:nvCxnSpPr>
      <xdr:spPr>
        <a:xfrm>
          <a:off x="2973457" y="37517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198</xdr:row>
      <xdr:rowOff>74935</xdr:rowOff>
    </xdr:from>
    <xdr:to>
      <xdr:col>5</xdr:col>
      <xdr:colOff>2924</xdr:colOff>
      <xdr:row>198</xdr:row>
      <xdr:rowOff>74935</xdr:rowOff>
    </xdr:to>
    <xdr:cxnSp macro="">
      <xdr:nvCxnSpPr>
        <xdr:cNvPr id="161" name="Straight Connector 160"/>
        <xdr:cNvCxnSpPr/>
      </xdr:nvCxnSpPr>
      <xdr:spPr>
        <a:xfrm>
          <a:off x="2973457" y="38089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201</xdr:row>
      <xdr:rowOff>74935</xdr:rowOff>
    </xdr:from>
    <xdr:to>
      <xdr:col>5</xdr:col>
      <xdr:colOff>2924</xdr:colOff>
      <xdr:row>201</xdr:row>
      <xdr:rowOff>74935</xdr:rowOff>
    </xdr:to>
    <xdr:cxnSp macro="">
      <xdr:nvCxnSpPr>
        <xdr:cNvPr id="162" name="Straight Connector 161"/>
        <xdr:cNvCxnSpPr/>
      </xdr:nvCxnSpPr>
      <xdr:spPr>
        <a:xfrm>
          <a:off x="2973457" y="38660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204</xdr:row>
      <xdr:rowOff>74935</xdr:rowOff>
    </xdr:from>
    <xdr:to>
      <xdr:col>5</xdr:col>
      <xdr:colOff>2924</xdr:colOff>
      <xdr:row>204</xdr:row>
      <xdr:rowOff>74935</xdr:rowOff>
    </xdr:to>
    <xdr:cxnSp macro="">
      <xdr:nvCxnSpPr>
        <xdr:cNvPr id="163" name="Straight Connector 162"/>
        <xdr:cNvCxnSpPr/>
      </xdr:nvCxnSpPr>
      <xdr:spPr>
        <a:xfrm>
          <a:off x="2973457" y="39232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207</xdr:row>
      <xdr:rowOff>74935</xdr:rowOff>
    </xdr:from>
    <xdr:to>
      <xdr:col>5</xdr:col>
      <xdr:colOff>2924</xdr:colOff>
      <xdr:row>207</xdr:row>
      <xdr:rowOff>74935</xdr:rowOff>
    </xdr:to>
    <xdr:cxnSp macro="">
      <xdr:nvCxnSpPr>
        <xdr:cNvPr id="164" name="Straight Connector 163"/>
        <xdr:cNvCxnSpPr/>
      </xdr:nvCxnSpPr>
      <xdr:spPr>
        <a:xfrm>
          <a:off x="2973457" y="39803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210</xdr:row>
      <xdr:rowOff>74935</xdr:rowOff>
    </xdr:from>
    <xdr:to>
      <xdr:col>5</xdr:col>
      <xdr:colOff>2924</xdr:colOff>
      <xdr:row>210</xdr:row>
      <xdr:rowOff>74935</xdr:rowOff>
    </xdr:to>
    <xdr:cxnSp macro="">
      <xdr:nvCxnSpPr>
        <xdr:cNvPr id="165" name="Straight Connector 164"/>
        <xdr:cNvCxnSpPr/>
      </xdr:nvCxnSpPr>
      <xdr:spPr>
        <a:xfrm>
          <a:off x="2973457" y="40375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213</xdr:row>
      <xdr:rowOff>74935</xdr:rowOff>
    </xdr:from>
    <xdr:to>
      <xdr:col>5</xdr:col>
      <xdr:colOff>2924</xdr:colOff>
      <xdr:row>213</xdr:row>
      <xdr:rowOff>74935</xdr:rowOff>
    </xdr:to>
    <xdr:cxnSp macro="">
      <xdr:nvCxnSpPr>
        <xdr:cNvPr id="166" name="Straight Connector 165"/>
        <xdr:cNvCxnSpPr/>
      </xdr:nvCxnSpPr>
      <xdr:spPr>
        <a:xfrm>
          <a:off x="2973457" y="40946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216</xdr:row>
      <xdr:rowOff>74935</xdr:rowOff>
    </xdr:from>
    <xdr:to>
      <xdr:col>5</xdr:col>
      <xdr:colOff>2924</xdr:colOff>
      <xdr:row>216</xdr:row>
      <xdr:rowOff>74935</xdr:rowOff>
    </xdr:to>
    <xdr:cxnSp macro="">
      <xdr:nvCxnSpPr>
        <xdr:cNvPr id="167" name="Straight Connector 166"/>
        <xdr:cNvCxnSpPr/>
      </xdr:nvCxnSpPr>
      <xdr:spPr>
        <a:xfrm>
          <a:off x="2973457" y="41518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219</xdr:row>
      <xdr:rowOff>74935</xdr:rowOff>
    </xdr:from>
    <xdr:to>
      <xdr:col>5</xdr:col>
      <xdr:colOff>2924</xdr:colOff>
      <xdr:row>219</xdr:row>
      <xdr:rowOff>74935</xdr:rowOff>
    </xdr:to>
    <xdr:cxnSp macro="">
      <xdr:nvCxnSpPr>
        <xdr:cNvPr id="168" name="Straight Connector 167"/>
        <xdr:cNvCxnSpPr/>
      </xdr:nvCxnSpPr>
      <xdr:spPr>
        <a:xfrm>
          <a:off x="2973457" y="42089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222</xdr:row>
      <xdr:rowOff>74935</xdr:rowOff>
    </xdr:from>
    <xdr:to>
      <xdr:col>5</xdr:col>
      <xdr:colOff>2924</xdr:colOff>
      <xdr:row>222</xdr:row>
      <xdr:rowOff>74935</xdr:rowOff>
    </xdr:to>
    <xdr:cxnSp macro="">
      <xdr:nvCxnSpPr>
        <xdr:cNvPr id="169" name="Straight Connector 168"/>
        <xdr:cNvCxnSpPr/>
      </xdr:nvCxnSpPr>
      <xdr:spPr>
        <a:xfrm>
          <a:off x="2973457" y="42661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225</xdr:row>
      <xdr:rowOff>74935</xdr:rowOff>
    </xdr:from>
    <xdr:to>
      <xdr:col>5</xdr:col>
      <xdr:colOff>2924</xdr:colOff>
      <xdr:row>225</xdr:row>
      <xdr:rowOff>74935</xdr:rowOff>
    </xdr:to>
    <xdr:cxnSp macro="">
      <xdr:nvCxnSpPr>
        <xdr:cNvPr id="170" name="Straight Connector 169"/>
        <xdr:cNvCxnSpPr/>
      </xdr:nvCxnSpPr>
      <xdr:spPr>
        <a:xfrm>
          <a:off x="2973457" y="43232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228</xdr:row>
      <xdr:rowOff>74935</xdr:rowOff>
    </xdr:from>
    <xdr:to>
      <xdr:col>5</xdr:col>
      <xdr:colOff>2924</xdr:colOff>
      <xdr:row>228</xdr:row>
      <xdr:rowOff>74935</xdr:rowOff>
    </xdr:to>
    <xdr:cxnSp macro="">
      <xdr:nvCxnSpPr>
        <xdr:cNvPr id="171" name="Straight Connector 170"/>
        <xdr:cNvCxnSpPr/>
      </xdr:nvCxnSpPr>
      <xdr:spPr>
        <a:xfrm>
          <a:off x="2973457" y="43804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231</xdr:row>
      <xdr:rowOff>74935</xdr:rowOff>
    </xdr:from>
    <xdr:to>
      <xdr:col>5</xdr:col>
      <xdr:colOff>2924</xdr:colOff>
      <xdr:row>231</xdr:row>
      <xdr:rowOff>74935</xdr:rowOff>
    </xdr:to>
    <xdr:cxnSp macro="">
      <xdr:nvCxnSpPr>
        <xdr:cNvPr id="172" name="Straight Connector 171"/>
        <xdr:cNvCxnSpPr/>
      </xdr:nvCxnSpPr>
      <xdr:spPr>
        <a:xfrm>
          <a:off x="2973457" y="44375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234</xdr:row>
      <xdr:rowOff>74935</xdr:rowOff>
    </xdr:from>
    <xdr:to>
      <xdr:col>5</xdr:col>
      <xdr:colOff>2924</xdr:colOff>
      <xdr:row>234</xdr:row>
      <xdr:rowOff>74935</xdr:rowOff>
    </xdr:to>
    <xdr:cxnSp macro="">
      <xdr:nvCxnSpPr>
        <xdr:cNvPr id="173" name="Straight Connector 172"/>
        <xdr:cNvCxnSpPr/>
      </xdr:nvCxnSpPr>
      <xdr:spPr>
        <a:xfrm>
          <a:off x="2973457" y="44947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237</xdr:row>
      <xdr:rowOff>74935</xdr:rowOff>
    </xdr:from>
    <xdr:to>
      <xdr:col>5</xdr:col>
      <xdr:colOff>2924</xdr:colOff>
      <xdr:row>237</xdr:row>
      <xdr:rowOff>74935</xdr:rowOff>
    </xdr:to>
    <xdr:cxnSp macro="">
      <xdr:nvCxnSpPr>
        <xdr:cNvPr id="174" name="Straight Connector 173"/>
        <xdr:cNvCxnSpPr/>
      </xdr:nvCxnSpPr>
      <xdr:spPr>
        <a:xfrm>
          <a:off x="2973457" y="45518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240</xdr:row>
      <xdr:rowOff>74935</xdr:rowOff>
    </xdr:from>
    <xdr:to>
      <xdr:col>5</xdr:col>
      <xdr:colOff>2924</xdr:colOff>
      <xdr:row>240</xdr:row>
      <xdr:rowOff>74935</xdr:rowOff>
    </xdr:to>
    <xdr:cxnSp macro="">
      <xdr:nvCxnSpPr>
        <xdr:cNvPr id="175" name="Straight Connector 174"/>
        <xdr:cNvCxnSpPr/>
      </xdr:nvCxnSpPr>
      <xdr:spPr>
        <a:xfrm>
          <a:off x="2973457" y="46090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243</xdr:row>
      <xdr:rowOff>74935</xdr:rowOff>
    </xdr:from>
    <xdr:to>
      <xdr:col>5</xdr:col>
      <xdr:colOff>2924</xdr:colOff>
      <xdr:row>243</xdr:row>
      <xdr:rowOff>74935</xdr:rowOff>
    </xdr:to>
    <xdr:cxnSp macro="">
      <xdr:nvCxnSpPr>
        <xdr:cNvPr id="176" name="Straight Connector 175"/>
        <xdr:cNvCxnSpPr/>
      </xdr:nvCxnSpPr>
      <xdr:spPr>
        <a:xfrm>
          <a:off x="2973457" y="46661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246</xdr:row>
      <xdr:rowOff>74935</xdr:rowOff>
    </xdr:from>
    <xdr:to>
      <xdr:col>5</xdr:col>
      <xdr:colOff>2924</xdr:colOff>
      <xdr:row>246</xdr:row>
      <xdr:rowOff>74935</xdr:rowOff>
    </xdr:to>
    <xdr:cxnSp macro="">
      <xdr:nvCxnSpPr>
        <xdr:cNvPr id="177" name="Straight Connector 176"/>
        <xdr:cNvCxnSpPr/>
      </xdr:nvCxnSpPr>
      <xdr:spPr>
        <a:xfrm>
          <a:off x="2973457" y="47233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249</xdr:row>
      <xdr:rowOff>74935</xdr:rowOff>
    </xdr:from>
    <xdr:to>
      <xdr:col>5</xdr:col>
      <xdr:colOff>2924</xdr:colOff>
      <xdr:row>249</xdr:row>
      <xdr:rowOff>74935</xdr:rowOff>
    </xdr:to>
    <xdr:cxnSp macro="">
      <xdr:nvCxnSpPr>
        <xdr:cNvPr id="178" name="Straight Connector 177"/>
        <xdr:cNvCxnSpPr/>
      </xdr:nvCxnSpPr>
      <xdr:spPr>
        <a:xfrm>
          <a:off x="2973457" y="47804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252</xdr:row>
      <xdr:rowOff>74935</xdr:rowOff>
    </xdr:from>
    <xdr:to>
      <xdr:col>5</xdr:col>
      <xdr:colOff>2924</xdr:colOff>
      <xdr:row>252</xdr:row>
      <xdr:rowOff>74935</xdr:rowOff>
    </xdr:to>
    <xdr:cxnSp macro="">
      <xdr:nvCxnSpPr>
        <xdr:cNvPr id="179" name="Straight Connector 178"/>
        <xdr:cNvCxnSpPr/>
      </xdr:nvCxnSpPr>
      <xdr:spPr>
        <a:xfrm>
          <a:off x="2973457" y="48376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255</xdr:row>
      <xdr:rowOff>74935</xdr:rowOff>
    </xdr:from>
    <xdr:to>
      <xdr:col>5</xdr:col>
      <xdr:colOff>2924</xdr:colOff>
      <xdr:row>255</xdr:row>
      <xdr:rowOff>74935</xdr:rowOff>
    </xdr:to>
    <xdr:cxnSp macro="">
      <xdr:nvCxnSpPr>
        <xdr:cNvPr id="180" name="Straight Connector 179"/>
        <xdr:cNvCxnSpPr/>
      </xdr:nvCxnSpPr>
      <xdr:spPr>
        <a:xfrm>
          <a:off x="2973457" y="48947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258</xdr:row>
      <xdr:rowOff>74935</xdr:rowOff>
    </xdr:from>
    <xdr:to>
      <xdr:col>5</xdr:col>
      <xdr:colOff>2924</xdr:colOff>
      <xdr:row>258</xdr:row>
      <xdr:rowOff>74935</xdr:rowOff>
    </xdr:to>
    <xdr:cxnSp macro="">
      <xdr:nvCxnSpPr>
        <xdr:cNvPr id="181" name="Straight Connector 180"/>
        <xdr:cNvCxnSpPr/>
      </xdr:nvCxnSpPr>
      <xdr:spPr>
        <a:xfrm>
          <a:off x="2973457" y="49519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261</xdr:row>
      <xdr:rowOff>74935</xdr:rowOff>
    </xdr:from>
    <xdr:to>
      <xdr:col>5</xdr:col>
      <xdr:colOff>2924</xdr:colOff>
      <xdr:row>261</xdr:row>
      <xdr:rowOff>74935</xdr:rowOff>
    </xdr:to>
    <xdr:cxnSp macro="">
      <xdr:nvCxnSpPr>
        <xdr:cNvPr id="182" name="Straight Connector 181"/>
        <xdr:cNvCxnSpPr/>
      </xdr:nvCxnSpPr>
      <xdr:spPr>
        <a:xfrm>
          <a:off x="2973457" y="50090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264</xdr:row>
      <xdr:rowOff>74935</xdr:rowOff>
    </xdr:from>
    <xdr:to>
      <xdr:col>5</xdr:col>
      <xdr:colOff>2924</xdr:colOff>
      <xdr:row>264</xdr:row>
      <xdr:rowOff>74935</xdr:rowOff>
    </xdr:to>
    <xdr:cxnSp macro="">
      <xdr:nvCxnSpPr>
        <xdr:cNvPr id="183" name="Straight Connector 182"/>
        <xdr:cNvCxnSpPr/>
      </xdr:nvCxnSpPr>
      <xdr:spPr>
        <a:xfrm>
          <a:off x="2973457" y="50662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267</xdr:row>
      <xdr:rowOff>74935</xdr:rowOff>
    </xdr:from>
    <xdr:to>
      <xdr:col>5</xdr:col>
      <xdr:colOff>2924</xdr:colOff>
      <xdr:row>267</xdr:row>
      <xdr:rowOff>74935</xdr:rowOff>
    </xdr:to>
    <xdr:cxnSp macro="">
      <xdr:nvCxnSpPr>
        <xdr:cNvPr id="184" name="Straight Connector 183"/>
        <xdr:cNvCxnSpPr/>
      </xdr:nvCxnSpPr>
      <xdr:spPr>
        <a:xfrm>
          <a:off x="2973457" y="51233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270</xdr:row>
      <xdr:rowOff>74935</xdr:rowOff>
    </xdr:from>
    <xdr:to>
      <xdr:col>5</xdr:col>
      <xdr:colOff>2924</xdr:colOff>
      <xdr:row>270</xdr:row>
      <xdr:rowOff>74935</xdr:rowOff>
    </xdr:to>
    <xdr:cxnSp macro="">
      <xdr:nvCxnSpPr>
        <xdr:cNvPr id="185" name="Straight Connector 184"/>
        <xdr:cNvCxnSpPr/>
      </xdr:nvCxnSpPr>
      <xdr:spPr>
        <a:xfrm>
          <a:off x="2973457" y="51805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273</xdr:row>
      <xdr:rowOff>74935</xdr:rowOff>
    </xdr:from>
    <xdr:to>
      <xdr:col>5</xdr:col>
      <xdr:colOff>2924</xdr:colOff>
      <xdr:row>273</xdr:row>
      <xdr:rowOff>74935</xdr:rowOff>
    </xdr:to>
    <xdr:cxnSp macro="">
      <xdr:nvCxnSpPr>
        <xdr:cNvPr id="186" name="Straight Connector 185"/>
        <xdr:cNvCxnSpPr/>
      </xdr:nvCxnSpPr>
      <xdr:spPr>
        <a:xfrm>
          <a:off x="2973457" y="52376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276</xdr:row>
      <xdr:rowOff>74935</xdr:rowOff>
    </xdr:from>
    <xdr:to>
      <xdr:col>5</xdr:col>
      <xdr:colOff>2924</xdr:colOff>
      <xdr:row>276</xdr:row>
      <xdr:rowOff>74935</xdr:rowOff>
    </xdr:to>
    <xdr:cxnSp macro="">
      <xdr:nvCxnSpPr>
        <xdr:cNvPr id="187" name="Straight Connector 186"/>
        <xdr:cNvCxnSpPr/>
      </xdr:nvCxnSpPr>
      <xdr:spPr>
        <a:xfrm>
          <a:off x="2973457" y="52948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282</xdr:row>
      <xdr:rowOff>74935</xdr:rowOff>
    </xdr:from>
    <xdr:to>
      <xdr:col>5</xdr:col>
      <xdr:colOff>2924</xdr:colOff>
      <xdr:row>282</xdr:row>
      <xdr:rowOff>74935</xdr:rowOff>
    </xdr:to>
    <xdr:cxnSp macro="">
      <xdr:nvCxnSpPr>
        <xdr:cNvPr id="188" name="Straight Connector 187"/>
        <xdr:cNvCxnSpPr/>
      </xdr:nvCxnSpPr>
      <xdr:spPr>
        <a:xfrm>
          <a:off x="2973457" y="54091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279</xdr:row>
      <xdr:rowOff>74935</xdr:rowOff>
    </xdr:from>
    <xdr:to>
      <xdr:col>5</xdr:col>
      <xdr:colOff>2924</xdr:colOff>
      <xdr:row>279</xdr:row>
      <xdr:rowOff>74935</xdr:rowOff>
    </xdr:to>
    <xdr:cxnSp macro="">
      <xdr:nvCxnSpPr>
        <xdr:cNvPr id="189" name="Straight Connector 188"/>
        <xdr:cNvCxnSpPr/>
      </xdr:nvCxnSpPr>
      <xdr:spPr>
        <a:xfrm>
          <a:off x="2973457" y="53519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288</xdr:row>
      <xdr:rowOff>74935</xdr:rowOff>
    </xdr:from>
    <xdr:to>
      <xdr:col>5</xdr:col>
      <xdr:colOff>2924</xdr:colOff>
      <xdr:row>288</xdr:row>
      <xdr:rowOff>74935</xdr:rowOff>
    </xdr:to>
    <xdr:cxnSp macro="">
      <xdr:nvCxnSpPr>
        <xdr:cNvPr id="190" name="Straight Connector 189"/>
        <xdr:cNvCxnSpPr/>
      </xdr:nvCxnSpPr>
      <xdr:spPr>
        <a:xfrm>
          <a:off x="2973457" y="55234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285</xdr:row>
      <xdr:rowOff>74935</xdr:rowOff>
    </xdr:from>
    <xdr:to>
      <xdr:col>5</xdr:col>
      <xdr:colOff>2924</xdr:colOff>
      <xdr:row>285</xdr:row>
      <xdr:rowOff>74935</xdr:rowOff>
    </xdr:to>
    <xdr:cxnSp macro="">
      <xdr:nvCxnSpPr>
        <xdr:cNvPr id="191" name="Straight Connector 190"/>
        <xdr:cNvCxnSpPr/>
      </xdr:nvCxnSpPr>
      <xdr:spPr>
        <a:xfrm>
          <a:off x="2973457" y="54662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294</xdr:row>
      <xdr:rowOff>74935</xdr:rowOff>
    </xdr:from>
    <xdr:to>
      <xdr:col>5</xdr:col>
      <xdr:colOff>2924</xdr:colOff>
      <xdr:row>294</xdr:row>
      <xdr:rowOff>74935</xdr:rowOff>
    </xdr:to>
    <xdr:cxnSp macro="">
      <xdr:nvCxnSpPr>
        <xdr:cNvPr id="192" name="Straight Connector 191"/>
        <xdr:cNvCxnSpPr/>
      </xdr:nvCxnSpPr>
      <xdr:spPr>
        <a:xfrm>
          <a:off x="2973457" y="56377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291</xdr:row>
      <xdr:rowOff>74935</xdr:rowOff>
    </xdr:from>
    <xdr:to>
      <xdr:col>5</xdr:col>
      <xdr:colOff>2924</xdr:colOff>
      <xdr:row>291</xdr:row>
      <xdr:rowOff>74935</xdr:rowOff>
    </xdr:to>
    <xdr:cxnSp macro="">
      <xdr:nvCxnSpPr>
        <xdr:cNvPr id="193" name="Straight Connector 192"/>
        <xdr:cNvCxnSpPr/>
      </xdr:nvCxnSpPr>
      <xdr:spPr>
        <a:xfrm>
          <a:off x="2973457" y="55805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300</xdr:row>
      <xdr:rowOff>74935</xdr:rowOff>
    </xdr:from>
    <xdr:to>
      <xdr:col>5</xdr:col>
      <xdr:colOff>2924</xdr:colOff>
      <xdr:row>300</xdr:row>
      <xdr:rowOff>74935</xdr:rowOff>
    </xdr:to>
    <xdr:cxnSp macro="">
      <xdr:nvCxnSpPr>
        <xdr:cNvPr id="194" name="Straight Connector 193"/>
        <xdr:cNvCxnSpPr/>
      </xdr:nvCxnSpPr>
      <xdr:spPr>
        <a:xfrm>
          <a:off x="2973457" y="57520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297</xdr:row>
      <xdr:rowOff>74935</xdr:rowOff>
    </xdr:from>
    <xdr:to>
      <xdr:col>5</xdr:col>
      <xdr:colOff>2924</xdr:colOff>
      <xdr:row>297</xdr:row>
      <xdr:rowOff>74935</xdr:rowOff>
    </xdr:to>
    <xdr:cxnSp macro="">
      <xdr:nvCxnSpPr>
        <xdr:cNvPr id="195" name="Straight Connector 194"/>
        <xdr:cNvCxnSpPr/>
      </xdr:nvCxnSpPr>
      <xdr:spPr>
        <a:xfrm>
          <a:off x="2973457" y="56948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306</xdr:row>
      <xdr:rowOff>74935</xdr:rowOff>
    </xdr:from>
    <xdr:to>
      <xdr:col>5</xdr:col>
      <xdr:colOff>2924</xdr:colOff>
      <xdr:row>306</xdr:row>
      <xdr:rowOff>74935</xdr:rowOff>
    </xdr:to>
    <xdr:cxnSp macro="">
      <xdr:nvCxnSpPr>
        <xdr:cNvPr id="196" name="Straight Connector 195"/>
        <xdr:cNvCxnSpPr/>
      </xdr:nvCxnSpPr>
      <xdr:spPr>
        <a:xfrm>
          <a:off x="2973457" y="58663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303</xdr:row>
      <xdr:rowOff>74935</xdr:rowOff>
    </xdr:from>
    <xdr:to>
      <xdr:col>5</xdr:col>
      <xdr:colOff>2924</xdr:colOff>
      <xdr:row>303</xdr:row>
      <xdr:rowOff>74935</xdr:rowOff>
    </xdr:to>
    <xdr:cxnSp macro="">
      <xdr:nvCxnSpPr>
        <xdr:cNvPr id="197" name="Straight Connector 196"/>
        <xdr:cNvCxnSpPr/>
      </xdr:nvCxnSpPr>
      <xdr:spPr>
        <a:xfrm>
          <a:off x="2973457" y="58091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312</xdr:row>
      <xdr:rowOff>74935</xdr:rowOff>
    </xdr:from>
    <xdr:to>
      <xdr:col>5</xdr:col>
      <xdr:colOff>2924</xdr:colOff>
      <xdr:row>312</xdr:row>
      <xdr:rowOff>74935</xdr:rowOff>
    </xdr:to>
    <xdr:cxnSp macro="">
      <xdr:nvCxnSpPr>
        <xdr:cNvPr id="198" name="Straight Connector 197"/>
        <xdr:cNvCxnSpPr/>
      </xdr:nvCxnSpPr>
      <xdr:spPr>
        <a:xfrm>
          <a:off x="2973457" y="59806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309</xdr:row>
      <xdr:rowOff>74935</xdr:rowOff>
    </xdr:from>
    <xdr:to>
      <xdr:col>5</xdr:col>
      <xdr:colOff>2924</xdr:colOff>
      <xdr:row>309</xdr:row>
      <xdr:rowOff>74935</xdr:rowOff>
    </xdr:to>
    <xdr:cxnSp macro="">
      <xdr:nvCxnSpPr>
        <xdr:cNvPr id="199" name="Straight Connector 198"/>
        <xdr:cNvCxnSpPr/>
      </xdr:nvCxnSpPr>
      <xdr:spPr>
        <a:xfrm>
          <a:off x="2973457" y="59234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318</xdr:row>
      <xdr:rowOff>74935</xdr:rowOff>
    </xdr:from>
    <xdr:to>
      <xdr:col>5</xdr:col>
      <xdr:colOff>2924</xdr:colOff>
      <xdr:row>318</xdr:row>
      <xdr:rowOff>74935</xdr:rowOff>
    </xdr:to>
    <xdr:cxnSp macro="">
      <xdr:nvCxnSpPr>
        <xdr:cNvPr id="200" name="Straight Connector 199"/>
        <xdr:cNvCxnSpPr/>
      </xdr:nvCxnSpPr>
      <xdr:spPr>
        <a:xfrm>
          <a:off x="2973457" y="60949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315</xdr:row>
      <xdr:rowOff>74935</xdr:rowOff>
    </xdr:from>
    <xdr:to>
      <xdr:col>5</xdr:col>
      <xdr:colOff>2924</xdr:colOff>
      <xdr:row>315</xdr:row>
      <xdr:rowOff>74935</xdr:rowOff>
    </xdr:to>
    <xdr:cxnSp macro="">
      <xdr:nvCxnSpPr>
        <xdr:cNvPr id="201" name="Straight Connector 200"/>
        <xdr:cNvCxnSpPr/>
      </xdr:nvCxnSpPr>
      <xdr:spPr>
        <a:xfrm>
          <a:off x="2973457" y="60377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324</xdr:row>
      <xdr:rowOff>74935</xdr:rowOff>
    </xdr:from>
    <xdr:to>
      <xdr:col>5</xdr:col>
      <xdr:colOff>2924</xdr:colOff>
      <xdr:row>324</xdr:row>
      <xdr:rowOff>74935</xdr:rowOff>
    </xdr:to>
    <xdr:cxnSp macro="">
      <xdr:nvCxnSpPr>
        <xdr:cNvPr id="202" name="Straight Connector 201"/>
        <xdr:cNvCxnSpPr/>
      </xdr:nvCxnSpPr>
      <xdr:spPr>
        <a:xfrm>
          <a:off x="2973457" y="62092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321</xdr:row>
      <xdr:rowOff>74935</xdr:rowOff>
    </xdr:from>
    <xdr:to>
      <xdr:col>5</xdr:col>
      <xdr:colOff>2924</xdr:colOff>
      <xdr:row>321</xdr:row>
      <xdr:rowOff>74935</xdr:rowOff>
    </xdr:to>
    <xdr:cxnSp macro="">
      <xdr:nvCxnSpPr>
        <xdr:cNvPr id="203" name="Straight Connector 202"/>
        <xdr:cNvCxnSpPr/>
      </xdr:nvCxnSpPr>
      <xdr:spPr>
        <a:xfrm>
          <a:off x="2973457" y="61520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333</xdr:row>
      <xdr:rowOff>74935</xdr:rowOff>
    </xdr:from>
    <xdr:to>
      <xdr:col>5</xdr:col>
      <xdr:colOff>2924</xdr:colOff>
      <xdr:row>333</xdr:row>
      <xdr:rowOff>74935</xdr:rowOff>
    </xdr:to>
    <xdr:cxnSp macro="">
      <xdr:nvCxnSpPr>
        <xdr:cNvPr id="204" name="Straight Connector 203"/>
        <xdr:cNvCxnSpPr/>
      </xdr:nvCxnSpPr>
      <xdr:spPr>
        <a:xfrm>
          <a:off x="2973457" y="63806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327</xdr:row>
      <xdr:rowOff>74935</xdr:rowOff>
    </xdr:from>
    <xdr:to>
      <xdr:col>5</xdr:col>
      <xdr:colOff>2924</xdr:colOff>
      <xdr:row>327</xdr:row>
      <xdr:rowOff>74935</xdr:rowOff>
    </xdr:to>
    <xdr:cxnSp macro="">
      <xdr:nvCxnSpPr>
        <xdr:cNvPr id="205" name="Straight Connector 204"/>
        <xdr:cNvCxnSpPr/>
      </xdr:nvCxnSpPr>
      <xdr:spPr>
        <a:xfrm>
          <a:off x="2973457" y="62663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330</xdr:row>
      <xdr:rowOff>74935</xdr:rowOff>
    </xdr:from>
    <xdr:to>
      <xdr:col>5</xdr:col>
      <xdr:colOff>2924</xdr:colOff>
      <xdr:row>330</xdr:row>
      <xdr:rowOff>74935</xdr:rowOff>
    </xdr:to>
    <xdr:cxnSp macro="">
      <xdr:nvCxnSpPr>
        <xdr:cNvPr id="206" name="Straight Connector 205"/>
        <xdr:cNvCxnSpPr/>
      </xdr:nvCxnSpPr>
      <xdr:spPr>
        <a:xfrm>
          <a:off x="2973457" y="63235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336</xdr:row>
      <xdr:rowOff>74935</xdr:rowOff>
    </xdr:from>
    <xdr:to>
      <xdr:col>5</xdr:col>
      <xdr:colOff>2924</xdr:colOff>
      <xdr:row>336</xdr:row>
      <xdr:rowOff>74935</xdr:rowOff>
    </xdr:to>
    <xdr:cxnSp macro="">
      <xdr:nvCxnSpPr>
        <xdr:cNvPr id="207" name="Straight Connector 206"/>
        <xdr:cNvCxnSpPr/>
      </xdr:nvCxnSpPr>
      <xdr:spPr>
        <a:xfrm>
          <a:off x="2973457" y="64378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342</xdr:row>
      <xdr:rowOff>74935</xdr:rowOff>
    </xdr:from>
    <xdr:to>
      <xdr:col>5</xdr:col>
      <xdr:colOff>2924</xdr:colOff>
      <xdr:row>342</xdr:row>
      <xdr:rowOff>74935</xdr:rowOff>
    </xdr:to>
    <xdr:cxnSp macro="">
      <xdr:nvCxnSpPr>
        <xdr:cNvPr id="208" name="Straight Connector 207"/>
        <xdr:cNvCxnSpPr/>
      </xdr:nvCxnSpPr>
      <xdr:spPr>
        <a:xfrm>
          <a:off x="2973457" y="65521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339</xdr:row>
      <xdr:rowOff>74935</xdr:rowOff>
    </xdr:from>
    <xdr:to>
      <xdr:col>5</xdr:col>
      <xdr:colOff>2924</xdr:colOff>
      <xdr:row>339</xdr:row>
      <xdr:rowOff>74935</xdr:rowOff>
    </xdr:to>
    <xdr:cxnSp macro="">
      <xdr:nvCxnSpPr>
        <xdr:cNvPr id="209" name="Straight Connector 208"/>
        <xdr:cNvCxnSpPr/>
      </xdr:nvCxnSpPr>
      <xdr:spPr>
        <a:xfrm>
          <a:off x="2973457" y="64949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348</xdr:row>
      <xdr:rowOff>74935</xdr:rowOff>
    </xdr:from>
    <xdr:to>
      <xdr:col>5</xdr:col>
      <xdr:colOff>2924</xdr:colOff>
      <xdr:row>348</xdr:row>
      <xdr:rowOff>74935</xdr:rowOff>
    </xdr:to>
    <xdr:cxnSp macro="">
      <xdr:nvCxnSpPr>
        <xdr:cNvPr id="210" name="Straight Connector 209"/>
        <xdr:cNvCxnSpPr/>
      </xdr:nvCxnSpPr>
      <xdr:spPr>
        <a:xfrm>
          <a:off x="2973457" y="66664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345</xdr:row>
      <xdr:rowOff>74935</xdr:rowOff>
    </xdr:from>
    <xdr:to>
      <xdr:col>5</xdr:col>
      <xdr:colOff>2924</xdr:colOff>
      <xdr:row>345</xdr:row>
      <xdr:rowOff>74935</xdr:rowOff>
    </xdr:to>
    <xdr:cxnSp macro="">
      <xdr:nvCxnSpPr>
        <xdr:cNvPr id="211" name="Straight Connector 210"/>
        <xdr:cNvCxnSpPr/>
      </xdr:nvCxnSpPr>
      <xdr:spPr>
        <a:xfrm>
          <a:off x="2973457" y="66092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357</xdr:row>
      <xdr:rowOff>74935</xdr:rowOff>
    </xdr:from>
    <xdr:to>
      <xdr:col>5</xdr:col>
      <xdr:colOff>2924</xdr:colOff>
      <xdr:row>357</xdr:row>
      <xdr:rowOff>74935</xdr:rowOff>
    </xdr:to>
    <xdr:cxnSp macro="">
      <xdr:nvCxnSpPr>
        <xdr:cNvPr id="212" name="Straight Connector 211"/>
        <xdr:cNvCxnSpPr/>
      </xdr:nvCxnSpPr>
      <xdr:spPr>
        <a:xfrm>
          <a:off x="2973457" y="68378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354</xdr:row>
      <xdr:rowOff>74935</xdr:rowOff>
    </xdr:from>
    <xdr:to>
      <xdr:col>5</xdr:col>
      <xdr:colOff>2924</xdr:colOff>
      <xdr:row>354</xdr:row>
      <xdr:rowOff>74935</xdr:rowOff>
    </xdr:to>
    <xdr:cxnSp macro="">
      <xdr:nvCxnSpPr>
        <xdr:cNvPr id="213" name="Straight Connector 212"/>
        <xdr:cNvCxnSpPr/>
      </xdr:nvCxnSpPr>
      <xdr:spPr>
        <a:xfrm>
          <a:off x="2973457" y="67807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351</xdr:row>
      <xdr:rowOff>74935</xdr:rowOff>
    </xdr:from>
    <xdr:to>
      <xdr:col>5</xdr:col>
      <xdr:colOff>2924</xdr:colOff>
      <xdr:row>351</xdr:row>
      <xdr:rowOff>74935</xdr:rowOff>
    </xdr:to>
    <xdr:cxnSp macro="">
      <xdr:nvCxnSpPr>
        <xdr:cNvPr id="214" name="Straight Connector 213"/>
        <xdr:cNvCxnSpPr/>
      </xdr:nvCxnSpPr>
      <xdr:spPr>
        <a:xfrm>
          <a:off x="2973457" y="67235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360</xdr:row>
      <xdr:rowOff>74935</xdr:rowOff>
    </xdr:from>
    <xdr:to>
      <xdr:col>5</xdr:col>
      <xdr:colOff>2924</xdr:colOff>
      <xdr:row>360</xdr:row>
      <xdr:rowOff>74935</xdr:rowOff>
    </xdr:to>
    <xdr:cxnSp macro="">
      <xdr:nvCxnSpPr>
        <xdr:cNvPr id="215" name="Straight Connector 214"/>
        <xdr:cNvCxnSpPr/>
      </xdr:nvCxnSpPr>
      <xdr:spPr>
        <a:xfrm>
          <a:off x="2973457" y="68950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366</xdr:row>
      <xdr:rowOff>74935</xdr:rowOff>
    </xdr:from>
    <xdr:to>
      <xdr:col>5</xdr:col>
      <xdr:colOff>2924</xdr:colOff>
      <xdr:row>366</xdr:row>
      <xdr:rowOff>74935</xdr:rowOff>
    </xdr:to>
    <xdr:cxnSp macro="">
      <xdr:nvCxnSpPr>
        <xdr:cNvPr id="216" name="Straight Connector 215"/>
        <xdr:cNvCxnSpPr/>
      </xdr:nvCxnSpPr>
      <xdr:spPr>
        <a:xfrm>
          <a:off x="2973457" y="70093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363</xdr:row>
      <xdr:rowOff>74935</xdr:rowOff>
    </xdr:from>
    <xdr:to>
      <xdr:col>5</xdr:col>
      <xdr:colOff>2924</xdr:colOff>
      <xdr:row>363</xdr:row>
      <xdr:rowOff>74935</xdr:rowOff>
    </xdr:to>
    <xdr:cxnSp macro="">
      <xdr:nvCxnSpPr>
        <xdr:cNvPr id="217" name="Straight Connector 216"/>
        <xdr:cNvCxnSpPr/>
      </xdr:nvCxnSpPr>
      <xdr:spPr>
        <a:xfrm>
          <a:off x="2973457" y="69521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372</xdr:row>
      <xdr:rowOff>74935</xdr:rowOff>
    </xdr:from>
    <xdr:to>
      <xdr:col>5</xdr:col>
      <xdr:colOff>2924</xdr:colOff>
      <xdr:row>372</xdr:row>
      <xdr:rowOff>74935</xdr:rowOff>
    </xdr:to>
    <xdr:cxnSp macro="">
      <xdr:nvCxnSpPr>
        <xdr:cNvPr id="218" name="Straight Connector 217"/>
        <xdr:cNvCxnSpPr/>
      </xdr:nvCxnSpPr>
      <xdr:spPr>
        <a:xfrm>
          <a:off x="2973457" y="71236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369</xdr:row>
      <xdr:rowOff>74935</xdr:rowOff>
    </xdr:from>
    <xdr:to>
      <xdr:col>5</xdr:col>
      <xdr:colOff>2924</xdr:colOff>
      <xdr:row>369</xdr:row>
      <xdr:rowOff>74935</xdr:rowOff>
    </xdr:to>
    <xdr:cxnSp macro="">
      <xdr:nvCxnSpPr>
        <xdr:cNvPr id="219" name="Straight Connector 218"/>
        <xdr:cNvCxnSpPr/>
      </xdr:nvCxnSpPr>
      <xdr:spPr>
        <a:xfrm>
          <a:off x="2973457" y="70664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378</xdr:row>
      <xdr:rowOff>74935</xdr:rowOff>
    </xdr:from>
    <xdr:to>
      <xdr:col>5</xdr:col>
      <xdr:colOff>2924</xdr:colOff>
      <xdr:row>378</xdr:row>
      <xdr:rowOff>74935</xdr:rowOff>
    </xdr:to>
    <xdr:cxnSp macro="">
      <xdr:nvCxnSpPr>
        <xdr:cNvPr id="220" name="Straight Connector 219"/>
        <xdr:cNvCxnSpPr/>
      </xdr:nvCxnSpPr>
      <xdr:spPr>
        <a:xfrm>
          <a:off x="2973457" y="72379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375</xdr:row>
      <xdr:rowOff>74935</xdr:rowOff>
    </xdr:from>
    <xdr:to>
      <xdr:col>5</xdr:col>
      <xdr:colOff>2924</xdr:colOff>
      <xdr:row>375</xdr:row>
      <xdr:rowOff>74935</xdr:rowOff>
    </xdr:to>
    <xdr:cxnSp macro="">
      <xdr:nvCxnSpPr>
        <xdr:cNvPr id="221" name="Straight Connector 220"/>
        <xdr:cNvCxnSpPr/>
      </xdr:nvCxnSpPr>
      <xdr:spPr>
        <a:xfrm>
          <a:off x="2973457" y="71807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381</xdr:row>
      <xdr:rowOff>74935</xdr:rowOff>
    </xdr:from>
    <xdr:to>
      <xdr:col>5</xdr:col>
      <xdr:colOff>2924</xdr:colOff>
      <xdr:row>381</xdr:row>
      <xdr:rowOff>74935</xdr:rowOff>
    </xdr:to>
    <xdr:cxnSp macro="">
      <xdr:nvCxnSpPr>
        <xdr:cNvPr id="222" name="Straight Connector 221"/>
        <xdr:cNvCxnSpPr/>
      </xdr:nvCxnSpPr>
      <xdr:spPr>
        <a:xfrm>
          <a:off x="2973457" y="72950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384</xdr:row>
      <xdr:rowOff>74935</xdr:rowOff>
    </xdr:from>
    <xdr:to>
      <xdr:col>5</xdr:col>
      <xdr:colOff>2924</xdr:colOff>
      <xdr:row>384</xdr:row>
      <xdr:rowOff>74935</xdr:rowOff>
    </xdr:to>
    <xdr:cxnSp macro="">
      <xdr:nvCxnSpPr>
        <xdr:cNvPr id="223" name="Straight Connector 222"/>
        <xdr:cNvCxnSpPr/>
      </xdr:nvCxnSpPr>
      <xdr:spPr>
        <a:xfrm>
          <a:off x="2973457" y="73522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387</xdr:row>
      <xdr:rowOff>74935</xdr:rowOff>
    </xdr:from>
    <xdr:to>
      <xdr:col>5</xdr:col>
      <xdr:colOff>2924</xdr:colOff>
      <xdr:row>387</xdr:row>
      <xdr:rowOff>74935</xdr:rowOff>
    </xdr:to>
    <xdr:cxnSp macro="">
      <xdr:nvCxnSpPr>
        <xdr:cNvPr id="224" name="Straight Connector 223"/>
        <xdr:cNvCxnSpPr/>
      </xdr:nvCxnSpPr>
      <xdr:spPr>
        <a:xfrm>
          <a:off x="2973457" y="74093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390</xdr:row>
      <xdr:rowOff>74935</xdr:rowOff>
    </xdr:from>
    <xdr:to>
      <xdr:col>5</xdr:col>
      <xdr:colOff>2924</xdr:colOff>
      <xdr:row>390</xdr:row>
      <xdr:rowOff>74935</xdr:rowOff>
    </xdr:to>
    <xdr:cxnSp macro="">
      <xdr:nvCxnSpPr>
        <xdr:cNvPr id="225" name="Straight Connector 224"/>
        <xdr:cNvCxnSpPr/>
      </xdr:nvCxnSpPr>
      <xdr:spPr>
        <a:xfrm>
          <a:off x="2973457" y="74665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393</xdr:row>
      <xdr:rowOff>74935</xdr:rowOff>
    </xdr:from>
    <xdr:to>
      <xdr:col>5</xdr:col>
      <xdr:colOff>2924</xdr:colOff>
      <xdr:row>393</xdr:row>
      <xdr:rowOff>74935</xdr:rowOff>
    </xdr:to>
    <xdr:cxnSp macro="">
      <xdr:nvCxnSpPr>
        <xdr:cNvPr id="226" name="Straight Connector 225"/>
        <xdr:cNvCxnSpPr/>
      </xdr:nvCxnSpPr>
      <xdr:spPr>
        <a:xfrm>
          <a:off x="2973457" y="75236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396</xdr:row>
      <xdr:rowOff>74935</xdr:rowOff>
    </xdr:from>
    <xdr:to>
      <xdr:col>5</xdr:col>
      <xdr:colOff>2924</xdr:colOff>
      <xdr:row>396</xdr:row>
      <xdr:rowOff>74935</xdr:rowOff>
    </xdr:to>
    <xdr:cxnSp macro="">
      <xdr:nvCxnSpPr>
        <xdr:cNvPr id="227" name="Straight Connector 226"/>
        <xdr:cNvCxnSpPr/>
      </xdr:nvCxnSpPr>
      <xdr:spPr>
        <a:xfrm>
          <a:off x="2973457" y="75808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399</xdr:row>
      <xdr:rowOff>74935</xdr:rowOff>
    </xdr:from>
    <xdr:to>
      <xdr:col>5</xdr:col>
      <xdr:colOff>2924</xdr:colOff>
      <xdr:row>399</xdr:row>
      <xdr:rowOff>74935</xdr:rowOff>
    </xdr:to>
    <xdr:cxnSp macro="">
      <xdr:nvCxnSpPr>
        <xdr:cNvPr id="228" name="Straight Connector 227"/>
        <xdr:cNvCxnSpPr/>
      </xdr:nvCxnSpPr>
      <xdr:spPr>
        <a:xfrm>
          <a:off x="2973457" y="76379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402</xdr:row>
      <xdr:rowOff>74935</xdr:rowOff>
    </xdr:from>
    <xdr:to>
      <xdr:col>5</xdr:col>
      <xdr:colOff>2924</xdr:colOff>
      <xdr:row>402</xdr:row>
      <xdr:rowOff>74935</xdr:rowOff>
    </xdr:to>
    <xdr:cxnSp macro="">
      <xdr:nvCxnSpPr>
        <xdr:cNvPr id="229" name="Straight Connector 228"/>
        <xdr:cNvCxnSpPr/>
      </xdr:nvCxnSpPr>
      <xdr:spPr>
        <a:xfrm>
          <a:off x="2973457" y="76951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405</xdr:row>
      <xdr:rowOff>74935</xdr:rowOff>
    </xdr:from>
    <xdr:to>
      <xdr:col>5</xdr:col>
      <xdr:colOff>2924</xdr:colOff>
      <xdr:row>405</xdr:row>
      <xdr:rowOff>74935</xdr:rowOff>
    </xdr:to>
    <xdr:cxnSp macro="">
      <xdr:nvCxnSpPr>
        <xdr:cNvPr id="230" name="Straight Connector 229"/>
        <xdr:cNvCxnSpPr/>
      </xdr:nvCxnSpPr>
      <xdr:spPr>
        <a:xfrm>
          <a:off x="2973457" y="77522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408</xdr:row>
      <xdr:rowOff>74935</xdr:rowOff>
    </xdr:from>
    <xdr:to>
      <xdr:col>5</xdr:col>
      <xdr:colOff>2924</xdr:colOff>
      <xdr:row>408</xdr:row>
      <xdr:rowOff>74935</xdr:rowOff>
    </xdr:to>
    <xdr:cxnSp macro="">
      <xdr:nvCxnSpPr>
        <xdr:cNvPr id="231" name="Straight Connector 230"/>
        <xdr:cNvCxnSpPr/>
      </xdr:nvCxnSpPr>
      <xdr:spPr>
        <a:xfrm>
          <a:off x="2973457" y="78094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414</xdr:row>
      <xdr:rowOff>74935</xdr:rowOff>
    </xdr:from>
    <xdr:to>
      <xdr:col>5</xdr:col>
      <xdr:colOff>2924</xdr:colOff>
      <xdr:row>414</xdr:row>
      <xdr:rowOff>74935</xdr:rowOff>
    </xdr:to>
    <xdr:cxnSp macro="">
      <xdr:nvCxnSpPr>
        <xdr:cNvPr id="232" name="Straight Connector 231"/>
        <xdr:cNvCxnSpPr/>
      </xdr:nvCxnSpPr>
      <xdr:spPr>
        <a:xfrm>
          <a:off x="2973457" y="79237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411</xdr:row>
      <xdr:rowOff>74935</xdr:rowOff>
    </xdr:from>
    <xdr:to>
      <xdr:col>5</xdr:col>
      <xdr:colOff>2924</xdr:colOff>
      <xdr:row>411</xdr:row>
      <xdr:rowOff>74935</xdr:rowOff>
    </xdr:to>
    <xdr:cxnSp macro="">
      <xdr:nvCxnSpPr>
        <xdr:cNvPr id="233" name="Straight Connector 232"/>
        <xdr:cNvCxnSpPr/>
      </xdr:nvCxnSpPr>
      <xdr:spPr>
        <a:xfrm>
          <a:off x="2973457" y="78665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420</xdr:row>
      <xdr:rowOff>74935</xdr:rowOff>
    </xdr:from>
    <xdr:to>
      <xdr:col>5</xdr:col>
      <xdr:colOff>2924</xdr:colOff>
      <xdr:row>420</xdr:row>
      <xdr:rowOff>74935</xdr:rowOff>
    </xdr:to>
    <xdr:cxnSp macro="">
      <xdr:nvCxnSpPr>
        <xdr:cNvPr id="234" name="Straight Connector 233"/>
        <xdr:cNvCxnSpPr/>
      </xdr:nvCxnSpPr>
      <xdr:spPr>
        <a:xfrm>
          <a:off x="2973457" y="80380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417</xdr:row>
      <xdr:rowOff>74935</xdr:rowOff>
    </xdr:from>
    <xdr:to>
      <xdr:col>5</xdr:col>
      <xdr:colOff>2924</xdr:colOff>
      <xdr:row>417</xdr:row>
      <xdr:rowOff>74935</xdr:rowOff>
    </xdr:to>
    <xdr:cxnSp macro="">
      <xdr:nvCxnSpPr>
        <xdr:cNvPr id="235" name="Straight Connector 234"/>
        <xdr:cNvCxnSpPr/>
      </xdr:nvCxnSpPr>
      <xdr:spPr>
        <a:xfrm>
          <a:off x="2973457" y="79808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426</xdr:row>
      <xdr:rowOff>74935</xdr:rowOff>
    </xdr:from>
    <xdr:to>
      <xdr:col>5</xdr:col>
      <xdr:colOff>2924</xdr:colOff>
      <xdr:row>426</xdr:row>
      <xdr:rowOff>74935</xdr:rowOff>
    </xdr:to>
    <xdr:cxnSp macro="">
      <xdr:nvCxnSpPr>
        <xdr:cNvPr id="236" name="Straight Connector 235"/>
        <xdr:cNvCxnSpPr/>
      </xdr:nvCxnSpPr>
      <xdr:spPr>
        <a:xfrm>
          <a:off x="2973457" y="81523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423</xdr:row>
      <xdr:rowOff>74935</xdr:rowOff>
    </xdr:from>
    <xdr:to>
      <xdr:col>5</xdr:col>
      <xdr:colOff>2924</xdr:colOff>
      <xdr:row>423</xdr:row>
      <xdr:rowOff>74935</xdr:rowOff>
    </xdr:to>
    <xdr:cxnSp macro="">
      <xdr:nvCxnSpPr>
        <xdr:cNvPr id="237" name="Straight Connector 236"/>
        <xdr:cNvCxnSpPr/>
      </xdr:nvCxnSpPr>
      <xdr:spPr>
        <a:xfrm>
          <a:off x="2973457" y="80951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432</xdr:row>
      <xdr:rowOff>74935</xdr:rowOff>
    </xdr:from>
    <xdr:to>
      <xdr:col>5</xdr:col>
      <xdr:colOff>2924</xdr:colOff>
      <xdr:row>432</xdr:row>
      <xdr:rowOff>74935</xdr:rowOff>
    </xdr:to>
    <xdr:cxnSp macro="">
      <xdr:nvCxnSpPr>
        <xdr:cNvPr id="238" name="Straight Connector 237"/>
        <xdr:cNvCxnSpPr/>
      </xdr:nvCxnSpPr>
      <xdr:spPr>
        <a:xfrm>
          <a:off x="2973457" y="82666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429</xdr:row>
      <xdr:rowOff>74935</xdr:rowOff>
    </xdr:from>
    <xdr:to>
      <xdr:col>5</xdr:col>
      <xdr:colOff>2924</xdr:colOff>
      <xdr:row>429</xdr:row>
      <xdr:rowOff>74935</xdr:rowOff>
    </xdr:to>
    <xdr:cxnSp macro="">
      <xdr:nvCxnSpPr>
        <xdr:cNvPr id="239" name="Straight Connector 238"/>
        <xdr:cNvCxnSpPr/>
      </xdr:nvCxnSpPr>
      <xdr:spPr>
        <a:xfrm>
          <a:off x="2973457" y="82094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438</xdr:row>
      <xdr:rowOff>74935</xdr:rowOff>
    </xdr:from>
    <xdr:to>
      <xdr:col>5</xdr:col>
      <xdr:colOff>2924</xdr:colOff>
      <xdr:row>438</xdr:row>
      <xdr:rowOff>74935</xdr:rowOff>
    </xdr:to>
    <xdr:cxnSp macro="">
      <xdr:nvCxnSpPr>
        <xdr:cNvPr id="240" name="Straight Connector 239"/>
        <xdr:cNvCxnSpPr/>
      </xdr:nvCxnSpPr>
      <xdr:spPr>
        <a:xfrm>
          <a:off x="2973457" y="83809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435</xdr:row>
      <xdr:rowOff>74935</xdr:rowOff>
    </xdr:from>
    <xdr:to>
      <xdr:col>5</xdr:col>
      <xdr:colOff>2924</xdr:colOff>
      <xdr:row>435</xdr:row>
      <xdr:rowOff>74935</xdr:rowOff>
    </xdr:to>
    <xdr:cxnSp macro="">
      <xdr:nvCxnSpPr>
        <xdr:cNvPr id="241" name="Straight Connector 240"/>
        <xdr:cNvCxnSpPr/>
      </xdr:nvCxnSpPr>
      <xdr:spPr>
        <a:xfrm>
          <a:off x="2973457" y="83237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444</xdr:row>
      <xdr:rowOff>74935</xdr:rowOff>
    </xdr:from>
    <xdr:to>
      <xdr:col>5</xdr:col>
      <xdr:colOff>2924</xdr:colOff>
      <xdr:row>444</xdr:row>
      <xdr:rowOff>74935</xdr:rowOff>
    </xdr:to>
    <xdr:cxnSp macro="">
      <xdr:nvCxnSpPr>
        <xdr:cNvPr id="242" name="Straight Connector 241"/>
        <xdr:cNvCxnSpPr/>
      </xdr:nvCxnSpPr>
      <xdr:spPr>
        <a:xfrm>
          <a:off x="2973457" y="84952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441</xdr:row>
      <xdr:rowOff>74935</xdr:rowOff>
    </xdr:from>
    <xdr:to>
      <xdr:col>5</xdr:col>
      <xdr:colOff>2924</xdr:colOff>
      <xdr:row>441</xdr:row>
      <xdr:rowOff>74935</xdr:rowOff>
    </xdr:to>
    <xdr:cxnSp macro="">
      <xdr:nvCxnSpPr>
        <xdr:cNvPr id="243" name="Straight Connector 242"/>
        <xdr:cNvCxnSpPr/>
      </xdr:nvCxnSpPr>
      <xdr:spPr>
        <a:xfrm>
          <a:off x="2973457" y="84380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450</xdr:row>
      <xdr:rowOff>74935</xdr:rowOff>
    </xdr:from>
    <xdr:to>
      <xdr:col>5</xdr:col>
      <xdr:colOff>2924</xdr:colOff>
      <xdr:row>450</xdr:row>
      <xdr:rowOff>74935</xdr:rowOff>
    </xdr:to>
    <xdr:cxnSp macro="">
      <xdr:nvCxnSpPr>
        <xdr:cNvPr id="244" name="Straight Connector 243"/>
        <xdr:cNvCxnSpPr/>
      </xdr:nvCxnSpPr>
      <xdr:spPr>
        <a:xfrm>
          <a:off x="2973457" y="86095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447</xdr:row>
      <xdr:rowOff>74935</xdr:rowOff>
    </xdr:from>
    <xdr:to>
      <xdr:col>5</xdr:col>
      <xdr:colOff>2924</xdr:colOff>
      <xdr:row>447</xdr:row>
      <xdr:rowOff>74935</xdr:rowOff>
    </xdr:to>
    <xdr:cxnSp macro="">
      <xdr:nvCxnSpPr>
        <xdr:cNvPr id="245" name="Straight Connector 244"/>
        <xdr:cNvCxnSpPr/>
      </xdr:nvCxnSpPr>
      <xdr:spPr>
        <a:xfrm>
          <a:off x="2973457" y="85523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453</xdr:row>
      <xdr:rowOff>74935</xdr:rowOff>
    </xdr:from>
    <xdr:to>
      <xdr:col>5</xdr:col>
      <xdr:colOff>2924</xdr:colOff>
      <xdr:row>453</xdr:row>
      <xdr:rowOff>74935</xdr:rowOff>
    </xdr:to>
    <xdr:cxnSp macro="">
      <xdr:nvCxnSpPr>
        <xdr:cNvPr id="246" name="Straight Connector 245"/>
        <xdr:cNvCxnSpPr/>
      </xdr:nvCxnSpPr>
      <xdr:spPr>
        <a:xfrm>
          <a:off x="2973457" y="86666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459</xdr:row>
      <xdr:rowOff>74935</xdr:rowOff>
    </xdr:from>
    <xdr:to>
      <xdr:col>5</xdr:col>
      <xdr:colOff>2924</xdr:colOff>
      <xdr:row>459</xdr:row>
      <xdr:rowOff>74935</xdr:rowOff>
    </xdr:to>
    <xdr:cxnSp macro="">
      <xdr:nvCxnSpPr>
        <xdr:cNvPr id="247" name="Straight Connector 246"/>
        <xdr:cNvCxnSpPr/>
      </xdr:nvCxnSpPr>
      <xdr:spPr>
        <a:xfrm>
          <a:off x="2973457" y="87809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456</xdr:row>
      <xdr:rowOff>74935</xdr:rowOff>
    </xdr:from>
    <xdr:to>
      <xdr:col>5</xdr:col>
      <xdr:colOff>2924</xdr:colOff>
      <xdr:row>456</xdr:row>
      <xdr:rowOff>74935</xdr:rowOff>
    </xdr:to>
    <xdr:cxnSp macro="">
      <xdr:nvCxnSpPr>
        <xdr:cNvPr id="248" name="Straight Connector 247"/>
        <xdr:cNvCxnSpPr/>
      </xdr:nvCxnSpPr>
      <xdr:spPr>
        <a:xfrm>
          <a:off x="2973457" y="87238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465</xdr:row>
      <xdr:rowOff>74935</xdr:rowOff>
    </xdr:from>
    <xdr:to>
      <xdr:col>5</xdr:col>
      <xdr:colOff>2924</xdr:colOff>
      <xdr:row>465</xdr:row>
      <xdr:rowOff>74935</xdr:rowOff>
    </xdr:to>
    <xdr:cxnSp macro="">
      <xdr:nvCxnSpPr>
        <xdr:cNvPr id="249" name="Straight Connector 248"/>
        <xdr:cNvCxnSpPr/>
      </xdr:nvCxnSpPr>
      <xdr:spPr>
        <a:xfrm>
          <a:off x="2973457" y="88952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462</xdr:row>
      <xdr:rowOff>74935</xdr:rowOff>
    </xdr:from>
    <xdr:to>
      <xdr:col>5</xdr:col>
      <xdr:colOff>2924</xdr:colOff>
      <xdr:row>462</xdr:row>
      <xdr:rowOff>74935</xdr:rowOff>
    </xdr:to>
    <xdr:cxnSp macro="">
      <xdr:nvCxnSpPr>
        <xdr:cNvPr id="250" name="Straight Connector 249"/>
        <xdr:cNvCxnSpPr/>
      </xdr:nvCxnSpPr>
      <xdr:spPr>
        <a:xfrm>
          <a:off x="2973457" y="88381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468</xdr:row>
      <xdr:rowOff>74935</xdr:rowOff>
    </xdr:from>
    <xdr:to>
      <xdr:col>5</xdr:col>
      <xdr:colOff>2924</xdr:colOff>
      <xdr:row>468</xdr:row>
      <xdr:rowOff>74935</xdr:rowOff>
    </xdr:to>
    <xdr:cxnSp macro="">
      <xdr:nvCxnSpPr>
        <xdr:cNvPr id="251" name="Straight Connector 250"/>
        <xdr:cNvCxnSpPr/>
      </xdr:nvCxnSpPr>
      <xdr:spPr>
        <a:xfrm>
          <a:off x="2973457" y="89524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474</xdr:row>
      <xdr:rowOff>74935</xdr:rowOff>
    </xdr:from>
    <xdr:to>
      <xdr:col>5</xdr:col>
      <xdr:colOff>2924</xdr:colOff>
      <xdr:row>474</xdr:row>
      <xdr:rowOff>74935</xdr:rowOff>
    </xdr:to>
    <xdr:cxnSp macro="">
      <xdr:nvCxnSpPr>
        <xdr:cNvPr id="252" name="Straight Connector 251"/>
        <xdr:cNvCxnSpPr/>
      </xdr:nvCxnSpPr>
      <xdr:spPr>
        <a:xfrm>
          <a:off x="2973457" y="90667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471</xdr:row>
      <xdr:rowOff>74935</xdr:rowOff>
    </xdr:from>
    <xdr:to>
      <xdr:col>5</xdr:col>
      <xdr:colOff>2924</xdr:colOff>
      <xdr:row>471</xdr:row>
      <xdr:rowOff>74935</xdr:rowOff>
    </xdr:to>
    <xdr:cxnSp macro="">
      <xdr:nvCxnSpPr>
        <xdr:cNvPr id="253" name="Straight Connector 252"/>
        <xdr:cNvCxnSpPr/>
      </xdr:nvCxnSpPr>
      <xdr:spPr>
        <a:xfrm>
          <a:off x="2973457" y="90095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480</xdr:row>
      <xdr:rowOff>74935</xdr:rowOff>
    </xdr:from>
    <xdr:to>
      <xdr:col>5</xdr:col>
      <xdr:colOff>2924</xdr:colOff>
      <xdr:row>480</xdr:row>
      <xdr:rowOff>74935</xdr:rowOff>
    </xdr:to>
    <xdr:cxnSp macro="">
      <xdr:nvCxnSpPr>
        <xdr:cNvPr id="254" name="Straight Connector 253"/>
        <xdr:cNvCxnSpPr/>
      </xdr:nvCxnSpPr>
      <xdr:spPr>
        <a:xfrm>
          <a:off x="2973457" y="91810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477</xdr:row>
      <xdr:rowOff>74935</xdr:rowOff>
    </xdr:from>
    <xdr:to>
      <xdr:col>5</xdr:col>
      <xdr:colOff>2924</xdr:colOff>
      <xdr:row>477</xdr:row>
      <xdr:rowOff>74935</xdr:rowOff>
    </xdr:to>
    <xdr:cxnSp macro="">
      <xdr:nvCxnSpPr>
        <xdr:cNvPr id="255" name="Straight Connector 254"/>
        <xdr:cNvCxnSpPr/>
      </xdr:nvCxnSpPr>
      <xdr:spPr>
        <a:xfrm>
          <a:off x="2973457" y="91238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483</xdr:row>
      <xdr:rowOff>74935</xdr:rowOff>
    </xdr:from>
    <xdr:to>
      <xdr:col>5</xdr:col>
      <xdr:colOff>2924</xdr:colOff>
      <xdr:row>483</xdr:row>
      <xdr:rowOff>74935</xdr:rowOff>
    </xdr:to>
    <xdr:cxnSp macro="">
      <xdr:nvCxnSpPr>
        <xdr:cNvPr id="256" name="Straight Connector 255"/>
        <xdr:cNvCxnSpPr/>
      </xdr:nvCxnSpPr>
      <xdr:spPr>
        <a:xfrm>
          <a:off x="2973457" y="92381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486</xdr:row>
      <xdr:rowOff>74935</xdr:rowOff>
    </xdr:from>
    <xdr:to>
      <xdr:col>5</xdr:col>
      <xdr:colOff>2924</xdr:colOff>
      <xdr:row>486</xdr:row>
      <xdr:rowOff>74935</xdr:rowOff>
    </xdr:to>
    <xdr:cxnSp macro="">
      <xdr:nvCxnSpPr>
        <xdr:cNvPr id="257" name="Straight Connector 256"/>
        <xdr:cNvCxnSpPr/>
      </xdr:nvCxnSpPr>
      <xdr:spPr>
        <a:xfrm>
          <a:off x="2973457" y="92953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489</xdr:row>
      <xdr:rowOff>74935</xdr:rowOff>
    </xdr:from>
    <xdr:to>
      <xdr:col>5</xdr:col>
      <xdr:colOff>2924</xdr:colOff>
      <xdr:row>489</xdr:row>
      <xdr:rowOff>74935</xdr:rowOff>
    </xdr:to>
    <xdr:cxnSp macro="">
      <xdr:nvCxnSpPr>
        <xdr:cNvPr id="258" name="Straight Connector 257"/>
        <xdr:cNvCxnSpPr/>
      </xdr:nvCxnSpPr>
      <xdr:spPr>
        <a:xfrm>
          <a:off x="2973457" y="93524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492</xdr:row>
      <xdr:rowOff>74935</xdr:rowOff>
    </xdr:from>
    <xdr:to>
      <xdr:col>5</xdr:col>
      <xdr:colOff>2924</xdr:colOff>
      <xdr:row>492</xdr:row>
      <xdr:rowOff>74935</xdr:rowOff>
    </xdr:to>
    <xdr:cxnSp macro="">
      <xdr:nvCxnSpPr>
        <xdr:cNvPr id="259" name="Straight Connector 258"/>
        <xdr:cNvCxnSpPr/>
      </xdr:nvCxnSpPr>
      <xdr:spPr>
        <a:xfrm>
          <a:off x="2973457" y="94096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495</xdr:row>
      <xdr:rowOff>74935</xdr:rowOff>
    </xdr:from>
    <xdr:to>
      <xdr:col>5</xdr:col>
      <xdr:colOff>2924</xdr:colOff>
      <xdr:row>495</xdr:row>
      <xdr:rowOff>74935</xdr:rowOff>
    </xdr:to>
    <xdr:cxnSp macro="">
      <xdr:nvCxnSpPr>
        <xdr:cNvPr id="260" name="Straight Connector 259"/>
        <xdr:cNvCxnSpPr/>
      </xdr:nvCxnSpPr>
      <xdr:spPr>
        <a:xfrm>
          <a:off x="2973457" y="94667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498</xdr:row>
      <xdr:rowOff>74935</xdr:rowOff>
    </xdr:from>
    <xdr:to>
      <xdr:col>5</xdr:col>
      <xdr:colOff>2924</xdr:colOff>
      <xdr:row>498</xdr:row>
      <xdr:rowOff>74935</xdr:rowOff>
    </xdr:to>
    <xdr:cxnSp macro="">
      <xdr:nvCxnSpPr>
        <xdr:cNvPr id="261" name="Straight Connector 260"/>
        <xdr:cNvCxnSpPr/>
      </xdr:nvCxnSpPr>
      <xdr:spPr>
        <a:xfrm>
          <a:off x="2973457" y="95239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504</xdr:row>
      <xdr:rowOff>74935</xdr:rowOff>
    </xdr:from>
    <xdr:to>
      <xdr:col>5</xdr:col>
      <xdr:colOff>2924</xdr:colOff>
      <xdr:row>504</xdr:row>
      <xdr:rowOff>74935</xdr:rowOff>
    </xdr:to>
    <xdr:cxnSp macro="">
      <xdr:nvCxnSpPr>
        <xdr:cNvPr id="262" name="Straight Connector 261"/>
        <xdr:cNvCxnSpPr/>
      </xdr:nvCxnSpPr>
      <xdr:spPr>
        <a:xfrm>
          <a:off x="2973457" y="96382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501</xdr:row>
      <xdr:rowOff>74935</xdr:rowOff>
    </xdr:from>
    <xdr:to>
      <xdr:col>5</xdr:col>
      <xdr:colOff>2924</xdr:colOff>
      <xdr:row>501</xdr:row>
      <xdr:rowOff>74935</xdr:rowOff>
    </xdr:to>
    <xdr:cxnSp macro="">
      <xdr:nvCxnSpPr>
        <xdr:cNvPr id="263" name="Straight Connector 262"/>
        <xdr:cNvCxnSpPr/>
      </xdr:nvCxnSpPr>
      <xdr:spPr>
        <a:xfrm>
          <a:off x="2973457" y="95810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510</xdr:row>
      <xdr:rowOff>74935</xdr:rowOff>
    </xdr:from>
    <xdr:to>
      <xdr:col>5</xdr:col>
      <xdr:colOff>2924</xdr:colOff>
      <xdr:row>510</xdr:row>
      <xdr:rowOff>74935</xdr:rowOff>
    </xdr:to>
    <xdr:cxnSp macro="">
      <xdr:nvCxnSpPr>
        <xdr:cNvPr id="264" name="Straight Connector 263"/>
        <xdr:cNvCxnSpPr/>
      </xdr:nvCxnSpPr>
      <xdr:spPr>
        <a:xfrm>
          <a:off x="2973457" y="97525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507</xdr:row>
      <xdr:rowOff>74935</xdr:rowOff>
    </xdr:from>
    <xdr:to>
      <xdr:col>5</xdr:col>
      <xdr:colOff>2924</xdr:colOff>
      <xdr:row>507</xdr:row>
      <xdr:rowOff>74935</xdr:rowOff>
    </xdr:to>
    <xdr:cxnSp macro="">
      <xdr:nvCxnSpPr>
        <xdr:cNvPr id="265" name="Straight Connector 264"/>
        <xdr:cNvCxnSpPr/>
      </xdr:nvCxnSpPr>
      <xdr:spPr>
        <a:xfrm>
          <a:off x="2973457" y="96953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516</xdr:row>
      <xdr:rowOff>74935</xdr:rowOff>
    </xdr:from>
    <xdr:to>
      <xdr:col>5</xdr:col>
      <xdr:colOff>2924</xdr:colOff>
      <xdr:row>516</xdr:row>
      <xdr:rowOff>74935</xdr:rowOff>
    </xdr:to>
    <xdr:cxnSp macro="">
      <xdr:nvCxnSpPr>
        <xdr:cNvPr id="266" name="Straight Connector 265"/>
        <xdr:cNvCxnSpPr/>
      </xdr:nvCxnSpPr>
      <xdr:spPr>
        <a:xfrm>
          <a:off x="2973457" y="98668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513</xdr:row>
      <xdr:rowOff>74935</xdr:rowOff>
    </xdr:from>
    <xdr:to>
      <xdr:col>5</xdr:col>
      <xdr:colOff>2924</xdr:colOff>
      <xdr:row>513</xdr:row>
      <xdr:rowOff>74935</xdr:rowOff>
    </xdr:to>
    <xdr:cxnSp macro="">
      <xdr:nvCxnSpPr>
        <xdr:cNvPr id="267" name="Straight Connector 266"/>
        <xdr:cNvCxnSpPr/>
      </xdr:nvCxnSpPr>
      <xdr:spPr>
        <a:xfrm>
          <a:off x="2973457" y="98096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522</xdr:row>
      <xdr:rowOff>74935</xdr:rowOff>
    </xdr:from>
    <xdr:to>
      <xdr:col>5</xdr:col>
      <xdr:colOff>2924</xdr:colOff>
      <xdr:row>522</xdr:row>
      <xdr:rowOff>74935</xdr:rowOff>
    </xdr:to>
    <xdr:cxnSp macro="">
      <xdr:nvCxnSpPr>
        <xdr:cNvPr id="268" name="Straight Connector 267"/>
        <xdr:cNvCxnSpPr/>
      </xdr:nvCxnSpPr>
      <xdr:spPr>
        <a:xfrm>
          <a:off x="2973457" y="99811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519</xdr:row>
      <xdr:rowOff>74935</xdr:rowOff>
    </xdr:from>
    <xdr:to>
      <xdr:col>5</xdr:col>
      <xdr:colOff>2924</xdr:colOff>
      <xdr:row>519</xdr:row>
      <xdr:rowOff>74935</xdr:rowOff>
    </xdr:to>
    <xdr:cxnSp macro="">
      <xdr:nvCxnSpPr>
        <xdr:cNvPr id="269" name="Straight Connector 268"/>
        <xdr:cNvCxnSpPr/>
      </xdr:nvCxnSpPr>
      <xdr:spPr>
        <a:xfrm>
          <a:off x="2973457" y="99239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540</xdr:row>
      <xdr:rowOff>74935</xdr:rowOff>
    </xdr:from>
    <xdr:to>
      <xdr:col>5</xdr:col>
      <xdr:colOff>2924</xdr:colOff>
      <xdr:row>540</xdr:row>
      <xdr:rowOff>74935</xdr:rowOff>
    </xdr:to>
    <xdr:cxnSp macro="">
      <xdr:nvCxnSpPr>
        <xdr:cNvPr id="270" name="Straight Connector 269"/>
        <xdr:cNvCxnSpPr/>
      </xdr:nvCxnSpPr>
      <xdr:spPr>
        <a:xfrm>
          <a:off x="2973457" y="103240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537</xdr:row>
      <xdr:rowOff>74935</xdr:rowOff>
    </xdr:from>
    <xdr:to>
      <xdr:col>5</xdr:col>
      <xdr:colOff>2924</xdr:colOff>
      <xdr:row>537</xdr:row>
      <xdr:rowOff>74935</xdr:rowOff>
    </xdr:to>
    <xdr:cxnSp macro="">
      <xdr:nvCxnSpPr>
        <xdr:cNvPr id="271" name="Straight Connector 270"/>
        <xdr:cNvCxnSpPr/>
      </xdr:nvCxnSpPr>
      <xdr:spPr>
        <a:xfrm>
          <a:off x="2973457" y="102668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528</xdr:row>
      <xdr:rowOff>74935</xdr:rowOff>
    </xdr:from>
    <xdr:to>
      <xdr:col>5</xdr:col>
      <xdr:colOff>2924</xdr:colOff>
      <xdr:row>528</xdr:row>
      <xdr:rowOff>74935</xdr:rowOff>
    </xdr:to>
    <xdr:cxnSp macro="">
      <xdr:nvCxnSpPr>
        <xdr:cNvPr id="272" name="Straight Connector 271"/>
        <xdr:cNvCxnSpPr/>
      </xdr:nvCxnSpPr>
      <xdr:spPr>
        <a:xfrm>
          <a:off x="2973457" y="100954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525</xdr:row>
      <xdr:rowOff>74935</xdr:rowOff>
    </xdr:from>
    <xdr:to>
      <xdr:col>5</xdr:col>
      <xdr:colOff>2924</xdr:colOff>
      <xdr:row>525</xdr:row>
      <xdr:rowOff>74935</xdr:rowOff>
    </xdr:to>
    <xdr:cxnSp macro="">
      <xdr:nvCxnSpPr>
        <xdr:cNvPr id="273" name="Straight Connector 272"/>
        <xdr:cNvCxnSpPr/>
      </xdr:nvCxnSpPr>
      <xdr:spPr>
        <a:xfrm>
          <a:off x="2973457" y="100382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534</xdr:row>
      <xdr:rowOff>74935</xdr:rowOff>
    </xdr:from>
    <xdr:to>
      <xdr:col>5</xdr:col>
      <xdr:colOff>2924</xdr:colOff>
      <xdr:row>534</xdr:row>
      <xdr:rowOff>74935</xdr:rowOff>
    </xdr:to>
    <xdr:cxnSp macro="">
      <xdr:nvCxnSpPr>
        <xdr:cNvPr id="274" name="Straight Connector 273"/>
        <xdr:cNvCxnSpPr/>
      </xdr:nvCxnSpPr>
      <xdr:spPr>
        <a:xfrm>
          <a:off x="2973457" y="102097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531</xdr:row>
      <xdr:rowOff>74935</xdr:rowOff>
    </xdr:from>
    <xdr:to>
      <xdr:col>5</xdr:col>
      <xdr:colOff>2924</xdr:colOff>
      <xdr:row>531</xdr:row>
      <xdr:rowOff>74935</xdr:rowOff>
    </xdr:to>
    <xdr:cxnSp macro="">
      <xdr:nvCxnSpPr>
        <xdr:cNvPr id="275" name="Straight Connector 274"/>
        <xdr:cNvCxnSpPr/>
      </xdr:nvCxnSpPr>
      <xdr:spPr>
        <a:xfrm>
          <a:off x="2973457" y="101525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549</xdr:row>
      <xdr:rowOff>74935</xdr:rowOff>
    </xdr:from>
    <xdr:to>
      <xdr:col>5</xdr:col>
      <xdr:colOff>2924</xdr:colOff>
      <xdr:row>549</xdr:row>
      <xdr:rowOff>74935</xdr:rowOff>
    </xdr:to>
    <xdr:cxnSp macro="">
      <xdr:nvCxnSpPr>
        <xdr:cNvPr id="276" name="Straight Connector 275"/>
        <xdr:cNvCxnSpPr/>
      </xdr:nvCxnSpPr>
      <xdr:spPr>
        <a:xfrm>
          <a:off x="2973457" y="104954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543</xdr:row>
      <xdr:rowOff>74935</xdr:rowOff>
    </xdr:from>
    <xdr:to>
      <xdr:col>5</xdr:col>
      <xdr:colOff>2924</xdr:colOff>
      <xdr:row>543</xdr:row>
      <xdr:rowOff>74935</xdr:rowOff>
    </xdr:to>
    <xdr:cxnSp macro="">
      <xdr:nvCxnSpPr>
        <xdr:cNvPr id="277" name="Straight Connector 276"/>
        <xdr:cNvCxnSpPr/>
      </xdr:nvCxnSpPr>
      <xdr:spPr>
        <a:xfrm>
          <a:off x="2973457" y="103811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546</xdr:row>
      <xdr:rowOff>74935</xdr:rowOff>
    </xdr:from>
    <xdr:to>
      <xdr:col>5</xdr:col>
      <xdr:colOff>2924</xdr:colOff>
      <xdr:row>546</xdr:row>
      <xdr:rowOff>74935</xdr:rowOff>
    </xdr:to>
    <xdr:cxnSp macro="">
      <xdr:nvCxnSpPr>
        <xdr:cNvPr id="278" name="Straight Connector 277"/>
        <xdr:cNvCxnSpPr/>
      </xdr:nvCxnSpPr>
      <xdr:spPr>
        <a:xfrm>
          <a:off x="2973457" y="104383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552</xdr:row>
      <xdr:rowOff>74935</xdr:rowOff>
    </xdr:from>
    <xdr:to>
      <xdr:col>5</xdr:col>
      <xdr:colOff>2924</xdr:colOff>
      <xdr:row>552</xdr:row>
      <xdr:rowOff>74935</xdr:rowOff>
    </xdr:to>
    <xdr:cxnSp macro="">
      <xdr:nvCxnSpPr>
        <xdr:cNvPr id="279" name="Straight Connector 278"/>
        <xdr:cNvCxnSpPr/>
      </xdr:nvCxnSpPr>
      <xdr:spPr>
        <a:xfrm>
          <a:off x="2973457" y="105526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558</xdr:row>
      <xdr:rowOff>74935</xdr:rowOff>
    </xdr:from>
    <xdr:to>
      <xdr:col>5</xdr:col>
      <xdr:colOff>2924</xdr:colOff>
      <xdr:row>558</xdr:row>
      <xdr:rowOff>74935</xdr:rowOff>
    </xdr:to>
    <xdr:cxnSp macro="">
      <xdr:nvCxnSpPr>
        <xdr:cNvPr id="280" name="Straight Connector 279"/>
        <xdr:cNvCxnSpPr/>
      </xdr:nvCxnSpPr>
      <xdr:spPr>
        <a:xfrm>
          <a:off x="2973457" y="106669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555</xdr:row>
      <xdr:rowOff>74935</xdr:rowOff>
    </xdr:from>
    <xdr:to>
      <xdr:col>5</xdr:col>
      <xdr:colOff>2924</xdr:colOff>
      <xdr:row>555</xdr:row>
      <xdr:rowOff>74935</xdr:rowOff>
    </xdr:to>
    <xdr:cxnSp macro="">
      <xdr:nvCxnSpPr>
        <xdr:cNvPr id="281" name="Straight Connector 280"/>
        <xdr:cNvCxnSpPr/>
      </xdr:nvCxnSpPr>
      <xdr:spPr>
        <a:xfrm>
          <a:off x="2973457" y="106097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561</xdr:row>
      <xdr:rowOff>74935</xdr:rowOff>
    </xdr:from>
    <xdr:to>
      <xdr:col>5</xdr:col>
      <xdr:colOff>2924</xdr:colOff>
      <xdr:row>561</xdr:row>
      <xdr:rowOff>74935</xdr:rowOff>
    </xdr:to>
    <xdr:cxnSp macro="">
      <xdr:nvCxnSpPr>
        <xdr:cNvPr id="282" name="Straight Connector 281"/>
        <xdr:cNvCxnSpPr/>
      </xdr:nvCxnSpPr>
      <xdr:spPr>
        <a:xfrm>
          <a:off x="2973457" y="107240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567</xdr:row>
      <xdr:rowOff>74935</xdr:rowOff>
    </xdr:from>
    <xdr:to>
      <xdr:col>5</xdr:col>
      <xdr:colOff>2924</xdr:colOff>
      <xdr:row>567</xdr:row>
      <xdr:rowOff>74935</xdr:rowOff>
    </xdr:to>
    <xdr:cxnSp macro="">
      <xdr:nvCxnSpPr>
        <xdr:cNvPr id="283" name="Straight Connector 282"/>
        <xdr:cNvCxnSpPr/>
      </xdr:nvCxnSpPr>
      <xdr:spPr>
        <a:xfrm>
          <a:off x="2973457" y="108383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573</xdr:row>
      <xdr:rowOff>74935</xdr:rowOff>
    </xdr:from>
    <xdr:to>
      <xdr:col>5</xdr:col>
      <xdr:colOff>2924</xdr:colOff>
      <xdr:row>573</xdr:row>
      <xdr:rowOff>74935</xdr:rowOff>
    </xdr:to>
    <xdr:cxnSp macro="">
      <xdr:nvCxnSpPr>
        <xdr:cNvPr id="284" name="Straight Connector 283"/>
        <xdr:cNvCxnSpPr/>
      </xdr:nvCxnSpPr>
      <xdr:spPr>
        <a:xfrm>
          <a:off x="2973457" y="109526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570</xdr:row>
      <xdr:rowOff>74935</xdr:rowOff>
    </xdr:from>
    <xdr:to>
      <xdr:col>5</xdr:col>
      <xdr:colOff>2924</xdr:colOff>
      <xdr:row>570</xdr:row>
      <xdr:rowOff>74935</xdr:rowOff>
    </xdr:to>
    <xdr:cxnSp macro="">
      <xdr:nvCxnSpPr>
        <xdr:cNvPr id="285" name="Straight Connector 284"/>
        <xdr:cNvCxnSpPr/>
      </xdr:nvCxnSpPr>
      <xdr:spPr>
        <a:xfrm>
          <a:off x="2973457" y="108955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564</xdr:row>
      <xdr:rowOff>74935</xdr:rowOff>
    </xdr:from>
    <xdr:to>
      <xdr:col>5</xdr:col>
      <xdr:colOff>2924</xdr:colOff>
      <xdr:row>564</xdr:row>
      <xdr:rowOff>74935</xdr:rowOff>
    </xdr:to>
    <xdr:cxnSp macro="">
      <xdr:nvCxnSpPr>
        <xdr:cNvPr id="286" name="Straight Connector 285"/>
        <xdr:cNvCxnSpPr/>
      </xdr:nvCxnSpPr>
      <xdr:spPr>
        <a:xfrm>
          <a:off x="2973457" y="107812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616</xdr:row>
      <xdr:rowOff>74934</xdr:rowOff>
    </xdr:from>
    <xdr:to>
      <xdr:col>5</xdr:col>
      <xdr:colOff>14130</xdr:colOff>
      <xdr:row>616</xdr:row>
      <xdr:rowOff>74934</xdr:rowOff>
    </xdr:to>
    <xdr:cxnSp macro="">
      <xdr:nvCxnSpPr>
        <xdr:cNvPr id="287" name="Straight Connector 286"/>
        <xdr:cNvCxnSpPr/>
      </xdr:nvCxnSpPr>
      <xdr:spPr>
        <a:xfrm>
          <a:off x="2985223" y="110288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619</xdr:row>
      <xdr:rowOff>86140</xdr:rowOff>
    </xdr:from>
    <xdr:to>
      <xdr:col>5</xdr:col>
      <xdr:colOff>14130</xdr:colOff>
      <xdr:row>619</xdr:row>
      <xdr:rowOff>86140</xdr:rowOff>
    </xdr:to>
    <xdr:cxnSp macro="">
      <xdr:nvCxnSpPr>
        <xdr:cNvPr id="288" name="Straight Connector 287"/>
        <xdr:cNvCxnSpPr/>
      </xdr:nvCxnSpPr>
      <xdr:spPr>
        <a:xfrm>
          <a:off x="2985223" y="1108714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622</xdr:row>
      <xdr:rowOff>74934</xdr:rowOff>
    </xdr:from>
    <xdr:to>
      <xdr:col>5</xdr:col>
      <xdr:colOff>14130</xdr:colOff>
      <xdr:row>622</xdr:row>
      <xdr:rowOff>74934</xdr:rowOff>
    </xdr:to>
    <xdr:cxnSp macro="">
      <xdr:nvCxnSpPr>
        <xdr:cNvPr id="289" name="Straight Connector 288"/>
        <xdr:cNvCxnSpPr/>
      </xdr:nvCxnSpPr>
      <xdr:spPr>
        <a:xfrm>
          <a:off x="2985223" y="111431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625</xdr:row>
      <xdr:rowOff>86140</xdr:rowOff>
    </xdr:from>
    <xdr:to>
      <xdr:col>5</xdr:col>
      <xdr:colOff>14130</xdr:colOff>
      <xdr:row>625</xdr:row>
      <xdr:rowOff>86140</xdr:rowOff>
    </xdr:to>
    <xdr:cxnSp macro="">
      <xdr:nvCxnSpPr>
        <xdr:cNvPr id="290" name="Straight Connector 289"/>
        <xdr:cNvCxnSpPr/>
      </xdr:nvCxnSpPr>
      <xdr:spPr>
        <a:xfrm>
          <a:off x="2985223" y="1120144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628</xdr:row>
      <xdr:rowOff>74934</xdr:rowOff>
    </xdr:from>
    <xdr:to>
      <xdr:col>5</xdr:col>
      <xdr:colOff>14130</xdr:colOff>
      <xdr:row>628</xdr:row>
      <xdr:rowOff>74934</xdr:rowOff>
    </xdr:to>
    <xdr:cxnSp macro="">
      <xdr:nvCxnSpPr>
        <xdr:cNvPr id="291" name="Straight Connector 290"/>
        <xdr:cNvCxnSpPr/>
      </xdr:nvCxnSpPr>
      <xdr:spPr>
        <a:xfrm>
          <a:off x="2985223" y="112574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634</xdr:row>
      <xdr:rowOff>86140</xdr:rowOff>
    </xdr:from>
    <xdr:to>
      <xdr:col>5</xdr:col>
      <xdr:colOff>14130</xdr:colOff>
      <xdr:row>634</xdr:row>
      <xdr:rowOff>86140</xdr:rowOff>
    </xdr:to>
    <xdr:cxnSp macro="">
      <xdr:nvCxnSpPr>
        <xdr:cNvPr id="292" name="Straight Connector 291"/>
        <xdr:cNvCxnSpPr/>
      </xdr:nvCxnSpPr>
      <xdr:spPr>
        <a:xfrm>
          <a:off x="2985223" y="1137289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631</xdr:row>
      <xdr:rowOff>74934</xdr:rowOff>
    </xdr:from>
    <xdr:to>
      <xdr:col>5</xdr:col>
      <xdr:colOff>14130</xdr:colOff>
      <xdr:row>631</xdr:row>
      <xdr:rowOff>74934</xdr:rowOff>
    </xdr:to>
    <xdr:cxnSp macro="">
      <xdr:nvCxnSpPr>
        <xdr:cNvPr id="293" name="Straight Connector 292"/>
        <xdr:cNvCxnSpPr/>
      </xdr:nvCxnSpPr>
      <xdr:spPr>
        <a:xfrm>
          <a:off x="2985223" y="113146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637</xdr:row>
      <xdr:rowOff>86140</xdr:rowOff>
    </xdr:from>
    <xdr:to>
      <xdr:col>5</xdr:col>
      <xdr:colOff>14130</xdr:colOff>
      <xdr:row>637</xdr:row>
      <xdr:rowOff>86140</xdr:rowOff>
    </xdr:to>
    <xdr:cxnSp macro="">
      <xdr:nvCxnSpPr>
        <xdr:cNvPr id="294" name="Straight Connector 293"/>
        <xdr:cNvCxnSpPr/>
      </xdr:nvCxnSpPr>
      <xdr:spPr>
        <a:xfrm>
          <a:off x="2985223" y="1143004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643</xdr:row>
      <xdr:rowOff>86140</xdr:rowOff>
    </xdr:from>
    <xdr:to>
      <xdr:col>5</xdr:col>
      <xdr:colOff>14130</xdr:colOff>
      <xdr:row>643</xdr:row>
      <xdr:rowOff>86140</xdr:rowOff>
    </xdr:to>
    <xdr:cxnSp macro="">
      <xdr:nvCxnSpPr>
        <xdr:cNvPr id="295" name="Straight Connector 294"/>
        <xdr:cNvCxnSpPr/>
      </xdr:nvCxnSpPr>
      <xdr:spPr>
        <a:xfrm>
          <a:off x="2985223" y="1154434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640</xdr:row>
      <xdr:rowOff>74934</xdr:rowOff>
    </xdr:from>
    <xdr:to>
      <xdr:col>5</xdr:col>
      <xdr:colOff>14130</xdr:colOff>
      <xdr:row>640</xdr:row>
      <xdr:rowOff>74934</xdr:rowOff>
    </xdr:to>
    <xdr:cxnSp macro="">
      <xdr:nvCxnSpPr>
        <xdr:cNvPr id="296" name="Straight Connector 295"/>
        <xdr:cNvCxnSpPr/>
      </xdr:nvCxnSpPr>
      <xdr:spPr>
        <a:xfrm>
          <a:off x="2985223" y="114860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649</xdr:row>
      <xdr:rowOff>86140</xdr:rowOff>
    </xdr:from>
    <xdr:to>
      <xdr:col>5</xdr:col>
      <xdr:colOff>14130</xdr:colOff>
      <xdr:row>649</xdr:row>
      <xdr:rowOff>86140</xdr:rowOff>
    </xdr:to>
    <xdr:cxnSp macro="">
      <xdr:nvCxnSpPr>
        <xdr:cNvPr id="297" name="Straight Connector 296"/>
        <xdr:cNvCxnSpPr/>
      </xdr:nvCxnSpPr>
      <xdr:spPr>
        <a:xfrm>
          <a:off x="2985223" y="1165864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646</xdr:row>
      <xdr:rowOff>74934</xdr:rowOff>
    </xdr:from>
    <xdr:to>
      <xdr:col>5</xdr:col>
      <xdr:colOff>14130</xdr:colOff>
      <xdr:row>646</xdr:row>
      <xdr:rowOff>74934</xdr:rowOff>
    </xdr:to>
    <xdr:cxnSp macro="">
      <xdr:nvCxnSpPr>
        <xdr:cNvPr id="298" name="Straight Connector 297"/>
        <xdr:cNvCxnSpPr/>
      </xdr:nvCxnSpPr>
      <xdr:spPr>
        <a:xfrm>
          <a:off x="2985223" y="116003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652</xdr:row>
      <xdr:rowOff>86140</xdr:rowOff>
    </xdr:from>
    <xdr:to>
      <xdr:col>5</xdr:col>
      <xdr:colOff>14130</xdr:colOff>
      <xdr:row>652</xdr:row>
      <xdr:rowOff>86140</xdr:rowOff>
    </xdr:to>
    <xdr:cxnSp macro="">
      <xdr:nvCxnSpPr>
        <xdr:cNvPr id="299" name="Straight Connector 298"/>
        <xdr:cNvCxnSpPr/>
      </xdr:nvCxnSpPr>
      <xdr:spPr>
        <a:xfrm>
          <a:off x="2985223" y="1171579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655</xdr:row>
      <xdr:rowOff>74934</xdr:rowOff>
    </xdr:from>
    <xdr:to>
      <xdr:col>5</xdr:col>
      <xdr:colOff>14130</xdr:colOff>
      <xdr:row>655</xdr:row>
      <xdr:rowOff>74934</xdr:rowOff>
    </xdr:to>
    <xdr:cxnSp macro="">
      <xdr:nvCxnSpPr>
        <xdr:cNvPr id="300" name="Straight Connector 299"/>
        <xdr:cNvCxnSpPr/>
      </xdr:nvCxnSpPr>
      <xdr:spPr>
        <a:xfrm>
          <a:off x="2985223" y="117718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658</xdr:row>
      <xdr:rowOff>74934</xdr:rowOff>
    </xdr:from>
    <xdr:to>
      <xdr:col>5</xdr:col>
      <xdr:colOff>14130</xdr:colOff>
      <xdr:row>658</xdr:row>
      <xdr:rowOff>74934</xdr:rowOff>
    </xdr:to>
    <xdr:cxnSp macro="">
      <xdr:nvCxnSpPr>
        <xdr:cNvPr id="301" name="Straight Connector 300"/>
        <xdr:cNvCxnSpPr/>
      </xdr:nvCxnSpPr>
      <xdr:spPr>
        <a:xfrm>
          <a:off x="2985223" y="118289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661</xdr:row>
      <xdr:rowOff>74934</xdr:rowOff>
    </xdr:from>
    <xdr:to>
      <xdr:col>5</xdr:col>
      <xdr:colOff>14130</xdr:colOff>
      <xdr:row>661</xdr:row>
      <xdr:rowOff>74934</xdr:rowOff>
    </xdr:to>
    <xdr:cxnSp macro="">
      <xdr:nvCxnSpPr>
        <xdr:cNvPr id="302" name="Straight Connector 301"/>
        <xdr:cNvCxnSpPr/>
      </xdr:nvCxnSpPr>
      <xdr:spPr>
        <a:xfrm>
          <a:off x="2985223" y="118861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664</xdr:row>
      <xdr:rowOff>74934</xdr:rowOff>
    </xdr:from>
    <xdr:to>
      <xdr:col>5</xdr:col>
      <xdr:colOff>14130</xdr:colOff>
      <xdr:row>664</xdr:row>
      <xdr:rowOff>74934</xdr:rowOff>
    </xdr:to>
    <xdr:cxnSp macro="">
      <xdr:nvCxnSpPr>
        <xdr:cNvPr id="303" name="Straight Connector 302"/>
        <xdr:cNvCxnSpPr/>
      </xdr:nvCxnSpPr>
      <xdr:spPr>
        <a:xfrm>
          <a:off x="2985223" y="119432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667</xdr:row>
      <xdr:rowOff>74934</xdr:rowOff>
    </xdr:from>
    <xdr:to>
      <xdr:col>5</xdr:col>
      <xdr:colOff>14130</xdr:colOff>
      <xdr:row>667</xdr:row>
      <xdr:rowOff>74934</xdr:rowOff>
    </xdr:to>
    <xdr:cxnSp macro="">
      <xdr:nvCxnSpPr>
        <xdr:cNvPr id="304" name="Straight Connector 303"/>
        <xdr:cNvCxnSpPr/>
      </xdr:nvCxnSpPr>
      <xdr:spPr>
        <a:xfrm>
          <a:off x="2985223" y="120004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670</xdr:row>
      <xdr:rowOff>74934</xdr:rowOff>
    </xdr:from>
    <xdr:to>
      <xdr:col>5</xdr:col>
      <xdr:colOff>14130</xdr:colOff>
      <xdr:row>670</xdr:row>
      <xdr:rowOff>74934</xdr:rowOff>
    </xdr:to>
    <xdr:cxnSp macro="">
      <xdr:nvCxnSpPr>
        <xdr:cNvPr id="305" name="Straight Connector 304"/>
        <xdr:cNvCxnSpPr/>
      </xdr:nvCxnSpPr>
      <xdr:spPr>
        <a:xfrm>
          <a:off x="2985223" y="120575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673</xdr:row>
      <xdr:rowOff>74934</xdr:rowOff>
    </xdr:from>
    <xdr:to>
      <xdr:col>5</xdr:col>
      <xdr:colOff>14130</xdr:colOff>
      <xdr:row>673</xdr:row>
      <xdr:rowOff>74934</xdr:rowOff>
    </xdr:to>
    <xdr:cxnSp macro="">
      <xdr:nvCxnSpPr>
        <xdr:cNvPr id="306" name="Straight Connector 305"/>
        <xdr:cNvCxnSpPr/>
      </xdr:nvCxnSpPr>
      <xdr:spPr>
        <a:xfrm>
          <a:off x="2985223" y="121147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676</xdr:row>
      <xdr:rowOff>74934</xdr:rowOff>
    </xdr:from>
    <xdr:to>
      <xdr:col>5</xdr:col>
      <xdr:colOff>14130</xdr:colOff>
      <xdr:row>676</xdr:row>
      <xdr:rowOff>74934</xdr:rowOff>
    </xdr:to>
    <xdr:cxnSp macro="">
      <xdr:nvCxnSpPr>
        <xdr:cNvPr id="307" name="Straight Connector 306"/>
        <xdr:cNvCxnSpPr/>
      </xdr:nvCxnSpPr>
      <xdr:spPr>
        <a:xfrm>
          <a:off x="2985223" y="121718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679</xdr:row>
      <xdr:rowOff>74934</xdr:rowOff>
    </xdr:from>
    <xdr:to>
      <xdr:col>5</xdr:col>
      <xdr:colOff>14130</xdr:colOff>
      <xdr:row>679</xdr:row>
      <xdr:rowOff>74934</xdr:rowOff>
    </xdr:to>
    <xdr:cxnSp macro="">
      <xdr:nvCxnSpPr>
        <xdr:cNvPr id="308" name="Straight Connector 307"/>
        <xdr:cNvCxnSpPr/>
      </xdr:nvCxnSpPr>
      <xdr:spPr>
        <a:xfrm>
          <a:off x="2985223" y="122290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682</xdr:row>
      <xdr:rowOff>74934</xdr:rowOff>
    </xdr:from>
    <xdr:to>
      <xdr:col>5</xdr:col>
      <xdr:colOff>14130</xdr:colOff>
      <xdr:row>682</xdr:row>
      <xdr:rowOff>74934</xdr:rowOff>
    </xdr:to>
    <xdr:cxnSp macro="">
      <xdr:nvCxnSpPr>
        <xdr:cNvPr id="309" name="Straight Connector 308"/>
        <xdr:cNvCxnSpPr/>
      </xdr:nvCxnSpPr>
      <xdr:spPr>
        <a:xfrm>
          <a:off x="2985223" y="122861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685</xdr:row>
      <xdr:rowOff>74934</xdr:rowOff>
    </xdr:from>
    <xdr:to>
      <xdr:col>5</xdr:col>
      <xdr:colOff>14130</xdr:colOff>
      <xdr:row>685</xdr:row>
      <xdr:rowOff>74934</xdr:rowOff>
    </xdr:to>
    <xdr:cxnSp macro="">
      <xdr:nvCxnSpPr>
        <xdr:cNvPr id="310" name="Straight Connector 309"/>
        <xdr:cNvCxnSpPr/>
      </xdr:nvCxnSpPr>
      <xdr:spPr>
        <a:xfrm>
          <a:off x="2985223" y="123433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688</xdr:row>
      <xdr:rowOff>74934</xdr:rowOff>
    </xdr:from>
    <xdr:to>
      <xdr:col>5</xdr:col>
      <xdr:colOff>14130</xdr:colOff>
      <xdr:row>688</xdr:row>
      <xdr:rowOff>74934</xdr:rowOff>
    </xdr:to>
    <xdr:cxnSp macro="">
      <xdr:nvCxnSpPr>
        <xdr:cNvPr id="311" name="Straight Connector 310"/>
        <xdr:cNvCxnSpPr/>
      </xdr:nvCxnSpPr>
      <xdr:spPr>
        <a:xfrm>
          <a:off x="2985223" y="124004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691</xdr:row>
      <xdr:rowOff>74934</xdr:rowOff>
    </xdr:from>
    <xdr:to>
      <xdr:col>5</xdr:col>
      <xdr:colOff>14130</xdr:colOff>
      <xdr:row>691</xdr:row>
      <xdr:rowOff>74934</xdr:rowOff>
    </xdr:to>
    <xdr:cxnSp macro="">
      <xdr:nvCxnSpPr>
        <xdr:cNvPr id="312" name="Straight Connector 311"/>
        <xdr:cNvCxnSpPr/>
      </xdr:nvCxnSpPr>
      <xdr:spPr>
        <a:xfrm>
          <a:off x="2985223" y="124576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694</xdr:row>
      <xdr:rowOff>74934</xdr:rowOff>
    </xdr:from>
    <xdr:to>
      <xdr:col>5</xdr:col>
      <xdr:colOff>14130</xdr:colOff>
      <xdr:row>694</xdr:row>
      <xdr:rowOff>74934</xdr:rowOff>
    </xdr:to>
    <xdr:cxnSp macro="">
      <xdr:nvCxnSpPr>
        <xdr:cNvPr id="313" name="Straight Connector 312"/>
        <xdr:cNvCxnSpPr/>
      </xdr:nvCxnSpPr>
      <xdr:spPr>
        <a:xfrm>
          <a:off x="2985223" y="125147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697</xdr:row>
      <xdr:rowOff>74934</xdr:rowOff>
    </xdr:from>
    <xdr:to>
      <xdr:col>5</xdr:col>
      <xdr:colOff>14130</xdr:colOff>
      <xdr:row>697</xdr:row>
      <xdr:rowOff>74934</xdr:rowOff>
    </xdr:to>
    <xdr:cxnSp macro="">
      <xdr:nvCxnSpPr>
        <xdr:cNvPr id="314" name="Straight Connector 313"/>
        <xdr:cNvCxnSpPr/>
      </xdr:nvCxnSpPr>
      <xdr:spPr>
        <a:xfrm>
          <a:off x="2985223" y="125719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700</xdr:row>
      <xdr:rowOff>74934</xdr:rowOff>
    </xdr:from>
    <xdr:to>
      <xdr:col>5</xdr:col>
      <xdr:colOff>14130</xdr:colOff>
      <xdr:row>700</xdr:row>
      <xdr:rowOff>74934</xdr:rowOff>
    </xdr:to>
    <xdr:cxnSp macro="">
      <xdr:nvCxnSpPr>
        <xdr:cNvPr id="315" name="Straight Connector 314"/>
        <xdr:cNvCxnSpPr/>
      </xdr:nvCxnSpPr>
      <xdr:spPr>
        <a:xfrm>
          <a:off x="2985223" y="126290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703</xdr:row>
      <xdr:rowOff>74934</xdr:rowOff>
    </xdr:from>
    <xdr:to>
      <xdr:col>5</xdr:col>
      <xdr:colOff>14130</xdr:colOff>
      <xdr:row>703</xdr:row>
      <xdr:rowOff>74934</xdr:rowOff>
    </xdr:to>
    <xdr:cxnSp macro="">
      <xdr:nvCxnSpPr>
        <xdr:cNvPr id="316" name="Straight Connector 315"/>
        <xdr:cNvCxnSpPr/>
      </xdr:nvCxnSpPr>
      <xdr:spPr>
        <a:xfrm>
          <a:off x="2985223" y="126862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706</xdr:row>
      <xdr:rowOff>74934</xdr:rowOff>
    </xdr:from>
    <xdr:to>
      <xdr:col>5</xdr:col>
      <xdr:colOff>14130</xdr:colOff>
      <xdr:row>706</xdr:row>
      <xdr:rowOff>74934</xdr:rowOff>
    </xdr:to>
    <xdr:cxnSp macro="">
      <xdr:nvCxnSpPr>
        <xdr:cNvPr id="317" name="Straight Connector 316"/>
        <xdr:cNvCxnSpPr/>
      </xdr:nvCxnSpPr>
      <xdr:spPr>
        <a:xfrm>
          <a:off x="2985223" y="127433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712</xdr:row>
      <xdr:rowOff>86140</xdr:rowOff>
    </xdr:from>
    <xdr:to>
      <xdr:col>5</xdr:col>
      <xdr:colOff>14130</xdr:colOff>
      <xdr:row>712</xdr:row>
      <xdr:rowOff>86140</xdr:rowOff>
    </xdr:to>
    <xdr:cxnSp macro="">
      <xdr:nvCxnSpPr>
        <xdr:cNvPr id="318" name="Straight Connector 317"/>
        <xdr:cNvCxnSpPr/>
      </xdr:nvCxnSpPr>
      <xdr:spPr>
        <a:xfrm>
          <a:off x="2985223" y="1285879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709</xdr:row>
      <xdr:rowOff>74934</xdr:rowOff>
    </xdr:from>
    <xdr:to>
      <xdr:col>5</xdr:col>
      <xdr:colOff>14130</xdr:colOff>
      <xdr:row>709</xdr:row>
      <xdr:rowOff>74934</xdr:rowOff>
    </xdr:to>
    <xdr:cxnSp macro="">
      <xdr:nvCxnSpPr>
        <xdr:cNvPr id="319" name="Straight Connector 318"/>
        <xdr:cNvCxnSpPr/>
      </xdr:nvCxnSpPr>
      <xdr:spPr>
        <a:xfrm>
          <a:off x="2985223" y="128005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715</xdr:row>
      <xdr:rowOff>86140</xdr:rowOff>
    </xdr:from>
    <xdr:to>
      <xdr:col>5</xdr:col>
      <xdr:colOff>14130</xdr:colOff>
      <xdr:row>715</xdr:row>
      <xdr:rowOff>86140</xdr:rowOff>
    </xdr:to>
    <xdr:cxnSp macro="">
      <xdr:nvCxnSpPr>
        <xdr:cNvPr id="320" name="Straight Connector 319"/>
        <xdr:cNvCxnSpPr/>
      </xdr:nvCxnSpPr>
      <xdr:spPr>
        <a:xfrm>
          <a:off x="2985223" y="1291594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721</xdr:row>
      <xdr:rowOff>86140</xdr:rowOff>
    </xdr:from>
    <xdr:to>
      <xdr:col>5</xdr:col>
      <xdr:colOff>14130</xdr:colOff>
      <xdr:row>721</xdr:row>
      <xdr:rowOff>86140</xdr:rowOff>
    </xdr:to>
    <xdr:cxnSp macro="">
      <xdr:nvCxnSpPr>
        <xdr:cNvPr id="321" name="Straight Connector 320"/>
        <xdr:cNvCxnSpPr/>
      </xdr:nvCxnSpPr>
      <xdr:spPr>
        <a:xfrm>
          <a:off x="2985223" y="1303024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718</xdr:row>
      <xdr:rowOff>74934</xdr:rowOff>
    </xdr:from>
    <xdr:to>
      <xdr:col>5</xdr:col>
      <xdr:colOff>14130</xdr:colOff>
      <xdr:row>718</xdr:row>
      <xdr:rowOff>74934</xdr:rowOff>
    </xdr:to>
    <xdr:cxnSp macro="">
      <xdr:nvCxnSpPr>
        <xdr:cNvPr id="322" name="Straight Connector 321"/>
        <xdr:cNvCxnSpPr/>
      </xdr:nvCxnSpPr>
      <xdr:spPr>
        <a:xfrm>
          <a:off x="2985223" y="129719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724</xdr:row>
      <xdr:rowOff>86140</xdr:rowOff>
    </xdr:from>
    <xdr:to>
      <xdr:col>5</xdr:col>
      <xdr:colOff>14130</xdr:colOff>
      <xdr:row>724</xdr:row>
      <xdr:rowOff>86140</xdr:rowOff>
    </xdr:to>
    <xdr:cxnSp macro="">
      <xdr:nvCxnSpPr>
        <xdr:cNvPr id="323" name="Straight Connector 322"/>
        <xdr:cNvCxnSpPr/>
      </xdr:nvCxnSpPr>
      <xdr:spPr>
        <a:xfrm>
          <a:off x="2985223" y="1308739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730</xdr:row>
      <xdr:rowOff>86140</xdr:rowOff>
    </xdr:from>
    <xdr:to>
      <xdr:col>5</xdr:col>
      <xdr:colOff>14130</xdr:colOff>
      <xdr:row>730</xdr:row>
      <xdr:rowOff>86140</xdr:rowOff>
    </xdr:to>
    <xdr:cxnSp macro="">
      <xdr:nvCxnSpPr>
        <xdr:cNvPr id="324" name="Straight Connector 323"/>
        <xdr:cNvCxnSpPr/>
      </xdr:nvCxnSpPr>
      <xdr:spPr>
        <a:xfrm>
          <a:off x="2985223" y="1320169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727</xdr:row>
      <xdr:rowOff>74934</xdr:rowOff>
    </xdr:from>
    <xdr:to>
      <xdr:col>5</xdr:col>
      <xdr:colOff>14130</xdr:colOff>
      <xdr:row>727</xdr:row>
      <xdr:rowOff>74934</xdr:rowOff>
    </xdr:to>
    <xdr:cxnSp macro="">
      <xdr:nvCxnSpPr>
        <xdr:cNvPr id="325" name="Straight Connector 324"/>
        <xdr:cNvCxnSpPr/>
      </xdr:nvCxnSpPr>
      <xdr:spPr>
        <a:xfrm>
          <a:off x="2985223" y="131434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736</xdr:row>
      <xdr:rowOff>86140</xdr:rowOff>
    </xdr:from>
    <xdr:to>
      <xdr:col>5</xdr:col>
      <xdr:colOff>14130</xdr:colOff>
      <xdr:row>736</xdr:row>
      <xdr:rowOff>86140</xdr:rowOff>
    </xdr:to>
    <xdr:cxnSp macro="">
      <xdr:nvCxnSpPr>
        <xdr:cNvPr id="326" name="Straight Connector 325"/>
        <xdr:cNvCxnSpPr/>
      </xdr:nvCxnSpPr>
      <xdr:spPr>
        <a:xfrm>
          <a:off x="2985223" y="1331599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733</xdr:row>
      <xdr:rowOff>74934</xdr:rowOff>
    </xdr:from>
    <xdr:to>
      <xdr:col>5</xdr:col>
      <xdr:colOff>14130</xdr:colOff>
      <xdr:row>733</xdr:row>
      <xdr:rowOff>74934</xdr:rowOff>
    </xdr:to>
    <xdr:cxnSp macro="">
      <xdr:nvCxnSpPr>
        <xdr:cNvPr id="327" name="Straight Connector 326"/>
        <xdr:cNvCxnSpPr/>
      </xdr:nvCxnSpPr>
      <xdr:spPr>
        <a:xfrm>
          <a:off x="2985223" y="132577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739</xdr:row>
      <xdr:rowOff>74934</xdr:rowOff>
    </xdr:from>
    <xdr:to>
      <xdr:col>5</xdr:col>
      <xdr:colOff>14130</xdr:colOff>
      <xdr:row>739</xdr:row>
      <xdr:rowOff>74934</xdr:rowOff>
    </xdr:to>
    <xdr:cxnSp macro="">
      <xdr:nvCxnSpPr>
        <xdr:cNvPr id="328" name="Straight Connector 327"/>
        <xdr:cNvCxnSpPr/>
      </xdr:nvCxnSpPr>
      <xdr:spPr>
        <a:xfrm>
          <a:off x="2985223" y="133720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</xdr:row>
      <xdr:rowOff>179295</xdr:rowOff>
    </xdr:from>
    <xdr:to>
      <xdr:col>5</xdr:col>
      <xdr:colOff>11206</xdr:colOff>
      <xdr:row>9</xdr:row>
      <xdr:rowOff>179295</xdr:rowOff>
    </xdr:to>
    <xdr:cxnSp macro="">
      <xdr:nvCxnSpPr>
        <xdr:cNvPr id="329" name="Straight Connector 328"/>
        <xdr:cNvCxnSpPr/>
      </xdr:nvCxnSpPr>
      <xdr:spPr>
        <a:xfrm>
          <a:off x="2981325" y="2189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</xdr:row>
      <xdr:rowOff>0</xdr:rowOff>
    </xdr:from>
    <xdr:to>
      <xdr:col>3</xdr:col>
      <xdr:colOff>23112</xdr:colOff>
      <xdr:row>9</xdr:row>
      <xdr:rowOff>188399</xdr:rowOff>
    </xdr:to>
    <xdr:cxnSp macro="">
      <xdr:nvCxnSpPr>
        <xdr:cNvPr id="330" name="Straight Connector 329"/>
        <xdr:cNvCxnSpPr/>
      </xdr:nvCxnSpPr>
      <xdr:spPr>
        <a:xfrm flipV="1">
          <a:off x="3004437" y="2009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</xdr:row>
      <xdr:rowOff>0</xdr:rowOff>
    </xdr:from>
    <xdr:to>
      <xdr:col>4</xdr:col>
      <xdr:colOff>601265</xdr:colOff>
      <xdr:row>9</xdr:row>
      <xdr:rowOff>187699</xdr:rowOff>
    </xdr:to>
    <xdr:cxnSp macro="">
      <xdr:nvCxnSpPr>
        <xdr:cNvPr id="331" name="Straight Connector 330"/>
        <xdr:cNvCxnSpPr/>
      </xdr:nvCxnSpPr>
      <xdr:spPr>
        <a:xfrm flipV="1">
          <a:off x="3992165" y="2009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</xdr:row>
      <xdr:rowOff>0</xdr:rowOff>
    </xdr:from>
    <xdr:to>
      <xdr:col>3</xdr:col>
      <xdr:colOff>23112</xdr:colOff>
      <xdr:row>9</xdr:row>
      <xdr:rowOff>188399</xdr:rowOff>
    </xdr:to>
    <xdr:cxnSp macro="">
      <xdr:nvCxnSpPr>
        <xdr:cNvPr id="332" name="Straight Connector 331"/>
        <xdr:cNvCxnSpPr/>
      </xdr:nvCxnSpPr>
      <xdr:spPr>
        <a:xfrm flipV="1">
          <a:off x="3004437" y="2009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</xdr:row>
      <xdr:rowOff>0</xdr:rowOff>
    </xdr:from>
    <xdr:to>
      <xdr:col>4</xdr:col>
      <xdr:colOff>601265</xdr:colOff>
      <xdr:row>9</xdr:row>
      <xdr:rowOff>187699</xdr:rowOff>
    </xdr:to>
    <xdr:cxnSp macro="">
      <xdr:nvCxnSpPr>
        <xdr:cNvPr id="333" name="Straight Connector 332"/>
        <xdr:cNvCxnSpPr/>
      </xdr:nvCxnSpPr>
      <xdr:spPr>
        <a:xfrm flipV="1">
          <a:off x="3992165" y="2009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</xdr:row>
      <xdr:rowOff>0</xdr:rowOff>
    </xdr:from>
    <xdr:to>
      <xdr:col>3</xdr:col>
      <xdr:colOff>23112</xdr:colOff>
      <xdr:row>9</xdr:row>
      <xdr:rowOff>188399</xdr:rowOff>
    </xdr:to>
    <xdr:cxnSp macro="">
      <xdr:nvCxnSpPr>
        <xdr:cNvPr id="334" name="Straight Connector 333"/>
        <xdr:cNvCxnSpPr/>
      </xdr:nvCxnSpPr>
      <xdr:spPr>
        <a:xfrm flipV="1">
          <a:off x="3004437" y="2009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</xdr:row>
      <xdr:rowOff>0</xdr:rowOff>
    </xdr:from>
    <xdr:to>
      <xdr:col>4</xdr:col>
      <xdr:colOff>601265</xdr:colOff>
      <xdr:row>9</xdr:row>
      <xdr:rowOff>187699</xdr:rowOff>
    </xdr:to>
    <xdr:cxnSp macro="">
      <xdr:nvCxnSpPr>
        <xdr:cNvPr id="335" name="Straight Connector 334"/>
        <xdr:cNvCxnSpPr/>
      </xdr:nvCxnSpPr>
      <xdr:spPr>
        <a:xfrm flipV="1">
          <a:off x="3992165" y="2009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</xdr:row>
      <xdr:rowOff>179295</xdr:rowOff>
    </xdr:from>
    <xdr:to>
      <xdr:col>5</xdr:col>
      <xdr:colOff>11206</xdr:colOff>
      <xdr:row>15</xdr:row>
      <xdr:rowOff>179295</xdr:rowOff>
    </xdr:to>
    <xdr:cxnSp macro="">
      <xdr:nvCxnSpPr>
        <xdr:cNvPr id="336" name="Straight Connector 335"/>
        <xdr:cNvCxnSpPr/>
      </xdr:nvCxnSpPr>
      <xdr:spPr>
        <a:xfrm>
          <a:off x="2981325" y="3332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15</xdr:row>
      <xdr:rowOff>0</xdr:rowOff>
    </xdr:from>
    <xdr:to>
      <xdr:col>3</xdr:col>
      <xdr:colOff>23112</xdr:colOff>
      <xdr:row>15</xdr:row>
      <xdr:rowOff>188399</xdr:rowOff>
    </xdr:to>
    <xdr:cxnSp macro="">
      <xdr:nvCxnSpPr>
        <xdr:cNvPr id="337" name="Straight Connector 336"/>
        <xdr:cNvCxnSpPr/>
      </xdr:nvCxnSpPr>
      <xdr:spPr>
        <a:xfrm flipV="1">
          <a:off x="3004437" y="3152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</xdr:row>
      <xdr:rowOff>0</xdr:rowOff>
    </xdr:from>
    <xdr:to>
      <xdr:col>4</xdr:col>
      <xdr:colOff>601265</xdr:colOff>
      <xdr:row>15</xdr:row>
      <xdr:rowOff>187699</xdr:rowOff>
    </xdr:to>
    <xdr:cxnSp macro="">
      <xdr:nvCxnSpPr>
        <xdr:cNvPr id="338" name="Straight Connector 337"/>
        <xdr:cNvCxnSpPr/>
      </xdr:nvCxnSpPr>
      <xdr:spPr>
        <a:xfrm flipV="1">
          <a:off x="3992165" y="3152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15</xdr:row>
      <xdr:rowOff>0</xdr:rowOff>
    </xdr:from>
    <xdr:to>
      <xdr:col>3</xdr:col>
      <xdr:colOff>23112</xdr:colOff>
      <xdr:row>15</xdr:row>
      <xdr:rowOff>188399</xdr:rowOff>
    </xdr:to>
    <xdr:cxnSp macro="">
      <xdr:nvCxnSpPr>
        <xdr:cNvPr id="339" name="Straight Connector 338"/>
        <xdr:cNvCxnSpPr/>
      </xdr:nvCxnSpPr>
      <xdr:spPr>
        <a:xfrm flipV="1">
          <a:off x="3004437" y="3152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</xdr:row>
      <xdr:rowOff>0</xdr:rowOff>
    </xdr:from>
    <xdr:to>
      <xdr:col>4</xdr:col>
      <xdr:colOff>601265</xdr:colOff>
      <xdr:row>15</xdr:row>
      <xdr:rowOff>187699</xdr:rowOff>
    </xdr:to>
    <xdr:cxnSp macro="">
      <xdr:nvCxnSpPr>
        <xdr:cNvPr id="340" name="Straight Connector 339"/>
        <xdr:cNvCxnSpPr/>
      </xdr:nvCxnSpPr>
      <xdr:spPr>
        <a:xfrm flipV="1">
          <a:off x="3992165" y="3152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15</xdr:row>
      <xdr:rowOff>0</xdr:rowOff>
    </xdr:from>
    <xdr:to>
      <xdr:col>3</xdr:col>
      <xdr:colOff>23112</xdr:colOff>
      <xdr:row>15</xdr:row>
      <xdr:rowOff>188399</xdr:rowOff>
    </xdr:to>
    <xdr:cxnSp macro="">
      <xdr:nvCxnSpPr>
        <xdr:cNvPr id="341" name="Straight Connector 340"/>
        <xdr:cNvCxnSpPr/>
      </xdr:nvCxnSpPr>
      <xdr:spPr>
        <a:xfrm flipV="1">
          <a:off x="3004437" y="3152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</xdr:row>
      <xdr:rowOff>0</xdr:rowOff>
    </xdr:from>
    <xdr:to>
      <xdr:col>4</xdr:col>
      <xdr:colOff>601265</xdr:colOff>
      <xdr:row>15</xdr:row>
      <xdr:rowOff>187699</xdr:rowOff>
    </xdr:to>
    <xdr:cxnSp macro="">
      <xdr:nvCxnSpPr>
        <xdr:cNvPr id="342" name="Straight Connector 341"/>
        <xdr:cNvCxnSpPr/>
      </xdr:nvCxnSpPr>
      <xdr:spPr>
        <a:xfrm flipV="1">
          <a:off x="3992165" y="3152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21</xdr:row>
      <xdr:rowOff>179295</xdr:rowOff>
    </xdr:from>
    <xdr:to>
      <xdr:col>5</xdr:col>
      <xdr:colOff>11206</xdr:colOff>
      <xdr:row>21</xdr:row>
      <xdr:rowOff>179295</xdr:rowOff>
    </xdr:to>
    <xdr:cxnSp macro="">
      <xdr:nvCxnSpPr>
        <xdr:cNvPr id="343" name="Straight Connector 342"/>
        <xdr:cNvCxnSpPr/>
      </xdr:nvCxnSpPr>
      <xdr:spPr>
        <a:xfrm>
          <a:off x="2981325" y="4475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21</xdr:row>
      <xdr:rowOff>0</xdr:rowOff>
    </xdr:from>
    <xdr:to>
      <xdr:col>3</xdr:col>
      <xdr:colOff>23112</xdr:colOff>
      <xdr:row>21</xdr:row>
      <xdr:rowOff>188399</xdr:rowOff>
    </xdr:to>
    <xdr:cxnSp macro="">
      <xdr:nvCxnSpPr>
        <xdr:cNvPr id="344" name="Straight Connector 343"/>
        <xdr:cNvCxnSpPr/>
      </xdr:nvCxnSpPr>
      <xdr:spPr>
        <a:xfrm flipV="1">
          <a:off x="3004437" y="4295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21</xdr:row>
      <xdr:rowOff>0</xdr:rowOff>
    </xdr:from>
    <xdr:to>
      <xdr:col>4</xdr:col>
      <xdr:colOff>601265</xdr:colOff>
      <xdr:row>21</xdr:row>
      <xdr:rowOff>187699</xdr:rowOff>
    </xdr:to>
    <xdr:cxnSp macro="">
      <xdr:nvCxnSpPr>
        <xdr:cNvPr id="345" name="Straight Connector 344"/>
        <xdr:cNvCxnSpPr/>
      </xdr:nvCxnSpPr>
      <xdr:spPr>
        <a:xfrm flipV="1">
          <a:off x="3992165" y="4295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21</xdr:row>
      <xdr:rowOff>0</xdr:rowOff>
    </xdr:from>
    <xdr:to>
      <xdr:col>3</xdr:col>
      <xdr:colOff>23112</xdr:colOff>
      <xdr:row>21</xdr:row>
      <xdr:rowOff>188399</xdr:rowOff>
    </xdr:to>
    <xdr:cxnSp macro="">
      <xdr:nvCxnSpPr>
        <xdr:cNvPr id="346" name="Straight Connector 345"/>
        <xdr:cNvCxnSpPr/>
      </xdr:nvCxnSpPr>
      <xdr:spPr>
        <a:xfrm flipV="1">
          <a:off x="3004437" y="4295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21</xdr:row>
      <xdr:rowOff>0</xdr:rowOff>
    </xdr:from>
    <xdr:to>
      <xdr:col>4</xdr:col>
      <xdr:colOff>601265</xdr:colOff>
      <xdr:row>21</xdr:row>
      <xdr:rowOff>187699</xdr:rowOff>
    </xdr:to>
    <xdr:cxnSp macro="">
      <xdr:nvCxnSpPr>
        <xdr:cNvPr id="347" name="Straight Connector 346"/>
        <xdr:cNvCxnSpPr/>
      </xdr:nvCxnSpPr>
      <xdr:spPr>
        <a:xfrm flipV="1">
          <a:off x="3992165" y="4295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21</xdr:row>
      <xdr:rowOff>0</xdr:rowOff>
    </xdr:from>
    <xdr:to>
      <xdr:col>3</xdr:col>
      <xdr:colOff>23112</xdr:colOff>
      <xdr:row>21</xdr:row>
      <xdr:rowOff>188399</xdr:rowOff>
    </xdr:to>
    <xdr:cxnSp macro="">
      <xdr:nvCxnSpPr>
        <xdr:cNvPr id="348" name="Straight Connector 347"/>
        <xdr:cNvCxnSpPr/>
      </xdr:nvCxnSpPr>
      <xdr:spPr>
        <a:xfrm flipV="1">
          <a:off x="3004437" y="4295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21</xdr:row>
      <xdr:rowOff>0</xdr:rowOff>
    </xdr:from>
    <xdr:to>
      <xdr:col>4</xdr:col>
      <xdr:colOff>601265</xdr:colOff>
      <xdr:row>21</xdr:row>
      <xdr:rowOff>187699</xdr:rowOff>
    </xdr:to>
    <xdr:cxnSp macro="">
      <xdr:nvCxnSpPr>
        <xdr:cNvPr id="349" name="Straight Connector 348"/>
        <xdr:cNvCxnSpPr/>
      </xdr:nvCxnSpPr>
      <xdr:spPr>
        <a:xfrm flipV="1">
          <a:off x="3992165" y="4295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</xdr:row>
      <xdr:rowOff>179295</xdr:rowOff>
    </xdr:from>
    <xdr:to>
      <xdr:col>5</xdr:col>
      <xdr:colOff>11206</xdr:colOff>
      <xdr:row>27</xdr:row>
      <xdr:rowOff>179295</xdr:rowOff>
    </xdr:to>
    <xdr:cxnSp macro="">
      <xdr:nvCxnSpPr>
        <xdr:cNvPr id="350" name="Straight Connector 349"/>
        <xdr:cNvCxnSpPr/>
      </xdr:nvCxnSpPr>
      <xdr:spPr>
        <a:xfrm>
          <a:off x="2981325" y="5618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27</xdr:row>
      <xdr:rowOff>0</xdr:rowOff>
    </xdr:from>
    <xdr:to>
      <xdr:col>3</xdr:col>
      <xdr:colOff>23112</xdr:colOff>
      <xdr:row>27</xdr:row>
      <xdr:rowOff>188399</xdr:rowOff>
    </xdr:to>
    <xdr:cxnSp macro="">
      <xdr:nvCxnSpPr>
        <xdr:cNvPr id="351" name="Straight Connector 350"/>
        <xdr:cNvCxnSpPr/>
      </xdr:nvCxnSpPr>
      <xdr:spPr>
        <a:xfrm flipV="1">
          <a:off x="3004437" y="5438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27</xdr:row>
      <xdr:rowOff>0</xdr:rowOff>
    </xdr:from>
    <xdr:to>
      <xdr:col>4</xdr:col>
      <xdr:colOff>601265</xdr:colOff>
      <xdr:row>27</xdr:row>
      <xdr:rowOff>187699</xdr:rowOff>
    </xdr:to>
    <xdr:cxnSp macro="">
      <xdr:nvCxnSpPr>
        <xdr:cNvPr id="352" name="Straight Connector 351"/>
        <xdr:cNvCxnSpPr/>
      </xdr:nvCxnSpPr>
      <xdr:spPr>
        <a:xfrm flipV="1">
          <a:off x="3992165" y="5438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27</xdr:row>
      <xdr:rowOff>0</xdr:rowOff>
    </xdr:from>
    <xdr:to>
      <xdr:col>3</xdr:col>
      <xdr:colOff>23112</xdr:colOff>
      <xdr:row>27</xdr:row>
      <xdr:rowOff>188399</xdr:rowOff>
    </xdr:to>
    <xdr:cxnSp macro="">
      <xdr:nvCxnSpPr>
        <xdr:cNvPr id="353" name="Straight Connector 352"/>
        <xdr:cNvCxnSpPr/>
      </xdr:nvCxnSpPr>
      <xdr:spPr>
        <a:xfrm flipV="1">
          <a:off x="3004437" y="5438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27</xdr:row>
      <xdr:rowOff>0</xdr:rowOff>
    </xdr:from>
    <xdr:to>
      <xdr:col>4</xdr:col>
      <xdr:colOff>601265</xdr:colOff>
      <xdr:row>27</xdr:row>
      <xdr:rowOff>187699</xdr:rowOff>
    </xdr:to>
    <xdr:cxnSp macro="">
      <xdr:nvCxnSpPr>
        <xdr:cNvPr id="354" name="Straight Connector 353"/>
        <xdr:cNvCxnSpPr/>
      </xdr:nvCxnSpPr>
      <xdr:spPr>
        <a:xfrm flipV="1">
          <a:off x="3992165" y="5438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27</xdr:row>
      <xdr:rowOff>0</xdr:rowOff>
    </xdr:from>
    <xdr:to>
      <xdr:col>3</xdr:col>
      <xdr:colOff>23112</xdr:colOff>
      <xdr:row>27</xdr:row>
      <xdr:rowOff>188399</xdr:rowOff>
    </xdr:to>
    <xdr:cxnSp macro="">
      <xdr:nvCxnSpPr>
        <xdr:cNvPr id="355" name="Straight Connector 354"/>
        <xdr:cNvCxnSpPr/>
      </xdr:nvCxnSpPr>
      <xdr:spPr>
        <a:xfrm flipV="1">
          <a:off x="3004437" y="5438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27</xdr:row>
      <xdr:rowOff>0</xdr:rowOff>
    </xdr:from>
    <xdr:to>
      <xdr:col>4</xdr:col>
      <xdr:colOff>601265</xdr:colOff>
      <xdr:row>27</xdr:row>
      <xdr:rowOff>187699</xdr:rowOff>
    </xdr:to>
    <xdr:cxnSp macro="">
      <xdr:nvCxnSpPr>
        <xdr:cNvPr id="356" name="Straight Connector 355"/>
        <xdr:cNvCxnSpPr/>
      </xdr:nvCxnSpPr>
      <xdr:spPr>
        <a:xfrm flipV="1">
          <a:off x="3992165" y="5438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33</xdr:row>
      <xdr:rowOff>179295</xdr:rowOff>
    </xdr:from>
    <xdr:to>
      <xdr:col>5</xdr:col>
      <xdr:colOff>11206</xdr:colOff>
      <xdr:row>33</xdr:row>
      <xdr:rowOff>179295</xdr:rowOff>
    </xdr:to>
    <xdr:cxnSp macro="">
      <xdr:nvCxnSpPr>
        <xdr:cNvPr id="357" name="Straight Connector 356"/>
        <xdr:cNvCxnSpPr/>
      </xdr:nvCxnSpPr>
      <xdr:spPr>
        <a:xfrm>
          <a:off x="2981325" y="6761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33</xdr:row>
      <xdr:rowOff>0</xdr:rowOff>
    </xdr:from>
    <xdr:to>
      <xdr:col>3</xdr:col>
      <xdr:colOff>23112</xdr:colOff>
      <xdr:row>33</xdr:row>
      <xdr:rowOff>188399</xdr:rowOff>
    </xdr:to>
    <xdr:cxnSp macro="">
      <xdr:nvCxnSpPr>
        <xdr:cNvPr id="358" name="Straight Connector 357"/>
        <xdr:cNvCxnSpPr/>
      </xdr:nvCxnSpPr>
      <xdr:spPr>
        <a:xfrm flipV="1">
          <a:off x="3004437" y="658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33</xdr:row>
      <xdr:rowOff>0</xdr:rowOff>
    </xdr:from>
    <xdr:to>
      <xdr:col>4</xdr:col>
      <xdr:colOff>601265</xdr:colOff>
      <xdr:row>33</xdr:row>
      <xdr:rowOff>187699</xdr:rowOff>
    </xdr:to>
    <xdr:cxnSp macro="">
      <xdr:nvCxnSpPr>
        <xdr:cNvPr id="359" name="Straight Connector 358"/>
        <xdr:cNvCxnSpPr/>
      </xdr:nvCxnSpPr>
      <xdr:spPr>
        <a:xfrm flipV="1">
          <a:off x="3992165" y="658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33</xdr:row>
      <xdr:rowOff>0</xdr:rowOff>
    </xdr:from>
    <xdr:to>
      <xdr:col>3</xdr:col>
      <xdr:colOff>23112</xdr:colOff>
      <xdr:row>33</xdr:row>
      <xdr:rowOff>188399</xdr:rowOff>
    </xdr:to>
    <xdr:cxnSp macro="">
      <xdr:nvCxnSpPr>
        <xdr:cNvPr id="360" name="Straight Connector 359"/>
        <xdr:cNvCxnSpPr/>
      </xdr:nvCxnSpPr>
      <xdr:spPr>
        <a:xfrm flipV="1">
          <a:off x="3004437" y="658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33</xdr:row>
      <xdr:rowOff>0</xdr:rowOff>
    </xdr:from>
    <xdr:to>
      <xdr:col>4</xdr:col>
      <xdr:colOff>601265</xdr:colOff>
      <xdr:row>33</xdr:row>
      <xdr:rowOff>187699</xdr:rowOff>
    </xdr:to>
    <xdr:cxnSp macro="">
      <xdr:nvCxnSpPr>
        <xdr:cNvPr id="361" name="Straight Connector 360"/>
        <xdr:cNvCxnSpPr/>
      </xdr:nvCxnSpPr>
      <xdr:spPr>
        <a:xfrm flipV="1">
          <a:off x="3992165" y="658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33</xdr:row>
      <xdr:rowOff>0</xdr:rowOff>
    </xdr:from>
    <xdr:to>
      <xdr:col>3</xdr:col>
      <xdr:colOff>23112</xdr:colOff>
      <xdr:row>33</xdr:row>
      <xdr:rowOff>188399</xdr:rowOff>
    </xdr:to>
    <xdr:cxnSp macro="">
      <xdr:nvCxnSpPr>
        <xdr:cNvPr id="362" name="Straight Connector 361"/>
        <xdr:cNvCxnSpPr/>
      </xdr:nvCxnSpPr>
      <xdr:spPr>
        <a:xfrm flipV="1">
          <a:off x="3004437" y="658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33</xdr:row>
      <xdr:rowOff>0</xdr:rowOff>
    </xdr:from>
    <xdr:to>
      <xdr:col>4</xdr:col>
      <xdr:colOff>601265</xdr:colOff>
      <xdr:row>33</xdr:row>
      <xdr:rowOff>187699</xdr:rowOff>
    </xdr:to>
    <xdr:cxnSp macro="">
      <xdr:nvCxnSpPr>
        <xdr:cNvPr id="363" name="Straight Connector 362"/>
        <xdr:cNvCxnSpPr/>
      </xdr:nvCxnSpPr>
      <xdr:spPr>
        <a:xfrm flipV="1">
          <a:off x="3992165" y="658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39</xdr:row>
      <xdr:rowOff>179295</xdr:rowOff>
    </xdr:from>
    <xdr:to>
      <xdr:col>5</xdr:col>
      <xdr:colOff>11206</xdr:colOff>
      <xdr:row>39</xdr:row>
      <xdr:rowOff>179295</xdr:rowOff>
    </xdr:to>
    <xdr:cxnSp macro="">
      <xdr:nvCxnSpPr>
        <xdr:cNvPr id="364" name="Straight Connector 363"/>
        <xdr:cNvCxnSpPr/>
      </xdr:nvCxnSpPr>
      <xdr:spPr>
        <a:xfrm>
          <a:off x="2981325" y="7904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39</xdr:row>
      <xdr:rowOff>0</xdr:rowOff>
    </xdr:from>
    <xdr:to>
      <xdr:col>3</xdr:col>
      <xdr:colOff>23112</xdr:colOff>
      <xdr:row>39</xdr:row>
      <xdr:rowOff>188399</xdr:rowOff>
    </xdr:to>
    <xdr:cxnSp macro="">
      <xdr:nvCxnSpPr>
        <xdr:cNvPr id="365" name="Straight Connector 364"/>
        <xdr:cNvCxnSpPr/>
      </xdr:nvCxnSpPr>
      <xdr:spPr>
        <a:xfrm flipV="1">
          <a:off x="3004437" y="7724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39</xdr:row>
      <xdr:rowOff>0</xdr:rowOff>
    </xdr:from>
    <xdr:to>
      <xdr:col>4</xdr:col>
      <xdr:colOff>601265</xdr:colOff>
      <xdr:row>39</xdr:row>
      <xdr:rowOff>187699</xdr:rowOff>
    </xdr:to>
    <xdr:cxnSp macro="">
      <xdr:nvCxnSpPr>
        <xdr:cNvPr id="366" name="Straight Connector 365"/>
        <xdr:cNvCxnSpPr/>
      </xdr:nvCxnSpPr>
      <xdr:spPr>
        <a:xfrm flipV="1">
          <a:off x="3992165" y="7724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39</xdr:row>
      <xdr:rowOff>0</xdr:rowOff>
    </xdr:from>
    <xdr:to>
      <xdr:col>3</xdr:col>
      <xdr:colOff>23112</xdr:colOff>
      <xdr:row>39</xdr:row>
      <xdr:rowOff>188399</xdr:rowOff>
    </xdr:to>
    <xdr:cxnSp macro="">
      <xdr:nvCxnSpPr>
        <xdr:cNvPr id="367" name="Straight Connector 366"/>
        <xdr:cNvCxnSpPr/>
      </xdr:nvCxnSpPr>
      <xdr:spPr>
        <a:xfrm flipV="1">
          <a:off x="3004437" y="7724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39</xdr:row>
      <xdr:rowOff>0</xdr:rowOff>
    </xdr:from>
    <xdr:to>
      <xdr:col>4</xdr:col>
      <xdr:colOff>601265</xdr:colOff>
      <xdr:row>39</xdr:row>
      <xdr:rowOff>187699</xdr:rowOff>
    </xdr:to>
    <xdr:cxnSp macro="">
      <xdr:nvCxnSpPr>
        <xdr:cNvPr id="368" name="Straight Connector 367"/>
        <xdr:cNvCxnSpPr/>
      </xdr:nvCxnSpPr>
      <xdr:spPr>
        <a:xfrm flipV="1">
          <a:off x="3992165" y="7724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39</xdr:row>
      <xdr:rowOff>0</xdr:rowOff>
    </xdr:from>
    <xdr:to>
      <xdr:col>3</xdr:col>
      <xdr:colOff>23112</xdr:colOff>
      <xdr:row>39</xdr:row>
      <xdr:rowOff>188399</xdr:rowOff>
    </xdr:to>
    <xdr:cxnSp macro="">
      <xdr:nvCxnSpPr>
        <xdr:cNvPr id="369" name="Straight Connector 368"/>
        <xdr:cNvCxnSpPr/>
      </xdr:nvCxnSpPr>
      <xdr:spPr>
        <a:xfrm flipV="1">
          <a:off x="3004437" y="7724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39</xdr:row>
      <xdr:rowOff>0</xdr:rowOff>
    </xdr:from>
    <xdr:to>
      <xdr:col>4</xdr:col>
      <xdr:colOff>601265</xdr:colOff>
      <xdr:row>39</xdr:row>
      <xdr:rowOff>187699</xdr:rowOff>
    </xdr:to>
    <xdr:cxnSp macro="">
      <xdr:nvCxnSpPr>
        <xdr:cNvPr id="370" name="Straight Connector 369"/>
        <xdr:cNvCxnSpPr/>
      </xdr:nvCxnSpPr>
      <xdr:spPr>
        <a:xfrm flipV="1">
          <a:off x="3992165" y="7724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59</xdr:row>
      <xdr:rowOff>0</xdr:rowOff>
    </xdr:from>
    <xdr:to>
      <xdr:col>5</xdr:col>
      <xdr:colOff>0</xdr:colOff>
      <xdr:row>59</xdr:row>
      <xdr:rowOff>187699</xdr:rowOff>
    </xdr:to>
    <xdr:cxnSp macro="">
      <xdr:nvCxnSpPr>
        <xdr:cNvPr id="371" name="Straight Connector 370"/>
        <xdr:cNvCxnSpPr/>
      </xdr:nvCxnSpPr>
      <xdr:spPr>
        <a:xfrm flipV="1">
          <a:off x="3990975" y="11534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56</xdr:row>
      <xdr:rowOff>0</xdr:rowOff>
    </xdr:from>
    <xdr:to>
      <xdr:col>5</xdr:col>
      <xdr:colOff>0</xdr:colOff>
      <xdr:row>56</xdr:row>
      <xdr:rowOff>187699</xdr:rowOff>
    </xdr:to>
    <xdr:cxnSp macro="">
      <xdr:nvCxnSpPr>
        <xdr:cNvPr id="372" name="Straight Connector 371"/>
        <xdr:cNvCxnSpPr/>
      </xdr:nvCxnSpPr>
      <xdr:spPr>
        <a:xfrm flipV="1">
          <a:off x="3990975" y="10963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70</xdr:row>
      <xdr:rowOff>179295</xdr:rowOff>
    </xdr:from>
    <xdr:to>
      <xdr:col>5</xdr:col>
      <xdr:colOff>11206</xdr:colOff>
      <xdr:row>70</xdr:row>
      <xdr:rowOff>179295</xdr:rowOff>
    </xdr:to>
    <xdr:cxnSp macro="">
      <xdr:nvCxnSpPr>
        <xdr:cNvPr id="373" name="Straight Connector 372"/>
        <xdr:cNvCxnSpPr/>
      </xdr:nvCxnSpPr>
      <xdr:spPr>
        <a:xfrm>
          <a:off x="2981325" y="13809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70</xdr:row>
      <xdr:rowOff>0</xdr:rowOff>
    </xdr:from>
    <xdr:to>
      <xdr:col>3</xdr:col>
      <xdr:colOff>23112</xdr:colOff>
      <xdr:row>70</xdr:row>
      <xdr:rowOff>188399</xdr:rowOff>
    </xdr:to>
    <xdr:cxnSp macro="">
      <xdr:nvCxnSpPr>
        <xdr:cNvPr id="374" name="Straight Connector 373"/>
        <xdr:cNvCxnSpPr/>
      </xdr:nvCxnSpPr>
      <xdr:spPr>
        <a:xfrm flipV="1">
          <a:off x="3004437" y="1363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70</xdr:row>
      <xdr:rowOff>0</xdr:rowOff>
    </xdr:from>
    <xdr:to>
      <xdr:col>4</xdr:col>
      <xdr:colOff>601265</xdr:colOff>
      <xdr:row>70</xdr:row>
      <xdr:rowOff>187699</xdr:rowOff>
    </xdr:to>
    <xdr:cxnSp macro="">
      <xdr:nvCxnSpPr>
        <xdr:cNvPr id="375" name="Straight Connector 374"/>
        <xdr:cNvCxnSpPr/>
      </xdr:nvCxnSpPr>
      <xdr:spPr>
        <a:xfrm flipV="1">
          <a:off x="3992165" y="13630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70</xdr:row>
      <xdr:rowOff>0</xdr:rowOff>
    </xdr:from>
    <xdr:to>
      <xdr:col>3</xdr:col>
      <xdr:colOff>23112</xdr:colOff>
      <xdr:row>70</xdr:row>
      <xdr:rowOff>188399</xdr:rowOff>
    </xdr:to>
    <xdr:cxnSp macro="">
      <xdr:nvCxnSpPr>
        <xdr:cNvPr id="376" name="Straight Connector 375"/>
        <xdr:cNvCxnSpPr/>
      </xdr:nvCxnSpPr>
      <xdr:spPr>
        <a:xfrm flipV="1">
          <a:off x="3004437" y="1363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70</xdr:row>
      <xdr:rowOff>0</xdr:rowOff>
    </xdr:from>
    <xdr:to>
      <xdr:col>4</xdr:col>
      <xdr:colOff>601265</xdr:colOff>
      <xdr:row>70</xdr:row>
      <xdr:rowOff>187699</xdr:rowOff>
    </xdr:to>
    <xdr:cxnSp macro="">
      <xdr:nvCxnSpPr>
        <xdr:cNvPr id="377" name="Straight Connector 376"/>
        <xdr:cNvCxnSpPr/>
      </xdr:nvCxnSpPr>
      <xdr:spPr>
        <a:xfrm flipV="1">
          <a:off x="3992165" y="13630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70</xdr:row>
      <xdr:rowOff>0</xdr:rowOff>
    </xdr:from>
    <xdr:to>
      <xdr:col>3</xdr:col>
      <xdr:colOff>23112</xdr:colOff>
      <xdr:row>70</xdr:row>
      <xdr:rowOff>188399</xdr:rowOff>
    </xdr:to>
    <xdr:cxnSp macro="">
      <xdr:nvCxnSpPr>
        <xdr:cNvPr id="378" name="Straight Connector 377"/>
        <xdr:cNvCxnSpPr/>
      </xdr:nvCxnSpPr>
      <xdr:spPr>
        <a:xfrm flipV="1">
          <a:off x="3004437" y="1363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70</xdr:row>
      <xdr:rowOff>0</xdr:rowOff>
    </xdr:from>
    <xdr:to>
      <xdr:col>4</xdr:col>
      <xdr:colOff>601265</xdr:colOff>
      <xdr:row>70</xdr:row>
      <xdr:rowOff>187699</xdr:rowOff>
    </xdr:to>
    <xdr:cxnSp macro="">
      <xdr:nvCxnSpPr>
        <xdr:cNvPr id="379" name="Straight Connector 378"/>
        <xdr:cNvCxnSpPr/>
      </xdr:nvCxnSpPr>
      <xdr:spPr>
        <a:xfrm flipV="1">
          <a:off x="3992165" y="13630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76</xdr:row>
      <xdr:rowOff>179295</xdr:rowOff>
    </xdr:from>
    <xdr:to>
      <xdr:col>5</xdr:col>
      <xdr:colOff>11206</xdr:colOff>
      <xdr:row>76</xdr:row>
      <xdr:rowOff>179295</xdr:rowOff>
    </xdr:to>
    <xdr:cxnSp macro="">
      <xdr:nvCxnSpPr>
        <xdr:cNvPr id="380" name="Straight Connector 379"/>
        <xdr:cNvCxnSpPr/>
      </xdr:nvCxnSpPr>
      <xdr:spPr>
        <a:xfrm>
          <a:off x="2981325" y="14952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76</xdr:row>
      <xdr:rowOff>0</xdr:rowOff>
    </xdr:from>
    <xdr:to>
      <xdr:col>3</xdr:col>
      <xdr:colOff>23112</xdr:colOff>
      <xdr:row>76</xdr:row>
      <xdr:rowOff>188399</xdr:rowOff>
    </xdr:to>
    <xdr:cxnSp macro="">
      <xdr:nvCxnSpPr>
        <xdr:cNvPr id="381" name="Straight Connector 380"/>
        <xdr:cNvCxnSpPr/>
      </xdr:nvCxnSpPr>
      <xdr:spPr>
        <a:xfrm flipV="1">
          <a:off x="3004437" y="14773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76</xdr:row>
      <xdr:rowOff>0</xdr:rowOff>
    </xdr:from>
    <xdr:to>
      <xdr:col>4</xdr:col>
      <xdr:colOff>601265</xdr:colOff>
      <xdr:row>76</xdr:row>
      <xdr:rowOff>187699</xdr:rowOff>
    </xdr:to>
    <xdr:cxnSp macro="">
      <xdr:nvCxnSpPr>
        <xdr:cNvPr id="382" name="Straight Connector 381"/>
        <xdr:cNvCxnSpPr/>
      </xdr:nvCxnSpPr>
      <xdr:spPr>
        <a:xfrm flipV="1">
          <a:off x="3992165" y="14773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76</xdr:row>
      <xdr:rowOff>0</xdr:rowOff>
    </xdr:from>
    <xdr:to>
      <xdr:col>3</xdr:col>
      <xdr:colOff>23112</xdr:colOff>
      <xdr:row>76</xdr:row>
      <xdr:rowOff>188399</xdr:rowOff>
    </xdr:to>
    <xdr:cxnSp macro="">
      <xdr:nvCxnSpPr>
        <xdr:cNvPr id="383" name="Straight Connector 382"/>
        <xdr:cNvCxnSpPr/>
      </xdr:nvCxnSpPr>
      <xdr:spPr>
        <a:xfrm flipV="1">
          <a:off x="3004437" y="14773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76</xdr:row>
      <xdr:rowOff>0</xdr:rowOff>
    </xdr:from>
    <xdr:to>
      <xdr:col>4</xdr:col>
      <xdr:colOff>601265</xdr:colOff>
      <xdr:row>76</xdr:row>
      <xdr:rowOff>187699</xdr:rowOff>
    </xdr:to>
    <xdr:cxnSp macro="">
      <xdr:nvCxnSpPr>
        <xdr:cNvPr id="384" name="Straight Connector 383"/>
        <xdr:cNvCxnSpPr/>
      </xdr:nvCxnSpPr>
      <xdr:spPr>
        <a:xfrm flipV="1">
          <a:off x="3992165" y="14773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76</xdr:row>
      <xdr:rowOff>0</xdr:rowOff>
    </xdr:from>
    <xdr:to>
      <xdr:col>3</xdr:col>
      <xdr:colOff>23112</xdr:colOff>
      <xdr:row>76</xdr:row>
      <xdr:rowOff>188399</xdr:rowOff>
    </xdr:to>
    <xdr:cxnSp macro="">
      <xdr:nvCxnSpPr>
        <xdr:cNvPr id="385" name="Straight Connector 384"/>
        <xdr:cNvCxnSpPr/>
      </xdr:nvCxnSpPr>
      <xdr:spPr>
        <a:xfrm flipV="1">
          <a:off x="3004437" y="14773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76</xdr:row>
      <xdr:rowOff>0</xdr:rowOff>
    </xdr:from>
    <xdr:to>
      <xdr:col>4</xdr:col>
      <xdr:colOff>601265</xdr:colOff>
      <xdr:row>76</xdr:row>
      <xdr:rowOff>187699</xdr:rowOff>
    </xdr:to>
    <xdr:cxnSp macro="">
      <xdr:nvCxnSpPr>
        <xdr:cNvPr id="386" name="Straight Connector 385"/>
        <xdr:cNvCxnSpPr/>
      </xdr:nvCxnSpPr>
      <xdr:spPr>
        <a:xfrm flipV="1">
          <a:off x="3992165" y="14773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82</xdr:row>
      <xdr:rowOff>179295</xdr:rowOff>
    </xdr:from>
    <xdr:to>
      <xdr:col>5</xdr:col>
      <xdr:colOff>11206</xdr:colOff>
      <xdr:row>82</xdr:row>
      <xdr:rowOff>179295</xdr:rowOff>
    </xdr:to>
    <xdr:cxnSp macro="">
      <xdr:nvCxnSpPr>
        <xdr:cNvPr id="387" name="Straight Connector 386"/>
        <xdr:cNvCxnSpPr/>
      </xdr:nvCxnSpPr>
      <xdr:spPr>
        <a:xfrm>
          <a:off x="2981325" y="16095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82</xdr:row>
      <xdr:rowOff>0</xdr:rowOff>
    </xdr:from>
    <xdr:to>
      <xdr:col>3</xdr:col>
      <xdr:colOff>23112</xdr:colOff>
      <xdr:row>82</xdr:row>
      <xdr:rowOff>188399</xdr:rowOff>
    </xdr:to>
    <xdr:cxnSp macro="">
      <xdr:nvCxnSpPr>
        <xdr:cNvPr id="388" name="Straight Connector 387"/>
        <xdr:cNvCxnSpPr/>
      </xdr:nvCxnSpPr>
      <xdr:spPr>
        <a:xfrm flipV="1">
          <a:off x="3004437" y="15916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82</xdr:row>
      <xdr:rowOff>0</xdr:rowOff>
    </xdr:from>
    <xdr:to>
      <xdr:col>4</xdr:col>
      <xdr:colOff>601265</xdr:colOff>
      <xdr:row>82</xdr:row>
      <xdr:rowOff>187699</xdr:rowOff>
    </xdr:to>
    <xdr:cxnSp macro="">
      <xdr:nvCxnSpPr>
        <xdr:cNvPr id="389" name="Straight Connector 388"/>
        <xdr:cNvCxnSpPr/>
      </xdr:nvCxnSpPr>
      <xdr:spPr>
        <a:xfrm flipV="1">
          <a:off x="3992165" y="15916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82</xdr:row>
      <xdr:rowOff>0</xdr:rowOff>
    </xdr:from>
    <xdr:to>
      <xdr:col>3</xdr:col>
      <xdr:colOff>23112</xdr:colOff>
      <xdr:row>82</xdr:row>
      <xdr:rowOff>188399</xdr:rowOff>
    </xdr:to>
    <xdr:cxnSp macro="">
      <xdr:nvCxnSpPr>
        <xdr:cNvPr id="390" name="Straight Connector 389"/>
        <xdr:cNvCxnSpPr/>
      </xdr:nvCxnSpPr>
      <xdr:spPr>
        <a:xfrm flipV="1">
          <a:off x="3004437" y="15916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82</xdr:row>
      <xdr:rowOff>0</xdr:rowOff>
    </xdr:from>
    <xdr:to>
      <xdr:col>4</xdr:col>
      <xdr:colOff>601265</xdr:colOff>
      <xdr:row>82</xdr:row>
      <xdr:rowOff>187699</xdr:rowOff>
    </xdr:to>
    <xdr:cxnSp macro="">
      <xdr:nvCxnSpPr>
        <xdr:cNvPr id="391" name="Straight Connector 390"/>
        <xdr:cNvCxnSpPr/>
      </xdr:nvCxnSpPr>
      <xdr:spPr>
        <a:xfrm flipV="1">
          <a:off x="3992165" y="15916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82</xdr:row>
      <xdr:rowOff>0</xdr:rowOff>
    </xdr:from>
    <xdr:to>
      <xdr:col>3</xdr:col>
      <xdr:colOff>23112</xdr:colOff>
      <xdr:row>82</xdr:row>
      <xdr:rowOff>188399</xdr:rowOff>
    </xdr:to>
    <xdr:cxnSp macro="">
      <xdr:nvCxnSpPr>
        <xdr:cNvPr id="392" name="Straight Connector 391"/>
        <xdr:cNvCxnSpPr/>
      </xdr:nvCxnSpPr>
      <xdr:spPr>
        <a:xfrm flipV="1">
          <a:off x="3004437" y="15916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82</xdr:row>
      <xdr:rowOff>0</xdr:rowOff>
    </xdr:from>
    <xdr:to>
      <xdr:col>4</xdr:col>
      <xdr:colOff>601265</xdr:colOff>
      <xdr:row>82</xdr:row>
      <xdr:rowOff>187699</xdr:rowOff>
    </xdr:to>
    <xdr:cxnSp macro="">
      <xdr:nvCxnSpPr>
        <xdr:cNvPr id="393" name="Straight Connector 392"/>
        <xdr:cNvCxnSpPr/>
      </xdr:nvCxnSpPr>
      <xdr:spPr>
        <a:xfrm flipV="1">
          <a:off x="3992165" y="15916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88</xdr:row>
      <xdr:rowOff>179295</xdr:rowOff>
    </xdr:from>
    <xdr:to>
      <xdr:col>5</xdr:col>
      <xdr:colOff>11206</xdr:colOff>
      <xdr:row>88</xdr:row>
      <xdr:rowOff>179295</xdr:rowOff>
    </xdr:to>
    <xdr:cxnSp macro="">
      <xdr:nvCxnSpPr>
        <xdr:cNvPr id="394" name="Straight Connector 393"/>
        <xdr:cNvCxnSpPr/>
      </xdr:nvCxnSpPr>
      <xdr:spPr>
        <a:xfrm>
          <a:off x="2981325" y="17238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88</xdr:row>
      <xdr:rowOff>0</xdr:rowOff>
    </xdr:from>
    <xdr:to>
      <xdr:col>3</xdr:col>
      <xdr:colOff>23112</xdr:colOff>
      <xdr:row>88</xdr:row>
      <xdr:rowOff>188399</xdr:rowOff>
    </xdr:to>
    <xdr:cxnSp macro="">
      <xdr:nvCxnSpPr>
        <xdr:cNvPr id="395" name="Straight Connector 394"/>
        <xdr:cNvCxnSpPr/>
      </xdr:nvCxnSpPr>
      <xdr:spPr>
        <a:xfrm flipV="1">
          <a:off x="3004437" y="17059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88</xdr:row>
      <xdr:rowOff>0</xdr:rowOff>
    </xdr:from>
    <xdr:to>
      <xdr:col>4</xdr:col>
      <xdr:colOff>601265</xdr:colOff>
      <xdr:row>88</xdr:row>
      <xdr:rowOff>187699</xdr:rowOff>
    </xdr:to>
    <xdr:cxnSp macro="">
      <xdr:nvCxnSpPr>
        <xdr:cNvPr id="396" name="Straight Connector 395"/>
        <xdr:cNvCxnSpPr/>
      </xdr:nvCxnSpPr>
      <xdr:spPr>
        <a:xfrm flipV="1">
          <a:off x="3992165" y="17059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88</xdr:row>
      <xdr:rowOff>0</xdr:rowOff>
    </xdr:from>
    <xdr:to>
      <xdr:col>3</xdr:col>
      <xdr:colOff>23112</xdr:colOff>
      <xdr:row>88</xdr:row>
      <xdr:rowOff>188399</xdr:rowOff>
    </xdr:to>
    <xdr:cxnSp macro="">
      <xdr:nvCxnSpPr>
        <xdr:cNvPr id="397" name="Straight Connector 396"/>
        <xdr:cNvCxnSpPr/>
      </xdr:nvCxnSpPr>
      <xdr:spPr>
        <a:xfrm flipV="1">
          <a:off x="3004437" y="17059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88</xdr:row>
      <xdr:rowOff>0</xdr:rowOff>
    </xdr:from>
    <xdr:to>
      <xdr:col>4</xdr:col>
      <xdr:colOff>601265</xdr:colOff>
      <xdr:row>88</xdr:row>
      <xdr:rowOff>187699</xdr:rowOff>
    </xdr:to>
    <xdr:cxnSp macro="">
      <xdr:nvCxnSpPr>
        <xdr:cNvPr id="398" name="Straight Connector 397"/>
        <xdr:cNvCxnSpPr/>
      </xdr:nvCxnSpPr>
      <xdr:spPr>
        <a:xfrm flipV="1">
          <a:off x="3992165" y="17059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88</xdr:row>
      <xdr:rowOff>0</xdr:rowOff>
    </xdr:from>
    <xdr:to>
      <xdr:col>3</xdr:col>
      <xdr:colOff>23112</xdr:colOff>
      <xdr:row>88</xdr:row>
      <xdr:rowOff>188399</xdr:rowOff>
    </xdr:to>
    <xdr:cxnSp macro="">
      <xdr:nvCxnSpPr>
        <xdr:cNvPr id="399" name="Straight Connector 398"/>
        <xdr:cNvCxnSpPr/>
      </xdr:nvCxnSpPr>
      <xdr:spPr>
        <a:xfrm flipV="1">
          <a:off x="3004437" y="17059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88</xdr:row>
      <xdr:rowOff>0</xdr:rowOff>
    </xdr:from>
    <xdr:to>
      <xdr:col>4</xdr:col>
      <xdr:colOff>601265</xdr:colOff>
      <xdr:row>88</xdr:row>
      <xdr:rowOff>187699</xdr:rowOff>
    </xdr:to>
    <xdr:cxnSp macro="">
      <xdr:nvCxnSpPr>
        <xdr:cNvPr id="400" name="Straight Connector 399"/>
        <xdr:cNvCxnSpPr/>
      </xdr:nvCxnSpPr>
      <xdr:spPr>
        <a:xfrm flipV="1">
          <a:off x="3992165" y="17059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100</xdr:row>
      <xdr:rowOff>179295</xdr:rowOff>
    </xdr:from>
    <xdr:to>
      <xdr:col>5</xdr:col>
      <xdr:colOff>11206</xdr:colOff>
      <xdr:row>100</xdr:row>
      <xdr:rowOff>179295</xdr:rowOff>
    </xdr:to>
    <xdr:cxnSp macro="">
      <xdr:nvCxnSpPr>
        <xdr:cNvPr id="401" name="Straight Connector 400"/>
        <xdr:cNvCxnSpPr/>
      </xdr:nvCxnSpPr>
      <xdr:spPr>
        <a:xfrm>
          <a:off x="2981325" y="19524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100</xdr:row>
      <xdr:rowOff>0</xdr:rowOff>
    </xdr:from>
    <xdr:to>
      <xdr:col>3</xdr:col>
      <xdr:colOff>23112</xdr:colOff>
      <xdr:row>100</xdr:row>
      <xdr:rowOff>188399</xdr:rowOff>
    </xdr:to>
    <xdr:cxnSp macro="">
      <xdr:nvCxnSpPr>
        <xdr:cNvPr id="402" name="Straight Connector 401"/>
        <xdr:cNvCxnSpPr/>
      </xdr:nvCxnSpPr>
      <xdr:spPr>
        <a:xfrm flipV="1">
          <a:off x="3004437" y="19345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100</xdr:row>
      <xdr:rowOff>0</xdr:rowOff>
    </xdr:from>
    <xdr:to>
      <xdr:col>4</xdr:col>
      <xdr:colOff>601265</xdr:colOff>
      <xdr:row>100</xdr:row>
      <xdr:rowOff>187699</xdr:rowOff>
    </xdr:to>
    <xdr:cxnSp macro="">
      <xdr:nvCxnSpPr>
        <xdr:cNvPr id="403" name="Straight Connector 402"/>
        <xdr:cNvCxnSpPr/>
      </xdr:nvCxnSpPr>
      <xdr:spPr>
        <a:xfrm flipV="1">
          <a:off x="3992165" y="19345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100</xdr:row>
      <xdr:rowOff>0</xdr:rowOff>
    </xdr:from>
    <xdr:to>
      <xdr:col>3</xdr:col>
      <xdr:colOff>23112</xdr:colOff>
      <xdr:row>100</xdr:row>
      <xdr:rowOff>188399</xdr:rowOff>
    </xdr:to>
    <xdr:cxnSp macro="">
      <xdr:nvCxnSpPr>
        <xdr:cNvPr id="404" name="Straight Connector 403"/>
        <xdr:cNvCxnSpPr/>
      </xdr:nvCxnSpPr>
      <xdr:spPr>
        <a:xfrm flipV="1">
          <a:off x="3004437" y="19345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100</xdr:row>
      <xdr:rowOff>0</xdr:rowOff>
    </xdr:from>
    <xdr:to>
      <xdr:col>4</xdr:col>
      <xdr:colOff>601265</xdr:colOff>
      <xdr:row>100</xdr:row>
      <xdr:rowOff>187699</xdr:rowOff>
    </xdr:to>
    <xdr:cxnSp macro="">
      <xdr:nvCxnSpPr>
        <xdr:cNvPr id="405" name="Straight Connector 404"/>
        <xdr:cNvCxnSpPr/>
      </xdr:nvCxnSpPr>
      <xdr:spPr>
        <a:xfrm flipV="1">
          <a:off x="3992165" y="19345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100</xdr:row>
      <xdr:rowOff>0</xdr:rowOff>
    </xdr:from>
    <xdr:to>
      <xdr:col>3</xdr:col>
      <xdr:colOff>23112</xdr:colOff>
      <xdr:row>100</xdr:row>
      <xdr:rowOff>188399</xdr:rowOff>
    </xdr:to>
    <xdr:cxnSp macro="">
      <xdr:nvCxnSpPr>
        <xdr:cNvPr id="406" name="Straight Connector 405"/>
        <xdr:cNvCxnSpPr/>
      </xdr:nvCxnSpPr>
      <xdr:spPr>
        <a:xfrm flipV="1">
          <a:off x="3004437" y="19345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100</xdr:row>
      <xdr:rowOff>0</xdr:rowOff>
    </xdr:from>
    <xdr:to>
      <xdr:col>4</xdr:col>
      <xdr:colOff>601265</xdr:colOff>
      <xdr:row>100</xdr:row>
      <xdr:rowOff>187699</xdr:rowOff>
    </xdr:to>
    <xdr:cxnSp macro="">
      <xdr:nvCxnSpPr>
        <xdr:cNvPr id="407" name="Straight Connector 406"/>
        <xdr:cNvCxnSpPr/>
      </xdr:nvCxnSpPr>
      <xdr:spPr>
        <a:xfrm flipV="1">
          <a:off x="3992165" y="19345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106</xdr:row>
      <xdr:rowOff>179295</xdr:rowOff>
    </xdr:from>
    <xdr:to>
      <xdr:col>5</xdr:col>
      <xdr:colOff>11206</xdr:colOff>
      <xdr:row>106</xdr:row>
      <xdr:rowOff>179295</xdr:rowOff>
    </xdr:to>
    <xdr:cxnSp macro="">
      <xdr:nvCxnSpPr>
        <xdr:cNvPr id="408" name="Straight Connector 407"/>
        <xdr:cNvCxnSpPr/>
      </xdr:nvCxnSpPr>
      <xdr:spPr>
        <a:xfrm>
          <a:off x="2981325" y="20667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106</xdr:row>
      <xdr:rowOff>0</xdr:rowOff>
    </xdr:from>
    <xdr:to>
      <xdr:col>3</xdr:col>
      <xdr:colOff>23112</xdr:colOff>
      <xdr:row>106</xdr:row>
      <xdr:rowOff>188399</xdr:rowOff>
    </xdr:to>
    <xdr:cxnSp macro="">
      <xdr:nvCxnSpPr>
        <xdr:cNvPr id="409" name="Straight Connector 408"/>
        <xdr:cNvCxnSpPr/>
      </xdr:nvCxnSpPr>
      <xdr:spPr>
        <a:xfrm flipV="1">
          <a:off x="3004437" y="20488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106</xdr:row>
      <xdr:rowOff>0</xdr:rowOff>
    </xdr:from>
    <xdr:to>
      <xdr:col>4</xdr:col>
      <xdr:colOff>601265</xdr:colOff>
      <xdr:row>106</xdr:row>
      <xdr:rowOff>187699</xdr:rowOff>
    </xdr:to>
    <xdr:cxnSp macro="">
      <xdr:nvCxnSpPr>
        <xdr:cNvPr id="410" name="Straight Connector 409"/>
        <xdr:cNvCxnSpPr/>
      </xdr:nvCxnSpPr>
      <xdr:spPr>
        <a:xfrm flipV="1">
          <a:off x="3992165" y="20488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106</xdr:row>
      <xdr:rowOff>0</xdr:rowOff>
    </xdr:from>
    <xdr:to>
      <xdr:col>3</xdr:col>
      <xdr:colOff>23112</xdr:colOff>
      <xdr:row>106</xdr:row>
      <xdr:rowOff>188399</xdr:rowOff>
    </xdr:to>
    <xdr:cxnSp macro="">
      <xdr:nvCxnSpPr>
        <xdr:cNvPr id="411" name="Straight Connector 410"/>
        <xdr:cNvCxnSpPr/>
      </xdr:nvCxnSpPr>
      <xdr:spPr>
        <a:xfrm flipV="1">
          <a:off x="3004437" y="20488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106</xdr:row>
      <xdr:rowOff>0</xdr:rowOff>
    </xdr:from>
    <xdr:to>
      <xdr:col>4</xdr:col>
      <xdr:colOff>601265</xdr:colOff>
      <xdr:row>106</xdr:row>
      <xdr:rowOff>187699</xdr:rowOff>
    </xdr:to>
    <xdr:cxnSp macro="">
      <xdr:nvCxnSpPr>
        <xdr:cNvPr id="412" name="Straight Connector 411"/>
        <xdr:cNvCxnSpPr/>
      </xdr:nvCxnSpPr>
      <xdr:spPr>
        <a:xfrm flipV="1">
          <a:off x="3992165" y="20488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106</xdr:row>
      <xdr:rowOff>0</xdr:rowOff>
    </xdr:from>
    <xdr:to>
      <xdr:col>3</xdr:col>
      <xdr:colOff>23112</xdr:colOff>
      <xdr:row>106</xdr:row>
      <xdr:rowOff>188399</xdr:rowOff>
    </xdr:to>
    <xdr:cxnSp macro="">
      <xdr:nvCxnSpPr>
        <xdr:cNvPr id="413" name="Straight Connector 412"/>
        <xdr:cNvCxnSpPr/>
      </xdr:nvCxnSpPr>
      <xdr:spPr>
        <a:xfrm flipV="1">
          <a:off x="3004437" y="20488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106</xdr:row>
      <xdr:rowOff>0</xdr:rowOff>
    </xdr:from>
    <xdr:to>
      <xdr:col>4</xdr:col>
      <xdr:colOff>601265</xdr:colOff>
      <xdr:row>106</xdr:row>
      <xdr:rowOff>187699</xdr:rowOff>
    </xdr:to>
    <xdr:cxnSp macro="">
      <xdr:nvCxnSpPr>
        <xdr:cNvPr id="414" name="Straight Connector 413"/>
        <xdr:cNvCxnSpPr/>
      </xdr:nvCxnSpPr>
      <xdr:spPr>
        <a:xfrm flipV="1">
          <a:off x="3992165" y="20488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94</xdr:row>
      <xdr:rowOff>179295</xdr:rowOff>
    </xdr:from>
    <xdr:to>
      <xdr:col>5</xdr:col>
      <xdr:colOff>11206</xdr:colOff>
      <xdr:row>94</xdr:row>
      <xdr:rowOff>179295</xdr:rowOff>
    </xdr:to>
    <xdr:cxnSp macro="">
      <xdr:nvCxnSpPr>
        <xdr:cNvPr id="415" name="Straight Connector 414"/>
        <xdr:cNvCxnSpPr/>
      </xdr:nvCxnSpPr>
      <xdr:spPr>
        <a:xfrm>
          <a:off x="2981325" y="18381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94</xdr:row>
      <xdr:rowOff>0</xdr:rowOff>
    </xdr:from>
    <xdr:to>
      <xdr:col>3</xdr:col>
      <xdr:colOff>23112</xdr:colOff>
      <xdr:row>94</xdr:row>
      <xdr:rowOff>188399</xdr:rowOff>
    </xdr:to>
    <xdr:cxnSp macro="">
      <xdr:nvCxnSpPr>
        <xdr:cNvPr id="416" name="Straight Connector 415"/>
        <xdr:cNvCxnSpPr/>
      </xdr:nvCxnSpPr>
      <xdr:spPr>
        <a:xfrm flipV="1">
          <a:off x="3004437" y="18202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94</xdr:row>
      <xdr:rowOff>0</xdr:rowOff>
    </xdr:from>
    <xdr:to>
      <xdr:col>4</xdr:col>
      <xdr:colOff>601265</xdr:colOff>
      <xdr:row>94</xdr:row>
      <xdr:rowOff>187699</xdr:rowOff>
    </xdr:to>
    <xdr:cxnSp macro="">
      <xdr:nvCxnSpPr>
        <xdr:cNvPr id="417" name="Straight Connector 416"/>
        <xdr:cNvCxnSpPr/>
      </xdr:nvCxnSpPr>
      <xdr:spPr>
        <a:xfrm flipV="1">
          <a:off x="3992165" y="18202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94</xdr:row>
      <xdr:rowOff>0</xdr:rowOff>
    </xdr:from>
    <xdr:to>
      <xdr:col>3</xdr:col>
      <xdr:colOff>23112</xdr:colOff>
      <xdr:row>94</xdr:row>
      <xdr:rowOff>188399</xdr:rowOff>
    </xdr:to>
    <xdr:cxnSp macro="">
      <xdr:nvCxnSpPr>
        <xdr:cNvPr id="418" name="Straight Connector 417"/>
        <xdr:cNvCxnSpPr/>
      </xdr:nvCxnSpPr>
      <xdr:spPr>
        <a:xfrm flipV="1">
          <a:off x="3004437" y="18202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94</xdr:row>
      <xdr:rowOff>0</xdr:rowOff>
    </xdr:from>
    <xdr:to>
      <xdr:col>4</xdr:col>
      <xdr:colOff>601265</xdr:colOff>
      <xdr:row>94</xdr:row>
      <xdr:rowOff>187699</xdr:rowOff>
    </xdr:to>
    <xdr:cxnSp macro="">
      <xdr:nvCxnSpPr>
        <xdr:cNvPr id="419" name="Straight Connector 418"/>
        <xdr:cNvCxnSpPr/>
      </xdr:nvCxnSpPr>
      <xdr:spPr>
        <a:xfrm flipV="1">
          <a:off x="3992165" y="18202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94</xdr:row>
      <xdr:rowOff>0</xdr:rowOff>
    </xdr:from>
    <xdr:to>
      <xdr:col>3</xdr:col>
      <xdr:colOff>23112</xdr:colOff>
      <xdr:row>94</xdr:row>
      <xdr:rowOff>188399</xdr:rowOff>
    </xdr:to>
    <xdr:cxnSp macro="">
      <xdr:nvCxnSpPr>
        <xdr:cNvPr id="420" name="Straight Connector 419"/>
        <xdr:cNvCxnSpPr/>
      </xdr:nvCxnSpPr>
      <xdr:spPr>
        <a:xfrm flipV="1">
          <a:off x="3004437" y="18202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94</xdr:row>
      <xdr:rowOff>0</xdr:rowOff>
    </xdr:from>
    <xdr:to>
      <xdr:col>4</xdr:col>
      <xdr:colOff>601265</xdr:colOff>
      <xdr:row>94</xdr:row>
      <xdr:rowOff>187699</xdr:rowOff>
    </xdr:to>
    <xdr:cxnSp macro="">
      <xdr:nvCxnSpPr>
        <xdr:cNvPr id="421" name="Straight Connector 420"/>
        <xdr:cNvCxnSpPr/>
      </xdr:nvCxnSpPr>
      <xdr:spPr>
        <a:xfrm flipV="1">
          <a:off x="3992165" y="18202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73</xdr:row>
      <xdr:rowOff>179295</xdr:rowOff>
    </xdr:from>
    <xdr:to>
      <xdr:col>5</xdr:col>
      <xdr:colOff>11206</xdr:colOff>
      <xdr:row>73</xdr:row>
      <xdr:rowOff>179295</xdr:rowOff>
    </xdr:to>
    <xdr:cxnSp macro="">
      <xdr:nvCxnSpPr>
        <xdr:cNvPr id="422" name="Straight Connector 421"/>
        <xdr:cNvCxnSpPr/>
      </xdr:nvCxnSpPr>
      <xdr:spPr>
        <a:xfrm>
          <a:off x="2981325" y="14381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73</xdr:row>
      <xdr:rowOff>0</xdr:rowOff>
    </xdr:from>
    <xdr:to>
      <xdr:col>3</xdr:col>
      <xdr:colOff>23112</xdr:colOff>
      <xdr:row>73</xdr:row>
      <xdr:rowOff>188399</xdr:rowOff>
    </xdr:to>
    <xdr:cxnSp macro="">
      <xdr:nvCxnSpPr>
        <xdr:cNvPr id="423" name="Straight Connector 422"/>
        <xdr:cNvCxnSpPr/>
      </xdr:nvCxnSpPr>
      <xdr:spPr>
        <a:xfrm flipV="1">
          <a:off x="3004437" y="1420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73</xdr:row>
      <xdr:rowOff>0</xdr:rowOff>
    </xdr:from>
    <xdr:to>
      <xdr:col>4</xdr:col>
      <xdr:colOff>601265</xdr:colOff>
      <xdr:row>73</xdr:row>
      <xdr:rowOff>187699</xdr:rowOff>
    </xdr:to>
    <xdr:cxnSp macro="">
      <xdr:nvCxnSpPr>
        <xdr:cNvPr id="424" name="Straight Connector 423"/>
        <xdr:cNvCxnSpPr/>
      </xdr:nvCxnSpPr>
      <xdr:spPr>
        <a:xfrm flipV="1">
          <a:off x="3992165" y="1420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73</xdr:row>
      <xdr:rowOff>0</xdr:rowOff>
    </xdr:from>
    <xdr:to>
      <xdr:col>3</xdr:col>
      <xdr:colOff>23112</xdr:colOff>
      <xdr:row>73</xdr:row>
      <xdr:rowOff>188399</xdr:rowOff>
    </xdr:to>
    <xdr:cxnSp macro="">
      <xdr:nvCxnSpPr>
        <xdr:cNvPr id="425" name="Straight Connector 424"/>
        <xdr:cNvCxnSpPr/>
      </xdr:nvCxnSpPr>
      <xdr:spPr>
        <a:xfrm flipV="1">
          <a:off x="3004437" y="1420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73</xdr:row>
      <xdr:rowOff>0</xdr:rowOff>
    </xdr:from>
    <xdr:to>
      <xdr:col>4</xdr:col>
      <xdr:colOff>601265</xdr:colOff>
      <xdr:row>73</xdr:row>
      <xdr:rowOff>187699</xdr:rowOff>
    </xdr:to>
    <xdr:cxnSp macro="">
      <xdr:nvCxnSpPr>
        <xdr:cNvPr id="426" name="Straight Connector 425"/>
        <xdr:cNvCxnSpPr/>
      </xdr:nvCxnSpPr>
      <xdr:spPr>
        <a:xfrm flipV="1">
          <a:off x="3992165" y="1420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73</xdr:row>
      <xdr:rowOff>0</xdr:rowOff>
    </xdr:from>
    <xdr:to>
      <xdr:col>3</xdr:col>
      <xdr:colOff>23112</xdr:colOff>
      <xdr:row>73</xdr:row>
      <xdr:rowOff>188399</xdr:rowOff>
    </xdr:to>
    <xdr:cxnSp macro="">
      <xdr:nvCxnSpPr>
        <xdr:cNvPr id="427" name="Straight Connector 426"/>
        <xdr:cNvCxnSpPr/>
      </xdr:nvCxnSpPr>
      <xdr:spPr>
        <a:xfrm flipV="1">
          <a:off x="3004437" y="1420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73</xdr:row>
      <xdr:rowOff>0</xdr:rowOff>
    </xdr:from>
    <xdr:to>
      <xdr:col>4</xdr:col>
      <xdr:colOff>601265</xdr:colOff>
      <xdr:row>73</xdr:row>
      <xdr:rowOff>187699</xdr:rowOff>
    </xdr:to>
    <xdr:cxnSp macro="">
      <xdr:nvCxnSpPr>
        <xdr:cNvPr id="428" name="Straight Connector 427"/>
        <xdr:cNvCxnSpPr/>
      </xdr:nvCxnSpPr>
      <xdr:spPr>
        <a:xfrm flipV="1">
          <a:off x="3992165" y="1420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79</xdr:row>
      <xdr:rowOff>179295</xdr:rowOff>
    </xdr:from>
    <xdr:to>
      <xdr:col>5</xdr:col>
      <xdr:colOff>11206</xdr:colOff>
      <xdr:row>79</xdr:row>
      <xdr:rowOff>179295</xdr:rowOff>
    </xdr:to>
    <xdr:cxnSp macro="">
      <xdr:nvCxnSpPr>
        <xdr:cNvPr id="429" name="Straight Connector 428"/>
        <xdr:cNvCxnSpPr/>
      </xdr:nvCxnSpPr>
      <xdr:spPr>
        <a:xfrm>
          <a:off x="2981325" y="15524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79</xdr:row>
      <xdr:rowOff>0</xdr:rowOff>
    </xdr:from>
    <xdr:to>
      <xdr:col>3</xdr:col>
      <xdr:colOff>23112</xdr:colOff>
      <xdr:row>79</xdr:row>
      <xdr:rowOff>188399</xdr:rowOff>
    </xdr:to>
    <xdr:cxnSp macro="">
      <xdr:nvCxnSpPr>
        <xdr:cNvPr id="430" name="Straight Connector 429"/>
        <xdr:cNvCxnSpPr/>
      </xdr:nvCxnSpPr>
      <xdr:spPr>
        <a:xfrm flipV="1">
          <a:off x="3004437" y="15344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79</xdr:row>
      <xdr:rowOff>0</xdr:rowOff>
    </xdr:from>
    <xdr:to>
      <xdr:col>4</xdr:col>
      <xdr:colOff>601265</xdr:colOff>
      <xdr:row>79</xdr:row>
      <xdr:rowOff>187699</xdr:rowOff>
    </xdr:to>
    <xdr:cxnSp macro="">
      <xdr:nvCxnSpPr>
        <xdr:cNvPr id="431" name="Straight Connector 430"/>
        <xdr:cNvCxnSpPr/>
      </xdr:nvCxnSpPr>
      <xdr:spPr>
        <a:xfrm flipV="1">
          <a:off x="3992165" y="15344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79</xdr:row>
      <xdr:rowOff>0</xdr:rowOff>
    </xdr:from>
    <xdr:to>
      <xdr:col>3</xdr:col>
      <xdr:colOff>23112</xdr:colOff>
      <xdr:row>79</xdr:row>
      <xdr:rowOff>188399</xdr:rowOff>
    </xdr:to>
    <xdr:cxnSp macro="">
      <xdr:nvCxnSpPr>
        <xdr:cNvPr id="432" name="Straight Connector 431"/>
        <xdr:cNvCxnSpPr/>
      </xdr:nvCxnSpPr>
      <xdr:spPr>
        <a:xfrm flipV="1">
          <a:off x="3004437" y="15344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79</xdr:row>
      <xdr:rowOff>0</xdr:rowOff>
    </xdr:from>
    <xdr:to>
      <xdr:col>4</xdr:col>
      <xdr:colOff>601265</xdr:colOff>
      <xdr:row>79</xdr:row>
      <xdr:rowOff>187699</xdr:rowOff>
    </xdr:to>
    <xdr:cxnSp macro="">
      <xdr:nvCxnSpPr>
        <xdr:cNvPr id="433" name="Straight Connector 432"/>
        <xdr:cNvCxnSpPr/>
      </xdr:nvCxnSpPr>
      <xdr:spPr>
        <a:xfrm flipV="1">
          <a:off x="3992165" y="15344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79</xdr:row>
      <xdr:rowOff>0</xdr:rowOff>
    </xdr:from>
    <xdr:to>
      <xdr:col>3</xdr:col>
      <xdr:colOff>23112</xdr:colOff>
      <xdr:row>79</xdr:row>
      <xdr:rowOff>188399</xdr:rowOff>
    </xdr:to>
    <xdr:cxnSp macro="">
      <xdr:nvCxnSpPr>
        <xdr:cNvPr id="434" name="Straight Connector 433"/>
        <xdr:cNvCxnSpPr/>
      </xdr:nvCxnSpPr>
      <xdr:spPr>
        <a:xfrm flipV="1">
          <a:off x="3004437" y="15344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79</xdr:row>
      <xdr:rowOff>0</xdr:rowOff>
    </xdr:from>
    <xdr:to>
      <xdr:col>4</xdr:col>
      <xdr:colOff>601265</xdr:colOff>
      <xdr:row>79</xdr:row>
      <xdr:rowOff>187699</xdr:rowOff>
    </xdr:to>
    <xdr:cxnSp macro="">
      <xdr:nvCxnSpPr>
        <xdr:cNvPr id="435" name="Straight Connector 434"/>
        <xdr:cNvCxnSpPr/>
      </xdr:nvCxnSpPr>
      <xdr:spPr>
        <a:xfrm flipV="1">
          <a:off x="3992165" y="15344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85</xdr:row>
      <xdr:rowOff>179295</xdr:rowOff>
    </xdr:from>
    <xdr:to>
      <xdr:col>5</xdr:col>
      <xdr:colOff>11206</xdr:colOff>
      <xdr:row>85</xdr:row>
      <xdr:rowOff>179295</xdr:rowOff>
    </xdr:to>
    <xdr:cxnSp macro="">
      <xdr:nvCxnSpPr>
        <xdr:cNvPr id="436" name="Straight Connector 435"/>
        <xdr:cNvCxnSpPr/>
      </xdr:nvCxnSpPr>
      <xdr:spPr>
        <a:xfrm>
          <a:off x="2981325" y="16667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85</xdr:row>
      <xdr:rowOff>0</xdr:rowOff>
    </xdr:from>
    <xdr:to>
      <xdr:col>3</xdr:col>
      <xdr:colOff>23112</xdr:colOff>
      <xdr:row>85</xdr:row>
      <xdr:rowOff>188399</xdr:rowOff>
    </xdr:to>
    <xdr:cxnSp macro="">
      <xdr:nvCxnSpPr>
        <xdr:cNvPr id="437" name="Straight Connector 436"/>
        <xdr:cNvCxnSpPr/>
      </xdr:nvCxnSpPr>
      <xdr:spPr>
        <a:xfrm flipV="1">
          <a:off x="3004437" y="16487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85</xdr:row>
      <xdr:rowOff>0</xdr:rowOff>
    </xdr:from>
    <xdr:to>
      <xdr:col>4</xdr:col>
      <xdr:colOff>601265</xdr:colOff>
      <xdr:row>85</xdr:row>
      <xdr:rowOff>187699</xdr:rowOff>
    </xdr:to>
    <xdr:cxnSp macro="">
      <xdr:nvCxnSpPr>
        <xdr:cNvPr id="438" name="Straight Connector 437"/>
        <xdr:cNvCxnSpPr/>
      </xdr:nvCxnSpPr>
      <xdr:spPr>
        <a:xfrm flipV="1">
          <a:off x="3992165" y="16487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85</xdr:row>
      <xdr:rowOff>0</xdr:rowOff>
    </xdr:from>
    <xdr:to>
      <xdr:col>3</xdr:col>
      <xdr:colOff>23112</xdr:colOff>
      <xdr:row>85</xdr:row>
      <xdr:rowOff>188399</xdr:rowOff>
    </xdr:to>
    <xdr:cxnSp macro="">
      <xdr:nvCxnSpPr>
        <xdr:cNvPr id="439" name="Straight Connector 438"/>
        <xdr:cNvCxnSpPr/>
      </xdr:nvCxnSpPr>
      <xdr:spPr>
        <a:xfrm flipV="1">
          <a:off x="3004437" y="16487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85</xdr:row>
      <xdr:rowOff>0</xdr:rowOff>
    </xdr:from>
    <xdr:to>
      <xdr:col>4</xdr:col>
      <xdr:colOff>601265</xdr:colOff>
      <xdr:row>85</xdr:row>
      <xdr:rowOff>187699</xdr:rowOff>
    </xdr:to>
    <xdr:cxnSp macro="">
      <xdr:nvCxnSpPr>
        <xdr:cNvPr id="440" name="Straight Connector 439"/>
        <xdr:cNvCxnSpPr/>
      </xdr:nvCxnSpPr>
      <xdr:spPr>
        <a:xfrm flipV="1">
          <a:off x="3992165" y="16487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85</xdr:row>
      <xdr:rowOff>0</xdr:rowOff>
    </xdr:from>
    <xdr:to>
      <xdr:col>3</xdr:col>
      <xdr:colOff>23112</xdr:colOff>
      <xdr:row>85</xdr:row>
      <xdr:rowOff>188399</xdr:rowOff>
    </xdr:to>
    <xdr:cxnSp macro="">
      <xdr:nvCxnSpPr>
        <xdr:cNvPr id="441" name="Straight Connector 440"/>
        <xdr:cNvCxnSpPr/>
      </xdr:nvCxnSpPr>
      <xdr:spPr>
        <a:xfrm flipV="1">
          <a:off x="3004437" y="16487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85</xdr:row>
      <xdr:rowOff>0</xdr:rowOff>
    </xdr:from>
    <xdr:to>
      <xdr:col>4</xdr:col>
      <xdr:colOff>601265</xdr:colOff>
      <xdr:row>85</xdr:row>
      <xdr:rowOff>187699</xdr:rowOff>
    </xdr:to>
    <xdr:cxnSp macro="">
      <xdr:nvCxnSpPr>
        <xdr:cNvPr id="442" name="Straight Connector 441"/>
        <xdr:cNvCxnSpPr/>
      </xdr:nvCxnSpPr>
      <xdr:spPr>
        <a:xfrm flipV="1">
          <a:off x="3992165" y="16487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91</xdr:row>
      <xdr:rowOff>179295</xdr:rowOff>
    </xdr:from>
    <xdr:to>
      <xdr:col>5</xdr:col>
      <xdr:colOff>11206</xdr:colOff>
      <xdr:row>91</xdr:row>
      <xdr:rowOff>179295</xdr:rowOff>
    </xdr:to>
    <xdr:cxnSp macro="">
      <xdr:nvCxnSpPr>
        <xdr:cNvPr id="443" name="Straight Connector 442"/>
        <xdr:cNvCxnSpPr/>
      </xdr:nvCxnSpPr>
      <xdr:spPr>
        <a:xfrm>
          <a:off x="2981325" y="17810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91</xdr:row>
      <xdr:rowOff>0</xdr:rowOff>
    </xdr:from>
    <xdr:to>
      <xdr:col>3</xdr:col>
      <xdr:colOff>23112</xdr:colOff>
      <xdr:row>91</xdr:row>
      <xdr:rowOff>188399</xdr:rowOff>
    </xdr:to>
    <xdr:cxnSp macro="">
      <xdr:nvCxnSpPr>
        <xdr:cNvPr id="444" name="Straight Connector 443"/>
        <xdr:cNvCxnSpPr/>
      </xdr:nvCxnSpPr>
      <xdr:spPr>
        <a:xfrm flipV="1">
          <a:off x="3004437" y="17630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91</xdr:row>
      <xdr:rowOff>0</xdr:rowOff>
    </xdr:from>
    <xdr:to>
      <xdr:col>4</xdr:col>
      <xdr:colOff>601265</xdr:colOff>
      <xdr:row>91</xdr:row>
      <xdr:rowOff>187699</xdr:rowOff>
    </xdr:to>
    <xdr:cxnSp macro="">
      <xdr:nvCxnSpPr>
        <xdr:cNvPr id="445" name="Straight Connector 444"/>
        <xdr:cNvCxnSpPr/>
      </xdr:nvCxnSpPr>
      <xdr:spPr>
        <a:xfrm flipV="1">
          <a:off x="3992165" y="17630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91</xdr:row>
      <xdr:rowOff>0</xdr:rowOff>
    </xdr:from>
    <xdr:to>
      <xdr:col>3</xdr:col>
      <xdr:colOff>23112</xdr:colOff>
      <xdr:row>91</xdr:row>
      <xdr:rowOff>188399</xdr:rowOff>
    </xdr:to>
    <xdr:cxnSp macro="">
      <xdr:nvCxnSpPr>
        <xdr:cNvPr id="446" name="Straight Connector 445"/>
        <xdr:cNvCxnSpPr/>
      </xdr:nvCxnSpPr>
      <xdr:spPr>
        <a:xfrm flipV="1">
          <a:off x="3004437" y="17630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91</xdr:row>
      <xdr:rowOff>0</xdr:rowOff>
    </xdr:from>
    <xdr:to>
      <xdr:col>4</xdr:col>
      <xdr:colOff>601265</xdr:colOff>
      <xdr:row>91</xdr:row>
      <xdr:rowOff>187699</xdr:rowOff>
    </xdr:to>
    <xdr:cxnSp macro="">
      <xdr:nvCxnSpPr>
        <xdr:cNvPr id="447" name="Straight Connector 446"/>
        <xdr:cNvCxnSpPr/>
      </xdr:nvCxnSpPr>
      <xdr:spPr>
        <a:xfrm flipV="1">
          <a:off x="3992165" y="17630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91</xdr:row>
      <xdr:rowOff>0</xdr:rowOff>
    </xdr:from>
    <xdr:to>
      <xdr:col>3</xdr:col>
      <xdr:colOff>23112</xdr:colOff>
      <xdr:row>91</xdr:row>
      <xdr:rowOff>188399</xdr:rowOff>
    </xdr:to>
    <xdr:cxnSp macro="">
      <xdr:nvCxnSpPr>
        <xdr:cNvPr id="448" name="Straight Connector 447"/>
        <xdr:cNvCxnSpPr/>
      </xdr:nvCxnSpPr>
      <xdr:spPr>
        <a:xfrm flipV="1">
          <a:off x="3004437" y="17630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91</xdr:row>
      <xdr:rowOff>0</xdr:rowOff>
    </xdr:from>
    <xdr:to>
      <xdr:col>4</xdr:col>
      <xdr:colOff>601265</xdr:colOff>
      <xdr:row>91</xdr:row>
      <xdr:rowOff>187699</xdr:rowOff>
    </xdr:to>
    <xdr:cxnSp macro="">
      <xdr:nvCxnSpPr>
        <xdr:cNvPr id="449" name="Straight Connector 448"/>
        <xdr:cNvCxnSpPr/>
      </xdr:nvCxnSpPr>
      <xdr:spPr>
        <a:xfrm flipV="1">
          <a:off x="3992165" y="17630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97</xdr:row>
      <xdr:rowOff>179295</xdr:rowOff>
    </xdr:from>
    <xdr:to>
      <xdr:col>5</xdr:col>
      <xdr:colOff>11206</xdr:colOff>
      <xdr:row>97</xdr:row>
      <xdr:rowOff>179295</xdr:rowOff>
    </xdr:to>
    <xdr:cxnSp macro="">
      <xdr:nvCxnSpPr>
        <xdr:cNvPr id="450" name="Straight Connector 449"/>
        <xdr:cNvCxnSpPr/>
      </xdr:nvCxnSpPr>
      <xdr:spPr>
        <a:xfrm>
          <a:off x="2981325" y="18953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97</xdr:row>
      <xdr:rowOff>0</xdr:rowOff>
    </xdr:from>
    <xdr:to>
      <xdr:col>3</xdr:col>
      <xdr:colOff>23112</xdr:colOff>
      <xdr:row>97</xdr:row>
      <xdr:rowOff>188399</xdr:rowOff>
    </xdr:to>
    <xdr:cxnSp macro="">
      <xdr:nvCxnSpPr>
        <xdr:cNvPr id="451" name="Straight Connector 450"/>
        <xdr:cNvCxnSpPr/>
      </xdr:nvCxnSpPr>
      <xdr:spPr>
        <a:xfrm flipV="1">
          <a:off x="3004437" y="1877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97</xdr:row>
      <xdr:rowOff>0</xdr:rowOff>
    </xdr:from>
    <xdr:to>
      <xdr:col>4</xdr:col>
      <xdr:colOff>601265</xdr:colOff>
      <xdr:row>97</xdr:row>
      <xdr:rowOff>187699</xdr:rowOff>
    </xdr:to>
    <xdr:cxnSp macro="">
      <xdr:nvCxnSpPr>
        <xdr:cNvPr id="452" name="Straight Connector 451"/>
        <xdr:cNvCxnSpPr/>
      </xdr:nvCxnSpPr>
      <xdr:spPr>
        <a:xfrm flipV="1">
          <a:off x="3992165" y="1877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97</xdr:row>
      <xdr:rowOff>0</xdr:rowOff>
    </xdr:from>
    <xdr:to>
      <xdr:col>3</xdr:col>
      <xdr:colOff>23112</xdr:colOff>
      <xdr:row>97</xdr:row>
      <xdr:rowOff>188399</xdr:rowOff>
    </xdr:to>
    <xdr:cxnSp macro="">
      <xdr:nvCxnSpPr>
        <xdr:cNvPr id="453" name="Straight Connector 452"/>
        <xdr:cNvCxnSpPr/>
      </xdr:nvCxnSpPr>
      <xdr:spPr>
        <a:xfrm flipV="1">
          <a:off x="3004437" y="1877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97</xdr:row>
      <xdr:rowOff>0</xdr:rowOff>
    </xdr:from>
    <xdr:to>
      <xdr:col>4</xdr:col>
      <xdr:colOff>601265</xdr:colOff>
      <xdr:row>97</xdr:row>
      <xdr:rowOff>187699</xdr:rowOff>
    </xdr:to>
    <xdr:cxnSp macro="">
      <xdr:nvCxnSpPr>
        <xdr:cNvPr id="454" name="Straight Connector 453"/>
        <xdr:cNvCxnSpPr/>
      </xdr:nvCxnSpPr>
      <xdr:spPr>
        <a:xfrm flipV="1">
          <a:off x="3992165" y="1877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97</xdr:row>
      <xdr:rowOff>0</xdr:rowOff>
    </xdr:from>
    <xdr:to>
      <xdr:col>3</xdr:col>
      <xdr:colOff>23112</xdr:colOff>
      <xdr:row>97</xdr:row>
      <xdr:rowOff>188399</xdr:rowOff>
    </xdr:to>
    <xdr:cxnSp macro="">
      <xdr:nvCxnSpPr>
        <xdr:cNvPr id="455" name="Straight Connector 454"/>
        <xdr:cNvCxnSpPr/>
      </xdr:nvCxnSpPr>
      <xdr:spPr>
        <a:xfrm flipV="1">
          <a:off x="3004437" y="1877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97</xdr:row>
      <xdr:rowOff>0</xdr:rowOff>
    </xdr:from>
    <xdr:to>
      <xdr:col>4</xdr:col>
      <xdr:colOff>601265</xdr:colOff>
      <xdr:row>97</xdr:row>
      <xdr:rowOff>187699</xdr:rowOff>
    </xdr:to>
    <xdr:cxnSp macro="">
      <xdr:nvCxnSpPr>
        <xdr:cNvPr id="456" name="Straight Connector 455"/>
        <xdr:cNvCxnSpPr/>
      </xdr:nvCxnSpPr>
      <xdr:spPr>
        <a:xfrm flipV="1">
          <a:off x="3992165" y="1877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103</xdr:row>
      <xdr:rowOff>179295</xdr:rowOff>
    </xdr:from>
    <xdr:to>
      <xdr:col>5</xdr:col>
      <xdr:colOff>11206</xdr:colOff>
      <xdr:row>103</xdr:row>
      <xdr:rowOff>179295</xdr:rowOff>
    </xdr:to>
    <xdr:cxnSp macro="">
      <xdr:nvCxnSpPr>
        <xdr:cNvPr id="457" name="Straight Connector 456"/>
        <xdr:cNvCxnSpPr/>
      </xdr:nvCxnSpPr>
      <xdr:spPr>
        <a:xfrm>
          <a:off x="2981325" y="20096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103</xdr:row>
      <xdr:rowOff>0</xdr:rowOff>
    </xdr:from>
    <xdr:to>
      <xdr:col>3</xdr:col>
      <xdr:colOff>23112</xdr:colOff>
      <xdr:row>103</xdr:row>
      <xdr:rowOff>188399</xdr:rowOff>
    </xdr:to>
    <xdr:cxnSp macro="">
      <xdr:nvCxnSpPr>
        <xdr:cNvPr id="458" name="Straight Connector 457"/>
        <xdr:cNvCxnSpPr/>
      </xdr:nvCxnSpPr>
      <xdr:spPr>
        <a:xfrm flipV="1">
          <a:off x="3004437" y="19916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103</xdr:row>
      <xdr:rowOff>0</xdr:rowOff>
    </xdr:from>
    <xdr:to>
      <xdr:col>4</xdr:col>
      <xdr:colOff>601265</xdr:colOff>
      <xdr:row>103</xdr:row>
      <xdr:rowOff>187699</xdr:rowOff>
    </xdr:to>
    <xdr:cxnSp macro="">
      <xdr:nvCxnSpPr>
        <xdr:cNvPr id="459" name="Straight Connector 458"/>
        <xdr:cNvCxnSpPr/>
      </xdr:nvCxnSpPr>
      <xdr:spPr>
        <a:xfrm flipV="1">
          <a:off x="3992165" y="19916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103</xdr:row>
      <xdr:rowOff>0</xdr:rowOff>
    </xdr:from>
    <xdr:to>
      <xdr:col>3</xdr:col>
      <xdr:colOff>23112</xdr:colOff>
      <xdr:row>103</xdr:row>
      <xdr:rowOff>188399</xdr:rowOff>
    </xdr:to>
    <xdr:cxnSp macro="">
      <xdr:nvCxnSpPr>
        <xdr:cNvPr id="460" name="Straight Connector 459"/>
        <xdr:cNvCxnSpPr/>
      </xdr:nvCxnSpPr>
      <xdr:spPr>
        <a:xfrm flipV="1">
          <a:off x="3004437" y="19916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103</xdr:row>
      <xdr:rowOff>0</xdr:rowOff>
    </xdr:from>
    <xdr:to>
      <xdr:col>4</xdr:col>
      <xdr:colOff>601265</xdr:colOff>
      <xdr:row>103</xdr:row>
      <xdr:rowOff>187699</xdr:rowOff>
    </xdr:to>
    <xdr:cxnSp macro="">
      <xdr:nvCxnSpPr>
        <xdr:cNvPr id="461" name="Straight Connector 460"/>
        <xdr:cNvCxnSpPr/>
      </xdr:nvCxnSpPr>
      <xdr:spPr>
        <a:xfrm flipV="1">
          <a:off x="3992165" y="19916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103</xdr:row>
      <xdr:rowOff>0</xdr:rowOff>
    </xdr:from>
    <xdr:to>
      <xdr:col>3</xdr:col>
      <xdr:colOff>23112</xdr:colOff>
      <xdr:row>103</xdr:row>
      <xdr:rowOff>188399</xdr:rowOff>
    </xdr:to>
    <xdr:cxnSp macro="">
      <xdr:nvCxnSpPr>
        <xdr:cNvPr id="462" name="Straight Connector 461"/>
        <xdr:cNvCxnSpPr/>
      </xdr:nvCxnSpPr>
      <xdr:spPr>
        <a:xfrm flipV="1">
          <a:off x="3004437" y="19916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103</xdr:row>
      <xdr:rowOff>0</xdr:rowOff>
    </xdr:from>
    <xdr:to>
      <xdr:col>4</xdr:col>
      <xdr:colOff>601265</xdr:colOff>
      <xdr:row>103</xdr:row>
      <xdr:rowOff>187699</xdr:rowOff>
    </xdr:to>
    <xdr:cxnSp macro="">
      <xdr:nvCxnSpPr>
        <xdr:cNvPr id="463" name="Straight Connector 462"/>
        <xdr:cNvCxnSpPr/>
      </xdr:nvCxnSpPr>
      <xdr:spPr>
        <a:xfrm flipV="1">
          <a:off x="3992165" y="19916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129</xdr:row>
      <xdr:rowOff>179295</xdr:rowOff>
    </xdr:from>
    <xdr:to>
      <xdr:col>5</xdr:col>
      <xdr:colOff>11206</xdr:colOff>
      <xdr:row>129</xdr:row>
      <xdr:rowOff>179295</xdr:rowOff>
    </xdr:to>
    <xdr:cxnSp macro="">
      <xdr:nvCxnSpPr>
        <xdr:cNvPr id="464" name="Straight Connector 463"/>
        <xdr:cNvCxnSpPr/>
      </xdr:nvCxnSpPr>
      <xdr:spPr>
        <a:xfrm>
          <a:off x="2981325" y="25049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129</xdr:row>
      <xdr:rowOff>0</xdr:rowOff>
    </xdr:from>
    <xdr:to>
      <xdr:col>3</xdr:col>
      <xdr:colOff>23112</xdr:colOff>
      <xdr:row>129</xdr:row>
      <xdr:rowOff>188399</xdr:rowOff>
    </xdr:to>
    <xdr:cxnSp macro="">
      <xdr:nvCxnSpPr>
        <xdr:cNvPr id="465" name="Straight Connector 464"/>
        <xdr:cNvCxnSpPr/>
      </xdr:nvCxnSpPr>
      <xdr:spPr>
        <a:xfrm flipV="1">
          <a:off x="3004437" y="24869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129</xdr:row>
      <xdr:rowOff>0</xdr:rowOff>
    </xdr:from>
    <xdr:to>
      <xdr:col>4</xdr:col>
      <xdr:colOff>601265</xdr:colOff>
      <xdr:row>129</xdr:row>
      <xdr:rowOff>187699</xdr:rowOff>
    </xdr:to>
    <xdr:cxnSp macro="">
      <xdr:nvCxnSpPr>
        <xdr:cNvPr id="466" name="Straight Connector 465"/>
        <xdr:cNvCxnSpPr/>
      </xdr:nvCxnSpPr>
      <xdr:spPr>
        <a:xfrm flipV="1">
          <a:off x="3992165" y="24869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129</xdr:row>
      <xdr:rowOff>0</xdr:rowOff>
    </xdr:from>
    <xdr:to>
      <xdr:col>3</xdr:col>
      <xdr:colOff>23112</xdr:colOff>
      <xdr:row>129</xdr:row>
      <xdr:rowOff>188399</xdr:rowOff>
    </xdr:to>
    <xdr:cxnSp macro="">
      <xdr:nvCxnSpPr>
        <xdr:cNvPr id="467" name="Straight Connector 466"/>
        <xdr:cNvCxnSpPr/>
      </xdr:nvCxnSpPr>
      <xdr:spPr>
        <a:xfrm flipV="1">
          <a:off x="3004437" y="24869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129</xdr:row>
      <xdr:rowOff>0</xdr:rowOff>
    </xdr:from>
    <xdr:to>
      <xdr:col>4</xdr:col>
      <xdr:colOff>601265</xdr:colOff>
      <xdr:row>129</xdr:row>
      <xdr:rowOff>187699</xdr:rowOff>
    </xdr:to>
    <xdr:cxnSp macro="">
      <xdr:nvCxnSpPr>
        <xdr:cNvPr id="468" name="Straight Connector 467"/>
        <xdr:cNvCxnSpPr/>
      </xdr:nvCxnSpPr>
      <xdr:spPr>
        <a:xfrm flipV="1">
          <a:off x="3992165" y="24869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129</xdr:row>
      <xdr:rowOff>0</xdr:rowOff>
    </xdr:from>
    <xdr:to>
      <xdr:col>3</xdr:col>
      <xdr:colOff>23112</xdr:colOff>
      <xdr:row>129</xdr:row>
      <xdr:rowOff>188399</xdr:rowOff>
    </xdr:to>
    <xdr:cxnSp macro="">
      <xdr:nvCxnSpPr>
        <xdr:cNvPr id="469" name="Straight Connector 468"/>
        <xdr:cNvCxnSpPr/>
      </xdr:nvCxnSpPr>
      <xdr:spPr>
        <a:xfrm flipV="1">
          <a:off x="3004437" y="24869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129</xdr:row>
      <xdr:rowOff>0</xdr:rowOff>
    </xdr:from>
    <xdr:to>
      <xdr:col>4</xdr:col>
      <xdr:colOff>601265</xdr:colOff>
      <xdr:row>129</xdr:row>
      <xdr:rowOff>187699</xdr:rowOff>
    </xdr:to>
    <xdr:cxnSp macro="">
      <xdr:nvCxnSpPr>
        <xdr:cNvPr id="470" name="Straight Connector 469"/>
        <xdr:cNvCxnSpPr/>
      </xdr:nvCxnSpPr>
      <xdr:spPr>
        <a:xfrm flipV="1">
          <a:off x="3992165" y="24869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126</xdr:row>
      <xdr:rowOff>179295</xdr:rowOff>
    </xdr:from>
    <xdr:to>
      <xdr:col>5</xdr:col>
      <xdr:colOff>11206</xdr:colOff>
      <xdr:row>126</xdr:row>
      <xdr:rowOff>179295</xdr:rowOff>
    </xdr:to>
    <xdr:cxnSp macro="">
      <xdr:nvCxnSpPr>
        <xdr:cNvPr id="471" name="Straight Connector 470"/>
        <xdr:cNvCxnSpPr/>
      </xdr:nvCxnSpPr>
      <xdr:spPr>
        <a:xfrm>
          <a:off x="2981325" y="24477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126</xdr:row>
      <xdr:rowOff>0</xdr:rowOff>
    </xdr:from>
    <xdr:to>
      <xdr:col>3</xdr:col>
      <xdr:colOff>23112</xdr:colOff>
      <xdr:row>126</xdr:row>
      <xdr:rowOff>188399</xdr:rowOff>
    </xdr:to>
    <xdr:cxnSp macro="">
      <xdr:nvCxnSpPr>
        <xdr:cNvPr id="472" name="Straight Connector 471"/>
        <xdr:cNvCxnSpPr/>
      </xdr:nvCxnSpPr>
      <xdr:spPr>
        <a:xfrm flipV="1">
          <a:off x="3004437" y="24298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126</xdr:row>
      <xdr:rowOff>0</xdr:rowOff>
    </xdr:from>
    <xdr:to>
      <xdr:col>4</xdr:col>
      <xdr:colOff>601265</xdr:colOff>
      <xdr:row>126</xdr:row>
      <xdr:rowOff>187699</xdr:rowOff>
    </xdr:to>
    <xdr:cxnSp macro="">
      <xdr:nvCxnSpPr>
        <xdr:cNvPr id="473" name="Straight Connector 472"/>
        <xdr:cNvCxnSpPr/>
      </xdr:nvCxnSpPr>
      <xdr:spPr>
        <a:xfrm flipV="1">
          <a:off x="3992165" y="24298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126</xdr:row>
      <xdr:rowOff>0</xdr:rowOff>
    </xdr:from>
    <xdr:to>
      <xdr:col>3</xdr:col>
      <xdr:colOff>23112</xdr:colOff>
      <xdr:row>126</xdr:row>
      <xdr:rowOff>188399</xdr:rowOff>
    </xdr:to>
    <xdr:cxnSp macro="">
      <xdr:nvCxnSpPr>
        <xdr:cNvPr id="474" name="Straight Connector 473"/>
        <xdr:cNvCxnSpPr/>
      </xdr:nvCxnSpPr>
      <xdr:spPr>
        <a:xfrm flipV="1">
          <a:off x="3004437" y="24298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126</xdr:row>
      <xdr:rowOff>0</xdr:rowOff>
    </xdr:from>
    <xdr:to>
      <xdr:col>4</xdr:col>
      <xdr:colOff>601265</xdr:colOff>
      <xdr:row>126</xdr:row>
      <xdr:rowOff>187699</xdr:rowOff>
    </xdr:to>
    <xdr:cxnSp macro="">
      <xdr:nvCxnSpPr>
        <xdr:cNvPr id="475" name="Straight Connector 474"/>
        <xdr:cNvCxnSpPr/>
      </xdr:nvCxnSpPr>
      <xdr:spPr>
        <a:xfrm flipV="1">
          <a:off x="3992165" y="24298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126</xdr:row>
      <xdr:rowOff>0</xdr:rowOff>
    </xdr:from>
    <xdr:to>
      <xdr:col>3</xdr:col>
      <xdr:colOff>23112</xdr:colOff>
      <xdr:row>126</xdr:row>
      <xdr:rowOff>188399</xdr:rowOff>
    </xdr:to>
    <xdr:cxnSp macro="">
      <xdr:nvCxnSpPr>
        <xdr:cNvPr id="476" name="Straight Connector 475"/>
        <xdr:cNvCxnSpPr/>
      </xdr:nvCxnSpPr>
      <xdr:spPr>
        <a:xfrm flipV="1">
          <a:off x="3004437" y="24298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126</xdr:row>
      <xdr:rowOff>0</xdr:rowOff>
    </xdr:from>
    <xdr:to>
      <xdr:col>4</xdr:col>
      <xdr:colOff>601265</xdr:colOff>
      <xdr:row>126</xdr:row>
      <xdr:rowOff>187699</xdr:rowOff>
    </xdr:to>
    <xdr:cxnSp macro="">
      <xdr:nvCxnSpPr>
        <xdr:cNvPr id="477" name="Straight Connector 476"/>
        <xdr:cNvCxnSpPr/>
      </xdr:nvCxnSpPr>
      <xdr:spPr>
        <a:xfrm flipV="1">
          <a:off x="3992165" y="24298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123</xdr:row>
      <xdr:rowOff>179295</xdr:rowOff>
    </xdr:from>
    <xdr:to>
      <xdr:col>5</xdr:col>
      <xdr:colOff>11206</xdr:colOff>
      <xdr:row>123</xdr:row>
      <xdr:rowOff>179295</xdr:rowOff>
    </xdr:to>
    <xdr:cxnSp macro="">
      <xdr:nvCxnSpPr>
        <xdr:cNvPr id="478" name="Straight Connector 477"/>
        <xdr:cNvCxnSpPr/>
      </xdr:nvCxnSpPr>
      <xdr:spPr>
        <a:xfrm>
          <a:off x="2981325" y="23906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120</xdr:row>
      <xdr:rowOff>179295</xdr:rowOff>
    </xdr:from>
    <xdr:to>
      <xdr:col>5</xdr:col>
      <xdr:colOff>11206</xdr:colOff>
      <xdr:row>120</xdr:row>
      <xdr:rowOff>179295</xdr:rowOff>
    </xdr:to>
    <xdr:cxnSp macro="">
      <xdr:nvCxnSpPr>
        <xdr:cNvPr id="479" name="Straight Connector 478"/>
        <xdr:cNvCxnSpPr/>
      </xdr:nvCxnSpPr>
      <xdr:spPr>
        <a:xfrm>
          <a:off x="2981325" y="23334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114</xdr:row>
      <xdr:rowOff>179295</xdr:rowOff>
    </xdr:from>
    <xdr:to>
      <xdr:col>5</xdr:col>
      <xdr:colOff>11206</xdr:colOff>
      <xdr:row>114</xdr:row>
      <xdr:rowOff>179295</xdr:rowOff>
    </xdr:to>
    <xdr:cxnSp macro="">
      <xdr:nvCxnSpPr>
        <xdr:cNvPr id="480" name="Straight Connector 479"/>
        <xdr:cNvCxnSpPr/>
      </xdr:nvCxnSpPr>
      <xdr:spPr>
        <a:xfrm>
          <a:off x="2981325" y="22191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114</xdr:row>
      <xdr:rowOff>0</xdr:rowOff>
    </xdr:from>
    <xdr:to>
      <xdr:col>3</xdr:col>
      <xdr:colOff>23112</xdr:colOff>
      <xdr:row>114</xdr:row>
      <xdr:rowOff>188399</xdr:rowOff>
    </xdr:to>
    <xdr:cxnSp macro="">
      <xdr:nvCxnSpPr>
        <xdr:cNvPr id="481" name="Straight Connector 480"/>
        <xdr:cNvCxnSpPr/>
      </xdr:nvCxnSpPr>
      <xdr:spPr>
        <a:xfrm flipV="1">
          <a:off x="3004437" y="22012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114</xdr:row>
      <xdr:rowOff>0</xdr:rowOff>
    </xdr:from>
    <xdr:to>
      <xdr:col>3</xdr:col>
      <xdr:colOff>23112</xdr:colOff>
      <xdr:row>114</xdr:row>
      <xdr:rowOff>188399</xdr:rowOff>
    </xdr:to>
    <xdr:cxnSp macro="">
      <xdr:nvCxnSpPr>
        <xdr:cNvPr id="482" name="Straight Connector 481"/>
        <xdr:cNvCxnSpPr/>
      </xdr:nvCxnSpPr>
      <xdr:spPr>
        <a:xfrm flipV="1">
          <a:off x="3004437" y="22012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114</xdr:row>
      <xdr:rowOff>0</xdr:rowOff>
    </xdr:from>
    <xdr:to>
      <xdr:col>3</xdr:col>
      <xdr:colOff>23112</xdr:colOff>
      <xdr:row>114</xdr:row>
      <xdr:rowOff>188399</xdr:rowOff>
    </xdr:to>
    <xdr:cxnSp macro="">
      <xdr:nvCxnSpPr>
        <xdr:cNvPr id="483" name="Straight Connector 482"/>
        <xdr:cNvCxnSpPr/>
      </xdr:nvCxnSpPr>
      <xdr:spPr>
        <a:xfrm flipV="1">
          <a:off x="3004437" y="22012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114</xdr:row>
      <xdr:rowOff>179295</xdr:rowOff>
    </xdr:from>
    <xdr:to>
      <xdr:col>5</xdr:col>
      <xdr:colOff>11206</xdr:colOff>
      <xdr:row>114</xdr:row>
      <xdr:rowOff>179295</xdr:rowOff>
    </xdr:to>
    <xdr:cxnSp macro="">
      <xdr:nvCxnSpPr>
        <xdr:cNvPr id="484" name="Straight Connector 483"/>
        <xdr:cNvCxnSpPr/>
      </xdr:nvCxnSpPr>
      <xdr:spPr>
        <a:xfrm>
          <a:off x="2981325" y="22191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114</xdr:row>
      <xdr:rowOff>0</xdr:rowOff>
    </xdr:from>
    <xdr:to>
      <xdr:col>3</xdr:col>
      <xdr:colOff>23112</xdr:colOff>
      <xdr:row>114</xdr:row>
      <xdr:rowOff>188399</xdr:rowOff>
    </xdr:to>
    <xdr:cxnSp macro="">
      <xdr:nvCxnSpPr>
        <xdr:cNvPr id="485" name="Straight Connector 484"/>
        <xdr:cNvCxnSpPr/>
      </xdr:nvCxnSpPr>
      <xdr:spPr>
        <a:xfrm flipV="1">
          <a:off x="3004437" y="22012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114</xdr:row>
      <xdr:rowOff>0</xdr:rowOff>
    </xdr:from>
    <xdr:to>
      <xdr:col>4</xdr:col>
      <xdr:colOff>601265</xdr:colOff>
      <xdr:row>114</xdr:row>
      <xdr:rowOff>187699</xdr:rowOff>
    </xdr:to>
    <xdr:cxnSp macro="">
      <xdr:nvCxnSpPr>
        <xdr:cNvPr id="486" name="Straight Connector 485"/>
        <xdr:cNvCxnSpPr/>
      </xdr:nvCxnSpPr>
      <xdr:spPr>
        <a:xfrm flipV="1">
          <a:off x="3992165" y="22012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114</xdr:row>
      <xdr:rowOff>0</xdr:rowOff>
    </xdr:from>
    <xdr:to>
      <xdr:col>3</xdr:col>
      <xdr:colOff>23112</xdr:colOff>
      <xdr:row>114</xdr:row>
      <xdr:rowOff>188399</xdr:rowOff>
    </xdr:to>
    <xdr:cxnSp macro="">
      <xdr:nvCxnSpPr>
        <xdr:cNvPr id="487" name="Straight Connector 486"/>
        <xdr:cNvCxnSpPr/>
      </xdr:nvCxnSpPr>
      <xdr:spPr>
        <a:xfrm flipV="1">
          <a:off x="3004437" y="22012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114</xdr:row>
      <xdr:rowOff>0</xdr:rowOff>
    </xdr:from>
    <xdr:to>
      <xdr:col>4</xdr:col>
      <xdr:colOff>601265</xdr:colOff>
      <xdr:row>114</xdr:row>
      <xdr:rowOff>187699</xdr:rowOff>
    </xdr:to>
    <xdr:cxnSp macro="">
      <xdr:nvCxnSpPr>
        <xdr:cNvPr id="488" name="Straight Connector 487"/>
        <xdr:cNvCxnSpPr/>
      </xdr:nvCxnSpPr>
      <xdr:spPr>
        <a:xfrm flipV="1">
          <a:off x="3992165" y="22012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114</xdr:row>
      <xdr:rowOff>0</xdr:rowOff>
    </xdr:from>
    <xdr:to>
      <xdr:col>3</xdr:col>
      <xdr:colOff>23112</xdr:colOff>
      <xdr:row>114</xdr:row>
      <xdr:rowOff>188399</xdr:rowOff>
    </xdr:to>
    <xdr:cxnSp macro="">
      <xdr:nvCxnSpPr>
        <xdr:cNvPr id="489" name="Straight Connector 488"/>
        <xdr:cNvCxnSpPr/>
      </xdr:nvCxnSpPr>
      <xdr:spPr>
        <a:xfrm flipV="1">
          <a:off x="3004437" y="22012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114</xdr:row>
      <xdr:rowOff>0</xdr:rowOff>
    </xdr:from>
    <xdr:to>
      <xdr:col>4</xdr:col>
      <xdr:colOff>601265</xdr:colOff>
      <xdr:row>114</xdr:row>
      <xdr:rowOff>187699</xdr:rowOff>
    </xdr:to>
    <xdr:cxnSp macro="">
      <xdr:nvCxnSpPr>
        <xdr:cNvPr id="490" name="Straight Connector 489"/>
        <xdr:cNvCxnSpPr/>
      </xdr:nvCxnSpPr>
      <xdr:spPr>
        <a:xfrm flipV="1">
          <a:off x="3992165" y="22012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111</xdr:row>
      <xdr:rowOff>179295</xdr:rowOff>
    </xdr:from>
    <xdr:to>
      <xdr:col>5</xdr:col>
      <xdr:colOff>11206</xdr:colOff>
      <xdr:row>111</xdr:row>
      <xdr:rowOff>179295</xdr:rowOff>
    </xdr:to>
    <xdr:cxnSp macro="">
      <xdr:nvCxnSpPr>
        <xdr:cNvPr id="491" name="Straight Connector 490"/>
        <xdr:cNvCxnSpPr/>
      </xdr:nvCxnSpPr>
      <xdr:spPr>
        <a:xfrm>
          <a:off x="2981325" y="21620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111</xdr:row>
      <xdr:rowOff>0</xdr:rowOff>
    </xdr:from>
    <xdr:to>
      <xdr:col>3</xdr:col>
      <xdr:colOff>23112</xdr:colOff>
      <xdr:row>111</xdr:row>
      <xdr:rowOff>188399</xdr:rowOff>
    </xdr:to>
    <xdr:cxnSp macro="">
      <xdr:nvCxnSpPr>
        <xdr:cNvPr id="492" name="Straight Connector 491"/>
        <xdr:cNvCxnSpPr/>
      </xdr:nvCxnSpPr>
      <xdr:spPr>
        <a:xfrm flipV="1">
          <a:off x="3004437" y="21440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111</xdr:row>
      <xdr:rowOff>0</xdr:rowOff>
    </xdr:from>
    <xdr:to>
      <xdr:col>3</xdr:col>
      <xdr:colOff>23112</xdr:colOff>
      <xdr:row>111</xdr:row>
      <xdr:rowOff>188399</xdr:rowOff>
    </xdr:to>
    <xdr:cxnSp macro="">
      <xdr:nvCxnSpPr>
        <xdr:cNvPr id="493" name="Straight Connector 492"/>
        <xdr:cNvCxnSpPr/>
      </xdr:nvCxnSpPr>
      <xdr:spPr>
        <a:xfrm flipV="1">
          <a:off x="3004437" y="21440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111</xdr:row>
      <xdr:rowOff>0</xdr:rowOff>
    </xdr:from>
    <xdr:to>
      <xdr:col>3</xdr:col>
      <xdr:colOff>23112</xdr:colOff>
      <xdr:row>111</xdr:row>
      <xdr:rowOff>188399</xdr:rowOff>
    </xdr:to>
    <xdr:cxnSp macro="">
      <xdr:nvCxnSpPr>
        <xdr:cNvPr id="494" name="Straight Connector 493"/>
        <xdr:cNvCxnSpPr/>
      </xdr:nvCxnSpPr>
      <xdr:spPr>
        <a:xfrm flipV="1">
          <a:off x="3004437" y="21440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111</xdr:row>
      <xdr:rowOff>179295</xdr:rowOff>
    </xdr:from>
    <xdr:to>
      <xdr:col>5</xdr:col>
      <xdr:colOff>11206</xdr:colOff>
      <xdr:row>111</xdr:row>
      <xdr:rowOff>179295</xdr:rowOff>
    </xdr:to>
    <xdr:cxnSp macro="">
      <xdr:nvCxnSpPr>
        <xdr:cNvPr id="495" name="Straight Connector 494"/>
        <xdr:cNvCxnSpPr/>
      </xdr:nvCxnSpPr>
      <xdr:spPr>
        <a:xfrm>
          <a:off x="2981325" y="21620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111</xdr:row>
      <xdr:rowOff>0</xdr:rowOff>
    </xdr:from>
    <xdr:to>
      <xdr:col>3</xdr:col>
      <xdr:colOff>23112</xdr:colOff>
      <xdr:row>111</xdr:row>
      <xdr:rowOff>188399</xdr:rowOff>
    </xdr:to>
    <xdr:cxnSp macro="">
      <xdr:nvCxnSpPr>
        <xdr:cNvPr id="496" name="Straight Connector 495"/>
        <xdr:cNvCxnSpPr/>
      </xdr:nvCxnSpPr>
      <xdr:spPr>
        <a:xfrm flipV="1">
          <a:off x="3004437" y="21440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111</xdr:row>
      <xdr:rowOff>0</xdr:rowOff>
    </xdr:from>
    <xdr:to>
      <xdr:col>4</xdr:col>
      <xdr:colOff>601265</xdr:colOff>
      <xdr:row>111</xdr:row>
      <xdr:rowOff>187699</xdr:rowOff>
    </xdr:to>
    <xdr:cxnSp macro="">
      <xdr:nvCxnSpPr>
        <xdr:cNvPr id="497" name="Straight Connector 496"/>
        <xdr:cNvCxnSpPr/>
      </xdr:nvCxnSpPr>
      <xdr:spPr>
        <a:xfrm flipV="1">
          <a:off x="3992165" y="21440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111</xdr:row>
      <xdr:rowOff>0</xdr:rowOff>
    </xdr:from>
    <xdr:to>
      <xdr:col>3</xdr:col>
      <xdr:colOff>23112</xdr:colOff>
      <xdr:row>111</xdr:row>
      <xdr:rowOff>188399</xdr:rowOff>
    </xdr:to>
    <xdr:cxnSp macro="">
      <xdr:nvCxnSpPr>
        <xdr:cNvPr id="498" name="Straight Connector 497"/>
        <xdr:cNvCxnSpPr/>
      </xdr:nvCxnSpPr>
      <xdr:spPr>
        <a:xfrm flipV="1">
          <a:off x="3004437" y="21440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111</xdr:row>
      <xdr:rowOff>0</xdr:rowOff>
    </xdr:from>
    <xdr:to>
      <xdr:col>4</xdr:col>
      <xdr:colOff>601265</xdr:colOff>
      <xdr:row>111</xdr:row>
      <xdr:rowOff>187699</xdr:rowOff>
    </xdr:to>
    <xdr:cxnSp macro="">
      <xdr:nvCxnSpPr>
        <xdr:cNvPr id="499" name="Straight Connector 498"/>
        <xdr:cNvCxnSpPr/>
      </xdr:nvCxnSpPr>
      <xdr:spPr>
        <a:xfrm flipV="1">
          <a:off x="3992165" y="21440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111</xdr:row>
      <xdr:rowOff>0</xdr:rowOff>
    </xdr:from>
    <xdr:to>
      <xdr:col>3</xdr:col>
      <xdr:colOff>23112</xdr:colOff>
      <xdr:row>111</xdr:row>
      <xdr:rowOff>188399</xdr:rowOff>
    </xdr:to>
    <xdr:cxnSp macro="">
      <xdr:nvCxnSpPr>
        <xdr:cNvPr id="500" name="Straight Connector 499"/>
        <xdr:cNvCxnSpPr/>
      </xdr:nvCxnSpPr>
      <xdr:spPr>
        <a:xfrm flipV="1">
          <a:off x="3004437" y="21440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111</xdr:row>
      <xdr:rowOff>0</xdr:rowOff>
    </xdr:from>
    <xdr:to>
      <xdr:col>4</xdr:col>
      <xdr:colOff>601265</xdr:colOff>
      <xdr:row>111</xdr:row>
      <xdr:rowOff>187699</xdr:rowOff>
    </xdr:to>
    <xdr:cxnSp macro="">
      <xdr:nvCxnSpPr>
        <xdr:cNvPr id="501" name="Straight Connector 500"/>
        <xdr:cNvCxnSpPr/>
      </xdr:nvCxnSpPr>
      <xdr:spPr>
        <a:xfrm flipV="1">
          <a:off x="3992165" y="21440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117</xdr:row>
      <xdr:rowOff>179295</xdr:rowOff>
    </xdr:from>
    <xdr:to>
      <xdr:col>5</xdr:col>
      <xdr:colOff>11206</xdr:colOff>
      <xdr:row>117</xdr:row>
      <xdr:rowOff>179295</xdr:rowOff>
    </xdr:to>
    <xdr:cxnSp macro="">
      <xdr:nvCxnSpPr>
        <xdr:cNvPr id="502" name="Straight Connector 501"/>
        <xdr:cNvCxnSpPr/>
      </xdr:nvCxnSpPr>
      <xdr:spPr>
        <a:xfrm>
          <a:off x="2981325" y="22763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117</xdr:row>
      <xdr:rowOff>0</xdr:rowOff>
    </xdr:from>
    <xdr:to>
      <xdr:col>3</xdr:col>
      <xdr:colOff>23112</xdr:colOff>
      <xdr:row>117</xdr:row>
      <xdr:rowOff>188399</xdr:rowOff>
    </xdr:to>
    <xdr:cxnSp macro="">
      <xdr:nvCxnSpPr>
        <xdr:cNvPr id="503" name="Straight Connector 502"/>
        <xdr:cNvCxnSpPr/>
      </xdr:nvCxnSpPr>
      <xdr:spPr>
        <a:xfrm flipV="1">
          <a:off x="3004437" y="2258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117</xdr:row>
      <xdr:rowOff>0</xdr:rowOff>
    </xdr:from>
    <xdr:to>
      <xdr:col>3</xdr:col>
      <xdr:colOff>23112</xdr:colOff>
      <xdr:row>117</xdr:row>
      <xdr:rowOff>188399</xdr:rowOff>
    </xdr:to>
    <xdr:cxnSp macro="">
      <xdr:nvCxnSpPr>
        <xdr:cNvPr id="504" name="Straight Connector 503"/>
        <xdr:cNvCxnSpPr/>
      </xdr:nvCxnSpPr>
      <xdr:spPr>
        <a:xfrm flipV="1">
          <a:off x="3004437" y="2258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117</xdr:row>
      <xdr:rowOff>0</xdr:rowOff>
    </xdr:from>
    <xdr:to>
      <xdr:col>3</xdr:col>
      <xdr:colOff>23112</xdr:colOff>
      <xdr:row>117</xdr:row>
      <xdr:rowOff>188399</xdr:rowOff>
    </xdr:to>
    <xdr:cxnSp macro="">
      <xdr:nvCxnSpPr>
        <xdr:cNvPr id="505" name="Straight Connector 504"/>
        <xdr:cNvCxnSpPr/>
      </xdr:nvCxnSpPr>
      <xdr:spPr>
        <a:xfrm flipV="1">
          <a:off x="3004437" y="2258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117</xdr:row>
      <xdr:rowOff>179295</xdr:rowOff>
    </xdr:from>
    <xdr:to>
      <xdr:col>5</xdr:col>
      <xdr:colOff>11206</xdr:colOff>
      <xdr:row>117</xdr:row>
      <xdr:rowOff>179295</xdr:rowOff>
    </xdr:to>
    <xdr:cxnSp macro="">
      <xdr:nvCxnSpPr>
        <xdr:cNvPr id="506" name="Straight Connector 505"/>
        <xdr:cNvCxnSpPr/>
      </xdr:nvCxnSpPr>
      <xdr:spPr>
        <a:xfrm>
          <a:off x="2981325" y="22763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117</xdr:row>
      <xdr:rowOff>0</xdr:rowOff>
    </xdr:from>
    <xdr:to>
      <xdr:col>3</xdr:col>
      <xdr:colOff>23112</xdr:colOff>
      <xdr:row>117</xdr:row>
      <xdr:rowOff>188399</xdr:rowOff>
    </xdr:to>
    <xdr:cxnSp macro="">
      <xdr:nvCxnSpPr>
        <xdr:cNvPr id="507" name="Straight Connector 506"/>
        <xdr:cNvCxnSpPr/>
      </xdr:nvCxnSpPr>
      <xdr:spPr>
        <a:xfrm flipV="1">
          <a:off x="3004437" y="2258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117</xdr:row>
      <xdr:rowOff>0</xdr:rowOff>
    </xdr:from>
    <xdr:to>
      <xdr:col>4</xdr:col>
      <xdr:colOff>601265</xdr:colOff>
      <xdr:row>117</xdr:row>
      <xdr:rowOff>187699</xdr:rowOff>
    </xdr:to>
    <xdr:cxnSp macro="">
      <xdr:nvCxnSpPr>
        <xdr:cNvPr id="508" name="Straight Connector 507"/>
        <xdr:cNvCxnSpPr/>
      </xdr:nvCxnSpPr>
      <xdr:spPr>
        <a:xfrm flipV="1">
          <a:off x="3992165" y="2258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117</xdr:row>
      <xdr:rowOff>0</xdr:rowOff>
    </xdr:from>
    <xdr:to>
      <xdr:col>3</xdr:col>
      <xdr:colOff>23112</xdr:colOff>
      <xdr:row>117</xdr:row>
      <xdr:rowOff>188399</xdr:rowOff>
    </xdr:to>
    <xdr:cxnSp macro="">
      <xdr:nvCxnSpPr>
        <xdr:cNvPr id="509" name="Straight Connector 508"/>
        <xdr:cNvCxnSpPr/>
      </xdr:nvCxnSpPr>
      <xdr:spPr>
        <a:xfrm flipV="1">
          <a:off x="3004437" y="2258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117</xdr:row>
      <xdr:rowOff>0</xdr:rowOff>
    </xdr:from>
    <xdr:to>
      <xdr:col>4</xdr:col>
      <xdr:colOff>601265</xdr:colOff>
      <xdr:row>117</xdr:row>
      <xdr:rowOff>187699</xdr:rowOff>
    </xdr:to>
    <xdr:cxnSp macro="">
      <xdr:nvCxnSpPr>
        <xdr:cNvPr id="510" name="Straight Connector 509"/>
        <xdr:cNvCxnSpPr/>
      </xdr:nvCxnSpPr>
      <xdr:spPr>
        <a:xfrm flipV="1">
          <a:off x="3992165" y="2258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117</xdr:row>
      <xdr:rowOff>0</xdr:rowOff>
    </xdr:from>
    <xdr:to>
      <xdr:col>3</xdr:col>
      <xdr:colOff>23112</xdr:colOff>
      <xdr:row>117</xdr:row>
      <xdr:rowOff>188399</xdr:rowOff>
    </xdr:to>
    <xdr:cxnSp macro="">
      <xdr:nvCxnSpPr>
        <xdr:cNvPr id="511" name="Straight Connector 510"/>
        <xdr:cNvCxnSpPr/>
      </xdr:nvCxnSpPr>
      <xdr:spPr>
        <a:xfrm flipV="1">
          <a:off x="3004437" y="2258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117</xdr:row>
      <xdr:rowOff>0</xdr:rowOff>
    </xdr:from>
    <xdr:to>
      <xdr:col>4</xdr:col>
      <xdr:colOff>601265</xdr:colOff>
      <xdr:row>117</xdr:row>
      <xdr:rowOff>187699</xdr:rowOff>
    </xdr:to>
    <xdr:cxnSp macro="">
      <xdr:nvCxnSpPr>
        <xdr:cNvPr id="512" name="Straight Connector 511"/>
        <xdr:cNvCxnSpPr/>
      </xdr:nvCxnSpPr>
      <xdr:spPr>
        <a:xfrm flipV="1">
          <a:off x="3992165" y="2258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123</xdr:row>
      <xdr:rowOff>0</xdr:rowOff>
    </xdr:from>
    <xdr:to>
      <xdr:col>5</xdr:col>
      <xdr:colOff>0</xdr:colOff>
      <xdr:row>123</xdr:row>
      <xdr:rowOff>187699</xdr:rowOff>
    </xdr:to>
    <xdr:cxnSp macro="">
      <xdr:nvCxnSpPr>
        <xdr:cNvPr id="513" name="Straight Connector 512"/>
        <xdr:cNvCxnSpPr/>
      </xdr:nvCxnSpPr>
      <xdr:spPr>
        <a:xfrm flipV="1">
          <a:off x="3990975" y="23726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120</xdr:row>
      <xdr:rowOff>0</xdr:rowOff>
    </xdr:from>
    <xdr:to>
      <xdr:col>5</xdr:col>
      <xdr:colOff>0</xdr:colOff>
      <xdr:row>120</xdr:row>
      <xdr:rowOff>187699</xdr:rowOff>
    </xdr:to>
    <xdr:cxnSp macro="">
      <xdr:nvCxnSpPr>
        <xdr:cNvPr id="514" name="Straight Connector 513"/>
        <xdr:cNvCxnSpPr/>
      </xdr:nvCxnSpPr>
      <xdr:spPr>
        <a:xfrm flipV="1">
          <a:off x="3990975" y="23155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151</xdr:row>
      <xdr:rowOff>0</xdr:rowOff>
    </xdr:from>
    <xdr:to>
      <xdr:col>5</xdr:col>
      <xdr:colOff>0</xdr:colOff>
      <xdr:row>151</xdr:row>
      <xdr:rowOff>188399</xdr:rowOff>
    </xdr:to>
    <xdr:cxnSp macro="">
      <xdr:nvCxnSpPr>
        <xdr:cNvPr id="515" name="Straight Connector 514"/>
        <xdr:cNvCxnSpPr/>
      </xdr:nvCxnSpPr>
      <xdr:spPr>
        <a:xfrm flipV="1">
          <a:off x="3990975" y="29060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153</xdr:row>
      <xdr:rowOff>179295</xdr:rowOff>
    </xdr:from>
    <xdr:to>
      <xdr:col>5</xdr:col>
      <xdr:colOff>11206</xdr:colOff>
      <xdr:row>153</xdr:row>
      <xdr:rowOff>179295</xdr:rowOff>
    </xdr:to>
    <xdr:cxnSp macro="">
      <xdr:nvCxnSpPr>
        <xdr:cNvPr id="516" name="Straight Connector 515"/>
        <xdr:cNvCxnSpPr/>
      </xdr:nvCxnSpPr>
      <xdr:spPr>
        <a:xfrm>
          <a:off x="2981325" y="29621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153</xdr:row>
      <xdr:rowOff>0</xdr:rowOff>
    </xdr:from>
    <xdr:to>
      <xdr:col>5</xdr:col>
      <xdr:colOff>0</xdr:colOff>
      <xdr:row>153</xdr:row>
      <xdr:rowOff>188399</xdr:rowOff>
    </xdr:to>
    <xdr:cxnSp macro="">
      <xdr:nvCxnSpPr>
        <xdr:cNvPr id="517" name="Straight Connector 516"/>
        <xdr:cNvCxnSpPr/>
      </xdr:nvCxnSpPr>
      <xdr:spPr>
        <a:xfrm flipV="1">
          <a:off x="3990975" y="2944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155</xdr:row>
      <xdr:rowOff>179295</xdr:rowOff>
    </xdr:from>
    <xdr:to>
      <xdr:col>5</xdr:col>
      <xdr:colOff>11206</xdr:colOff>
      <xdr:row>155</xdr:row>
      <xdr:rowOff>179295</xdr:rowOff>
    </xdr:to>
    <xdr:cxnSp macro="">
      <xdr:nvCxnSpPr>
        <xdr:cNvPr id="518" name="Straight Connector 517"/>
        <xdr:cNvCxnSpPr/>
      </xdr:nvCxnSpPr>
      <xdr:spPr>
        <a:xfrm>
          <a:off x="2981325" y="30002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155</xdr:row>
      <xdr:rowOff>0</xdr:rowOff>
    </xdr:from>
    <xdr:to>
      <xdr:col>3</xdr:col>
      <xdr:colOff>23112</xdr:colOff>
      <xdr:row>155</xdr:row>
      <xdr:rowOff>188399</xdr:rowOff>
    </xdr:to>
    <xdr:cxnSp macro="">
      <xdr:nvCxnSpPr>
        <xdr:cNvPr id="519" name="Straight Connector 518"/>
        <xdr:cNvCxnSpPr/>
      </xdr:nvCxnSpPr>
      <xdr:spPr>
        <a:xfrm flipV="1">
          <a:off x="3004437" y="29822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155</xdr:row>
      <xdr:rowOff>0</xdr:rowOff>
    </xdr:from>
    <xdr:to>
      <xdr:col>4</xdr:col>
      <xdr:colOff>601265</xdr:colOff>
      <xdr:row>155</xdr:row>
      <xdr:rowOff>187699</xdr:rowOff>
    </xdr:to>
    <xdr:cxnSp macro="">
      <xdr:nvCxnSpPr>
        <xdr:cNvPr id="520" name="Straight Connector 519"/>
        <xdr:cNvCxnSpPr/>
      </xdr:nvCxnSpPr>
      <xdr:spPr>
        <a:xfrm flipV="1">
          <a:off x="3992165" y="29822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155</xdr:row>
      <xdr:rowOff>0</xdr:rowOff>
    </xdr:from>
    <xdr:to>
      <xdr:col>4</xdr:col>
      <xdr:colOff>601265</xdr:colOff>
      <xdr:row>155</xdr:row>
      <xdr:rowOff>187699</xdr:rowOff>
    </xdr:to>
    <xdr:cxnSp macro="">
      <xdr:nvCxnSpPr>
        <xdr:cNvPr id="521" name="Straight Connector 520"/>
        <xdr:cNvCxnSpPr/>
      </xdr:nvCxnSpPr>
      <xdr:spPr>
        <a:xfrm flipV="1">
          <a:off x="3992165" y="29822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155</xdr:row>
      <xdr:rowOff>0</xdr:rowOff>
    </xdr:from>
    <xdr:to>
      <xdr:col>4</xdr:col>
      <xdr:colOff>601265</xdr:colOff>
      <xdr:row>155</xdr:row>
      <xdr:rowOff>187699</xdr:rowOff>
    </xdr:to>
    <xdr:cxnSp macro="">
      <xdr:nvCxnSpPr>
        <xdr:cNvPr id="522" name="Straight Connector 521"/>
        <xdr:cNvCxnSpPr/>
      </xdr:nvCxnSpPr>
      <xdr:spPr>
        <a:xfrm flipV="1">
          <a:off x="3992165" y="29822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157</xdr:row>
      <xdr:rowOff>179295</xdr:rowOff>
    </xdr:from>
    <xdr:to>
      <xdr:col>5</xdr:col>
      <xdr:colOff>11206</xdr:colOff>
      <xdr:row>157</xdr:row>
      <xdr:rowOff>179295</xdr:rowOff>
    </xdr:to>
    <xdr:cxnSp macro="">
      <xdr:nvCxnSpPr>
        <xdr:cNvPr id="523" name="Straight Connector 522"/>
        <xdr:cNvCxnSpPr/>
      </xdr:nvCxnSpPr>
      <xdr:spPr>
        <a:xfrm>
          <a:off x="2981325" y="30383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157</xdr:row>
      <xdr:rowOff>0</xdr:rowOff>
    </xdr:from>
    <xdr:to>
      <xdr:col>3</xdr:col>
      <xdr:colOff>23112</xdr:colOff>
      <xdr:row>157</xdr:row>
      <xdr:rowOff>188399</xdr:rowOff>
    </xdr:to>
    <xdr:cxnSp macro="">
      <xdr:nvCxnSpPr>
        <xdr:cNvPr id="524" name="Straight Connector 523"/>
        <xdr:cNvCxnSpPr/>
      </xdr:nvCxnSpPr>
      <xdr:spPr>
        <a:xfrm flipV="1">
          <a:off x="3004437" y="3020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157</xdr:row>
      <xdr:rowOff>0</xdr:rowOff>
    </xdr:from>
    <xdr:to>
      <xdr:col>4</xdr:col>
      <xdr:colOff>601265</xdr:colOff>
      <xdr:row>157</xdr:row>
      <xdr:rowOff>187699</xdr:rowOff>
    </xdr:to>
    <xdr:cxnSp macro="">
      <xdr:nvCxnSpPr>
        <xdr:cNvPr id="525" name="Straight Connector 524"/>
        <xdr:cNvCxnSpPr/>
      </xdr:nvCxnSpPr>
      <xdr:spPr>
        <a:xfrm flipV="1">
          <a:off x="3992165" y="3020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157</xdr:row>
      <xdr:rowOff>0</xdr:rowOff>
    </xdr:from>
    <xdr:to>
      <xdr:col>4</xdr:col>
      <xdr:colOff>601265</xdr:colOff>
      <xdr:row>157</xdr:row>
      <xdr:rowOff>187699</xdr:rowOff>
    </xdr:to>
    <xdr:cxnSp macro="">
      <xdr:nvCxnSpPr>
        <xdr:cNvPr id="526" name="Straight Connector 525"/>
        <xdr:cNvCxnSpPr/>
      </xdr:nvCxnSpPr>
      <xdr:spPr>
        <a:xfrm flipV="1">
          <a:off x="3992165" y="3020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157</xdr:row>
      <xdr:rowOff>0</xdr:rowOff>
    </xdr:from>
    <xdr:to>
      <xdr:col>4</xdr:col>
      <xdr:colOff>601265</xdr:colOff>
      <xdr:row>157</xdr:row>
      <xdr:rowOff>187699</xdr:rowOff>
    </xdr:to>
    <xdr:cxnSp macro="">
      <xdr:nvCxnSpPr>
        <xdr:cNvPr id="527" name="Straight Connector 526"/>
        <xdr:cNvCxnSpPr/>
      </xdr:nvCxnSpPr>
      <xdr:spPr>
        <a:xfrm flipV="1">
          <a:off x="3992165" y="3020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742</xdr:row>
      <xdr:rowOff>0</xdr:rowOff>
    </xdr:from>
    <xdr:to>
      <xdr:col>5</xdr:col>
      <xdr:colOff>10232</xdr:colOff>
      <xdr:row>742</xdr:row>
      <xdr:rowOff>0</xdr:rowOff>
    </xdr:to>
    <xdr:cxnSp macro="">
      <xdr:nvCxnSpPr>
        <xdr:cNvPr id="528" name="Straight Connector 527"/>
        <xdr:cNvCxnSpPr/>
      </xdr:nvCxnSpPr>
      <xdr:spPr>
        <a:xfrm>
          <a:off x="2981325" y="1342167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745</xdr:row>
      <xdr:rowOff>0</xdr:rowOff>
    </xdr:from>
    <xdr:to>
      <xdr:col>5</xdr:col>
      <xdr:colOff>10232</xdr:colOff>
      <xdr:row>745</xdr:row>
      <xdr:rowOff>0</xdr:rowOff>
    </xdr:to>
    <xdr:cxnSp macro="">
      <xdr:nvCxnSpPr>
        <xdr:cNvPr id="529" name="Straight Connector 528"/>
        <xdr:cNvCxnSpPr/>
      </xdr:nvCxnSpPr>
      <xdr:spPr>
        <a:xfrm>
          <a:off x="2981325" y="1347882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748</xdr:row>
      <xdr:rowOff>0</xdr:rowOff>
    </xdr:from>
    <xdr:to>
      <xdr:col>5</xdr:col>
      <xdr:colOff>10232</xdr:colOff>
      <xdr:row>748</xdr:row>
      <xdr:rowOff>0</xdr:rowOff>
    </xdr:to>
    <xdr:cxnSp macro="">
      <xdr:nvCxnSpPr>
        <xdr:cNvPr id="530" name="Straight Connector 529"/>
        <xdr:cNvCxnSpPr/>
      </xdr:nvCxnSpPr>
      <xdr:spPr>
        <a:xfrm>
          <a:off x="2981325" y="1353597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751</xdr:row>
      <xdr:rowOff>0</xdr:rowOff>
    </xdr:from>
    <xdr:to>
      <xdr:col>5</xdr:col>
      <xdr:colOff>10232</xdr:colOff>
      <xdr:row>751</xdr:row>
      <xdr:rowOff>0</xdr:rowOff>
    </xdr:to>
    <xdr:cxnSp macro="">
      <xdr:nvCxnSpPr>
        <xdr:cNvPr id="531" name="Straight Connector 530"/>
        <xdr:cNvCxnSpPr/>
      </xdr:nvCxnSpPr>
      <xdr:spPr>
        <a:xfrm>
          <a:off x="2981325" y="1359312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754</xdr:row>
      <xdr:rowOff>0</xdr:rowOff>
    </xdr:from>
    <xdr:to>
      <xdr:col>5</xdr:col>
      <xdr:colOff>10232</xdr:colOff>
      <xdr:row>754</xdr:row>
      <xdr:rowOff>0</xdr:rowOff>
    </xdr:to>
    <xdr:cxnSp macro="">
      <xdr:nvCxnSpPr>
        <xdr:cNvPr id="532" name="Straight Connector 531"/>
        <xdr:cNvCxnSpPr/>
      </xdr:nvCxnSpPr>
      <xdr:spPr>
        <a:xfrm>
          <a:off x="2981325" y="1365027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757</xdr:row>
      <xdr:rowOff>0</xdr:rowOff>
    </xdr:from>
    <xdr:to>
      <xdr:col>5</xdr:col>
      <xdr:colOff>10232</xdr:colOff>
      <xdr:row>757</xdr:row>
      <xdr:rowOff>0</xdr:rowOff>
    </xdr:to>
    <xdr:cxnSp macro="">
      <xdr:nvCxnSpPr>
        <xdr:cNvPr id="533" name="Straight Connector 532"/>
        <xdr:cNvCxnSpPr/>
      </xdr:nvCxnSpPr>
      <xdr:spPr>
        <a:xfrm>
          <a:off x="2981325" y="1370742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760</xdr:row>
      <xdr:rowOff>0</xdr:rowOff>
    </xdr:from>
    <xdr:to>
      <xdr:col>5</xdr:col>
      <xdr:colOff>10232</xdr:colOff>
      <xdr:row>760</xdr:row>
      <xdr:rowOff>0</xdr:rowOff>
    </xdr:to>
    <xdr:cxnSp macro="">
      <xdr:nvCxnSpPr>
        <xdr:cNvPr id="534" name="Straight Connector 533"/>
        <xdr:cNvCxnSpPr/>
      </xdr:nvCxnSpPr>
      <xdr:spPr>
        <a:xfrm>
          <a:off x="2981325" y="1376457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763</xdr:row>
      <xdr:rowOff>0</xdr:rowOff>
    </xdr:from>
    <xdr:to>
      <xdr:col>5</xdr:col>
      <xdr:colOff>10232</xdr:colOff>
      <xdr:row>763</xdr:row>
      <xdr:rowOff>0</xdr:rowOff>
    </xdr:to>
    <xdr:cxnSp macro="">
      <xdr:nvCxnSpPr>
        <xdr:cNvPr id="535" name="Straight Connector 534"/>
        <xdr:cNvCxnSpPr/>
      </xdr:nvCxnSpPr>
      <xdr:spPr>
        <a:xfrm>
          <a:off x="2981325" y="1382172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766</xdr:row>
      <xdr:rowOff>0</xdr:rowOff>
    </xdr:from>
    <xdr:to>
      <xdr:col>5</xdr:col>
      <xdr:colOff>10232</xdr:colOff>
      <xdr:row>766</xdr:row>
      <xdr:rowOff>0</xdr:rowOff>
    </xdr:to>
    <xdr:cxnSp macro="">
      <xdr:nvCxnSpPr>
        <xdr:cNvPr id="536" name="Straight Connector 535"/>
        <xdr:cNvCxnSpPr/>
      </xdr:nvCxnSpPr>
      <xdr:spPr>
        <a:xfrm>
          <a:off x="2981325" y="1387887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769</xdr:row>
      <xdr:rowOff>0</xdr:rowOff>
    </xdr:from>
    <xdr:to>
      <xdr:col>5</xdr:col>
      <xdr:colOff>10232</xdr:colOff>
      <xdr:row>769</xdr:row>
      <xdr:rowOff>0</xdr:rowOff>
    </xdr:to>
    <xdr:cxnSp macro="">
      <xdr:nvCxnSpPr>
        <xdr:cNvPr id="537" name="Straight Connector 536"/>
        <xdr:cNvCxnSpPr/>
      </xdr:nvCxnSpPr>
      <xdr:spPr>
        <a:xfrm>
          <a:off x="2981325" y="1393602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772</xdr:row>
      <xdr:rowOff>0</xdr:rowOff>
    </xdr:from>
    <xdr:to>
      <xdr:col>5</xdr:col>
      <xdr:colOff>10232</xdr:colOff>
      <xdr:row>772</xdr:row>
      <xdr:rowOff>0</xdr:rowOff>
    </xdr:to>
    <xdr:cxnSp macro="">
      <xdr:nvCxnSpPr>
        <xdr:cNvPr id="538" name="Straight Connector 537"/>
        <xdr:cNvCxnSpPr/>
      </xdr:nvCxnSpPr>
      <xdr:spPr>
        <a:xfrm>
          <a:off x="2981325" y="1399317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775</xdr:row>
      <xdr:rowOff>0</xdr:rowOff>
    </xdr:from>
    <xdr:to>
      <xdr:col>5</xdr:col>
      <xdr:colOff>10232</xdr:colOff>
      <xdr:row>775</xdr:row>
      <xdr:rowOff>0</xdr:rowOff>
    </xdr:to>
    <xdr:cxnSp macro="">
      <xdr:nvCxnSpPr>
        <xdr:cNvPr id="539" name="Straight Connector 538"/>
        <xdr:cNvCxnSpPr/>
      </xdr:nvCxnSpPr>
      <xdr:spPr>
        <a:xfrm>
          <a:off x="2981325" y="1405032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778</xdr:row>
      <xdr:rowOff>0</xdr:rowOff>
    </xdr:from>
    <xdr:to>
      <xdr:col>5</xdr:col>
      <xdr:colOff>10232</xdr:colOff>
      <xdr:row>778</xdr:row>
      <xdr:rowOff>0</xdr:rowOff>
    </xdr:to>
    <xdr:cxnSp macro="">
      <xdr:nvCxnSpPr>
        <xdr:cNvPr id="540" name="Straight Connector 539"/>
        <xdr:cNvCxnSpPr/>
      </xdr:nvCxnSpPr>
      <xdr:spPr>
        <a:xfrm>
          <a:off x="2981325" y="1410747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582</xdr:row>
      <xdr:rowOff>74935</xdr:rowOff>
    </xdr:from>
    <xdr:to>
      <xdr:col>5</xdr:col>
      <xdr:colOff>2924</xdr:colOff>
      <xdr:row>582</xdr:row>
      <xdr:rowOff>74935</xdr:rowOff>
    </xdr:to>
    <xdr:cxnSp macro="">
      <xdr:nvCxnSpPr>
        <xdr:cNvPr id="541" name="Straight Connector 540"/>
        <xdr:cNvCxnSpPr/>
      </xdr:nvCxnSpPr>
      <xdr:spPr>
        <a:xfrm>
          <a:off x="2973457" y="110098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585</xdr:row>
      <xdr:rowOff>74935</xdr:rowOff>
    </xdr:from>
    <xdr:to>
      <xdr:col>5</xdr:col>
      <xdr:colOff>2924</xdr:colOff>
      <xdr:row>585</xdr:row>
      <xdr:rowOff>74935</xdr:rowOff>
    </xdr:to>
    <xdr:cxnSp macro="">
      <xdr:nvCxnSpPr>
        <xdr:cNvPr id="542" name="Straight Connector 541"/>
        <xdr:cNvCxnSpPr/>
      </xdr:nvCxnSpPr>
      <xdr:spPr>
        <a:xfrm>
          <a:off x="2973457" y="110669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588</xdr:row>
      <xdr:rowOff>74935</xdr:rowOff>
    </xdr:from>
    <xdr:to>
      <xdr:col>5</xdr:col>
      <xdr:colOff>2924</xdr:colOff>
      <xdr:row>588</xdr:row>
      <xdr:rowOff>74935</xdr:rowOff>
    </xdr:to>
    <xdr:cxnSp macro="">
      <xdr:nvCxnSpPr>
        <xdr:cNvPr id="543" name="Straight Connector 542"/>
        <xdr:cNvCxnSpPr/>
      </xdr:nvCxnSpPr>
      <xdr:spPr>
        <a:xfrm>
          <a:off x="2973457" y="111241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591</xdr:row>
      <xdr:rowOff>74935</xdr:rowOff>
    </xdr:from>
    <xdr:to>
      <xdr:col>5</xdr:col>
      <xdr:colOff>2924</xdr:colOff>
      <xdr:row>591</xdr:row>
      <xdr:rowOff>74935</xdr:rowOff>
    </xdr:to>
    <xdr:cxnSp macro="">
      <xdr:nvCxnSpPr>
        <xdr:cNvPr id="544" name="Straight Connector 543"/>
        <xdr:cNvCxnSpPr/>
      </xdr:nvCxnSpPr>
      <xdr:spPr>
        <a:xfrm>
          <a:off x="2973457" y="111812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594</xdr:row>
      <xdr:rowOff>74935</xdr:rowOff>
    </xdr:from>
    <xdr:to>
      <xdr:col>5</xdr:col>
      <xdr:colOff>2924</xdr:colOff>
      <xdr:row>594</xdr:row>
      <xdr:rowOff>74935</xdr:rowOff>
    </xdr:to>
    <xdr:cxnSp macro="">
      <xdr:nvCxnSpPr>
        <xdr:cNvPr id="545" name="Straight Connector 544"/>
        <xdr:cNvCxnSpPr/>
      </xdr:nvCxnSpPr>
      <xdr:spPr>
        <a:xfrm>
          <a:off x="2973457" y="112384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597</xdr:row>
      <xdr:rowOff>74935</xdr:rowOff>
    </xdr:from>
    <xdr:to>
      <xdr:col>5</xdr:col>
      <xdr:colOff>2924</xdr:colOff>
      <xdr:row>597</xdr:row>
      <xdr:rowOff>74935</xdr:rowOff>
    </xdr:to>
    <xdr:cxnSp macro="">
      <xdr:nvCxnSpPr>
        <xdr:cNvPr id="546" name="Straight Connector 545"/>
        <xdr:cNvCxnSpPr/>
      </xdr:nvCxnSpPr>
      <xdr:spPr>
        <a:xfrm>
          <a:off x="2973457" y="112955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600</xdr:row>
      <xdr:rowOff>74935</xdr:rowOff>
    </xdr:from>
    <xdr:to>
      <xdr:col>5</xdr:col>
      <xdr:colOff>2924</xdr:colOff>
      <xdr:row>600</xdr:row>
      <xdr:rowOff>74935</xdr:rowOff>
    </xdr:to>
    <xdr:cxnSp macro="">
      <xdr:nvCxnSpPr>
        <xdr:cNvPr id="547" name="Straight Connector 546"/>
        <xdr:cNvCxnSpPr/>
      </xdr:nvCxnSpPr>
      <xdr:spPr>
        <a:xfrm>
          <a:off x="2973457" y="113527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603</xdr:row>
      <xdr:rowOff>74935</xdr:rowOff>
    </xdr:from>
    <xdr:to>
      <xdr:col>5</xdr:col>
      <xdr:colOff>2924</xdr:colOff>
      <xdr:row>603</xdr:row>
      <xdr:rowOff>74935</xdr:rowOff>
    </xdr:to>
    <xdr:cxnSp macro="">
      <xdr:nvCxnSpPr>
        <xdr:cNvPr id="548" name="Straight Connector 547"/>
        <xdr:cNvCxnSpPr/>
      </xdr:nvCxnSpPr>
      <xdr:spPr>
        <a:xfrm>
          <a:off x="2973457" y="114098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606</xdr:row>
      <xdr:rowOff>74935</xdr:rowOff>
    </xdr:from>
    <xdr:to>
      <xdr:col>5</xdr:col>
      <xdr:colOff>2924</xdr:colOff>
      <xdr:row>606</xdr:row>
      <xdr:rowOff>74935</xdr:rowOff>
    </xdr:to>
    <xdr:cxnSp macro="">
      <xdr:nvCxnSpPr>
        <xdr:cNvPr id="549" name="Straight Connector 548"/>
        <xdr:cNvCxnSpPr/>
      </xdr:nvCxnSpPr>
      <xdr:spPr>
        <a:xfrm>
          <a:off x="2973457" y="114670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609</xdr:row>
      <xdr:rowOff>74935</xdr:rowOff>
    </xdr:from>
    <xdr:to>
      <xdr:col>5</xdr:col>
      <xdr:colOff>2924</xdr:colOff>
      <xdr:row>609</xdr:row>
      <xdr:rowOff>74935</xdr:rowOff>
    </xdr:to>
    <xdr:cxnSp macro="">
      <xdr:nvCxnSpPr>
        <xdr:cNvPr id="550" name="Straight Connector 549"/>
        <xdr:cNvCxnSpPr/>
      </xdr:nvCxnSpPr>
      <xdr:spPr>
        <a:xfrm>
          <a:off x="2973457" y="115241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579</xdr:row>
      <xdr:rowOff>74935</xdr:rowOff>
    </xdr:from>
    <xdr:to>
      <xdr:col>5</xdr:col>
      <xdr:colOff>2924</xdr:colOff>
      <xdr:row>579</xdr:row>
      <xdr:rowOff>74935</xdr:rowOff>
    </xdr:to>
    <xdr:cxnSp macro="">
      <xdr:nvCxnSpPr>
        <xdr:cNvPr id="551" name="Straight Connector 550"/>
        <xdr:cNvCxnSpPr/>
      </xdr:nvCxnSpPr>
      <xdr:spPr>
        <a:xfrm>
          <a:off x="2973457" y="1094779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576</xdr:row>
      <xdr:rowOff>74935</xdr:rowOff>
    </xdr:from>
    <xdr:to>
      <xdr:col>5</xdr:col>
      <xdr:colOff>2924</xdr:colOff>
      <xdr:row>576</xdr:row>
      <xdr:rowOff>74935</xdr:rowOff>
    </xdr:to>
    <xdr:cxnSp macro="">
      <xdr:nvCxnSpPr>
        <xdr:cNvPr id="552" name="Straight Connector 551"/>
        <xdr:cNvCxnSpPr/>
      </xdr:nvCxnSpPr>
      <xdr:spPr>
        <a:xfrm>
          <a:off x="2973457" y="108906464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612</xdr:row>
      <xdr:rowOff>74935</xdr:rowOff>
    </xdr:from>
    <xdr:to>
      <xdr:col>5</xdr:col>
      <xdr:colOff>2924</xdr:colOff>
      <xdr:row>612</xdr:row>
      <xdr:rowOff>74935</xdr:rowOff>
    </xdr:to>
    <xdr:cxnSp macro="">
      <xdr:nvCxnSpPr>
        <xdr:cNvPr id="553" name="Straight Connector 552"/>
        <xdr:cNvCxnSpPr/>
      </xdr:nvCxnSpPr>
      <xdr:spPr>
        <a:xfrm>
          <a:off x="2973457" y="116956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789"/>
  <sheetViews>
    <sheetView tabSelected="1" zoomScale="85" zoomScaleNormal="85" workbookViewId="0">
      <pane xSplit="1" ySplit="4" topLeftCell="B151" activePane="bottomRight" state="frozen"/>
      <selection pane="topRight" activeCell="B1" sqref="B1"/>
      <selection pane="bottomLeft" activeCell="A5" sqref="A5"/>
      <selection pane="bottomRight" activeCell="K164" sqref="K164"/>
    </sheetView>
  </sheetViews>
  <sheetFormatPr defaultRowHeight="15" x14ac:dyDescent="0.25"/>
  <cols>
    <col min="1" max="1" width="6.85546875" customWidth="1"/>
    <col min="2" max="2" width="30.28515625" customWidth="1"/>
    <col min="3" max="5" width="7.5703125" customWidth="1"/>
    <col min="6" max="6" width="8.5703125" customWidth="1"/>
    <col min="7" max="10" width="8.85546875" customWidth="1"/>
    <col min="11" max="11" width="8.85546875" style="48" customWidth="1"/>
    <col min="12" max="12" width="6.7109375" customWidth="1"/>
    <col min="13" max="13" width="8.85546875" customWidth="1"/>
    <col min="14" max="14" width="10" customWidth="1"/>
    <col min="15" max="15" width="8.85546875" customWidth="1"/>
    <col min="16" max="16" width="11.85546875" bestFit="1" customWidth="1"/>
    <col min="17" max="22" width="9.5703125" customWidth="1"/>
  </cols>
  <sheetData>
    <row r="1" spans="1:23" ht="18.75" x14ac:dyDescent="0.25">
      <c r="A1" s="65" t="s">
        <v>18</v>
      </c>
      <c r="B1" s="65"/>
      <c r="C1" s="1"/>
      <c r="D1" s="1"/>
      <c r="E1" s="1"/>
      <c r="F1" s="1"/>
      <c r="G1" s="1"/>
      <c r="H1" s="1"/>
      <c r="I1" s="1"/>
      <c r="J1" s="1"/>
      <c r="K1" s="4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x14ac:dyDescent="0.25">
      <c r="A2" s="2"/>
      <c r="B2" s="3"/>
      <c r="C2" s="3"/>
      <c r="D2" s="3"/>
      <c r="E2" s="3"/>
      <c r="F2" s="3"/>
      <c r="G2" s="2"/>
      <c r="H2" s="3"/>
      <c r="I2" s="3"/>
      <c r="J2" s="3"/>
      <c r="K2" s="47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33.75" customHeight="1" x14ac:dyDescent="0.25">
      <c r="A3" s="55" t="s">
        <v>0</v>
      </c>
      <c r="B3" s="55" t="s">
        <v>1</v>
      </c>
      <c r="C3" s="66" t="s">
        <v>2</v>
      </c>
      <c r="D3" s="66"/>
      <c r="E3" s="66"/>
      <c r="F3" s="67"/>
      <c r="G3" s="54" t="s">
        <v>3</v>
      </c>
      <c r="H3" s="54" t="s">
        <v>4</v>
      </c>
      <c r="I3" s="54" t="s">
        <v>5</v>
      </c>
      <c r="J3" s="54" t="s">
        <v>6</v>
      </c>
      <c r="K3" s="54" t="s">
        <v>7</v>
      </c>
      <c r="L3" s="55" t="s">
        <v>8</v>
      </c>
      <c r="M3" s="54" t="s">
        <v>9</v>
      </c>
      <c r="N3" s="54" t="s">
        <v>10</v>
      </c>
      <c r="O3" s="54" t="s">
        <v>11</v>
      </c>
      <c r="P3" s="55" t="s">
        <v>12</v>
      </c>
      <c r="Q3" s="67" t="s">
        <v>13</v>
      </c>
      <c r="R3" s="68"/>
      <c r="S3" s="68"/>
      <c r="T3" s="68"/>
      <c r="U3" s="68"/>
      <c r="V3" s="69"/>
      <c r="W3" s="55" t="s">
        <v>14</v>
      </c>
    </row>
    <row r="4" spans="1:23" x14ac:dyDescent="0.25">
      <c r="A4" s="6" t="s">
        <v>28</v>
      </c>
      <c r="B4" s="38" t="s">
        <v>27</v>
      </c>
      <c r="C4" s="8"/>
      <c r="D4" s="20"/>
      <c r="E4" s="20"/>
      <c r="F4" s="34"/>
      <c r="G4" s="35"/>
      <c r="H4" s="10"/>
      <c r="I4" s="11"/>
      <c r="J4" s="11"/>
      <c r="K4" s="12"/>
      <c r="L4" s="11"/>
      <c r="M4" s="11"/>
      <c r="N4" s="11"/>
      <c r="O4" s="11"/>
      <c r="P4" s="13"/>
      <c r="Q4" s="5" t="s">
        <v>108</v>
      </c>
      <c r="R4" s="5" t="s">
        <v>109</v>
      </c>
      <c r="S4" s="5" t="s">
        <v>110</v>
      </c>
      <c r="T4" s="5" t="s">
        <v>111</v>
      </c>
      <c r="U4" s="5" t="s">
        <v>112</v>
      </c>
      <c r="V4" s="5" t="s">
        <v>113</v>
      </c>
      <c r="W4" s="5"/>
    </row>
    <row r="5" spans="1:23" x14ac:dyDescent="0.25">
      <c r="A5" s="6"/>
      <c r="B5" s="42" t="s">
        <v>21</v>
      </c>
      <c r="C5" s="8"/>
      <c r="D5" s="20"/>
      <c r="E5" s="20"/>
      <c r="F5" s="34"/>
      <c r="G5" s="35"/>
      <c r="H5" s="10"/>
      <c r="I5" s="11"/>
      <c r="J5" s="11"/>
      <c r="K5" s="12"/>
      <c r="L5" s="11"/>
      <c r="M5" s="11"/>
      <c r="N5" s="11"/>
      <c r="O5" s="11"/>
      <c r="P5" s="13"/>
      <c r="Q5" s="18" t="str">
        <f>IF($H5=8,$P5,"")</f>
        <v/>
      </c>
      <c r="R5" s="18" t="str">
        <f>IF($H5=10,$P5,"")</f>
        <v/>
      </c>
      <c r="S5" s="18" t="str">
        <f>IF($H5=12,$P5,"")</f>
        <v/>
      </c>
      <c r="T5" s="18" t="str">
        <f>IF($H5=16,$P5,"")</f>
        <v/>
      </c>
      <c r="U5" s="18" t="str">
        <f>IF($H5=20,$P5,"")</f>
        <v/>
      </c>
      <c r="V5" s="18" t="str">
        <f>IF($H5=25,$P5,"")</f>
        <v/>
      </c>
      <c r="W5" s="14"/>
    </row>
    <row r="6" spans="1:23" x14ac:dyDescent="0.25">
      <c r="A6" s="6">
        <v>1</v>
      </c>
      <c r="B6" s="7" t="s">
        <v>114</v>
      </c>
      <c r="C6" s="8"/>
      <c r="D6" s="9"/>
      <c r="E6" s="9"/>
      <c r="F6" s="34"/>
      <c r="G6" s="35"/>
      <c r="H6" s="10"/>
      <c r="I6" s="11"/>
      <c r="J6" s="11"/>
      <c r="K6" s="12"/>
      <c r="L6" s="11"/>
      <c r="M6" s="11"/>
      <c r="N6" s="11"/>
      <c r="O6" s="11"/>
      <c r="P6" s="13"/>
      <c r="Q6" s="18" t="str">
        <f t="shared" ref="Q6:Q108" si="0">IF($H6=8,$P6,"")</f>
        <v/>
      </c>
      <c r="R6" s="18" t="str">
        <f t="shared" ref="R6:R108" si="1">IF($H6=10,$P6,"")</f>
        <v/>
      </c>
      <c r="S6" s="18" t="str">
        <f t="shared" ref="S6:S108" si="2">IF($H6=12,$P6,"")</f>
        <v/>
      </c>
      <c r="T6" s="18" t="str">
        <f t="shared" ref="T6:T108" si="3">IF($H6=16,$P6,"")</f>
        <v/>
      </c>
      <c r="U6" s="18" t="str">
        <f t="shared" ref="U6:U108" si="4">IF($H6=20,$P6,"")</f>
        <v/>
      </c>
      <c r="V6" s="18" t="str">
        <f t="shared" ref="V6:V108" si="5">IF($H6=25,$P6,"")</f>
        <v/>
      </c>
      <c r="W6" s="14"/>
    </row>
    <row r="7" spans="1:23" x14ac:dyDescent="0.25">
      <c r="A7" s="6"/>
      <c r="B7" t="s">
        <v>19</v>
      </c>
      <c r="C7" s="19">
        <v>0.5</v>
      </c>
      <c r="D7" s="63">
        <f>21.65-2*0.05</f>
        <v>21.549999999999997</v>
      </c>
      <c r="E7" s="64"/>
      <c r="F7" s="19">
        <v>0.5</v>
      </c>
      <c r="G7" s="36">
        <v>0.25</v>
      </c>
      <c r="H7" s="10">
        <v>16</v>
      </c>
      <c r="I7" s="11">
        <v>1</v>
      </c>
      <c r="J7" s="13">
        <f>ROUND(8.855/G7+1,0)/2</f>
        <v>18</v>
      </c>
      <c r="K7" s="45">
        <f>D7</f>
        <v>21.549999999999997</v>
      </c>
      <c r="L7" s="37">
        <f>IF(O7&lt;12,"0",0.049*H7)*2</f>
        <v>1.5680000000000001</v>
      </c>
      <c r="M7" s="17">
        <v>2</v>
      </c>
      <c r="N7" s="11">
        <f>M7*2*H7/1000</f>
        <v>6.4000000000000001E-2</v>
      </c>
      <c r="O7" s="16">
        <f>(D7+C7+F7)-N7</f>
        <v>22.485999999999997</v>
      </c>
      <c r="P7" s="16">
        <f>(I7*J7*O7)+L7</f>
        <v>406.31599999999992</v>
      </c>
      <c r="Q7" s="18" t="str">
        <f t="shared" si="0"/>
        <v/>
      </c>
      <c r="R7" s="18" t="str">
        <f t="shared" si="1"/>
        <v/>
      </c>
      <c r="S7" s="18" t="str">
        <f t="shared" si="2"/>
        <v/>
      </c>
      <c r="T7" s="18">
        <f t="shared" si="3"/>
        <v>406.31599999999992</v>
      </c>
      <c r="U7" s="18" t="str">
        <f t="shared" si="4"/>
        <v/>
      </c>
      <c r="V7" s="18" t="str">
        <f t="shared" si="5"/>
        <v/>
      </c>
      <c r="W7" s="14"/>
    </row>
    <row r="8" spans="1:23" x14ac:dyDescent="0.25">
      <c r="A8" s="6"/>
      <c r="B8" s="14"/>
      <c r="C8" s="8"/>
      <c r="D8" s="9"/>
      <c r="E8" s="9"/>
      <c r="F8" s="34"/>
      <c r="G8" s="35"/>
      <c r="H8" s="10"/>
      <c r="I8" s="11"/>
      <c r="J8" s="11"/>
      <c r="K8" s="45"/>
      <c r="L8" s="16"/>
      <c r="M8" s="16"/>
      <c r="N8" s="11"/>
      <c r="O8" s="16"/>
      <c r="P8" s="16"/>
      <c r="Q8" s="18" t="str">
        <f t="shared" si="0"/>
        <v/>
      </c>
      <c r="R8" s="18" t="str">
        <f t="shared" si="1"/>
        <v/>
      </c>
      <c r="S8" s="18" t="str">
        <f t="shared" si="2"/>
        <v/>
      </c>
      <c r="T8" s="18" t="str">
        <f t="shared" si="3"/>
        <v/>
      </c>
      <c r="U8" s="18" t="str">
        <f t="shared" si="4"/>
        <v/>
      </c>
      <c r="V8" s="18" t="str">
        <f t="shared" si="5"/>
        <v/>
      </c>
      <c r="W8" s="14"/>
    </row>
    <row r="9" spans="1:23" x14ac:dyDescent="0.25">
      <c r="A9" s="6">
        <v>1</v>
      </c>
      <c r="B9" s="7" t="s">
        <v>114</v>
      </c>
      <c r="C9" s="8"/>
      <c r="D9" s="20"/>
      <c r="E9" s="20"/>
      <c r="F9" s="34"/>
      <c r="G9" s="35"/>
      <c r="H9" s="10"/>
      <c r="I9" s="11"/>
      <c r="J9" s="11"/>
      <c r="K9" s="12"/>
      <c r="L9" s="11"/>
      <c r="M9" s="11"/>
      <c r="N9" s="11"/>
      <c r="O9" s="11"/>
      <c r="P9" s="13"/>
      <c r="Q9" s="18" t="str">
        <f t="shared" si="0"/>
        <v/>
      </c>
      <c r="R9" s="18" t="str">
        <f t="shared" si="1"/>
        <v/>
      </c>
      <c r="S9" s="18" t="str">
        <f t="shared" si="2"/>
        <v/>
      </c>
      <c r="T9" s="18" t="str">
        <f t="shared" si="3"/>
        <v/>
      </c>
      <c r="U9" s="18" t="str">
        <f t="shared" si="4"/>
        <v/>
      </c>
      <c r="V9" s="18" t="str">
        <f t="shared" si="5"/>
        <v/>
      </c>
      <c r="W9" s="14"/>
    </row>
    <row r="10" spans="1:23" x14ac:dyDescent="0.25">
      <c r="A10" s="6"/>
      <c r="B10" t="s">
        <v>19</v>
      </c>
      <c r="C10" s="19">
        <v>0.5</v>
      </c>
      <c r="D10" s="63">
        <f>21.65-2*0.05</f>
        <v>21.549999999999997</v>
      </c>
      <c r="E10" s="64"/>
      <c r="F10" s="19">
        <v>0.5</v>
      </c>
      <c r="G10" s="36">
        <v>0.25</v>
      </c>
      <c r="H10" s="10">
        <v>16</v>
      </c>
      <c r="I10" s="11">
        <v>1</v>
      </c>
      <c r="J10" s="13">
        <f>ROUND(8.855/G10+1,0)/2</f>
        <v>18</v>
      </c>
      <c r="K10" s="45">
        <f>D10</f>
        <v>21.549999999999997</v>
      </c>
      <c r="L10" s="37">
        <f>IF(O10&lt;12,"0",0.049*H10)</f>
        <v>0.78400000000000003</v>
      </c>
      <c r="M10" s="17">
        <v>2</v>
      </c>
      <c r="N10" s="11">
        <f>M10*2*H10/1000</f>
        <v>6.4000000000000001E-2</v>
      </c>
      <c r="O10" s="16">
        <f>(D10+C10+F10)-N10</f>
        <v>22.485999999999997</v>
      </c>
      <c r="P10" s="16">
        <f>(I10*J10*O10)+L10</f>
        <v>405.53199999999993</v>
      </c>
      <c r="Q10" s="18" t="str">
        <f t="shared" si="0"/>
        <v/>
      </c>
      <c r="R10" s="18" t="str">
        <f t="shared" si="1"/>
        <v/>
      </c>
      <c r="S10" s="18" t="str">
        <f t="shared" si="2"/>
        <v/>
      </c>
      <c r="T10" s="18">
        <f t="shared" si="3"/>
        <v>405.53199999999993</v>
      </c>
      <c r="U10" s="18" t="str">
        <f t="shared" si="4"/>
        <v/>
      </c>
      <c r="V10" s="18" t="str">
        <f t="shared" si="5"/>
        <v/>
      </c>
      <c r="W10" s="14"/>
    </row>
    <row r="11" spans="1:23" x14ac:dyDescent="0.25">
      <c r="A11" s="6"/>
      <c r="B11" s="14"/>
      <c r="C11" s="8"/>
      <c r="D11" s="20"/>
      <c r="E11" s="20"/>
      <c r="F11" s="34"/>
      <c r="G11" s="35"/>
      <c r="H11" s="10"/>
      <c r="I11" s="11"/>
      <c r="J11" s="11"/>
      <c r="K11" s="45"/>
      <c r="L11" s="16"/>
      <c r="M11" s="16"/>
      <c r="N11" s="11"/>
      <c r="O11" s="16"/>
      <c r="P11" s="16"/>
      <c r="Q11" s="18" t="str">
        <f t="shared" si="0"/>
        <v/>
      </c>
      <c r="R11" s="18" t="str">
        <f t="shared" si="1"/>
        <v/>
      </c>
      <c r="S11" s="18" t="str">
        <f t="shared" si="2"/>
        <v/>
      </c>
      <c r="T11" s="18" t="str">
        <f t="shared" si="3"/>
        <v/>
      </c>
      <c r="U11" s="18" t="str">
        <f t="shared" si="4"/>
        <v/>
      </c>
      <c r="V11" s="18" t="str">
        <f t="shared" si="5"/>
        <v/>
      </c>
      <c r="W11" s="14"/>
    </row>
    <row r="12" spans="1:23" x14ac:dyDescent="0.25">
      <c r="A12" s="6">
        <v>2</v>
      </c>
      <c r="B12" s="7" t="s">
        <v>115</v>
      </c>
      <c r="C12" s="8"/>
      <c r="D12" s="20"/>
      <c r="E12" s="20"/>
      <c r="F12" s="34"/>
      <c r="G12" s="35"/>
      <c r="H12" s="10"/>
      <c r="I12" s="11"/>
      <c r="J12" s="11"/>
      <c r="K12" s="12"/>
      <c r="L12" s="11"/>
      <c r="M12" s="11"/>
      <c r="N12" s="11"/>
      <c r="O12" s="11"/>
      <c r="P12" s="13"/>
      <c r="Q12" s="18" t="str">
        <f t="shared" si="0"/>
        <v/>
      </c>
      <c r="R12" s="18" t="str">
        <f t="shared" si="1"/>
        <v/>
      </c>
      <c r="S12" s="18" t="str">
        <f t="shared" si="2"/>
        <v/>
      </c>
      <c r="T12" s="18" t="str">
        <f t="shared" si="3"/>
        <v/>
      </c>
      <c r="U12" s="18" t="str">
        <f t="shared" si="4"/>
        <v/>
      </c>
      <c r="V12" s="18" t="str">
        <f t="shared" si="5"/>
        <v/>
      </c>
      <c r="W12" s="14"/>
    </row>
    <row r="13" spans="1:23" x14ac:dyDescent="0.25">
      <c r="A13" s="6"/>
      <c r="B13" t="s">
        <v>19</v>
      </c>
      <c r="C13" s="19">
        <v>0.5</v>
      </c>
      <c r="D13" s="63">
        <f>21.65+0.515-2*0.05</f>
        <v>22.064999999999998</v>
      </c>
      <c r="E13" s="64"/>
      <c r="F13" s="19">
        <v>0.5</v>
      </c>
      <c r="G13" s="36">
        <v>0.25</v>
      </c>
      <c r="H13" s="10">
        <v>16</v>
      </c>
      <c r="I13" s="11">
        <v>1</v>
      </c>
      <c r="J13" s="13">
        <f>ROUND(2.535/G13+1,0)/2</f>
        <v>5.5</v>
      </c>
      <c r="K13" s="45">
        <f>D13</f>
        <v>22.064999999999998</v>
      </c>
      <c r="L13" s="16">
        <f>IF(O13&lt;12,"0",0.049*H13)*2</f>
        <v>1.5680000000000001</v>
      </c>
      <c r="M13" s="17">
        <v>2</v>
      </c>
      <c r="N13" s="11">
        <f>M13*2*H13/1000</f>
        <v>6.4000000000000001E-2</v>
      </c>
      <c r="O13" s="16">
        <f>(D13+C13+F13)-N13</f>
        <v>23.000999999999998</v>
      </c>
      <c r="P13" s="16">
        <f>(I13*J13*O13)+L13</f>
        <v>128.0735</v>
      </c>
      <c r="Q13" s="18" t="str">
        <f t="shared" si="0"/>
        <v/>
      </c>
      <c r="R13" s="18" t="str">
        <f t="shared" si="1"/>
        <v/>
      </c>
      <c r="S13" s="18" t="str">
        <f t="shared" si="2"/>
        <v/>
      </c>
      <c r="T13" s="18">
        <f t="shared" si="3"/>
        <v>128.0735</v>
      </c>
      <c r="U13" s="18" t="str">
        <f t="shared" si="4"/>
        <v/>
      </c>
      <c r="V13" s="18" t="str">
        <f t="shared" si="5"/>
        <v/>
      </c>
      <c r="W13" s="14"/>
    </row>
    <row r="14" spans="1:23" x14ac:dyDescent="0.25">
      <c r="A14" s="6"/>
      <c r="B14" s="14"/>
      <c r="C14" s="8"/>
      <c r="D14" s="9"/>
      <c r="E14" s="9"/>
      <c r="F14" s="34"/>
      <c r="G14" s="35"/>
      <c r="H14" s="10"/>
      <c r="I14" s="11"/>
      <c r="J14" s="11"/>
      <c r="K14" s="12"/>
      <c r="L14" s="11"/>
      <c r="M14" s="11"/>
      <c r="N14" s="11"/>
      <c r="O14" s="11"/>
      <c r="P14" s="13"/>
      <c r="Q14" s="18" t="str">
        <f t="shared" si="0"/>
        <v/>
      </c>
      <c r="R14" s="18" t="str">
        <f t="shared" si="1"/>
        <v/>
      </c>
      <c r="S14" s="18" t="str">
        <f t="shared" si="2"/>
        <v/>
      </c>
      <c r="T14" s="18" t="str">
        <f t="shared" si="3"/>
        <v/>
      </c>
      <c r="U14" s="18" t="str">
        <f t="shared" si="4"/>
        <v/>
      </c>
      <c r="V14" s="18" t="str">
        <f t="shared" si="5"/>
        <v/>
      </c>
      <c r="W14" s="14"/>
    </row>
    <row r="15" spans="1:23" x14ac:dyDescent="0.25">
      <c r="A15" s="6">
        <v>2</v>
      </c>
      <c r="B15" s="7" t="s">
        <v>115</v>
      </c>
      <c r="C15" s="8"/>
      <c r="D15" s="20"/>
      <c r="E15" s="20"/>
      <c r="F15" s="34"/>
      <c r="G15" s="35"/>
      <c r="H15" s="10"/>
      <c r="I15" s="11"/>
      <c r="J15" s="11"/>
      <c r="K15" s="12"/>
      <c r="L15" s="11"/>
      <c r="M15" s="11"/>
      <c r="N15" s="11"/>
      <c r="O15" s="11"/>
      <c r="P15" s="13"/>
      <c r="Q15" s="18" t="str">
        <f t="shared" si="0"/>
        <v/>
      </c>
      <c r="R15" s="18" t="str">
        <f t="shared" si="1"/>
        <v/>
      </c>
      <c r="S15" s="18" t="str">
        <f t="shared" si="2"/>
        <v/>
      </c>
      <c r="T15" s="18" t="str">
        <f t="shared" si="3"/>
        <v/>
      </c>
      <c r="U15" s="18" t="str">
        <f t="shared" si="4"/>
        <v/>
      </c>
      <c r="V15" s="18" t="str">
        <f t="shared" si="5"/>
        <v/>
      </c>
      <c r="W15" s="14"/>
    </row>
    <row r="16" spans="1:23" x14ac:dyDescent="0.25">
      <c r="A16" s="6"/>
      <c r="B16" t="s">
        <v>19</v>
      </c>
      <c r="C16" s="19">
        <v>0.5</v>
      </c>
      <c r="D16" s="63">
        <f>21.65+0.515-2*0.05</f>
        <v>22.064999999999998</v>
      </c>
      <c r="E16" s="64"/>
      <c r="F16" s="19">
        <v>0.5</v>
      </c>
      <c r="G16" s="36">
        <v>0.25</v>
      </c>
      <c r="H16" s="10">
        <v>16</v>
      </c>
      <c r="I16" s="11">
        <v>1</v>
      </c>
      <c r="J16" s="13">
        <f>ROUND(2.535/G16+1,0)/2</f>
        <v>5.5</v>
      </c>
      <c r="K16" s="45">
        <f>D16</f>
        <v>22.064999999999998</v>
      </c>
      <c r="L16" s="16">
        <f>IF(O16&lt;12,"0",0.049*H16)</f>
        <v>0.78400000000000003</v>
      </c>
      <c r="M16" s="17">
        <v>2</v>
      </c>
      <c r="N16" s="11">
        <f>M16*2*H16/1000</f>
        <v>6.4000000000000001E-2</v>
      </c>
      <c r="O16" s="16">
        <f>(D16+C16+F16)-N16</f>
        <v>23.000999999999998</v>
      </c>
      <c r="P16" s="16">
        <f>(I16*J16*O16)+L16</f>
        <v>127.28949999999999</v>
      </c>
      <c r="Q16" s="18" t="str">
        <f t="shared" si="0"/>
        <v/>
      </c>
      <c r="R16" s="18" t="str">
        <f t="shared" si="1"/>
        <v/>
      </c>
      <c r="S16" s="18" t="str">
        <f t="shared" si="2"/>
        <v/>
      </c>
      <c r="T16" s="18">
        <f t="shared" si="3"/>
        <v>127.28949999999999</v>
      </c>
      <c r="U16" s="18" t="str">
        <f t="shared" si="4"/>
        <v/>
      </c>
      <c r="V16" s="18" t="str">
        <f t="shared" si="5"/>
        <v/>
      </c>
      <c r="W16" s="14"/>
    </row>
    <row r="17" spans="1:23" x14ac:dyDescent="0.25">
      <c r="A17" s="6"/>
      <c r="B17" s="14"/>
      <c r="C17" s="8"/>
      <c r="D17" s="20"/>
      <c r="E17" s="20"/>
      <c r="F17" s="34"/>
      <c r="G17" s="35"/>
      <c r="H17" s="10"/>
      <c r="I17" s="11"/>
      <c r="J17" s="11"/>
      <c r="K17" s="12"/>
      <c r="L17" s="11"/>
      <c r="M17" s="11"/>
      <c r="N17" s="11"/>
      <c r="O17" s="11"/>
      <c r="P17" s="13"/>
      <c r="Q17" s="18" t="str">
        <f t="shared" si="0"/>
        <v/>
      </c>
      <c r="R17" s="18" t="str">
        <f t="shared" si="1"/>
        <v/>
      </c>
      <c r="S17" s="18" t="str">
        <f t="shared" si="2"/>
        <v/>
      </c>
      <c r="T17" s="18" t="str">
        <f t="shared" si="3"/>
        <v/>
      </c>
      <c r="U17" s="18" t="str">
        <f t="shared" si="4"/>
        <v/>
      </c>
      <c r="V17" s="18" t="str">
        <f t="shared" si="5"/>
        <v/>
      </c>
      <c r="W17" s="14"/>
    </row>
    <row r="18" spans="1:23" x14ac:dyDescent="0.25">
      <c r="A18" s="6">
        <v>3</v>
      </c>
      <c r="B18" s="7" t="s">
        <v>116</v>
      </c>
      <c r="C18" s="8"/>
      <c r="D18" s="20"/>
      <c r="E18" s="20"/>
      <c r="F18" s="34"/>
      <c r="G18" s="35"/>
      <c r="H18" s="10"/>
      <c r="I18" s="11"/>
      <c r="J18" s="11"/>
      <c r="K18" s="12"/>
      <c r="L18" s="11"/>
      <c r="M18" s="11"/>
      <c r="N18" s="11"/>
      <c r="O18" s="11"/>
      <c r="P18" s="13"/>
      <c r="Q18" s="18" t="str">
        <f t="shared" si="0"/>
        <v/>
      </c>
      <c r="R18" s="18" t="str">
        <f t="shared" si="1"/>
        <v/>
      </c>
      <c r="S18" s="18" t="str">
        <f t="shared" si="2"/>
        <v/>
      </c>
      <c r="T18" s="18" t="str">
        <f t="shared" si="3"/>
        <v/>
      </c>
      <c r="U18" s="18" t="str">
        <f t="shared" si="4"/>
        <v/>
      </c>
      <c r="V18" s="18" t="str">
        <f t="shared" si="5"/>
        <v/>
      </c>
      <c r="W18" s="14"/>
    </row>
    <row r="19" spans="1:23" x14ac:dyDescent="0.25">
      <c r="A19" s="6"/>
      <c r="B19" t="s">
        <v>19</v>
      </c>
      <c r="C19" s="19">
        <v>0.5</v>
      </c>
      <c r="D19" s="63">
        <f>32.45-2*0.05</f>
        <v>32.35</v>
      </c>
      <c r="E19" s="64"/>
      <c r="F19" s="19">
        <v>0.5</v>
      </c>
      <c r="G19" s="36">
        <v>0.25</v>
      </c>
      <c r="H19" s="10">
        <v>16</v>
      </c>
      <c r="I19" s="11">
        <v>1</v>
      </c>
      <c r="J19" s="13">
        <f>ROUND(6.245/G19+1,0)/2</f>
        <v>13</v>
      </c>
      <c r="K19" s="45">
        <f>D19</f>
        <v>32.35</v>
      </c>
      <c r="L19" s="16">
        <f>IF(O19&lt;12,"0",0.049*H19)*3</f>
        <v>2.3520000000000003</v>
      </c>
      <c r="M19" s="17">
        <v>2</v>
      </c>
      <c r="N19" s="11">
        <f>M19*2*H19/1000</f>
        <v>6.4000000000000001E-2</v>
      </c>
      <c r="O19" s="16">
        <f>(D19+C19+F19)-N19</f>
        <v>33.286000000000001</v>
      </c>
      <c r="P19" s="16">
        <f>(I19*J19*O19)+L19</f>
        <v>435.07</v>
      </c>
      <c r="Q19" s="18" t="str">
        <f t="shared" si="0"/>
        <v/>
      </c>
      <c r="R19" s="18" t="str">
        <f t="shared" si="1"/>
        <v/>
      </c>
      <c r="S19" s="18" t="str">
        <f t="shared" si="2"/>
        <v/>
      </c>
      <c r="T19" s="18">
        <f t="shared" si="3"/>
        <v>435.07</v>
      </c>
      <c r="U19" s="18" t="str">
        <f t="shared" si="4"/>
        <v/>
      </c>
      <c r="V19" s="18" t="str">
        <f t="shared" si="5"/>
        <v/>
      </c>
      <c r="W19" s="14"/>
    </row>
    <row r="20" spans="1:23" x14ac:dyDescent="0.25">
      <c r="A20" s="6"/>
      <c r="B20" s="22"/>
      <c r="C20" s="8"/>
      <c r="D20" s="9"/>
      <c r="E20" s="21"/>
      <c r="F20" s="34"/>
      <c r="G20" s="35"/>
      <c r="H20" s="10"/>
      <c r="I20" s="11"/>
      <c r="J20" s="11"/>
      <c r="K20" s="12"/>
      <c r="L20" s="11"/>
      <c r="M20" s="11"/>
      <c r="N20" s="11"/>
      <c r="O20" s="11"/>
      <c r="P20" s="13"/>
      <c r="Q20" s="18" t="str">
        <f t="shared" si="0"/>
        <v/>
      </c>
      <c r="R20" s="18" t="str">
        <f t="shared" si="1"/>
        <v/>
      </c>
      <c r="S20" s="18" t="str">
        <f t="shared" si="2"/>
        <v/>
      </c>
      <c r="T20" s="18" t="str">
        <f t="shared" si="3"/>
        <v/>
      </c>
      <c r="U20" s="18" t="str">
        <f t="shared" si="4"/>
        <v/>
      </c>
      <c r="V20" s="18" t="str">
        <f t="shared" si="5"/>
        <v/>
      </c>
      <c r="W20" s="14"/>
    </row>
    <row r="21" spans="1:23" x14ac:dyDescent="0.25">
      <c r="A21" s="6">
        <v>3</v>
      </c>
      <c r="B21" s="7" t="s">
        <v>116</v>
      </c>
      <c r="C21" s="8"/>
      <c r="D21" s="20"/>
      <c r="E21" s="20"/>
      <c r="F21" s="34"/>
      <c r="G21" s="35"/>
      <c r="H21" s="10"/>
      <c r="I21" s="11"/>
      <c r="J21" s="11"/>
      <c r="K21" s="12"/>
      <c r="L21" s="11"/>
      <c r="M21" s="11"/>
      <c r="N21" s="11"/>
      <c r="O21" s="11"/>
      <c r="P21" s="13"/>
      <c r="Q21" s="18" t="str">
        <f t="shared" si="0"/>
        <v/>
      </c>
      <c r="R21" s="18" t="str">
        <f t="shared" si="1"/>
        <v/>
      </c>
      <c r="S21" s="18" t="str">
        <f t="shared" si="2"/>
        <v/>
      </c>
      <c r="T21" s="18" t="str">
        <f t="shared" si="3"/>
        <v/>
      </c>
      <c r="U21" s="18" t="str">
        <f t="shared" si="4"/>
        <v/>
      </c>
      <c r="V21" s="18" t="str">
        <f t="shared" si="5"/>
        <v/>
      </c>
      <c r="W21" s="14"/>
    </row>
    <row r="22" spans="1:23" x14ac:dyDescent="0.25">
      <c r="A22" s="6"/>
      <c r="B22" t="s">
        <v>19</v>
      </c>
      <c r="C22" s="19">
        <v>0.5</v>
      </c>
      <c r="D22" s="63">
        <f>32.45-2*0.05</f>
        <v>32.35</v>
      </c>
      <c r="E22" s="64"/>
      <c r="F22" s="19">
        <v>0.5</v>
      </c>
      <c r="G22" s="36">
        <v>0.25</v>
      </c>
      <c r="H22" s="10">
        <v>16</v>
      </c>
      <c r="I22" s="11">
        <v>1</v>
      </c>
      <c r="J22" s="13">
        <f>ROUND(6.245/G22+1,0)/2</f>
        <v>13</v>
      </c>
      <c r="K22" s="45">
        <f>D22</f>
        <v>32.35</v>
      </c>
      <c r="L22" s="16">
        <f>IF(O22&lt;12,"0",0.049*H22)*2</f>
        <v>1.5680000000000001</v>
      </c>
      <c r="M22" s="17">
        <v>2</v>
      </c>
      <c r="N22" s="11">
        <f>M22*2*H22/1000</f>
        <v>6.4000000000000001E-2</v>
      </c>
      <c r="O22" s="16">
        <f>(D22+C22+F22)-N22</f>
        <v>33.286000000000001</v>
      </c>
      <c r="P22" s="16">
        <f>(I22*J22*O22)+L22</f>
        <v>434.286</v>
      </c>
      <c r="Q22" s="18" t="str">
        <f t="shared" si="0"/>
        <v/>
      </c>
      <c r="R22" s="18" t="str">
        <f t="shared" si="1"/>
        <v/>
      </c>
      <c r="S22" s="18" t="str">
        <f t="shared" si="2"/>
        <v/>
      </c>
      <c r="T22" s="18">
        <f t="shared" si="3"/>
        <v>434.286</v>
      </c>
      <c r="U22" s="18" t="str">
        <f t="shared" si="4"/>
        <v/>
      </c>
      <c r="V22" s="18" t="str">
        <f t="shared" si="5"/>
        <v/>
      </c>
      <c r="W22" s="14"/>
    </row>
    <row r="23" spans="1:23" x14ac:dyDescent="0.25">
      <c r="A23" s="6"/>
      <c r="B23" s="22"/>
      <c r="C23" s="8"/>
      <c r="D23" s="20"/>
      <c r="E23" s="21"/>
      <c r="F23" s="34"/>
      <c r="G23" s="35"/>
      <c r="H23" s="10"/>
      <c r="I23" s="11"/>
      <c r="J23" s="11"/>
      <c r="K23" s="12"/>
      <c r="L23" s="11"/>
      <c r="M23" s="11"/>
      <c r="N23" s="11"/>
      <c r="O23" s="11"/>
      <c r="P23" s="13"/>
      <c r="Q23" s="18" t="str">
        <f t="shared" si="0"/>
        <v/>
      </c>
      <c r="R23" s="18" t="str">
        <f t="shared" si="1"/>
        <v/>
      </c>
      <c r="S23" s="18" t="str">
        <f t="shared" si="2"/>
        <v/>
      </c>
      <c r="T23" s="18" t="str">
        <f t="shared" si="3"/>
        <v/>
      </c>
      <c r="U23" s="18" t="str">
        <f t="shared" si="4"/>
        <v/>
      </c>
      <c r="V23" s="18" t="str">
        <f t="shared" si="5"/>
        <v/>
      </c>
      <c r="W23" s="14"/>
    </row>
    <row r="24" spans="1:23" x14ac:dyDescent="0.25">
      <c r="A24" s="6">
        <v>4</v>
      </c>
      <c r="B24" s="7" t="s">
        <v>117</v>
      </c>
      <c r="C24" s="8"/>
      <c r="D24" s="20"/>
      <c r="E24" s="20"/>
      <c r="F24" s="34"/>
      <c r="G24" s="35"/>
      <c r="H24" s="10"/>
      <c r="I24" s="11"/>
      <c r="J24" s="11"/>
      <c r="K24" s="12"/>
      <c r="L24" s="11"/>
      <c r="M24" s="11"/>
      <c r="N24" s="11"/>
      <c r="O24" s="11"/>
      <c r="P24" s="13"/>
      <c r="Q24" s="18" t="str">
        <f t="shared" si="0"/>
        <v/>
      </c>
      <c r="R24" s="18" t="str">
        <f t="shared" si="1"/>
        <v/>
      </c>
      <c r="S24" s="18" t="str">
        <f t="shared" si="2"/>
        <v/>
      </c>
      <c r="T24" s="18" t="str">
        <f t="shared" si="3"/>
        <v/>
      </c>
      <c r="U24" s="18" t="str">
        <f t="shared" si="4"/>
        <v/>
      </c>
      <c r="V24" s="18" t="str">
        <f t="shared" si="5"/>
        <v/>
      </c>
      <c r="W24" s="14"/>
    </row>
    <row r="25" spans="1:23" x14ac:dyDescent="0.25">
      <c r="A25" s="6"/>
      <c r="B25" t="s">
        <v>19</v>
      </c>
      <c r="C25" s="19">
        <v>0.5</v>
      </c>
      <c r="D25" s="63">
        <f>31.935-2*0.05</f>
        <v>31.834999999999997</v>
      </c>
      <c r="E25" s="64"/>
      <c r="F25" s="19">
        <v>0.5</v>
      </c>
      <c r="G25" s="36">
        <v>0.25</v>
      </c>
      <c r="H25" s="10">
        <v>16</v>
      </c>
      <c r="I25" s="11">
        <v>1</v>
      </c>
      <c r="J25" s="13">
        <f>ROUND(2.63/G25+1,0)/2</f>
        <v>6</v>
      </c>
      <c r="K25" s="45">
        <f>D25</f>
        <v>31.834999999999997</v>
      </c>
      <c r="L25" s="16">
        <f>IF(O25&lt;12,"0",0.049*H25)*3</f>
        <v>2.3520000000000003</v>
      </c>
      <c r="M25" s="17">
        <v>2</v>
      </c>
      <c r="N25" s="11">
        <f>M25*2*H25/1000</f>
        <v>6.4000000000000001E-2</v>
      </c>
      <c r="O25" s="16">
        <f>(D25+C25+F25)-N25</f>
        <v>32.770999999999994</v>
      </c>
      <c r="P25" s="16">
        <f>(I25*J25*O25)+L25</f>
        <v>198.97799999999998</v>
      </c>
      <c r="Q25" s="18" t="str">
        <f t="shared" si="0"/>
        <v/>
      </c>
      <c r="R25" s="18" t="str">
        <f t="shared" si="1"/>
        <v/>
      </c>
      <c r="S25" s="18" t="str">
        <f t="shared" si="2"/>
        <v/>
      </c>
      <c r="T25" s="18">
        <f t="shared" si="3"/>
        <v>198.97799999999998</v>
      </c>
      <c r="U25" s="18" t="str">
        <f t="shared" si="4"/>
        <v/>
      </c>
      <c r="V25" s="18" t="str">
        <f t="shared" si="5"/>
        <v/>
      </c>
      <c r="W25" s="14"/>
    </row>
    <row r="26" spans="1:23" x14ac:dyDescent="0.25">
      <c r="A26" s="6"/>
      <c r="B26" s="22"/>
      <c r="C26" s="8"/>
      <c r="D26" s="9"/>
      <c r="E26" s="21"/>
      <c r="F26" s="34"/>
      <c r="G26" s="35"/>
      <c r="H26" s="10"/>
      <c r="I26" s="11"/>
      <c r="J26" s="11"/>
      <c r="K26" s="12"/>
      <c r="L26" s="11"/>
      <c r="M26" s="11"/>
      <c r="N26" s="11"/>
      <c r="O26" s="11"/>
      <c r="P26" s="13"/>
      <c r="Q26" s="18" t="str">
        <f t="shared" si="0"/>
        <v/>
      </c>
      <c r="R26" s="18" t="str">
        <f t="shared" si="1"/>
        <v/>
      </c>
      <c r="S26" s="18" t="str">
        <f t="shared" si="2"/>
        <v/>
      </c>
      <c r="T26" s="18" t="str">
        <f t="shared" si="3"/>
        <v/>
      </c>
      <c r="U26" s="18" t="str">
        <f t="shared" si="4"/>
        <v/>
      </c>
      <c r="V26" s="18" t="str">
        <f t="shared" si="5"/>
        <v/>
      </c>
      <c r="W26" s="14"/>
    </row>
    <row r="27" spans="1:23" x14ac:dyDescent="0.25">
      <c r="A27" s="6">
        <v>4</v>
      </c>
      <c r="B27" s="7" t="s">
        <v>117</v>
      </c>
      <c r="C27" s="8"/>
      <c r="D27" s="20"/>
      <c r="E27" s="20"/>
      <c r="F27" s="34"/>
      <c r="G27" s="35"/>
      <c r="H27" s="10"/>
      <c r="I27" s="11"/>
      <c r="J27" s="11"/>
      <c r="K27" s="12"/>
      <c r="L27" s="11"/>
      <c r="M27" s="11"/>
      <c r="N27" s="11"/>
      <c r="O27" s="11"/>
      <c r="P27" s="13"/>
      <c r="Q27" s="18" t="str">
        <f t="shared" si="0"/>
        <v/>
      </c>
      <c r="R27" s="18" t="str">
        <f t="shared" si="1"/>
        <v/>
      </c>
      <c r="S27" s="18" t="str">
        <f t="shared" si="2"/>
        <v/>
      </c>
      <c r="T27" s="18" t="str">
        <f t="shared" si="3"/>
        <v/>
      </c>
      <c r="U27" s="18" t="str">
        <f t="shared" si="4"/>
        <v/>
      </c>
      <c r="V27" s="18" t="str">
        <f t="shared" si="5"/>
        <v/>
      </c>
      <c r="W27" s="14"/>
    </row>
    <row r="28" spans="1:23" x14ac:dyDescent="0.25">
      <c r="A28" s="6"/>
      <c r="B28" t="s">
        <v>19</v>
      </c>
      <c r="C28" s="19">
        <v>0.5</v>
      </c>
      <c r="D28" s="63">
        <f>31.935-2*0.05</f>
        <v>31.834999999999997</v>
      </c>
      <c r="E28" s="64"/>
      <c r="F28" s="19">
        <v>0.5</v>
      </c>
      <c r="G28" s="36">
        <v>0.25</v>
      </c>
      <c r="H28" s="10">
        <v>16</v>
      </c>
      <c r="I28" s="11">
        <v>1</v>
      </c>
      <c r="J28" s="13">
        <f>ROUND(2.63/G28+1,0)/2</f>
        <v>6</v>
      </c>
      <c r="K28" s="45">
        <f>D28</f>
        <v>31.834999999999997</v>
      </c>
      <c r="L28" s="16">
        <f>IF(O28&lt;12,"0",0.049*H28)*2</f>
        <v>1.5680000000000001</v>
      </c>
      <c r="M28" s="17">
        <v>2</v>
      </c>
      <c r="N28" s="11">
        <f>M28*2*H28/1000</f>
        <v>6.4000000000000001E-2</v>
      </c>
      <c r="O28" s="16">
        <f>(D28+C28+F28)-N28</f>
        <v>32.770999999999994</v>
      </c>
      <c r="P28" s="16">
        <f>(I28*J28*O28)+L28</f>
        <v>198.19399999999999</v>
      </c>
      <c r="Q28" s="18" t="str">
        <f t="shared" si="0"/>
        <v/>
      </c>
      <c r="R28" s="18" t="str">
        <f t="shared" si="1"/>
        <v/>
      </c>
      <c r="S28" s="18" t="str">
        <f t="shared" si="2"/>
        <v/>
      </c>
      <c r="T28" s="18">
        <f t="shared" si="3"/>
        <v>198.19399999999999</v>
      </c>
      <c r="U28" s="18" t="str">
        <f t="shared" si="4"/>
        <v/>
      </c>
      <c r="V28" s="18" t="str">
        <f t="shared" si="5"/>
        <v/>
      </c>
      <c r="W28" s="14"/>
    </row>
    <row r="29" spans="1:23" x14ac:dyDescent="0.25">
      <c r="A29" s="6"/>
      <c r="B29" s="22"/>
      <c r="C29" s="8"/>
      <c r="D29" s="20"/>
      <c r="E29" s="21"/>
      <c r="F29" s="34"/>
      <c r="G29" s="35"/>
      <c r="H29" s="10"/>
      <c r="I29" s="11"/>
      <c r="J29" s="11"/>
      <c r="K29" s="12"/>
      <c r="L29" s="11"/>
      <c r="M29" s="11"/>
      <c r="N29" s="11"/>
      <c r="O29" s="11"/>
      <c r="P29" s="13"/>
      <c r="Q29" s="18" t="str">
        <f t="shared" si="0"/>
        <v/>
      </c>
      <c r="R29" s="18" t="str">
        <f t="shared" si="1"/>
        <v/>
      </c>
      <c r="S29" s="18" t="str">
        <f t="shared" si="2"/>
        <v/>
      </c>
      <c r="T29" s="18" t="str">
        <f t="shared" si="3"/>
        <v/>
      </c>
      <c r="U29" s="18" t="str">
        <f t="shared" si="4"/>
        <v/>
      </c>
      <c r="V29" s="18" t="str">
        <f t="shared" si="5"/>
        <v/>
      </c>
      <c r="W29" s="14"/>
    </row>
    <row r="30" spans="1:23" x14ac:dyDescent="0.25">
      <c r="A30" s="6">
        <v>5</v>
      </c>
      <c r="B30" s="7" t="s">
        <v>118</v>
      </c>
      <c r="C30" s="8"/>
      <c r="D30" s="20"/>
      <c r="E30" s="20"/>
      <c r="F30" s="34"/>
      <c r="G30" s="35"/>
      <c r="H30" s="10"/>
      <c r="I30" s="11"/>
      <c r="J30" s="11"/>
      <c r="K30" s="12"/>
      <c r="L30" s="11"/>
      <c r="M30" s="11"/>
      <c r="N30" s="11"/>
      <c r="O30" s="11"/>
      <c r="P30" s="13"/>
      <c r="Q30" s="18" t="str">
        <f t="shared" si="0"/>
        <v/>
      </c>
      <c r="R30" s="18" t="str">
        <f t="shared" si="1"/>
        <v/>
      </c>
      <c r="S30" s="18" t="str">
        <f t="shared" si="2"/>
        <v/>
      </c>
      <c r="T30" s="18" t="str">
        <f t="shared" si="3"/>
        <v/>
      </c>
      <c r="U30" s="18" t="str">
        <f t="shared" si="4"/>
        <v/>
      </c>
      <c r="V30" s="18" t="str">
        <f t="shared" si="5"/>
        <v/>
      </c>
      <c r="W30" s="14"/>
    </row>
    <row r="31" spans="1:23" x14ac:dyDescent="0.25">
      <c r="A31" s="6"/>
      <c r="B31" t="s">
        <v>19</v>
      </c>
      <c r="C31" s="19">
        <v>0.5</v>
      </c>
      <c r="D31" s="63">
        <f>31.95-2*0.05-1.5</f>
        <v>30.349999999999998</v>
      </c>
      <c r="E31" s="64"/>
      <c r="F31" s="19">
        <v>0.5</v>
      </c>
      <c r="G31" s="36">
        <v>0.25</v>
      </c>
      <c r="H31" s="10">
        <v>16</v>
      </c>
      <c r="I31" s="11">
        <v>1</v>
      </c>
      <c r="J31" s="13">
        <f>ROUND(3.95/G31+1,0)/2</f>
        <v>8.5</v>
      </c>
      <c r="K31" s="45">
        <f>D31</f>
        <v>30.349999999999998</v>
      </c>
      <c r="L31" s="16">
        <f>IF(O31&lt;12,"0",0.049*H31)*3</f>
        <v>2.3520000000000003</v>
      </c>
      <c r="M31" s="17">
        <v>2</v>
      </c>
      <c r="N31" s="11">
        <f>M31*2*H31/1000</f>
        <v>6.4000000000000001E-2</v>
      </c>
      <c r="O31" s="16">
        <f>(D31+C31+F31)-N31</f>
        <v>31.285999999999998</v>
      </c>
      <c r="P31" s="16">
        <f>(I31*J31*O31)+L31</f>
        <v>268.28299999999996</v>
      </c>
      <c r="Q31" s="18" t="str">
        <f t="shared" si="0"/>
        <v/>
      </c>
      <c r="R31" s="18" t="str">
        <f t="shared" si="1"/>
        <v/>
      </c>
      <c r="S31" s="18" t="str">
        <f t="shared" si="2"/>
        <v/>
      </c>
      <c r="T31" s="18">
        <f t="shared" si="3"/>
        <v>268.28299999999996</v>
      </c>
      <c r="U31" s="18" t="str">
        <f t="shared" si="4"/>
        <v/>
      </c>
      <c r="V31" s="18" t="str">
        <f t="shared" si="5"/>
        <v/>
      </c>
      <c r="W31" s="14"/>
    </row>
    <row r="32" spans="1:23" x14ac:dyDescent="0.25">
      <c r="A32" s="6"/>
      <c r="B32" s="22"/>
      <c r="C32" s="8"/>
      <c r="D32" s="20"/>
      <c r="E32" s="21"/>
      <c r="F32" s="34"/>
      <c r="G32" s="35"/>
      <c r="H32" s="10"/>
      <c r="I32" s="11"/>
      <c r="J32" s="11"/>
      <c r="K32" s="12"/>
      <c r="L32" s="11"/>
      <c r="M32" s="11"/>
      <c r="N32" s="11"/>
      <c r="O32" s="11"/>
      <c r="P32" s="13"/>
      <c r="Q32" s="18" t="str">
        <f t="shared" si="0"/>
        <v/>
      </c>
      <c r="R32" s="18" t="str">
        <f t="shared" si="1"/>
        <v/>
      </c>
      <c r="S32" s="18" t="str">
        <f t="shared" si="2"/>
        <v/>
      </c>
      <c r="T32" s="18" t="str">
        <f t="shared" si="3"/>
        <v/>
      </c>
      <c r="U32" s="18" t="str">
        <f t="shared" si="4"/>
        <v/>
      </c>
      <c r="V32" s="18" t="str">
        <f t="shared" si="5"/>
        <v/>
      </c>
      <c r="W32" s="14"/>
    </row>
    <row r="33" spans="1:23" x14ac:dyDescent="0.25">
      <c r="A33" s="6">
        <v>5</v>
      </c>
      <c r="B33" s="7" t="s">
        <v>118</v>
      </c>
      <c r="C33" s="8"/>
      <c r="D33" s="20"/>
      <c r="E33" s="20"/>
      <c r="F33" s="34"/>
      <c r="G33" s="35"/>
      <c r="H33" s="10"/>
      <c r="I33" s="11"/>
      <c r="J33" s="11"/>
      <c r="K33" s="12"/>
      <c r="L33" s="11"/>
      <c r="M33" s="11"/>
      <c r="N33" s="11"/>
      <c r="O33" s="11"/>
      <c r="P33" s="13"/>
      <c r="Q33" s="18" t="str">
        <f t="shared" si="0"/>
        <v/>
      </c>
      <c r="R33" s="18" t="str">
        <f t="shared" si="1"/>
        <v/>
      </c>
      <c r="S33" s="18" t="str">
        <f t="shared" si="2"/>
        <v/>
      </c>
      <c r="T33" s="18" t="str">
        <f t="shared" si="3"/>
        <v/>
      </c>
      <c r="U33" s="18" t="str">
        <f t="shared" si="4"/>
        <v/>
      </c>
      <c r="V33" s="18" t="str">
        <f t="shared" si="5"/>
        <v/>
      </c>
      <c r="W33" s="14"/>
    </row>
    <row r="34" spans="1:23" x14ac:dyDescent="0.25">
      <c r="A34" s="6"/>
      <c r="B34" t="s">
        <v>19</v>
      </c>
      <c r="C34" s="19">
        <v>0.5</v>
      </c>
      <c r="D34" s="63">
        <f>31.95-2*0.05-1.5</f>
        <v>30.349999999999998</v>
      </c>
      <c r="E34" s="64"/>
      <c r="F34" s="19">
        <v>0.5</v>
      </c>
      <c r="G34" s="36">
        <v>0.25</v>
      </c>
      <c r="H34" s="10">
        <v>16</v>
      </c>
      <c r="I34" s="11">
        <v>1</v>
      </c>
      <c r="J34" s="13">
        <f>ROUND(3.95/G34+1,0)/2</f>
        <v>8.5</v>
      </c>
      <c r="K34" s="45">
        <f>D34</f>
        <v>30.349999999999998</v>
      </c>
      <c r="L34" s="16">
        <f>IF(O34&lt;12,"0",0.049*H34)*2</f>
        <v>1.5680000000000001</v>
      </c>
      <c r="M34" s="17">
        <v>2</v>
      </c>
      <c r="N34" s="11">
        <f>M34*2*H34/1000</f>
        <v>6.4000000000000001E-2</v>
      </c>
      <c r="O34" s="16">
        <f>(D34+C34+F34)-N34</f>
        <v>31.285999999999998</v>
      </c>
      <c r="P34" s="16">
        <f>(I34*J34*O34)+L34</f>
        <v>267.49899999999997</v>
      </c>
      <c r="Q34" s="18" t="str">
        <f t="shared" si="0"/>
        <v/>
      </c>
      <c r="R34" s="18" t="str">
        <f t="shared" si="1"/>
        <v/>
      </c>
      <c r="S34" s="18" t="str">
        <f t="shared" si="2"/>
        <v/>
      </c>
      <c r="T34" s="18">
        <f t="shared" si="3"/>
        <v>267.49899999999997</v>
      </c>
      <c r="U34" s="18" t="str">
        <f t="shared" si="4"/>
        <v/>
      </c>
      <c r="V34" s="18" t="str">
        <f t="shared" si="5"/>
        <v/>
      </c>
      <c r="W34" s="14"/>
    </row>
    <row r="35" spans="1:23" x14ac:dyDescent="0.25">
      <c r="A35" s="6"/>
      <c r="B35" s="22"/>
      <c r="C35" s="8"/>
      <c r="D35" s="20"/>
      <c r="E35" s="21"/>
      <c r="F35" s="34"/>
      <c r="G35" s="35"/>
      <c r="H35" s="10"/>
      <c r="I35" s="11"/>
      <c r="J35" s="11"/>
      <c r="K35" s="12"/>
      <c r="L35" s="11"/>
      <c r="M35" s="11"/>
      <c r="N35" s="11"/>
      <c r="O35" s="11"/>
      <c r="P35" s="13"/>
      <c r="Q35" s="18" t="str">
        <f t="shared" si="0"/>
        <v/>
      </c>
      <c r="R35" s="18" t="str">
        <f t="shared" si="1"/>
        <v/>
      </c>
      <c r="S35" s="18" t="str">
        <f t="shared" si="2"/>
        <v/>
      </c>
      <c r="T35" s="18" t="str">
        <f t="shared" si="3"/>
        <v/>
      </c>
      <c r="U35" s="18" t="str">
        <f t="shared" si="4"/>
        <v/>
      </c>
      <c r="V35" s="18" t="str">
        <f t="shared" si="5"/>
        <v/>
      </c>
      <c r="W35" s="14"/>
    </row>
    <row r="36" spans="1:23" x14ac:dyDescent="0.25">
      <c r="A36" s="6">
        <v>6</v>
      </c>
      <c r="B36" s="7" t="s">
        <v>119</v>
      </c>
      <c r="C36" s="8"/>
      <c r="D36" s="20"/>
      <c r="E36" s="20"/>
      <c r="F36" s="34"/>
      <c r="G36" s="35"/>
      <c r="H36" s="10"/>
      <c r="I36" s="11"/>
      <c r="J36" s="11"/>
      <c r="K36" s="12"/>
      <c r="L36" s="11"/>
      <c r="M36" s="11"/>
      <c r="N36" s="11"/>
      <c r="O36" s="11"/>
      <c r="P36" s="13"/>
      <c r="Q36" s="18" t="str">
        <f t="shared" si="0"/>
        <v/>
      </c>
      <c r="R36" s="18" t="str">
        <f t="shared" si="1"/>
        <v/>
      </c>
      <c r="S36" s="18" t="str">
        <f t="shared" si="2"/>
        <v/>
      </c>
      <c r="T36" s="18" t="str">
        <f t="shared" si="3"/>
        <v/>
      </c>
      <c r="U36" s="18" t="str">
        <f t="shared" si="4"/>
        <v/>
      </c>
      <c r="V36" s="18" t="str">
        <f t="shared" si="5"/>
        <v/>
      </c>
      <c r="W36" s="14"/>
    </row>
    <row r="37" spans="1:23" x14ac:dyDescent="0.25">
      <c r="A37" s="6"/>
      <c r="B37" t="s">
        <v>19</v>
      </c>
      <c r="C37" s="19">
        <v>0.5</v>
      </c>
      <c r="D37" s="63">
        <f>31.95-2*0.05-1.5-0.815</f>
        <v>29.534999999999997</v>
      </c>
      <c r="E37" s="64"/>
      <c r="F37" s="19">
        <v>0.5</v>
      </c>
      <c r="G37" s="36">
        <v>0.25</v>
      </c>
      <c r="H37" s="10">
        <v>16</v>
      </c>
      <c r="I37" s="11">
        <v>1</v>
      </c>
      <c r="J37" s="13">
        <f>ROUND(1.695/G37+1,0)/2</f>
        <v>4</v>
      </c>
      <c r="K37" s="45">
        <f>D37</f>
        <v>29.534999999999997</v>
      </c>
      <c r="L37" s="16">
        <f>IF(O37&lt;12,"0",0.049*H37)*3</f>
        <v>2.3520000000000003</v>
      </c>
      <c r="M37" s="17">
        <v>2</v>
      </c>
      <c r="N37" s="11">
        <f>M37*2*H37/1000</f>
        <v>6.4000000000000001E-2</v>
      </c>
      <c r="O37" s="16">
        <f>(D37+C37+F37)-N37</f>
        <v>30.470999999999997</v>
      </c>
      <c r="P37" s="16">
        <f>(I37*J37*O37)+L37</f>
        <v>124.23599999999999</v>
      </c>
      <c r="Q37" s="18" t="str">
        <f t="shared" si="0"/>
        <v/>
      </c>
      <c r="R37" s="18" t="str">
        <f t="shared" si="1"/>
        <v/>
      </c>
      <c r="S37" s="18" t="str">
        <f t="shared" si="2"/>
        <v/>
      </c>
      <c r="T37" s="18">
        <f t="shared" si="3"/>
        <v>124.23599999999999</v>
      </c>
      <c r="U37" s="18" t="str">
        <f t="shared" si="4"/>
        <v/>
      </c>
      <c r="V37" s="18" t="str">
        <f t="shared" si="5"/>
        <v/>
      </c>
      <c r="W37" s="14"/>
    </row>
    <row r="38" spans="1:23" x14ac:dyDescent="0.25">
      <c r="A38" s="6"/>
      <c r="B38" s="22"/>
      <c r="C38" s="8"/>
      <c r="D38" s="20"/>
      <c r="E38" s="21"/>
      <c r="F38" s="34"/>
      <c r="G38" s="35"/>
      <c r="H38" s="10"/>
      <c r="I38" s="11"/>
      <c r="J38" s="11"/>
      <c r="K38" s="12"/>
      <c r="L38" s="11"/>
      <c r="M38" s="11"/>
      <c r="N38" s="11"/>
      <c r="O38" s="11"/>
      <c r="P38" s="13"/>
      <c r="Q38" s="18" t="str">
        <f t="shared" si="0"/>
        <v/>
      </c>
      <c r="R38" s="18" t="str">
        <f t="shared" si="1"/>
        <v/>
      </c>
      <c r="S38" s="18" t="str">
        <f t="shared" si="2"/>
        <v/>
      </c>
      <c r="T38" s="18" t="str">
        <f t="shared" si="3"/>
        <v/>
      </c>
      <c r="U38" s="18" t="str">
        <f t="shared" si="4"/>
        <v/>
      </c>
      <c r="V38" s="18" t="str">
        <f t="shared" si="5"/>
        <v/>
      </c>
      <c r="W38" s="14"/>
    </row>
    <row r="39" spans="1:23" x14ac:dyDescent="0.25">
      <c r="A39" s="6">
        <v>6</v>
      </c>
      <c r="B39" s="7" t="s">
        <v>119</v>
      </c>
      <c r="C39" s="8"/>
      <c r="D39" s="20"/>
      <c r="E39" s="20"/>
      <c r="F39" s="34"/>
      <c r="G39" s="35"/>
      <c r="H39" s="10"/>
      <c r="I39" s="11"/>
      <c r="J39" s="11"/>
      <c r="K39" s="12"/>
      <c r="L39" s="11"/>
      <c r="M39" s="11"/>
      <c r="N39" s="11"/>
      <c r="O39" s="11"/>
      <c r="P39" s="13"/>
      <c r="Q39" s="18" t="str">
        <f t="shared" si="0"/>
        <v/>
      </c>
      <c r="R39" s="18" t="str">
        <f t="shared" si="1"/>
        <v/>
      </c>
      <c r="S39" s="18" t="str">
        <f t="shared" si="2"/>
        <v/>
      </c>
      <c r="T39" s="18" t="str">
        <f t="shared" si="3"/>
        <v/>
      </c>
      <c r="U39" s="18" t="str">
        <f t="shared" si="4"/>
        <v/>
      </c>
      <c r="V39" s="18" t="str">
        <f t="shared" si="5"/>
        <v/>
      </c>
      <c r="W39" s="14"/>
    </row>
    <row r="40" spans="1:23" x14ac:dyDescent="0.25">
      <c r="A40" s="6"/>
      <c r="B40" t="s">
        <v>19</v>
      </c>
      <c r="C40" s="19">
        <v>0.5</v>
      </c>
      <c r="D40" s="63">
        <f>31.95-2*0.05-1.5-0.815</f>
        <v>29.534999999999997</v>
      </c>
      <c r="E40" s="64"/>
      <c r="F40" s="19">
        <v>0.5</v>
      </c>
      <c r="G40" s="36">
        <v>0.25</v>
      </c>
      <c r="H40" s="10">
        <v>16</v>
      </c>
      <c r="I40" s="11">
        <v>1</v>
      </c>
      <c r="J40" s="13">
        <f>ROUND(1.695/G40+1,0)/2</f>
        <v>4</v>
      </c>
      <c r="K40" s="45">
        <f>D40</f>
        <v>29.534999999999997</v>
      </c>
      <c r="L40" s="16">
        <f>IF(O40&lt;12,"0",0.049*H40)*2</f>
        <v>1.5680000000000001</v>
      </c>
      <c r="M40" s="17">
        <v>2</v>
      </c>
      <c r="N40" s="11">
        <f>M40*2*H40/1000</f>
        <v>6.4000000000000001E-2</v>
      </c>
      <c r="O40" s="16">
        <f>(D40+C40+F40)-N40</f>
        <v>30.470999999999997</v>
      </c>
      <c r="P40" s="16">
        <f>(I40*J40*O40)+L40</f>
        <v>123.45199999999998</v>
      </c>
      <c r="Q40" s="18" t="str">
        <f t="shared" si="0"/>
        <v/>
      </c>
      <c r="R40" s="18" t="str">
        <f t="shared" si="1"/>
        <v/>
      </c>
      <c r="S40" s="18" t="str">
        <f t="shared" si="2"/>
        <v/>
      </c>
      <c r="T40" s="18">
        <f t="shared" si="3"/>
        <v>123.45199999999998</v>
      </c>
      <c r="U40" s="18" t="str">
        <f t="shared" si="4"/>
        <v/>
      </c>
      <c r="V40" s="18" t="str">
        <f t="shared" si="5"/>
        <v/>
      </c>
      <c r="W40" s="14"/>
    </row>
    <row r="41" spans="1:23" x14ac:dyDescent="0.25">
      <c r="A41" s="6"/>
      <c r="B41" s="22"/>
      <c r="C41" s="8"/>
      <c r="D41" s="20"/>
      <c r="E41" s="21"/>
      <c r="F41" s="34"/>
      <c r="G41" s="35"/>
      <c r="H41" s="10"/>
      <c r="I41" s="11"/>
      <c r="J41" s="11"/>
      <c r="K41" s="12"/>
      <c r="L41" s="11"/>
      <c r="M41" s="11"/>
      <c r="N41" s="11"/>
      <c r="O41" s="11"/>
      <c r="P41" s="13"/>
      <c r="Q41" s="18" t="str">
        <f t="shared" si="0"/>
        <v/>
      </c>
      <c r="R41" s="18" t="str">
        <f t="shared" si="1"/>
        <v/>
      </c>
      <c r="S41" s="18" t="str">
        <f t="shared" si="2"/>
        <v/>
      </c>
      <c r="T41" s="18" t="str">
        <f t="shared" si="3"/>
        <v/>
      </c>
      <c r="U41" s="18" t="str">
        <f t="shared" si="4"/>
        <v/>
      </c>
      <c r="V41" s="18" t="str">
        <f t="shared" si="5"/>
        <v/>
      </c>
      <c r="W41" s="14"/>
    </row>
    <row r="42" spans="1:23" x14ac:dyDescent="0.25">
      <c r="A42" s="6">
        <v>7</v>
      </c>
      <c r="B42" s="7" t="s">
        <v>120</v>
      </c>
      <c r="C42" s="8"/>
      <c r="D42" s="20"/>
      <c r="E42" s="20"/>
      <c r="F42" s="34"/>
      <c r="G42" s="35"/>
      <c r="H42" s="10"/>
      <c r="I42" s="11"/>
      <c r="J42" s="11"/>
      <c r="K42" s="12"/>
      <c r="L42" s="11"/>
      <c r="M42" s="11"/>
      <c r="N42" s="11"/>
      <c r="O42" s="11"/>
      <c r="P42" s="13"/>
      <c r="Q42" s="18" t="str">
        <f t="shared" si="0"/>
        <v/>
      </c>
      <c r="R42" s="18" t="str">
        <f t="shared" si="1"/>
        <v/>
      </c>
      <c r="S42" s="18" t="str">
        <f t="shared" si="2"/>
        <v/>
      </c>
      <c r="T42" s="18" t="str">
        <f t="shared" si="3"/>
        <v/>
      </c>
      <c r="U42" s="18" t="str">
        <f t="shared" si="4"/>
        <v/>
      </c>
      <c r="V42" s="18" t="str">
        <f t="shared" si="5"/>
        <v/>
      </c>
      <c r="W42" s="14"/>
    </row>
    <row r="43" spans="1:23" x14ac:dyDescent="0.25">
      <c r="A43" s="6"/>
      <c r="B43" t="s">
        <v>19</v>
      </c>
      <c r="C43" s="19">
        <v>0.5</v>
      </c>
      <c r="D43" s="63">
        <f>15.8-2*0.05</f>
        <v>15.700000000000001</v>
      </c>
      <c r="E43" s="64"/>
      <c r="F43" s="19">
        <v>0.5</v>
      </c>
      <c r="G43" s="36">
        <v>0.25</v>
      </c>
      <c r="H43" s="10">
        <v>16</v>
      </c>
      <c r="I43" s="11">
        <v>1</v>
      </c>
      <c r="J43" s="13">
        <f>ROUND(11.285/G43+1,0)</f>
        <v>46</v>
      </c>
      <c r="K43" s="45">
        <f>D43</f>
        <v>15.700000000000001</v>
      </c>
      <c r="L43" s="16">
        <f>IF(O43&lt;12,"0",0.049*H43)</f>
        <v>0.78400000000000003</v>
      </c>
      <c r="M43" s="17">
        <v>2</v>
      </c>
      <c r="N43" s="11">
        <f>M43*2*H43/1000</f>
        <v>6.4000000000000001E-2</v>
      </c>
      <c r="O43" s="16">
        <f>(D43+C43+F43)-N43</f>
        <v>16.636000000000003</v>
      </c>
      <c r="P43" s="16">
        <f>(I43*J43*O43)+L43</f>
        <v>766.04000000000008</v>
      </c>
      <c r="Q43" s="18" t="str">
        <f t="shared" si="0"/>
        <v/>
      </c>
      <c r="R43" s="18" t="str">
        <f t="shared" si="1"/>
        <v/>
      </c>
      <c r="S43" s="18" t="str">
        <f t="shared" si="2"/>
        <v/>
      </c>
      <c r="T43" s="18">
        <f t="shared" si="3"/>
        <v>766.04000000000008</v>
      </c>
      <c r="U43" s="18" t="str">
        <f t="shared" si="4"/>
        <v/>
      </c>
      <c r="V43" s="18" t="str">
        <f t="shared" si="5"/>
        <v/>
      </c>
      <c r="W43" s="14"/>
    </row>
    <row r="44" spans="1:23" x14ac:dyDescent="0.25">
      <c r="A44" s="6"/>
      <c r="B44" s="22"/>
      <c r="C44" s="8"/>
      <c r="D44" s="20"/>
      <c r="E44" s="21"/>
      <c r="F44" s="34"/>
      <c r="G44" s="35"/>
      <c r="H44" s="10"/>
      <c r="I44" s="11"/>
      <c r="J44" s="11"/>
      <c r="K44" s="12"/>
      <c r="L44" s="11"/>
      <c r="M44" s="11"/>
      <c r="N44" s="11"/>
      <c r="O44" s="11"/>
      <c r="P44" s="13"/>
      <c r="Q44" s="18" t="str">
        <f t="shared" si="0"/>
        <v/>
      </c>
      <c r="R44" s="18" t="str">
        <f t="shared" si="1"/>
        <v/>
      </c>
      <c r="S44" s="18" t="str">
        <f t="shared" si="2"/>
        <v/>
      </c>
      <c r="T44" s="18" t="str">
        <f t="shared" si="3"/>
        <v/>
      </c>
      <c r="U44" s="18" t="str">
        <f t="shared" si="4"/>
        <v/>
      </c>
      <c r="V44" s="18" t="str">
        <f t="shared" si="5"/>
        <v/>
      </c>
      <c r="W44" s="14"/>
    </row>
    <row r="45" spans="1:23" x14ac:dyDescent="0.25">
      <c r="A45" s="6"/>
      <c r="B45" s="22"/>
      <c r="C45" s="8"/>
      <c r="D45" s="20"/>
      <c r="E45" s="21"/>
      <c r="F45" s="34"/>
      <c r="G45" s="35"/>
      <c r="H45" s="10"/>
      <c r="I45" s="11"/>
      <c r="J45" s="11"/>
      <c r="K45" s="12"/>
      <c r="L45" s="11"/>
      <c r="M45" s="11"/>
      <c r="N45" s="11"/>
      <c r="O45" s="11"/>
      <c r="P45" s="13"/>
      <c r="Q45" s="18" t="str">
        <f t="shared" si="0"/>
        <v/>
      </c>
      <c r="R45" s="18" t="str">
        <f t="shared" si="1"/>
        <v/>
      </c>
      <c r="S45" s="18" t="str">
        <f t="shared" si="2"/>
        <v/>
      </c>
      <c r="T45" s="18" t="str">
        <f t="shared" si="3"/>
        <v/>
      </c>
      <c r="U45" s="18" t="str">
        <f t="shared" si="4"/>
        <v/>
      </c>
      <c r="V45" s="18" t="str">
        <f t="shared" si="5"/>
        <v/>
      </c>
      <c r="W45" s="14"/>
    </row>
    <row r="46" spans="1:23" x14ac:dyDescent="0.25">
      <c r="A46" s="6"/>
      <c r="B46" s="42" t="s">
        <v>23</v>
      </c>
      <c r="C46" s="8"/>
      <c r="D46" s="20"/>
      <c r="E46" s="20"/>
      <c r="F46" s="34"/>
      <c r="G46" s="35"/>
      <c r="H46" s="10"/>
      <c r="I46" s="11"/>
      <c r="J46" s="11"/>
      <c r="K46" s="12"/>
      <c r="L46" s="11"/>
      <c r="M46" s="11"/>
      <c r="N46" s="11"/>
      <c r="O46" s="11"/>
      <c r="P46" s="13"/>
      <c r="Q46" s="18" t="str">
        <f t="shared" si="0"/>
        <v/>
      </c>
      <c r="R46" s="18" t="str">
        <f t="shared" si="1"/>
        <v/>
      </c>
      <c r="S46" s="18" t="str">
        <f t="shared" si="2"/>
        <v/>
      </c>
      <c r="T46" s="18" t="str">
        <f t="shared" si="3"/>
        <v/>
      </c>
      <c r="U46" s="18" t="str">
        <f t="shared" si="4"/>
        <v/>
      </c>
      <c r="V46" s="18" t="str">
        <f t="shared" si="5"/>
        <v/>
      </c>
      <c r="W46" s="14"/>
    </row>
    <row r="47" spans="1:23" x14ac:dyDescent="0.25">
      <c r="A47" s="6">
        <v>1</v>
      </c>
      <c r="B47" s="40" t="s">
        <v>121</v>
      </c>
      <c r="C47" s="8"/>
      <c r="D47" s="20"/>
      <c r="E47" s="20"/>
      <c r="F47" s="34"/>
      <c r="G47" s="35"/>
      <c r="H47" s="10"/>
      <c r="I47" s="11"/>
      <c r="J47" s="11"/>
      <c r="K47" s="12"/>
      <c r="L47" s="11"/>
      <c r="M47" s="11"/>
      <c r="N47" s="11"/>
      <c r="O47" s="11"/>
      <c r="P47" s="13"/>
      <c r="Q47" s="18" t="str">
        <f t="shared" si="0"/>
        <v/>
      </c>
      <c r="R47" s="18" t="str">
        <f t="shared" si="1"/>
        <v/>
      </c>
      <c r="S47" s="18" t="str">
        <f t="shared" si="2"/>
        <v/>
      </c>
      <c r="T47" s="18" t="str">
        <f t="shared" si="3"/>
        <v/>
      </c>
      <c r="U47" s="18" t="str">
        <f t="shared" si="4"/>
        <v/>
      </c>
      <c r="V47" s="18" t="str">
        <f t="shared" si="5"/>
        <v/>
      </c>
      <c r="W47" s="14"/>
    </row>
    <row r="48" spans="1:23" x14ac:dyDescent="0.25">
      <c r="A48" s="6"/>
      <c r="B48" s="60" t="s">
        <v>29</v>
      </c>
      <c r="C48" s="19">
        <v>0.5</v>
      </c>
      <c r="D48" s="63">
        <f>8.875-2*0.05</f>
        <v>8.7750000000000004</v>
      </c>
      <c r="E48" s="64"/>
      <c r="F48" s="19">
        <v>0.5</v>
      </c>
      <c r="G48" s="36">
        <v>0.25</v>
      </c>
      <c r="H48" s="10">
        <v>16</v>
      </c>
      <c r="I48" s="11">
        <v>1</v>
      </c>
      <c r="J48" s="13">
        <f>ROUND(1.5/G48+1,0)</f>
        <v>7</v>
      </c>
      <c r="K48" s="45">
        <f>D48</f>
        <v>8.7750000000000004</v>
      </c>
      <c r="L48" s="37" t="str">
        <f>IF(O48&lt;12,"0",0.049*H48)</f>
        <v>0</v>
      </c>
      <c r="M48" s="17">
        <v>2</v>
      </c>
      <c r="N48" s="11">
        <f>M48*2*H48/1000</f>
        <v>6.4000000000000001E-2</v>
      </c>
      <c r="O48" s="16">
        <f>(D48+C48+F48)-N48</f>
        <v>9.7110000000000003</v>
      </c>
      <c r="P48" s="16">
        <f>(I48*J48*O48)+L48</f>
        <v>67.977000000000004</v>
      </c>
      <c r="Q48" s="18" t="str">
        <f t="shared" si="0"/>
        <v/>
      </c>
      <c r="R48" s="18" t="str">
        <f t="shared" si="1"/>
        <v/>
      </c>
      <c r="S48" s="18" t="str">
        <f t="shared" si="2"/>
        <v/>
      </c>
      <c r="T48" s="18">
        <f t="shared" si="3"/>
        <v>67.977000000000004</v>
      </c>
      <c r="U48" s="18" t="str">
        <f t="shared" si="4"/>
        <v/>
      </c>
      <c r="V48" s="18" t="str">
        <f t="shared" si="5"/>
        <v/>
      </c>
      <c r="W48" s="14"/>
    </row>
    <row r="49" spans="1:23" x14ac:dyDescent="0.25">
      <c r="A49" s="6"/>
      <c r="B49" s="40"/>
      <c r="C49" s="8"/>
      <c r="D49" s="20"/>
      <c r="E49" s="20"/>
      <c r="F49" s="34"/>
      <c r="G49" s="35"/>
      <c r="H49" s="10"/>
      <c r="I49" s="11"/>
      <c r="J49" s="11"/>
      <c r="K49" s="12"/>
      <c r="L49" s="11"/>
      <c r="M49" s="11"/>
      <c r="N49" s="11"/>
      <c r="O49" s="11"/>
      <c r="P49" s="13"/>
      <c r="Q49" s="18" t="str">
        <f t="shared" si="0"/>
        <v/>
      </c>
      <c r="R49" s="18" t="str">
        <f t="shared" si="1"/>
        <v/>
      </c>
      <c r="S49" s="18" t="str">
        <f t="shared" si="2"/>
        <v/>
      </c>
      <c r="T49" s="18" t="str">
        <f t="shared" si="3"/>
        <v/>
      </c>
      <c r="U49" s="18" t="str">
        <f t="shared" si="4"/>
        <v/>
      </c>
      <c r="V49" s="18" t="str">
        <f t="shared" si="5"/>
        <v/>
      </c>
      <c r="W49" s="14"/>
    </row>
    <row r="50" spans="1:23" x14ac:dyDescent="0.25">
      <c r="A50" s="6">
        <v>2</v>
      </c>
      <c r="B50" s="40" t="s">
        <v>122</v>
      </c>
      <c r="C50" s="8"/>
      <c r="D50" s="20"/>
      <c r="E50" s="20"/>
      <c r="F50" s="34"/>
      <c r="G50" s="35"/>
      <c r="H50" s="10"/>
      <c r="I50" s="11"/>
      <c r="J50" s="11"/>
      <c r="K50" s="12"/>
      <c r="L50" s="11"/>
      <c r="M50" s="11"/>
      <c r="N50" s="11"/>
      <c r="O50" s="11"/>
      <c r="P50" s="13"/>
      <c r="Q50" s="18" t="str">
        <f t="shared" si="0"/>
        <v/>
      </c>
      <c r="R50" s="18" t="str">
        <f t="shared" si="1"/>
        <v/>
      </c>
      <c r="S50" s="18" t="str">
        <f t="shared" si="2"/>
        <v/>
      </c>
      <c r="T50" s="18" t="str">
        <f t="shared" si="3"/>
        <v/>
      </c>
      <c r="U50" s="18" t="str">
        <f t="shared" si="4"/>
        <v/>
      </c>
      <c r="V50" s="18" t="str">
        <f t="shared" si="5"/>
        <v/>
      </c>
      <c r="W50" s="14"/>
    </row>
    <row r="51" spans="1:23" x14ac:dyDescent="0.25">
      <c r="A51" s="6"/>
      <c r="B51" s="60" t="s">
        <v>29</v>
      </c>
      <c r="C51" s="19">
        <v>0.5</v>
      </c>
      <c r="D51" s="63">
        <f>12.825-2*0.05</f>
        <v>12.725</v>
      </c>
      <c r="E51" s="64"/>
      <c r="F51" s="19">
        <v>0.5</v>
      </c>
      <c r="G51" s="36">
        <v>0.25</v>
      </c>
      <c r="H51" s="10">
        <v>16</v>
      </c>
      <c r="I51" s="11">
        <v>1</v>
      </c>
      <c r="J51" s="13">
        <f>ROUND(0.815/G51+1,0)</f>
        <v>4</v>
      </c>
      <c r="K51" s="45">
        <f>D51</f>
        <v>12.725</v>
      </c>
      <c r="L51" s="37">
        <f>IF(O51&lt;12,"0",0.049*H51)</f>
        <v>0.78400000000000003</v>
      </c>
      <c r="M51" s="17">
        <v>2</v>
      </c>
      <c r="N51" s="11">
        <f>M51*2*H51/1000</f>
        <v>6.4000000000000001E-2</v>
      </c>
      <c r="O51" s="16">
        <f>(D51+C51+F51)-N51</f>
        <v>13.661</v>
      </c>
      <c r="P51" s="16">
        <f>(I51*J51*O51)+L51</f>
        <v>55.427999999999997</v>
      </c>
      <c r="Q51" s="18" t="str">
        <f t="shared" si="0"/>
        <v/>
      </c>
      <c r="R51" s="18" t="str">
        <f t="shared" si="1"/>
        <v/>
      </c>
      <c r="S51" s="18" t="str">
        <f t="shared" si="2"/>
        <v/>
      </c>
      <c r="T51" s="18">
        <f t="shared" si="3"/>
        <v>55.427999999999997</v>
      </c>
      <c r="U51" s="18" t="str">
        <f t="shared" si="4"/>
        <v/>
      </c>
      <c r="V51" s="18" t="str">
        <f t="shared" si="5"/>
        <v/>
      </c>
      <c r="W51" s="14"/>
    </row>
    <row r="52" spans="1:23" x14ac:dyDescent="0.25">
      <c r="A52" s="6"/>
      <c r="B52" s="60"/>
      <c r="C52" s="19"/>
      <c r="D52" s="32"/>
      <c r="E52" s="32"/>
      <c r="F52" s="41"/>
      <c r="G52" s="36"/>
      <c r="H52" s="10"/>
      <c r="I52" s="11"/>
      <c r="J52" s="13"/>
      <c r="K52" s="45"/>
      <c r="L52" s="37"/>
      <c r="M52" s="17"/>
      <c r="N52" s="11"/>
      <c r="O52" s="16"/>
      <c r="P52" s="16"/>
      <c r="Q52" s="18" t="str">
        <f t="shared" si="0"/>
        <v/>
      </c>
      <c r="R52" s="18" t="str">
        <f t="shared" si="1"/>
        <v/>
      </c>
      <c r="S52" s="18" t="str">
        <f t="shared" si="2"/>
        <v/>
      </c>
      <c r="T52" s="18" t="str">
        <f t="shared" si="3"/>
        <v/>
      </c>
      <c r="U52" s="18" t="str">
        <f t="shared" si="4"/>
        <v/>
      </c>
      <c r="V52" s="18" t="str">
        <f t="shared" si="5"/>
        <v/>
      </c>
      <c r="W52" s="14"/>
    </row>
    <row r="53" spans="1:23" x14ac:dyDescent="0.25">
      <c r="A53" s="6">
        <v>3</v>
      </c>
      <c r="B53" s="40" t="s">
        <v>123</v>
      </c>
      <c r="C53" s="8"/>
      <c r="D53" s="20"/>
      <c r="E53" s="20"/>
      <c r="F53" s="34"/>
      <c r="G53" s="35"/>
      <c r="H53" s="10"/>
      <c r="I53" s="11"/>
      <c r="J53" s="11"/>
      <c r="K53" s="12"/>
      <c r="L53" s="11"/>
      <c r="M53" s="11"/>
      <c r="N53" s="11"/>
      <c r="O53" s="11"/>
      <c r="P53" s="13"/>
      <c r="Q53" s="18" t="str">
        <f t="shared" si="0"/>
        <v/>
      </c>
      <c r="R53" s="18" t="str">
        <f t="shared" si="1"/>
        <v/>
      </c>
      <c r="S53" s="18" t="str">
        <f t="shared" si="2"/>
        <v/>
      </c>
      <c r="T53" s="18" t="str">
        <f t="shared" si="3"/>
        <v/>
      </c>
      <c r="U53" s="18" t="str">
        <f t="shared" si="4"/>
        <v/>
      </c>
      <c r="V53" s="18" t="str">
        <f t="shared" si="5"/>
        <v/>
      </c>
      <c r="W53" s="14"/>
    </row>
    <row r="54" spans="1:23" x14ac:dyDescent="0.25">
      <c r="A54" s="6"/>
      <c r="B54" s="60" t="s">
        <v>29</v>
      </c>
      <c r="C54" s="19">
        <v>0.5</v>
      </c>
      <c r="D54" s="63">
        <f>14.52-2*0.05</f>
        <v>14.42</v>
      </c>
      <c r="E54" s="64"/>
      <c r="F54" s="19">
        <v>0.5</v>
      </c>
      <c r="G54" s="36">
        <v>0.25</v>
      </c>
      <c r="H54" s="10">
        <v>16</v>
      </c>
      <c r="I54" s="11">
        <v>1</v>
      </c>
      <c r="J54" s="13">
        <f>ROUND(1.405/G54+1,0)</f>
        <v>7</v>
      </c>
      <c r="K54" s="45">
        <f>D54</f>
        <v>14.42</v>
      </c>
      <c r="L54" s="37">
        <f>IF(O54&lt;12,"0",0.049*H54)</f>
        <v>0.78400000000000003</v>
      </c>
      <c r="M54" s="17">
        <v>2</v>
      </c>
      <c r="N54" s="11">
        <f>M54*2*H54/1000</f>
        <v>6.4000000000000001E-2</v>
      </c>
      <c r="O54" s="16">
        <f>(D54+C54+F54)-N54</f>
        <v>15.356</v>
      </c>
      <c r="P54" s="16">
        <f>(I54*J54*O54)+L54</f>
        <v>108.27600000000001</v>
      </c>
      <c r="Q54" s="18" t="str">
        <f t="shared" si="0"/>
        <v/>
      </c>
      <c r="R54" s="18" t="str">
        <f t="shared" si="1"/>
        <v/>
      </c>
      <c r="S54" s="18" t="str">
        <f t="shared" si="2"/>
        <v/>
      </c>
      <c r="T54" s="18">
        <f t="shared" si="3"/>
        <v>108.27600000000001</v>
      </c>
      <c r="U54" s="18" t="str">
        <f t="shared" si="4"/>
        <v/>
      </c>
      <c r="V54" s="18" t="str">
        <f t="shared" si="5"/>
        <v/>
      </c>
      <c r="W54" s="14"/>
    </row>
    <row r="55" spans="1:23" x14ac:dyDescent="0.25">
      <c r="A55" s="6"/>
      <c r="B55" s="40"/>
      <c r="C55" s="8"/>
      <c r="D55" s="20"/>
      <c r="E55" s="20"/>
      <c r="F55" s="34"/>
      <c r="G55" s="35"/>
      <c r="H55" s="10"/>
      <c r="I55" s="11"/>
      <c r="J55" s="11"/>
      <c r="K55" s="12"/>
      <c r="L55" s="11"/>
      <c r="M55" s="11"/>
      <c r="N55" s="11"/>
      <c r="O55" s="11"/>
      <c r="P55" s="13"/>
      <c r="Q55" s="18" t="str">
        <f t="shared" si="0"/>
        <v/>
      </c>
      <c r="R55" s="18" t="str">
        <f t="shared" si="1"/>
        <v/>
      </c>
      <c r="S55" s="18" t="str">
        <f t="shared" si="2"/>
        <v/>
      </c>
      <c r="T55" s="18" t="str">
        <f t="shared" si="3"/>
        <v/>
      </c>
      <c r="U55" s="18" t="str">
        <f t="shared" si="4"/>
        <v/>
      </c>
      <c r="V55" s="18" t="str">
        <f t="shared" si="5"/>
        <v/>
      </c>
      <c r="W55" s="14"/>
    </row>
    <row r="56" spans="1:23" x14ac:dyDescent="0.25">
      <c r="A56" s="6">
        <v>4</v>
      </c>
      <c r="B56" s="40" t="s">
        <v>124</v>
      </c>
      <c r="C56" s="8"/>
      <c r="D56" s="20"/>
      <c r="E56" s="20"/>
      <c r="F56" s="34"/>
      <c r="G56" s="35"/>
      <c r="H56" s="10"/>
      <c r="I56" s="11"/>
      <c r="J56" s="11"/>
      <c r="K56" s="12"/>
      <c r="L56" s="11"/>
      <c r="M56" s="11"/>
      <c r="N56" s="11"/>
      <c r="O56" s="11"/>
      <c r="P56" s="13"/>
      <c r="Q56" s="18" t="str">
        <f t="shared" si="0"/>
        <v/>
      </c>
      <c r="R56" s="18" t="str">
        <f t="shared" si="1"/>
        <v/>
      </c>
      <c r="S56" s="18" t="str">
        <f t="shared" si="2"/>
        <v/>
      </c>
      <c r="T56" s="18" t="str">
        <f t="shared" si="3"/>
        <v/>
      </c>
      <c r="U56" s="18" t="str">
        <f t="shared" si="4"/>
        <v/>
      </c>
      <c r="V56" s="18" t="str">
        <f t="shared" si="5"/>
        <v/>
      </c>
      <c r="W56" s="14"/>
    </row>
    <row r="57" spans="1:23" x14ac:dyDescent="0.25">
      <c r="A57" s="6"/>
      <c r="B57" s="60" t="s">
        <v>29</v>
      </c>
      <c r="C57" s="19"/>
      <c r="D57" s="63">
        <f>25.805-1*0.05</f>
        <v>25.754999999999999</v>
      </c>
      <c r="E57" s="63"/>
      <c r="F57" s="41">
        <v>0.5</v>
      </c>
      <c r="G57" s="36">
        <v>0.25</v>
      </c>
      <c r="H57" s="10">
        <v>16</v>
      </c>
      <c r="I57" s="11">
        <v>1</v>
      </c>
      <c r="J57" s="13">
        <f>ROUND(6.565/G57+1,0)</f>
        <v>27</v>
      </c>
      <c r="K57" s="45">
        <f>D57</f>
        <v>25.754999999999999</v>
      </c>
      <c r="L57" s="37">
        <f>IF(O57&lt;12,"0",0.049*H57)*2</f>
        <v>1.5680000000000001</v>
      </c>
      <c r="M57" s="17">
        <v>1</v>
      </c>
      <c r="N57" s="11">
        <f>M57*1*H57/1000</f>
        <v>1.6E-2</v>
      </c>
      <c r="O57" s="16">
        <f>(D57+C57+F57)-N57</f>
        <v>26.239000000000001</v>
      </c>
      <c r="P57" s="16">
        <f>(I57*J57*O57)+L57</f>
        <v>710.02099999999996</v>
      </c>
      <c r="Q57" s="18" t="str">
        <f t="shared" si="0"/>
        <v/>
      </c>
      <c r="R57" s="18" t="str">
        <f t="shared" si="1"/>
        <v/>
      </c>
      <c r="S57" s="18" t="str">
        <f t="shared" si="2"/>
        <v/>
      </c>
      <c r="T57" s="18">
        <f t="shared" si="3"/>
        <v>710.02099999999996</v>
      </c>
      <c r="U57" s="18" t="str">
        <f t="shared" si="4"/>
        <v/>
      </c>
      <c r="V57" s="18" t="str">
        <f t="shared" si="5"/>
        <v/>
      </c>
      <c r="W57" s="14"/>
    </row>
    <row r="58" spans="1:23" x14ac:dyDescent="0.25">
      <c r="A58" s="6"/>
      <c r="B58" s="40"/>
      <c r="C58" s="8"/>
      <c r="D58" s="20"/>
      <c r="E58" s="20"/>
      <c r="F58" s="34"/>
      <c r="G58" s="35"/>
      <c r="H58" s="10"/>
      <c r="I58" s="11"/>
      <c r="J58" s="11"/>
      <c r="K58" s="12"/>
      <c r="L58" s="11"/>
      <c r="M58" s="11"/>
      <c r="N58" s="11"/>
      <c r="O58" s="11"/>
      <c r="P58" s="13"/>
      <c r="Q58" s="18" t="str">
        <f t="shared" si="0"/>
        <v/>
      </c>
      <c r="R58" s="18" t="str">
        <f t="shared" si="1"/>
        <v/>
      </c>
      <c r="S58" s="18" t="str">
        <f t="shared" si="2"/>
        <v/>
      </c>
      <c r="T58" s="18" t="str">
        <f t="shared" si="3"/>
        <v/>
      </c>
      <c r="U58" s="18" t="str">
        <f t="shared" si="4"/>
        <v/>
      </c>
      <c r="V58" s="18" t="str">
        <f t="shared" si="5"/>
        <v/>
      </c>
      <c r="W58" s="14"/>
    </row>
    <row r="59" spans="1:23" x14ac:dyDescent="0.25">
      <c r="A59" s="6">
        <v>5</v>
      </c>
      <c r="B59" s="40" t="s">
        <v>125</v>
      </c>
      <c r="C59" s="8"/>
      <c r="D59" s="20"/>
      <c r="E59" s="20"/>
      <c r="F59" s="34"/>
      <c r="G59" s="35"/>
      <c r="H59" s="10"/>
      <c r="I59" s="11"/>
      <c r="J59" s="11"/>
      <c r="K59" s="12"/>
      <c r="L59" s="11"/>
      <c r="M59" s="11"/>
      <c r="N59" s="11"/>
      <c r="O59" s="11"/>
      <c r="P59" s="13"/>
      <c r="Q59" s="18" t="str">
        <f t="shared" si="0"/>
        <v/>
      </c>
      <c r="R59" s="18" t="str">
        <f t="shared" si="1"/>
        <v/>
      </c>
      <c r="S59" s="18" t="str">
        <f t="shared" si="2"/>
        <v/>
      </c>
      <c r="T59" s="18" t="str">
        <f t="shared" si="3"/>
        <v/>
      </c>
      <c r="U59" s="18" t="str">
        <f t="shared" si="4"/>
        <v/>
      </c>
      <c r="V59" s="18" t="str">
        <f t="shared" si="5"/>
        <v/>
      </c>
      <c r="W59" s="14"/>
    </row>
    <row r="60" spans="1:23" x14ac:dyDescent="0.25">
      <c r="A60" s="6"/>
      <c r="B60" s="60" t="s">
        <v>29</v>
      </c>
      <c r="C60" s="19"/>
      <c r="D60" s="63">
        <f>36.89-1*0.05</f>
        <v>36.840000000000003</v>
      </c>
      <c r="E60" s="63"/>
      <c r="F60" s="41">
        <v>0.5</v>
      </c>
      <c r="G60" s="36">
        <v>0.25</v>
      </c>
      <c r="H60" s="10">
        <v>16</v>
      </c>
      <c r="I60" s="11">
        <v>1</v>
      </c>
      <c r="J60" s="13">
        <f>ROUND(9.235/G60+1,0)-8</f>
        <v>30</v>
      </c>
      <c r="K60" s="45">
        <f>D60</f>
        <v>36.840000000000003</v>
      </c>
      <c r="L60" s="37">
        <f>IF(O60&lt;12,"0",0.049*H60)*3</f>
        <v>2.3520000000000003</v>
      </c>
      <c r="M60" s="17">
        <v>1</v>
      </c>
      <c r="N60" s="11">
        <f>M60*1*H60/1000</f>
        <v>1.6E-2</v>
      </c>
      <c r="O60" s="16">
        <f>(D60+C60+F60)-N60</f>
        <v>37.324000000000005</v>
      </c>
      <c r="P60" s="16">
        <f>(I60*J60*O60)+L60</f>
        <v>1122.0720000000003</v>
      </c>
      <c r="Q60" s="18" t="str">
        <f t="shared" si="0"/>
        <v/>
      </c>
      <c r="R60" s="18" t="str">
        <f t="shared" si="1"/>
        <v/>
      </c>
      <c r="S60" s="18" t="str">
        <f t="shared" si="2"/>
        <v/>
      </c>
      <c r="T60" s="18">
        <f t="shared" si="3"/>
        <v>1122.0720000000003</v>
      </c>
      <c r="U60" s="18" t="str">
        <f t="shared" si="4"/>
        <v/>
      </c>
      <c r="V60" s="18" t="str">
        <f t="shared" si="5"/>
        <v/>
      </c>
      <c r="W60" s="14"/>
    </row>
    <row r="61" spans="1:23" x14ac:dyDescent="0.25">
      <c r="A61" s="6"/>
      <c r="B61" s="40"/>
      <c r="C61" s="8"/>
      <c r="D61" s="20"/>
      <c r="E61" s="20"/>
      <c r="F61" s="34"/>
      <c r="G61" s="35"/>
      <c r="H61" s="10"/>
      <c r="I61" s="11"/>
      <c r="J61" s="11"/>
      <c r="K61" s="12"/>
      <c r="L61" s="11"/>
      <c r="M61" s="11"/>
      <c r="N61" s="11"/>
      <c r="O61" s="11"/>
      <c r="P61" s="13"/>
      <c r="Q61" s="18" t="str">
        <f t="shared" si="0"/>
        <v/>
      </c>
      <c r="R61" s="18" t="str">
        <f t="shared" si="1"/>
        <v/>
      </c>
      <c r="S61" s="18" t="str">
        <f t="shared" si="2"/>
        <v/>
      </c>
      <c r="T61" s="18" t="str">
        <f t="shared" si="3"/>
        <v/>
      </c>
      <c r="U61" s="18" t="str">
        <f t="shared" si="4"/>
        <v/>
      </c>
      <c r="V61" s="18" t="str">
        <f t="shared" si="5"/>
        <v/>
      </c>
      <c r="W61" s="14"/>
    </row>
    <row r="62" spans="1:23" x14ac:dyDescent="0.25">
      <c r="A62" s="6">
        <v>6</v>
      </c>
      <c r="B62" s="40" t="s">
        <v>126</v>
      </c>
      <c r="C62" s="8"/>
      <c r="D62" s="20"/>
      <c r="E62" s="20"/>
      <c r="F62" s="34"/>
      <c r="G62" s="35"/>
      <c r="H62" s="10"/>
      <c r="I62" s="11"/>
      <c r="J62" s="11"/>
      <c r="K62" s="12"/>
      <c r="L62" s="11"/>
      <c r="M62" s="11"/>
      <c r="N62" s="11"/>
      <c r="O62" s="11"/>
      <c r="P62" s="13"/>
      <c r="Q62" s="18" t="str">
        <f t="shared" si="0"/>
        <v/>
      </c>
      <c r="R62" s="18" t="str">
        <f t="shared" si="1"/>
        <v/>
      </c>
      <c r="S62" s="18" t="str">
        <f t="shared" si="2"/>
        <v/>
      </c>
      <c r="T62" s="18" t="str">
        <f t="shared" si="3"/>
        <v/>
      </c>
      <c r="U62" s="18" t="str">
        <f t="shared" si="4"/>
        <v/>
      </c>
      <c r="V62" s="18" t="str">
        <f t="shared" si="5"/>
        <v/>
      </c>
      <c r="W62" s="14"/>
    </row>
    <row r="63" spans="1:23" x14ac:dyDescent="0.25">
      <c r="A63" s="6"/>
      <c r="B63" s="60" t="s">
        <v>29</v>
      </c>
      <c r="C63" s="19">
        <v>0.5</v>
      </c>
      <c r="D63" s="63">
        <f>25.89-2*0.05</f>
        <v>25.79</v>
      </c>
      <c r="E63" s="64"/>
      <c r="F63" s="19">
        <v>0.5</v>
      </c>
      <c r="G63" s="36">
        <v>0.25</v>
      </c>
      <c r="H63" s="10">
        <v>16</v>
      </c>
      <c r="I63" s="11">
        <v>1</v>
      </c>
      <c r="J63" s="13">
        <f>ROUND(12.415/G63+1,0)</f>
        <v>51</v>
      </c>
      <c r="K63" s="45">
        <f>D63</f>
        <v>25.79</v>
      </c>
      <c r="L63" s="37">
        <f>IF(O63&lt;12,"0",0.049*H63)*2</f>
        <v>1.5680000000000001</v>
      </c>
      <c r="M63" s="17">
        <v>2</v>
      </c>
      <c r="N63" s="11">
        <f>M63*2*H63/1000</f>
        <v>6.4000000000000001E-2</v>
      </c>
      <c r="O63" s="16">
        <f>(D63+C63+F63)-N63</f>
        <v>26.725999999999999</v>
      </c>
      <c r="P63" s="16">
        <f>(I63*J63*O63)+L63</f>
        <v>1364.5939999999998</v>
      </c>
      <c r="Q63" s="18" t="str">
        <f t="shared" si="0"/>
        <v/>
      </c>
      <c r="R63" s="18" t="str">
        <f t="shared" si="1"/>
        <v/>
      </c>
      <c r="S63" s="18" t="str">
        <f t="shared" si="2"/>
        <v/>
      </c>
      <c r="T63" s="18">
        <f t="shared" si="3"/>
        <v>1364.5939999999998</v>
      </c>
      <c r="U63" s="18" t="str">
        <f t="shared" si="4"/>
        <v/>
      </c>
      <c r="V63" s="18" t="str">
        <f t="shared" si="5"/>
        <v/>
      </c>
      <c r="W63" s="14"/>
    </row>
    <row r="64" spans="1:23" x14ac:dyDescent="0.25">
      <c r="A64" s="6"/>
      <c r="B64" s="40"/>
      <c r="C64" s="8"/>
      <c r="D64" s="20"/>
      <c r="E64" s="20"/>
      <c r="F64" s="34"/>
      <c r="G64" s="35"/>
      <c r="H64" s="10"/>
      <c r="I64" s="11"/>
      <c r="J64" s="11"/>
      <c r="K64" s="12"/>
      <c r="L64" s="11"/>
      <c r="M64" s="11"/>
      <c r="N64" s="11"/>
      <c r="O64" s="11"/>
      <c r="P64" s="13"/>
      <c r="Q64" s="18" t="str">
        <f t="shared" si="0"/>
        <v/>
      </c>
      <c r="R64" s="18" t="str">
        <f t="shared" si="1"/>
        <v/>
      </c>
      <c r="S64" s="18" t="str">
        <f t="shared" si="2"/>
        <v/>
      </c>
      <c r="T64" s="18" t="str">
        <f t="shared" si="3"/>
        <v/>
      </c>
      <c r="U64" s="18" t="str">
        <f t="shared" si="4"/>
        <v/>
      </c>
      <c r="V64" s="18" t="str">
        <f t="shared" si="5"/>
        <v/>
      </c>
      <c r="W64" s="14"/>
    </row>
    <row r="65" spans="1:23" x14ac:dyDescent="0.25">
      <c r="A65" s="6">
        <v>7</v>
      </c>
      <c r="B65" s="40" t="s">
        <v>127</v>
      </c>
      <c r="C65" s="8"/>
      <c r="D65" s="20"/>
      <c r="E65" s="20"/>
      <c r="F65" s="34"/>
      <c r="G65" s="35"/>
      <c r="H65" s="10"/>
      <c r="I65" s="11"/>
      <c r="J65" s="11"/>
      <c r="K65" s="12"/>
      <c r="L65" s="11"/>
      <c r="M65" s="11"/>
      <c r="N65" s="11"/>
      <c r="O65" s="11"/>
      <c r="P65" s="13"/>
      <c r="Q65" s="18" t="str">
        <f>IF($H65=8,$P65,"")</f>
        <v/>
      </c>
      <c r="R65" s="18" t="str">
        <f>IF($H65=10,$P65,"")</f>
        <v/>
      </c>
      <c r="S65" s="18" t="str">
        <f>IF($H65=12,$P65,"")</f>
        <v/>
      </c>
      <c r="T65" s="18" t="str">
        <f>IF($H65=16,$P65,"")</f>
        <v/>
      </c>
      <c r="U65" s="18" t="str">
        <f>IF($H65=20,$P65,"")</f>
        <v/>
      </c>
      <c r="V65" s="18" t="str">
        <f>IF($H65=25,$P65,"")</f>
        <v/>
      </c>
      <c r="W65" s="14"/>
    </row>
    <row r="66" spans="1:23" x14ac:dyDescent="0.25">
      <c r="A66" s="6"/>
      <c r="B66" t="s">
        <v>29</v>
      </c>
      <c r="C66" s="19">
        <v>0.5</v>
      </c>
      <c r="D66" s="63">
        <f>8.78-2*0.05</f>
        <v>8.68</v>
      </c>
      <c r="E66" s="64"/>
      <c r="F66" s="19">
        <v>0.5</v>
      </c>
      <c r="G66" s="36">
        <v>0.25</v>
      </c>
      <c r="H66" s="10">
        <v>16</v>
      </c>
      <c r="I66" s="11">
        <v>1</v>
      </c>
      <c r="J66" s="13">
        <f>ROUND(0.515/G66+1,0)</f>
        <v>3</v>
      </c>
      <c r="K66" s="45">
        <f>D66</f>
        <v>8.68</v>
      </c>
      <c r="L66" s="37" t="str">
        <f>IF(O66&lt;12,"0",0.049*H66)</f>
        <v>0</v>
      </c>
      <c r="M66" s="17">
        <v>2</v>
      </c>
      <c r="N66" s="11">
        <f>M66*2*H66/1000</f>
        <v>6.4000000000000001E-2</v>
      </c>
      <c r="O66" s="16">
        <f>(D66+C66+F66)-N66</f>
        <v>9.6159999999999997</v>
      </c>
      <c r="P66" s="16">
        <f>(I66*J66*O66)+L66</f>
        <v>28.847999999999999</v>
      </c>
      <c r="Q66" s="18" t="str">
        <f>IF($H66=8,$P66,"")</f>
        <v/>
      </c>
      <c r="R66" s="18" t="str">
        <f>IF($H66=10,$P66,"")</f>
        <v/>
      </c>
      <c r="S66" s="18" t="str">
        <f>IF($H66=12,$P66,"")</f>
        <v/>
      </c>
      <c r="T66" s="18">
        <f>IF($H66=16,$P66,"")</f>
        <v>28.847999999999999</v>
      </c>
      <c r="U66" s="18" t="str">
        <f>IF($H66=20,$P66,"")</f>
        <v/>
      </c>
      <c r="V66" s="18" t="str">
        <f>IF($H66=25,$P66,"")</f>
        <v/>
      </c>
      <c r="W66" s="14"/>
    </row>
    <row r="67" spans="1:23" x14ac:dyDescent="0.25">
      <c r="A67" s="6"/>
      <c r="B67" s="40"/>
      <c r="C67" s="8"/>
      <c r="D67" s="20"/>
      <c r="E67" s="20"/>
      <c r="F67" s="34"/>
      <c r="G67" s="35"/>
      <c r="H67" s="10"/>
      <c r="I67" s="11"/>
      <c r="J67" s="11"/>
      <c r="K67" s="12"/>
      <c r="L67" s="11"/>
      <c r="M67" s="11"/>
      <c r="N67" s="11"/>
      <c r="O67" s="11"/>
      <c r="P67" s="13"/>
      <c r="Q67" s="18" t="str">
        <f>IF($H67=8,$P67,"")</f>
        <v/>
      </c>
      <c r="R67" s="18" t="str">
        <f>IF($H67=10,$P67,"")</f>
        <v/>
      </c>
      <c r="S67" s="18" t="str">
        <f>IF($H67=12,$P67,"")</f>
        <v/>
      </c>
      <c r="T67" s="18" t="str">
        <f>IF($H67=16,$P67,"")</f>
        <v/>
      </c>
      <c r="U67" s="18" t="str">
        <f>IF($H67=20,$P67,"")</f>
        <v/>
      </c>
      <c r="V67" s="18" t="str">
        <f>IF($H67=25,$P67,"")</f>
        <v/>
      </c>
      <c r="W67" s="14"/>
    </row>
    <row r="68" spans="1:23" x14ac:dyDescent="0.25">
      <c r="A68" s="6"/>
      <c r="B68" s="40"/>
      <c r="C68" s="8"/>
      <c r="D68" s="20"/>
      <c r="E68" s="20"/>
      <c r="F68" s="34"/>
      <c r="G68" s="35"/>
      <c r="H68" s="10"/>
      <c r="I68" s="11"/>
      <c r="J68" s="11"/>
      <c r="K68" s="12"/>
      <c r="L68" s="11"/>
      <c r="M68" s="11"/>
      <c r="N68" s="11"/>
      <c r="O68" s="11"/>
      <c r="P68" s="13"/>
      <c r="Q68" s="18" t="str">
        <f t="shared" si="0"/>
        <v/>
      </c>
      <c r="R68" s="18" t="str">
        <f t="shared" si="1"/>
        <v/>
      </c>
      <c r="S68" s="18" t="str">
        <f t="shared" si="2"/>
        <v/>
      </c>
      <c r="T68" s="18" t="str">
        <f t="shared" si="3"/>
        <v/>
      </c>
      <c r="U68" s="18" t="str">
        <f t="shared" si="4"/>
        <v/>
      </c>
      <c r="V68" s="18" t="str">
        <f t="shared" si="5"/>
        <v/>
      </c>
      <c r="W68" s="14"/>
    </row>
    <row r="69" spans="1:23" x14ac:dyDescent="0.25">
      <c r="A69" s="6"/>
      <c r="B69" s="42" t="s">
        <v>22</v>
      </c>
      <c r="C69" s="8"/>
      <c r="D69" s="20"/>
      <c r="E69" s="20"/>
      <c r="F69" s="34"/>
      <c r="G69" s="35"/>
      <c r="H69" s="10"/>
      <c r="I69" s="11"/>
      <c r="J69" s="11"/>
      <c r="K69" s="12"/>
      <c r="L69" s="11"/>
      <c r="M69" s="11"/>
      <c r="N69" s="11"/>
      <c r="O69" s="11"/>
      <c r="P69" s="13"/>
      <c r="Q69" s="18" t="str">
        <f t="shared" si="0"/>
        <v/>
      </c>
      <c r="R69" s="18" t="str">
        <f t="shared" si="1"/>
        <v/>
      </c>
      <c r="S69" s="18" t="str">
        <f t="shared" si="2"/>
        <v/>
      </c>
      <c r="T69" s="18" t="str">
        <f t="shared" si="3"/>
        <v/>
      </c>
      <c r="U69" s="18" t="str">
        <f t="shared" si="4"/>
        <v/>
      </c>
      <c r="V69" s="18" t="str">
        <f t="shared" si="5"/>
        <v/>
      </c>
      <c r="W69" s="14"/>
    </row>
    <row r="70" spans="1:23" x14ac:dyDescent="0.25">
      <c r="A70" s="6">
        <v>1</v>
      </c>
      <c r="B70" s="7" t="s">
        <v>114</v>
      </c>
      <c r="C70" s="8"/>
      <c r="D70" s="20"/>
      <c r="E70" s="20"/>
      <c r="F70" s="34"/>
      <c r="G70" s="35"/>
      <c r="H70" s="10"/>
      <c r="I70" s="11"/>
      <c r="J70" s="11"/>
      <c r="K70" s="12"/>
      <c r="L70" s="11"/>
      <c r="M70" s="11"/>
      <c r="N70" s="11"/>
      <c r="O70" s="11"/>
      <c r="P70" s="13"/>
      <c r="Q70" s="18" t="str">
        <f t="shared" si="0"/>
        <v/>
      </c>
      <c r="R70" s="18" t="str">
        <f t="shared" si="1"/>
        <v/>
      </c>
      <c r="S70" s="18" t="str">
        <f t="shared" si="2"/>
        <v/>
      </c>
      <c r="T70" s="18" t="str">
        <f t="shared" si="3"/>
        <v/>
      </c>
      <c r="U70" s="18" t="str">
        <f t="shared" si="4"/>
        <v/>
      </c>
      <c r="V70" s="18" t="str">
        <f t="shared" si="5"/>
        <v/>
      </c>
      <c r="W70" s="14"/>
    </row>
    <row r="71" spans="1:23" x14ac:dyDescent="0.25">
      <c r="A71" s="6"/>
      <c r="B71" t="s">
        <v>19</v>
      </c>
      <c r="C71" s="19">
        <v>0.5</v>
      </c>
      <c r="D71" s="63">
        <f>21.65-2*0.05</f>
        <v>21.549999999999997</v>
      </c>
      <c r="E71" s="64"/>
      <c r="F71" s="19">
        <v>0.5</v>
      </c>
      <c r="G71" s="36">
        <v>0.25</v>
      </c>
      <c r="H71" s="10">
        <v>16</v>
      </c>
      <c r="I71" s="11">
        <v>1</v>
      </c>
      <c r="J71" s="13">
        <f>ROUND(8.855/G71+1,0)/2</f>
        <v>18</v>
      </c>
      <c r="K71" s="45">
        <f>D71</f>
        <v>21.549999999999997</v>
      </c>
      <c r="L71" s="37">
        <f>IF(O71&lt;12,"0",0.049*H71)*2</f>
        <v>1.5680000000000001</v>
      </c>
      <c r="M71" s="17">
        <v>2</v>
      </c>
      <c r="N71" s="11">
        <f>M71*2*H71/1000</f>
        <v>6.4000000000000001E-2</v>
      </c>
      <c r="O71" s="16">
        <f>(D71+C71+F71)-N71</f>
        <v>22.485999999999997</v>
      </c>
      <c r="P71" s="16">
        <f>(I71*J71*O71)+L71</f>
        <v>406.31599999999992</v>
      </c>
      <c r="Q71" s="18" t="str">
        <f t="shared" si="0"/>
        <v/>
      </c>
      <c r="R71" s="18" t="str">
        <f t="shared" si="1"/>
        <v/>
      </c>
      <c r="S71" s="18" t="str">
        <f t="shared" si="2"/>
        <v/>
      </c>
      <c r="T71" s="18">
        <f t="shared" si="3"/>
        <v>406.31599999999992</v>
      </c>
      <c r="U71" s="18" t="str">
        <f t="shared" si="4"/>
        <v/>
      </c>
      <c r="V71" s="18" t="str">
        <f t="shared" si="5"/>
        <v/>
      </c>
      <c r="W71" s="14"/>
    </row>
    <row r="72" spans="1:23" x14ac:dyDescent="0.25">
      <c r="A72" s="6"/>
      <c r="B72" s="14"/>
      <c r="C72" s="8"/>
      <c r="D72" s="20"/>
      <c r="E72" s="20"/>
      <c r="F72" s="34"/>
      <c r="G72" s="35"/>
      <c r="H72" s="10"/>
      <c r="I72" s="11"/>
      <c r="J72" s="11"/>
      <c r="K72" s="45"/>
      <c r="L72" s="16"/>
      <c r="M72" s="16"/>
      <c r="N72" s="11"/>
      <c r="O72" s="16"/>
      <c r="P72" s="16"/>
      <c r="Q72" s="18" t="str">
        <f t="shared" si="0"/>
        <v/>
      </c>
      <c r="R72" s="18" t="str">
        <f t="shared" si="1"/>
        <v/>
      </c>
      <c r="S72" s="18" t="str">
        <f t="shared" si="2"/>
        <v/>
      </c>
      <c r="T72" s="18" t="str">
        <f t="shared" si="3"/>
        <v/>
      </c>
      <c r="U72" s="18" t="str">
        <f t="shared" si="4"/>
        <v/>
      </c>
      <c r="V72" s="18" t="str">
        <f t="shared" si="5"/>
        <v/>
      </c>
      <c r="W72" s="14"/>
    </row>
    <row r="73" spans="1:23" x14ac:dyDescent="0.25">
      <c r="A73" s="6">
        <v>1</v>
      </c>
      <c r="B73" s="7" t="s">
        <v>114</v>
      </c>
      <c r="C73" s="8"/>
      <c r="D73" s="20"/>
      <c r="E73" s="20"/>
      <c r="F73" s="34"/>
      <c r="G73" s="35"/>
      <c r="H73" s="10"/>
      <c r="I73" s="11"/>
      <c r="J73" s="11"/>
      <c r="K73" s="12"/>
      <c r="L73" s="11"/>
      <c r="M73" s="11"/>
      <c r="N73" s="11"/>
      <c r="O73" s="11"/>
      <c r="P73" s="13"/>
      <c r="Q73" s="18" t="str">
        <f t="shared" si="0"/>
        <v/>
      </c>
      <c r="R73" s="18" t="str">
        <f t="shared" si="1"/>
        <v/>
      </c>
      <c r="S73" s="18" t="str">
        <f t="shared" si="2"/>
        <v/>
      </c>
      <c r="T73" s="18" t="str">
        <f t="shared" si="3"/>
        <v/>
      </c>
      <c r="U73" s="18" t="str">
        <f t="shared" si="4"/>
        <v/>
      </c>
      <c r="V73" s="18" t="str">
        <f t="shared" si="5"/>
        <v/>
      </c>
      <c r="W73" s="14"/>
    </row>
    <row r="74" spans="1:23" x14ac:dyDescent="0.25">
      <c r="A74" s="6"/>
      <c r="B74" t="s">
        <v>19</v>
      </c>
      <c r="C74" s="19">
        <v>0.5</v>
      </c>
      <c r="D74" s="63">
        <f>21.65-2*0.05</f>
        <v>21.549999999999997</v>
      </c>
      <c r="E74" s="64"/>
      <c r="F74" s="19">
        <v>0.5</v>
      </c>
      <c r="G74" s="36">
        <v>0.25</v>
      </c>
      <c r="H74" s="10">
        <v>16</v>
      </c>
      <c r="I74" s="11">
        <v>1</v>
      </c>
      <c r="J74" s="13">
        <f>ROUND(8.855/G74+1,0)/2</f>
        <v>18</v>
      </c>
      <c r="K74" s="45">
        <f>D74</f>
        <v>21.549999999999997</v>
      </c>
      <c r="L74" s="37">
        <f>IF(O74&lt;12,"0",0.049*H74)</f>
        <v>0.78400000000000003</v>
      </c>
      <c r="M74" s="17">
        <v>2</v>
      </c>
      <c r="N74" s="11">
        <f>M74*2*H74/1000</f>
        <v>6.4000000000000001E-2</v>
      </c>
      <c r="O74" s="16">
        <f>(D74+C74+F74)-N74</f>
        <v>22.485999999999997</v>
      </c>
      <c r="P74" s="16">
        <f>(I74*J74*O74)+L74</f>
        <v>405.53199999999993</v>
      </c>
      <c r="Q74" s="18" t="str">
        <f t="shared" si="0"/>
        <v/>
      </c>
      <c r="R74" s="18" t="str">
        <f t="shared" si="1"/>
        <v/>
      </c>
      <c r="S74" s="18" t="str">
        <f t="shared" si="2"/>
        <v/>
      </c>
      <c r="T74" s="18">
        <f t="shared" si="3"/>
        <v>405.53199999999993</v>
      </c>
      <c r="U74" s="18" t="str">
        <f t="shared" si="4"/>
        <v/>
      </c>
      <c r="V74" s="18" t="str">
        <f t="shared" si="5"/>
        <v/>
      </c>
      <c r="W74" s="14"/>
    </row>
    <row r="75" spans="1:23" x14ac:dyDescent="0.25">
      <c r="A75" s="6"/>
      <c r="B75" s="14"/>
      <c r="C75" s="8"/>
      <c r="D75" s="20"/>
      <c r="E75" s="20"/>
      <c r="F75" s="34"/>
      <c r="G75" s="35"/>
      <c r="H75" s="10"/>
      <c r="I75" s="11"/>
      <c r="J75" s="11"/>
      <c r="K75" s="45"/>
      <c r="L75" s="16"/>
      <c r="M75" s="16"/>
      <c r="N75" s="11"/>
      <c r="O75" s="16"/>
      <c r="P75" s="16"/>
      <c r="Q75" s="18" t="str">
        <f t="shared" si="0"/>
        <v/>
      </c>
      <c r="R75" s="18" t="str">
        <f t="shared" si="1"/>
        <v/>
      </c>
      <c r="S75" s="18" t="str">
        <f t="shared" si="2"/>
        <v/>
      </c>
      <c r="T75" s="18" t="str">
        <f t="shared" si="3"/>
        <v/>
      </c>
      <c r="U75" s="18" t="str">
        <f t="shared" si="4"/>
        <v/>
      </c>
      <c r="V75" s="18" t="str">
        <f t="shared" si="5"/>
        <v/>
      </c>
      <c r="W75" s="14"/>
    </row>
    <row r="76" spans="1:23" x14ac:dyDescent="0.25">
      <c r="A76" s="6">
        <v>2</v>
      </c>
      <c r="B76" s="7" t="s">
        <v>115</v>
      </c>
      <c r="C76" s="8"/>
      <c r="D76" s="20"/>
      <c r="E76" s="20"/>
      <c r="F76" s="34"/>
      <c r="G76" s="35"/>
      <c r="H76" s="10"/>
      <c r="I76" s="11"/>
      <c r="J76" s="11"/>
      <c r="K76" s="12"/>
      <c r="L76" s="11"/>
      <c r="M76" s="11"/>
      <c r="N76" s="11"/>
      <c r="O76" s="11"/>
      <c r="P76" s="13"/>
      <c r="Q76" s="18" t="str">
        <f t="shared" si="0"/>
        <v/>
      </c>
      <c r="R76" s="18" t="str">
        <f t="shared" si="1"/>
        <v/>
      </c>
      <c r="S76" s="18" t="str">
        <f t="shared" si="2"/>
        <v/>
      </c>
      <c r="T76" s="18" t="str">
        <f t="shared" si="3"/>
        <v/>
      </c>
      <c r="U76" s="18" t="str">
        <f t="shared" si="4"/>
        <v/>
      </c>
      <c r="V76" s="18" t="str">
        <f t="shared" si="5"/>
        <v/>
      </c>
      <c r="W76" s="14"/>
    </row>
    <row r="77" spans="1:23" x14ac:dyDescent="0.25">
      <c r="A77" s="6"/>
      <c r="B77" t="s">
        <v>19</v>
      </c>
      <c r="C77" s="19">
        <v>0.5</v>
      </c>
      <c r="D77" s="63">
        <f>21.65+0.515-2*0.05</f>
        <v>22.064999999999998</v>
      </c>
      <c r="E77" s="64"/>
      <c r="F77" s="19">
        <v>0.5</v>
      </c>
      <c r="G77" s="36">
        <v>0.25</v>
      </c>
      <c r="H77" s="10">
        <v>16</v>
      </c>
      <c r="I77" s="11">
        <v>1</v>
      </c>
      <c r="J77" s="13">
        <f>ROUND(2.535/G77+1,0)/2</f>
        <v>5.5</v>
      </c>
      <c r="K77" s="45">
        <f>D77</f>
        <v>22.064999999999998</v>
      </c>
      <c r="L77" s="16">
        <f>IF(O77&lt;12,"0",0.049*H77)*2</f>
        <v>1.5680000000000001</v>
      </c>
      <c r="M77" s="17">
        <v>2</v>
      </c>
      <c r="N77" s="11">
        <f>M77*2*H77/1000</f>
        <v>6.4000000000000001E-2</v>
      </c>
      <c r="O77" s="16">
        <f>(D77+C77+F77)-N77</f>
        <v>23.000999999999998</v>
      </c>
      <c r="P77" s="16">
        <f>(I77*J77*O77)+L77</f>
        <v>128.0735</v>
      </c>
      <c r="Q77" s="18" t="str">
        <f t="shared" si="0"/>
        <v/>
      </c>
      <c r="R77" s="18" t="str">
        <f t="shared" si="1"/>
        <v/>
      </c>
      <c r="S77" s="18" t="str">
        <f t="shared" si="2"/>
        <v/>
      </c>
      <c r="T77" s="18">
        <f t="shared" si="3"/>
        <v>128.0735</v>
      </c>
      <c r="U77" s="18" t="str">
        <f t="shared" si="4"/>
        <v/>
      </c>
      <c r="V77" s="18" t="str">
        <f t="shared" si="5"/>
        <v/>
      </c>
      <c r="W77" s="14"/>
    </row>
    <row r="78" spans="1:23" x14ac:dyDescent="0.25">
      <c r="A78" s="6"/>
      <c r="B78" s="14"/>
      <c r="C78" s="8"/>
      <c r="D78" s="20"/>
      <c r="E78" s="20"/>
      <c r="F78" s="34"/>
      <c r="G78" s="35"/>
      <c r="H78" s="10"/>
      <c r="I78" s="11"/>
      <c r="J78" s="11"/>
      <c r="K78" s="12"/>
      <c r="L78" s="11"/>
      <c r="M78" s="11"/>
      <c r="N78" s="11"/>
      <c r="O78" s="11"/>
      <c r="P78" s="13"/>
      <c r="Q78" s="18" t="str">
        <f t="shared" si="0"/>
        <v/>
      </c>
      <c r="R78" s="18" t="str">
        <f t="shared" si="1"/>
        <v/>
      </c>
      <c r="S78" s="18" t="str">
        <f t="shared" si="2"/>
        <v/>
      </c>
      <c r="T78" s="18" t="str">
        <f t="shared" si="3"/>
        <v/>
      </c>
      <c r="U78" s="18" t="str">
        <f t="shared" si="4"/>
        <v/>
      </c>
      <c r="V78" s="18" t="str">
        <f t="shared" si="5"/>
        <v/>
      </c>
      <c r="W78" s="14"/>
    </row>
    <row r="79" spans="1:23" x14ac:dyDescent="0.25">
      <c r="A79" s="6">
        <v>2</v>
      </c>
      <c r="B79" s="7" t="s">
        <v>115</v>
      </c>
      <c r="C79" s="8"/>
      <c r="D79" s="20"/>
      <c r="E79" s="20"/>
      <c r="F79" s="34"/>
      <c r="G79" s="35"/>
      <c r="H79" s="10"/>
      <c r="I79" s="11"/>
      <c r="J79" s="11"/>
      <c r="K79" s="12"/>
      <c r="L79" s="11"/>
      <c r="M79" s="11"/>
      <c r="N79" s="11"/>
      <c r="O79" s="11"/>
      <c r="P79" s="13"/>
      <c r="Q79" s="18" t="str">
        <f t="shared" si="0"/>
        <v/>
      </c>
      <c r="R79" s="18" t="str">
        <f t="shared" si="1"/>
        <v/>
      </c>
      <c r="S79" s="18" t="str">
        <f t="shared" si="2"/>
        <v/>
      </c>
      <c r="T79" s="18" t="str">
        <f t="shared" si="3"/>
        <v/>
      </c>
      <c r="U79" s="18" t="str">
        <f t="shared" si="4"/>
        <v/>
      </c>
      <c r="V79" s="18" t="str">
        <f t="shared" si="5"/>
        <v/>
      </c>
      <c r="W79" s="14"/>
    </row>
    <row r="80" spans="1:23" x14ac:dyDescent="0.25">
      <c r="A80" s="6"/>
      <c r="B80" t="s">
        <v>19</v>
      </c>
      <c r="C80" s="19">
        <v>0.5</v>
      </c>
      <c r="D80" s="63">
        <f>21.65+0.515-2*0.05</f>
        <v>22.064999999999998</v>
      </c>
      <c r="E80" s="64"/>
      <c r="F80" s="19">
        <v>0.5</v>
      </c>
      <c r="G80" s="36">
        <v>0.25</v>
      </c>
      <c r="H80" s="10">
        <v>16</v>
      </c>
      <c r="I80" s="11">
        <v>1</v>
      </c>
      <c r="J80" s="13">
        <f>ROUND(2.535/G80+1,0)/2</f>
        <v>5.5</v>
      </c>
      <c r="K80" s="45">
        <f>D80</f>
        <v>22.064999999999998</v>
      </c>
      <c r="L80" s="16">
        <f>IF(O80&lt;12,"0",0.049*H80)</f>
        <v>0.78400000000000003</v>
      </c>
      <c r="M80" s="17">
        <v>2</v>
      </c>
      <c r="N80" s="11">
        <f>M80*2*H80/1000</f>
        <v>6.4000000000000001E-2</v>
      </c>
      <c r="O80" s="16">
        <f>(D80+C80+F80)-N80</f>
        <v>23.000999999999998</v>
      </c>
      <c r="P80" s="16">
        <f>(I80*J80*O80)+L80</f>
        <v>127.28949999999999</v>
      </c>
      <c r="Q80" s="18" t="str">
        <f t="shared" si="0"/>
        <v/>
      </c>
      <c r="R80" s="18" t="str">
        <f t="shared" si="1"/>
        <v/>
      </c>
      <c r="S80" s="18" t="str">
        <f t="shared" si="2"/>
        <v/>
      </c>
      <c r="T80" s="18">
        <f t="shared" si="3"/>
        <v>127.28949999999999</v>
      </c>
      <c r="U80" s="18" t="str">
        <f t="shared" si="4"/>
        <v/>
      </c>
      <c r="V80" s="18" t="str">
        <f t="shared" si="5"/>
        <v/>
      </c>
      <c r="W80" s="14"/>
    </row>
    <row r="81" spans="1:23" x14ac:dyDescent="0.25">
      <c r="A81" s="6"/>
      <c r="B81" s="14"/>
      <c r="C81" s="8"/>
      <c r="D81" s="20"/>
      <c r="E81" s="20"/>
      <c r="F81" s="34"/>
      <c r="G81" s="35"/>
      <c r="H81" s="10"/>
      <c r="I81" s="11"/>
      <c r="J81" s="11"/>
      <c r="K81" s="12"/>
      <c r="L81" s="11"/>
      <c r="M81" s="11"/>
      <c r="N81" s="11"/>
      <c r="O81" s="11"/>
      <c r="P81" s="13"/>
      <c r="Q81" s="18" t="str">
        <f t="shared" si="0"/>
        <v/>
      </c>
      <c r="R81" s="18" t="str">
        <f t="shared" si="1"/>
        <v/>
      </c>
      <c r="S81" s="18" t="str">
        <f t="shared" si="2"/>
        <v/>
      </c>
      <c r="T81" s="18" t="str">
        <f t="shared" si="3"/>
        <v/>
      </c>
      <c r="U81" s="18" t="str">
        <f t="shared" si="4"/>
        <v/>
      </c>
      <c r="V81" s="18" t="str">
        <f t="shared" si="5"/>
        <v/>
      </c>
      <c r="W81" s="14"/>
    </row>
    <row r="82" spans="1:23" x14ac:dyDescent="0.25">
      <c r="A82" s="6">
        <v>3</v>
      </c>
      <c r="B82" s="7" t="s">
        <v>116</v>
      </c>
      <c r="C82" s="8"/>
      <c r="D82" s="20"/>
      <c r="E82" s="20"/>
      <c r="F82" s="34"/>
      <c r="G82" s="35"/>
      <c r="H82" s="10"/>
      <c r="I82" s="11"/>
      <c r="J82" s="11"/>
      <c r="K82" s="12"/>
      <c r="L82" s="11"/>
      <c r="M82" s="11"/>
      <c r="N82" s="11"/>
      <c r="O82" s="11"/>
      <c r="P82" s="13"/>
      <c r="Q82" s="18" t="str">
        <f t="shared" si="0"/>
        <v/>
      </c>
      <c r="R82" s="18" t="str">
        <f t="shared" si="1"/>
        <v/>
      </c>
      <c r="S82" s="18" t="str">
        <f t="shared" si="2"/>
        <v/>
      </c>
      <c r="T82" s="18" t="str">
        <f t="shared" si="3"/>
        <v/>
      </c>
      <c r="U82" s="18" t="str">
        <f t="shared" si="4"/>
        <v/>
      </c>
      <c r="V82" s="18" t="str">
        <f t="shared" si="5"/>
        <v/>
      </c>
      <c r="W82" s="14"/>
    </row>
    <row r="83" spans="1:23" x14ac:dyDescent="0.25">
      <c r="A83" s="6"/>
      <c r="B83" t="s">
        <v>19</v>
      </c>
      <c r="C83" s="19">
        <v>0.5</v>
      </c>
      <c r="D83" s="63">
        <f>32.45-2*0.05</f>
        <v>32.35</v>
      </c>
      <c r="E83" s="64"/>
      <c r="F83" s="19">
        <v>0.5</v>
      </c>
      <c r="G83" s="36">
        <v>0.25</v>
      </c>
      <c r="H83" s="10">
        <v>16</v>
      </c>
      <c r="I83" s="11">
        <v>1</v>
      </c>
      <c r="J83" s="13">
        <f>ROUND(6.245/G83+1,0)/2</f>
        <v>13</v>
      </c>
      <c r="K83" s="45">
        <f>D83</f>
        <v>32.35</v>
      </c>
      <c r="L83" s="16">
        <f>IF(O83&lt;12,"0",0.049*H83)*3</f>
        <v>2.3520000000000003</v>
      </c>
      <c r="M83" s="17">
        <v>2</v>
      </c>
      <c r="N83" s="11">
        <f>M83*2*H83/1000</f>
        <v>6.4000000000000001E-2</v>
      </c>
      <c r="O83" s="16">
        <f>(D83+C83+F83)-N83</f>
        <v>33.286000000000001</v>
      </c>
      <c r="P83" s="16">
        <f>(I83*J83*O83)+L83</f>
        <v>435.07</v>
      </c>
      <c r="Q83" s="18" t="str">
        <f t="shared" si="0"/>
        <v/>
      </c>
      <c r="R83" s="18" t="str">
        <f t="shared" si="1"/>
        <v/>
      </c>
      <c r="S83" s="18" t="str">
        <f t="shared" si="2"/>
        <v/>
      </c>
      <c r="T83" s="18">
        <f t="shared" si="3"/>
        <v>435.07</v>
      </c>
      <c r="U83" s="18" t="str">
        <f t="shared" si="4"/>
        <v/>
      </c>
      <c r="V83" s="18" t="str">
        <f t="shared" si="5"/>
        <v/>
      </c>
      <c r="W83" s="14"/>
    </row>
    <row r="84" spans="1:23" x14ac:dyDescent="0.25">
      <c r="A84" s="6"/>
      <c r="B84" s="22"/>
      <c r="C84" s="8"/>
      <c r="D84" s="20"/>
      <c r="E84" s="21"/>
      <c r="F84" s="34"/>
      <c r="G84" s="35"/>
      <c r="H84" s="10"/>
      <c r="I84" s="11"/>
      <c r="J84" s="11"/>
      <c r="K84" s="12"/>
      <c r="L84" s="11"/>
      <c r="M84" s="11"/>
      <c r="N84" s="11"/>
      <c r="O84" s="11"/>
      <c r="P84" s="13"/>
      <c r="Q84" s="18" t="str">
        <f t="shared" si="0"/>
        <v/>
      </c>
      <c r="R84" s="18" t="str">
        <f t="shared" si="1"/>
        <v/>
      </c>
      <c r="S84" s="18" t="str">
        <f t="shared" si="2"/>
        <v/>
      </c>
      <c r="T84" s="18" t="str">
        <f t="shared" si="3"/>
        <v/>
      </c>
      <c r="U84" s="18" t="str">
        <f t="shared" si="4"/>
        <v/>
      </c>
      <c r="V84" s="18" t="str">
        <f t="shared" si="5"/>
        <v/>
      </c>
      <c r="W84" s="14"/>
    </row>
    <row r="85" spans="1:23" x14ac:dyDescent="0.25">
      <c r="A85" s="6">
        <v>3</v>
      </c>
      <c r="B85" s="7" t="s">
        <v>116</v>
      </c>
      <c r="C85" s="8"/>
      <c r="D85" s="20"/>
      <c r="E85" s="20"/>
      <c r="F85" s="34"/>
      <c r="G85" s="35"/>
      <c r="H85" s="10"/>
      <c r="I85" s="11"/>
      <c r="J85" s="11"/>
      <c r="K85" s="12"/>
      <c r="L85" s="11"/>
      <c r="M85" s="11"/>
      <c r="N85" s="11"/>
      <c r="O85" s="11"/>
      <c r="P85" s="13"/>
      <c r="Q85" s="18" t="str">
        <f t="shared" si="0"/>
        <v/>
      </c>
      <c r="R85" s="18" t="str">
        <f t="shared" si="1"/>
        <v/>
      </c>
      <c r="S85" s="18" t="str">
        <f t="shared" si="2"/>
        <v/>
      </c>
      <c r="T85" s="18" t="str">
        <f t="shared" si="3"/>
        <v/>
      </c>
      <c r="U85" s="18" t="str">
        <f t="shared" si="4"/>
        <v/>
      </c>
      <c r="V85" s="18" t="str">
        <f t="shared" si="5"/>
        <v/>
      </c>
      <c r="W85" s="14"/>
    </row>
    <row r="86" spans="1:23" x14ac:dyDescent="0.25">
      <c r="A86" s="6"/>
      <c r="B86" t="s">
        <v>19</v>
      </c>
      <c r="C86" s="19">
        <v>0.5</v>
      </c>
      <c r="D86" s="63">
        <f>32.45-2*0.05</f>
        <v>32.35</v>
      </c>
      <c r="E86" s="64"/>
      <c r="F86" s="19">
        <v>0.5</v>
      </c>
      <c r="G86" s="36">
        <v>0.25</v>
      </c>
      <c r="H86" s="10">
        <v>16</v>
      </c>
      <c r="I86" s="11">
        <v>1</v>
      </c>
      <c r="J86" s="13">
        <f>ROUND(6.245/G86+1,0)/2</f>
        <v>13</v>
      </c>
      <c r="K86" s="45">
        <f>D86</f>
        <v>32.35</v>
      </c>
      <c r="L86" s="16">
        <f>IF(O86&lt;12,"0",0.049*H86)*2</f>
        <v>1.5680000000000001</v>
      </c>
      <c r="M86" s="17">
        <v>2</v>
      </c>
      <c r="N86" s="11">
        <f>M86*2*H86/1000</f>
        <v>6.4000000000000001E-2</v>
      </c>
      <c r="O86" s="16">
        <f>(D86+C86+F86)-N86</f>
        <v>33.286000000000001</v>
      </c>
      <c r="P86" s="16">
        <f>(I86*J86*O86)+L86</f>
        <v>434.286</v>
      </c>
      <c r="Q86" s="18" t="str">
        <f t="shared" si="0"/>
        <v/>
      </c>
      <c r="R86" s="18" t="str">
        <f t="shared" si="1"/>
        <v/>
      </c>
      <c r="S86" s="18" t="str">
        <f t="shared" si="2"/>
        <v/>
      </c>
      <c r="T86" s="18">
        <f t="shared" si="3"/>
        <v>434.286</v>
      </c>
      <c r="U86" s="18" t="str">
        <f t="shared" si="4"/>
        <v/>
      </c>
      <c r="V86" s="18" t="str">
        <f t="shared" si="5"/>
        <v/>
      </c>
      <c r="W86" s="14"/>
    </row>
    <row r="87" spans="1:23" x14ac:dyDescent="0.25">
      <c r="A87" s="6"/>
      <c r="B87" s="22"/>
      <c r="C87" s="8"/>
      <c r="D87" s="20"/>
      <c r="E87" s="21"/>
      <c r="F87" s="34"/>
      <c r="G87" s="35"/>
      <c r="H87" s="10"/>
      <c r="I87" s="11"/>
      <c r="J87" s="11"/>
      <c r="K87" s="12"/>
      <c r="L87" s="11"/>
      <c r="M87" s="11"/>
      <c r="N87" s="11"/>
      <c r="O87" s="11"/>
      <c r="P87" s="13"/>
      <c r="Q87" s="18" t="str">
        <f t="shared" si="0"/>
        <v/>
      </c>
      <c r="R87" s="18" t="str">
        <f t="shared" si="1"/>
        <v/>
      </c>
      <c r="S87" s="18" t="str">
        <f t="shared" si="2"/>
        <v/>
      </c>
      <c r="T87" s="18" t="str">
        <f t="shared" si="3"/>
        <v/>
      </c>
      <c r="U87" s="18" t="str">
        <f t="shared" si="4"/>
        <v/>
      </c>
      <c r="V87" s="18" t="str">
        <f t="shared" si="5"/>
        <v/>
      </c>
      <c r="W87" s="14"/>
    </row>
    <row r="88" spans="1:23" x14ac:dyDescent="0.25">
      <c r="A88" s="6">
        <v>4</v>
      </c>
      <c r="B88" s="7" t="s">
        <v>117</v>
      </c>
      <c r="C88" s="8"/>
      <c r="D88" s="20"/>
      <c r="E88" s="20"/>
      <c r="F88" s="34"/>
      <c r="G88" s="35"/>
      <c r="H88" s="10"/>
      <c r="I88" s="11"/>
      <c r="J88" s="11"/>
      <c r="K88" s="12"/>
      <c r="L88" s="11"/>
      <c r="M88" s="11"/>
      <c r="N88" s="11"/>
      <c r="O88" s="11"/>
      <c r="P88" s="13"/>
      <c r="Q88" s="18" t="str">
        <f t="shared" si="0"/>
        <v/>
      </c>
      <c r="R88" s="18" t="str">
        <f t="shared" si="1"/>
        <v/>
      </c>
      <c r="S88" s="18" t="str">
        <f t="shared" si="2"/>
        <v/>
      </c>
      <c r="T88" s="18" t="str">
        <f t="shared" si="3"/>
        <v/>
      </c>
      <c r="U88" s="18" t="str">
        <f t="shared" si="4"/>
        <v/>
      </c>
      <c r="V88" s="18" t="str">
        <f t="shared" si="5"/>
        <v/>
      </c>
      <c r="W88" s="14"/>
    </row>
    <row r="89" spans="1:23" x14ac:dyDescent="0.25">
      <c r="A89" s="6"/>
      <c r="B89" t="s">
        <v>19</v>
      </c>
      <c r="C89" s="19">
        <v>0.5</v>
      </c>
      <c r="D89" s="63">
        <f>31.935-2*0.05</f>
        <v>31.834999999999997</v>
      </c>
      <c r="E89" s="64"/>
      <c r="F89" s="19">
        <v>0.5</v>
      </c>
      <c r="G89" s="36">
        <v>0.25</v>
      </c>
      <c r="H89" s="10">
        <v>16</v>
      </c>
      <c r="I89" s="11">
        <v>1</v>
      </c>
      <c r="J89" s="13">
        <f>ROUND(2.63/G89+1,0)/2</f>
        <v>6</v>
      </c>
      <c r="K89" s="45">
        <f>D89</f>
        <v>31.834999999999997</v>
      </c>
      <c r="L89" s="16">
        <f>IF(O89&lt;12,"0",0.049*H89)*3</f>
        <v>2.3520000000000003</v>
      </c>
      <c r="M89" s="17">
        <v>2</v>
      </c>
      <c r="N89" s="11">
        <f>M89*2*H89/1000</f>
        <v>6.4000000000000001E-2</v>
      </c>
      <c r="O89" s="16">
        <f>(D89+C89+F89)-N89</f>
        <v>32.770999999999994</v>
      </c>
      <c r="P89" s="16">
        <f>(I89*J89*O89)+L89</f>
        <v>198.97799999999998</v>
      </c>
      <c r="Q89" s="18" t="str">
        <f t="shared" si="0"/>
        <v/>
      </c>
      <c r="R89" s="18" t="str">
        <f t="shared" si="1"/>
        <v/>
      </c>
      <c r="S89" s="18" t="str">
        <f t="shared" si="2"/>
        <v/>
      </c>
      <c r="T89" s="18">
        <f t="shared" si="3"/>
        <v>198.97799999999998</v>
      </c>
      <c r="U89" s="18" t="str">
        <f t="shared" si="4"/>
        <v/>
      </c>
      <c r="V89" s="18" t="str">
        <f t="shared" si="5"/>
        <v/>
      </c>
      <c r="W89" s="14"/>
    </row>
    <row r="90" spans="1:23" x14ac:dyDescent="0.25">
      <c r="A90" s="6"/>
      <c r="B90" s="22"/>
      <c r="C90" s="8"/>
      <c r="D90" s="20"/>
      <c r="E90" s="21"/>
      <c r="F90" s="34"/>
      <c r="G90" s="35"/>
      <c r="H90" s="10"/>
      <c r="I90" s="11"/>
      <c r="J90" s="11"/>
      <c r="K90" s="12"/>
      <c r="L90" s="11"/>
      <c r="M90" s="11"/>
      <c r="N90" s="11"/>
      <c r="O90" s="11"/>
      <c r="P90" s="13"/>
      <c r="Q90" s="18" t="str">
        <f t="shared" si="0"/>
        <v/>
      </c>
      <c r="R90" s="18" t="str">
        <f t="shared" si="1"/>
        <v/>
      </c>
      <c r="S90" s="18" t="str">
        <f t="shared" si="2"/>
        <v/>
      </c>
      <c r="T90" s="18" t="str">
        <f t="shared" si="3"/>
        <v/>
      </c>
      <c r="U90" s="18" t="str">
        <f t="shared" si="4"/>
        <v/>
      </c>
      <c r="V90" s="18" t="str">
        <f t="shared" si="5"/>
        <v/>
      </c>
      <c r="W90" s="14"/>
    </row>
    <row r="91" spans="1:23" x14ac:dyDescent="0.25">
      <c r="A91" s="6">
        <v>4</v>
      </c>
      <c r="B91" s="7" t="s">
        <v>117</v>
      </c>
      <c r="C91" s="8"/>
      <c r="D91" s="20"/>
      <c r="E91" s="20"/>
      <c r="F91" s="34"/>
      <c r="G91" s="35"/>
      <c r="H91" s="10"/>
      <c r="I91" s="11"/>
      <c r="J91" s="11"/>
      <c r="K91" s="12"/>
      <c r="L91" s="11"/>
      <c r="M91" s="11"/>
      <c r="N91" s="11"/>
      <c r="O91" s="11"/>
      <c r="P91" s="13"/>
      <c r="Q91" s="18" t="str">
        <f t="shared" si="0"/>
        <v/>
      </c>
      <c r="R91" s="18" t="str">
        <f t="shared" si="1"/>
        <v/>
      </c>
      <c r="S91" s="18" t="str">
        <f t="shared" si="2"/>
        <v/>
      </c>
      <c r="T91" s="18" t="str">
        <f t="shared" si="3"/>
        <v/>
      </c>
      <c r="U91" s="18" t="str">
        <f t="shared" si="4"/>
        <v/>
      </c>
      <c r="V91" s="18" t="str">
        <f t="shared" si="5"/>
        <v/>
      </c>
      <c r="W91" s="14"/>
    </row>
    <row r="92" spans="1:23" x14ac:dyDescent="0.25">
      <c r="A92" s="6"/>
      <c r="B92" t="s">
        <v>19</v>
      </c>
      <c r="C92" s="19">
        <v>0.5</v>
      </c>
      <c r="D92" s="63">
        <f>31.935-2*0.05</f>
        <v>31.834999999999997</v>
      </c>
      <c r="E92" s="64"/>
      <c r="F92" s="19">
        <v>0.5</v>
      </c>
      <c r="G92" s="36">
        <v>0.25</v>
      </c>
      <c r="H92" s="10">
        <v>16</v>
      </c>
      <c r="I92" s="11">
        <v>1</v>
      </c>
      <c r="J92" s="13">
        <f>ROUND(2.63/G92+1,0)/2</f>
        <v>6</v>
      </c>
      <c r="K92" s="45">
        <f>D92</f>
        <v>31.834999999999997</v>
      </c>
      <c r="L92" s="16">
        <f>IF(O92&lt;12,"0",0.049*H92)*2</f>
        <v>1.5680000000000001</v>
      </c>
      <c r="M92" s="17">
        <v>2</v>
      </c>
      <c r="N92" s="11">
        <f>M92*2*H92/1000</f>
        <v>6.4000000000000001E-2</v>
      </c>
      <c r="O92" s="16">
        <f>(D92+C92+F92)-N92</f>
        <v>32.770999999999994</v>
      </c>
      <c r="P92" s="16">
        <f>(I92*J92*O92)+L92</f>
        <v>198.19399999999999</v>
      </c>
      <c r="Q92" s="18" t="str">
        <f t="shared" si="0"/>
        <v/>
      </c>
      <c r="R92" s="18" t="str">
        <f t="shared" si="1"/>
        <v/>
      </c>
      <c r="S92" s="18" t="str">
        <f t="shared" si="2"/>
        <v/>
      </c>
      <c r="T92" s="18">
        <f t="shared" si="3"/>
        <v>198.19399999999999</v>
      </c>
      <c r="U92" s="18" t="str">
        <f t="shared" si="4"/>
        <v/>
      </c>
      <c r="V92" s="18" t="str">
        <f t="shared" si="5"/>
        <v/>
      </c>
      <c r="W92" s="14"/>
    </row>
    <row r="93" spans="1:23" x14ac:dyDescent="0.25">
      <c r="A93" s="6"/>
      <c r="B93" s="22"/>
      <c r="C93" s="8"/>
      <c r="D93" s="20"/>
      <c r="E93" s="21"/>
      <c r="F93" s="34"/>
      <c r="G93" s="35"/>
      <c r="H93" s="10"/>
      <c r="I93" s="11"/>
      <c r="J93" s="11"/>
      <c r="K93" s="12"/>
      <c r="L93" s="11"/>
      <c r="M93" s="11"/>
      <c r="N93" s="11"/>
      <c r="O93" s="11"/>
      <c r="P93" s="13"/>
      <c r="Q93" s="18" t="str">
        <f t="shared" si="0"/>
        <v/>
      </c>
      <c r="R93" s="18" t="str">
        <f t="shared" si="1"/>
        <v/>
      </c>
      <c r="S93" s="18" t="str">
        <f t="shared" si="2"/>
        <v/>
      </c>
      <c r="T93" s="18" t="str">
        <f t="shared" si="3"/>
        <v/>
      </c>
      <c r="U93" s="18" t="str">
        <f t="shared" si="4"/>
        <v/>
      </c>
      <c r="V93" s="18" t="str">
        <f t="shared" si="5"/>
        <v/>
      </c>
      <c r="W93" s="14"/>
    </row>
    <row r="94" spans="1:23" x14ac:dyDescent="0.25">
      <c r="A94" s="6">
        <v>5</v>
      </c>
      <c r="B94" s="7" t="s">
        <v>118</v>
      </c>
      <c r="C94" s="8"/>
      <c r="D94" s="20"/>
      <c r="E94" s="20"/>
      <c r="F94" s="34"/>
      <c r="G94" s="35"/>
      <c r="H94" s="10"/>
      <c r="I94" s="11"/>
      <c r="J94" s="11"/>
      <c r="K94" s="12"/>
      <c r="L94" s="11"/>
      <c r="M94" s="11"/>
      <c r="N94" s="11"/>
      <c r="O94" s="11"/>
      <c r="P94" s="13"/>
      <c r="Q94" s="18" t="str">
        <f t="shared" si="0"/>
        <v/>
      </c>
      <c r="R94" s="18" t="str">
        <f t="shared" si="1"/>
        <v/>
      </c>
      <c r="S94" s="18" t="str">
        <f t="shared" si="2"/>
        <v/>
      </c>
      <c r="T94" s="18" t="str">
        <f t="shared" si="3"/>
        <v/>
      </c>
      <c r="U94" s="18" t="str">
        <f t="shared" si="4"/>
        <v/>
      </c>
      <c r="V94" s="18" t="str">
        <f t="shared" si="5"/>
        <v/>
      </c>
      <c r="W94" s="14"/>
    </row>
    <row r="95" spans="1:23" x14ac:dyDescent="0.25">
      <c r="A95" s="6"/>
      <c r="B95" t="s">
        <v>19</v>
      </c>
      <c r="C95" s="19">
        <v>0.5</v>
      </c>
      <c r="D95" s="63">
        <f>31.95-2*0.05-1.5</f>
        <v>30.349999999999998</v>
      </c>
      <c r="E95" s="64"/>
      <c r="F95" s="19">
        <v>0.5</v>
      </c>
      <c r="G95" s="36">
        <v>0.25</v>
      </c>
      <c r="H95" s="10">
        <v>16</v>
      </c>
      <c r="I95" s="11">
        <v>1</v>
      </c>
      <c r="J95" s="13">
        <f>ROUND(3.95/G95+1,0)/2</f>
        <v>8.5</v>
      </c>
      <c r="K95" s="45">
        <f>D95</f>
        <v>30.349999999999998</v>
      </c>
      <c r="L95" s="16">
        <f>IF(O95&lt;12,"0",0.049*H95)*3</f>
        <v>2.3520000000000003</v>
      </c>
      <c r="M95" s="17">
        <v>2</v>
      </c>
      <c r="N95" s="11">
        <f>M95*2*H95/1000</f>
        <v>6.4000000000000001E-2</v>
      </c>
      <c r="O95" s="16">
        <f>(D95+C95+F95)-N95</f>
        <v>31.285999999999998</v>
      </c>
      <c r="P95" s="16">
        <f>(I95*J95*O95)+L95</f>
        <v>268.28299999999996</v>
      </c>
      <c r="Q95" s="18" t="str">
        <f t="shared" si="0"/>
        <v/>
      </c>
      <c r="R95" s="18" t="str">
        <f t="shared" si="1"/>
        <v/>
      </c>
      <c r="S95" s="18" t="str">
        <f t="shared" si="2"/>
        <v/>
      </c>
      <c r="T95" s="18">
        <f t="shared" si="3"/>
        <v>268.28299999999996</v>
      </c>
      <c r="U95" s="18" t="str">
        <f t="shared" si="4"/>
        <v/>
      </c>
      <c r="V95" s="18" t="str">
        <f t="shared" si="5"/>
        <v/>
      </c>
      <c r="W95" s="14"/>
    </row>
    <row r="96" spans="1:23" x14ac:dyDescent="0.25">
      <c r="A96" s="6"/>
      <c r="B96" s="22"/>
      <c r="C96" s="8"/>
      <c r="D96" s="20"/>
      <c r="E96" s="21"/>
      <c r="F96" s="34"/>
      <c r="G96" s="35"/>
      <c r="H96" s="10"/>
      <c r="I96" s="11"/>
      <c r="J96" s="11"/>
      <c r="K96" s="12"/>
      <c r="L96" s="11"/>
      <c r="M96" s="11"/>
      <c r="N96" s="11"/>
      <c r="O96" s="11"/>
      <c r="P96" s="13"/>
      <c r="Q96" s="18" t="str">
        <f t="shared" si="0"/>
        <v/>
      </c>
      <c r="R96" s="18" t="str">
        <f t="shared" si="1"/>
        <v/>
      </c>
      <c r="S96" s="18" t="str">
        <f t="shared" si="2"/>
        <v/>
      </c>
      <c r="T96" s="18" t="str">
        <f t="shared" si="3"/>
        <v/>
      </c>
      <c r="U96" s="18" t="str">
        <f t="shared" si="4"/>
        <v/>
      </c>
      <c r="V96" s="18" t="str">
        <f t="shared" si="5"/>
        <v/>
      </c>
      <c r="W96" s="14"/>
    </row>
    <row r="97" spans="1:23" x14ac:dyDescent="0.25">
      <c r="A97" s="6">
        <v>5</v>
      </c>
      <c r="B97" s="7" t="s">
        <v>118</v>
      </c>
      <c r="C97" s="8"/>
      <c r="D97" s="20"/>
      <c r="E97" s="20"/>
      <c r="F97" s="34"/>
      <c r="G97" s="35"/>
      <c r="H97" s="10"/>
      <c r="I97" s="11"/>
      <c r="J97" s="11"/>
      <c r="K97" s="12"/>
      <c r="L97" s="11"/>
      <c r="M97" s="11"/>
      <c r="N97" s="11"/>
      <c r="O97" s="11"/>
      <c r="P97" s="13"/>
      <c r="Q97" s="18" t="str">
        <f t="shared" si="0"/>
        <v/>
      </c>
      <c r="R97" s="18" t="str">
        <f t="shared" si="1"/>
        <v/>
      </c>
      <c r="S97" s="18" t="str">
        <f t="shared" si="2"/>
        <v/>
      </c>
      <c r="T97" s="18" t="str">
        <f t="shared" si="3"/>
        <v/>
      </c>
      <c r="U97" s="18" t="str">
        <f t="shared" si="4"/>
        <v/>
      </c>
      <c r="V97" s="18" t="str">
        <f t="shared" si="5"/>
        <v/>
      </c>
      <c r="W97" s="14"/>
    </row>
    <row r="98" spans="1:23" x14ac:dyDescent="0.25">
      <c r="A98" s="6"/>
      <c r="B98" t="s">
        <v>19</v>
      </c>
      <c r="C98" s="19">
        <v>0.5</v>
      </c>
      <c r="D98" s="63">
        <f>31.95-2*0.05-1.5</f>
        <v>30.349999999999998</v>
      </c>
      <c r="E98" s="64"/>
      <c r="F98" s="19">
        <v>0.5</v>
      </c>
      <c r="G98" s="36">
        <v>0.25</v>
      </c>
      <c r="H98" s="10">
        <v>16</v>
      </c>
      <c r="I98" s="11">
        <v>1</v>
      </c>
      <c r="J98" s="13">
        <f>ROUND(3.95/G98+1,0)/2</f>
        <v>8.5</v>
      </c>
      <c r="K98" s="45">
        <f>D98</f>
        <v>30.349999999999998</v>
      </c>
      <c r="L98" s="16">
        <f>IF(O98&lt;12,"0",0.049*H98)*2</f>
        <v>1.5680000000000001</v>
      </c>
      <c r="M98" s="17">
        <v>2</v>
      </c>
      <c r="N98" s="11">
        <f>M98*2*H98/1000</f>
        <v>6.4000000000000001E-2</v>
      </c>
      <c r="O98" s="16">
        <f>(D98+C98+F98)-N98</f>
        <v>31.285999999999998</v>
      </c>
      <c r="P98" s="16">
        <f>(I98*J98*O98)+L98</f>
        <v>267.49899999999997</v>
      </c>
      <c r="Q98" s="18" t="str">
        <f t="shared" si="0"/>
        <v/>
      </c>
      <c r="R98" s="18" t="str">
        <f t="shared" si="1"/>
        <v/>
      </c>
      <c r="S98" s="18" t="str">
        <f t="shared" si="2"/>
        <v/>
      </c>
      <c r="T98" s="18">
        <f t="shared" si="3"/>
        <v>267.49899999999997</v>
      </c>
      <c r="U98" s="18" t="str">
        <f t="shared" si="4"/>
        <v/>
      </c>
      <c r="V98" s="18" t="str">
        <f t="shared" si="5"/>
        <v/>
      </c>
      <c r="W98" s="14"/>
    </row>
    <row r="99" spans="1:23" x14ac:dyDescent="0.25">
      <c r="A99" s="6"/>
      <c r="B99" s="22"/>
      <c r="C99" s="8"/>
      <c r="D99" s="20"/>
      <c r="E99" s="21"/>
      <c r="F99" s="34"/>
      <c r="G99" s="35"/>
      <c r="H99" s="10"/>
      <c r="I99" s="11"/>
      <c r="J99" s="11"/>
      <c r="K99" s="12"/>
      <c r="L99" s="11"/>
      <c r="M99" s="11"/>
      <c r="N99" s="11"/>
      <c r="O99" s="11"/>
      <c r="P99" s="13"/>
      <c r="Q99" s="18" t="str">
        <f t="shared" si="0"/>
        <v/>
      </c>
      <c r="R99" s="18" t="str">
        <f t="shared" si="1"/>
        <v/>
      </c>
      <c r="S99" s="18" t="str">
        <f t="shared" si="2"/>
        <v/>
      </c>
      <c r="T99" s="18" t="str">
        <f t="shared" si="3"/>
        <v/>
      </c>
      <c r="U99" s="18" t="str">
        <f t="shared" si="4"/>
        <v/>
      </c>
      <c r="V99" s="18" t="str">
        <f t="shared" si="5"/>
        <v/>
      </c>
      <c r="W99" s="14"/>
    </row>
    <row r="100" spans="1:23" x14ac:dyDescent="0.25">
      <c r="A100" s="6">
        <v>6</v>
      </c>
      <c r="B100" s="7" t="s">
        <v>119</v>
      </c>
      <c r="C100" s="8"/>
      <c r="D100" s="20"/>
      <c r="E100" s="20"/>
      <c r="F100" s="34"/>
      <c r="G100" s="35"/>
      <c r="H100" s="10"/>
      <c r="I100" s="11"/>
      <c r="J100" s="11"/>
      <c r="K100" s="12"/>
      <c r="L100" s="11"/>
      <c r="M100" s="11"/>
      <c r="N100" s="11"/>
      <c r="O100" s="11"/>
      <c r="P100" s="13"/>
      <c r="Q100" s="18" t="str">
        <f t="shared" si="0"/>
        <v/>
      </c>
      <c r="R100" s="18" t="str">
        <f t="shared" si="1"/>
        <v/>
      </c>
      <c r="S100" s="18" t="str">
        <f t="shared" si="2"/>
        <v/>
      </c>
      <c r="T100" s="18" t="str">
        <f t="shared" si="3"/>
        <v/>
      </c>
      <c r="U100" s="18" t="str">
        <f t="shared" si="4"/>
        <v/>
      </c>
      <c r="V100" s="18" t="str">
        <f t="shared" si="5"/>
        <v/>
      </c>
      <c r="W100" s="14"/>
    </row>
    <row r="101" spans="1:23" x14ac:dyDescent="0.25">
      <c r="A101" s="6"/>
      <c r="B101" t="s">
        <v>19</v>
      </c>
      <c r="C101" s="19">
        <v>0.5</v>
      </c>
      <c r="D101" s="63">
        <f>31.95-2*0.05-1.5-0.815</f>
        <v>29.534999999999997</v>
      </c>
      <c r="E101" s="64"/>
      <c r="F101" s="19">
        <v>0.5</v>
      </c>
      <c r="G101" s="36">
        <v>0.25</v>
      </c>
      <c r="H101" s="10">
        <v>16</v>
      </c>
      <c r="I101" s="11">
        <v>1</v>
      </c>
      <c r="J101" s="13">
        <f>ROUND(1.695/G101+1,0)/2</f>
        <v>4</v>
      </c>
      <c r="K101" s="45">
        <f>D101</f>
        <v>29.534999999999997</v>
      </c>
      <c r="L101" s="16">
        <f>IF(O101&lt;12,"0",0.049*H101)*3</f>
        <v>2.3520000000000003</v>
      </c>
      <c r="M101" s="17">
        <v>2</v>
      </c>
      <c r="N101" s="11">
        <f>M101*2*H101/1000</f>
        <v>6.4000000000000001E-2</v>
      </c>
      <c r="O101" s="16">
        <f>(D101+C101+F101)-N101</f>
        <v>30.470999999999997</v>
      </c>
      <c r="P101" s="16">
        <f>(I101*J101*O101)+L101</f>
        <v>124.23599999999999</v>
      </c>
      <c r="Q101" s="18" t="str">
        <f t="shared" si="0"/>
        <v/>
      </c>
      <c r="R101" s="18" t="str">
        <f t="shared" si="1"/>
        <v/>
      </c>
      <c r="S101" s="18" t="str">
        <f t="shared" si="2"/>
        <v/>
      </c>
      <c r="T101" s="18">
        <f t="shared" si="3"/>
        <v>124.23599999999999</v>
      </c>
      <c r="U101" s="18" t="str">
        <f t="shared" si="4"/>
        <v/>
      </c>
      <c r="V101" s="18" t="str">
        <f t="shared" si="5"/>
        <v/>
      </c>
      <c r="W101" s="14"/>
    </row>
    <row r="102" spans="1:23" x14ac:dyDescent="0.25">
      <c r="A102" s="6"/>
      <c r="B102" s="22"/>
      <c r="C102" s="8"/>
      <c r="D102" s="20"/>
      <c r="E102" s="21"/>
      <c r="F102" s="34"/>
      <c r="G102" s="35"/>
      <c r="H102" s="10"/>
      <c r="I102" s="11"/>
      <c r="J102" s="11"/>
      <c r="K102" s="12"/>
      <c r="L102" s="11"/>
      <c r="M102" s="11"/>
      <c r="N102" s="11"/>
      <c r="O102" s="11"/>
      <c r="P102" s="13"/>
      <c r="Q102" s="18" t="str">
        <f t="shared" si="0"/>
        <v/>
      </c>
      <c r="R102" s="18" t="str">
        <f t="shared" si="1"/>
        <v/>
      </c>
      <c r="S102" s="18" t="str">
        <f t="shared" si="2"/>
        <v/>
      </c>
      <c r="T102" s="18" t="str">
        <f t="shared" si="3"/>
        <v/>
      </c>
      <c r="U102" s="18" t="str">
        <f t="shared" si="4"/>
        <v/>
      </c>
      <c r="V102" s="18" t="str">
        <f t="shared" si="5"/>
        <v/>
      </c>
      <c r="W102" s="14"/>
    </row>
    <row r="103" spans="1:23" x14ac:dyDescent="0.25">
      <c r="A103" s="6">
        <v>6</v>
      </c>
      <c r="B103" s="7" t="s">
        <v>119</v>
      </c>
      <c r="C103" s="8"/>
      <c r="D103" s="20"/>
      <c r="E103" s="20"/>
      <c r="F103" s="34"/>
      <c r="G103" s="35"/>
      <c r="H103" s="10"/>
      <c r="I103" s="11"/>
      <c r="J103" s="11"/>
      <c r="K103" s="12"/>
      <c r="L103" s="11"/>
      <c r="M103" s="11"/>
      <c r="N103" s="11"/>
      <c r="O103" s="11"/>
      <c r="P103" s="13"/>
      <c r="Q103" s="18" t="str">
        <f t="shared" si="0"/>
        <v/>
      </c>
      <c r="R103" s="18" t="str">
        <f t="shared" si="1"/>
        <v/>
      </c>
      <c r="S103" s="18" t="str">
        <f t="shared" si="2"/>
        <v/>
      </c>
      <c r="T103" s="18" t="str">
        <f t="shared" si="3"/>
        <v/>
      </c>
      <c r="U103" s="18" t="str">
        <f t="shared" si="4"/>
        <v/>
      </c>
      <c r="V103" s="18" t="str">
        <f t="shared" si="5"/>
        <v/>
      </c>
      <c r="W103" s="14"/>
    </row>
    <row r="104" spans="1:23" x14ac:dyDescent="0.25">
      <c r="A104" s="6"/>
      <c r="B104" t="s">
        <v>19</v>
      </c>
      <c r="C104" s="19">
        <v>0.5</v>
      </c>
      <c r="D104" s="63">
        <f>31.95-2*0.05-1.5-0.815</f>
        <v>29.534999999999997</v>
      </c>
      <c r="E104" s="64"/>
      <c r="F104" s="19">
        <v>0.5</v>
      </c>
      <c r="G104" s="36">
        <v>0.25</v>
      </c>
      <c r="H104" s="10">
        <v>16</v>
      </c>
      <c r="I104" s="11">
        <v>1</v>
      </c>
      <c r="J104" s="13">
        <f>ROUND(1.695/G104+1,0)/2</f>
        <v>4</v>
      </c>
      <c r="K104" s="45">
        <f>D104</f>
        <v>29.534999999999997</v>
      </c>
      <c r="L104" s="16">
        <f>IF(O104&lt;12,"0",0.049*H104)*2</f>
        <v>1.5680000000000001</v>
      </c>
      <c r="M104" s="17">
        <v>2</v>
      </c>
      <c r="N104" s="11">
        <f>M104*2*H104/1000</f>
        <v>6.4000000000000001E-2</v>
      </c>
      <c r="O104" s="16">
        <f>(D104+C104+F104)-N104</f>
        <v>30.470999999999997</v>
      </c>
      <c r="P104" s="16">
        <f>(I104*J104*O104)+L104</f>
        <v>123.45199999999998</v>
      </c>
      <c r="Q104" s="18" t="str">
        <f t="shared" si="0"/>
        <v/>
      </c>
      <c r="R104" s="18" t="str">
        <f t="shared" si="1"/>
        <v/>
      </c>
      <c r="S104" s="18" t="str">
        <f t="shared" si="2"/>
        <v/>
      </c>
      <c r="T104" s="18">
        <f t="shared" si="3"/>
        <v>123.45199999999998</v>
      </c>
      <c r="U104" s="18" t="str">
        <f t="shared" si="4"/>
        <v/>
      </c>
      <c r="V104" s="18" t="str">
        <f t="shared" si="5"/>
        <v/>
      </c>
      <c r="W104" s="14"/>
    </row>
    <row r="105" spans="1:23" x14ac:dyDescent="0.25">
      <c r="A105" s="6"/>
      <c r="B105" s="22"/>
      <c r="C105" s="8"/>
      <c r="D105" s="20"/>
      <c r="E105" s="21"/>
      <c r="F105" s="34"/>
      <c r="G105" s="35"/>
      <c r="H105" s="10"/>
      <c r="I105" s="11"/>
      <c r="J105" s="11"/>
      <c r="K105" s="12"/>
      <c r="L105" s="11"/>
      <c r="M105" s="11"/>
      <c r="N105" s="11"/>
      <c r="O105" s="11"/>
      <c r="P105" s="13"/>
      <c r="Q105" s="18" t="str">
        <f t="shared" si="0"/>
        <v/>
      </c>
      <c r="R105" s="18" t="str">
        <f t="shared" si="1"/>
        <v/>
      </c>
      <c r="S105" s="18" t="str">
        <f t="shared" si="2"/>
        <v/>
      </c>
      <c r="T105" s="18" t="str">
        <f t="shared" si="3"/>
        <v/>
      </c>
      <c r="U105" s="18" t="str">
        <f t="shared" si="4"/>
        <v/>
      </c>
      <c r="V105" s="18" t="str">
        <f t="shared" si="5"/>
        <v/>
      </c>
      <c r="W105" s="14"/>
    </row>
    <row r="106" spans="1:23" x14ac:dyDescent="0.25">
      <c r="A106" s="6">
        <v>7</v>
      </c>
      <c r="B106" s="7" t="s">
        <v>120</v>
      </c>
      <c r="C106" s="8"/>
      <c r="D106" s="20"/>
      <c r="E106" s="20"/>
      <c r="F106" s="34"/>
      <c r="G106" s="35"/>
      <c r="H106" s="10"/>
      <c r="I106" s="11"/>
      <c r="J106" s="11"/>
      <c r="K106" s="12"/>
      <c r="L106" s="11"/>
      <c r="M106" s="11"/>
      <c r="N106" s="11"/>
      <c r="O106" s="11"/>
      <c r="P106" s="13"/>
      <c r="Q106" s="18" t="str">
        <f t="shared" si="0"/>
        <v/>
      </c>
      <c r="R106" s="18" t="str">
        <f t="shared" si="1"/>
        <v/>
      </c>
      <c r="S106" s="18" t="str">
        <f t="shared" si="2"/>
        <v/>
      </c>
      <c r="T106" s="18" t="str">
        <f t="shared" si="3"/>
        <v/>
      </c>
      <c r="U106" s="18" t="str">
        <f t="shared" si="4"/>
        <v/>
      </c>
      <c r="V106" s="18" t="str">
        <f t="shared" si="5"/>
        <v/>
      </c>
      <c r="W106" s="14"/>
    </row>
    <row r="107" spans="1:23" x14ac:dyDescent="0.25">
      <c r="A107" s="6"/>
      <c r="B107" t="s">
        <v>19</v>
      </c>
      <c r="C107" s="19">
        <v>0.5</v>
      </c>
      <c r="D107" s="63">
        <f>15.8-2*0.05</f>
        <v>15.700000000000001</v>
      </c>
      <c r="E107" s="64"/>
      <c r="F107" s="19">
        <v>0.5</v>
      </c>
      <c r="G107" s="36">
        <v>0.25</v>
      </c>
      <c r="H107" s="10">
        <v>16</v>
      </c>
      <c r="I107" s="11">
        <v>1</v>
      </c>
      <c r="J107" s="13">
        <f>ROUND(11.285/G107+1,0)</f>
        <v>46</v>
      </c>
      <c r="K107" s="45">
        <f>D107</f>
        <v>15.700000000000001</v>
      </c>
      <c r="L107" s="16">
        <f>IF(O107&lt;12,"0",0.049*H107)</f>
        <v>0.78400000000000003</v>
      </c>
      <c r="M107" s="17">
        <v>2</v>
      </c>
      <c r="N107" s="11">
        <f>M107*2*H107/1000</f>
        <v>6.4000000000000001E-2</v>
      </c>
      <c r="O107" s="16">
        <f>(D107+C107+F107)-N107</f>
        <v>16.636000000000003</v>
      </c>
      <c r="P107" s="16">
        <f>(I107*J107*O107)+L107</f>
        <v>766.04000000000008</v>
      </c>
      <c r="Q107" s="18" t="str">
        <f t="shared" si="0"/>
        <v/>
      </c>
      <c r="R107" s="18" t="str">
        <f t="shared" si="1"/>
        <v/>
      </c>
      <c r="S107" s="18" t="str">
        <f t="shared" si="2"/>
        <v/>
      </c>
      <c r="T107" s="18">
        <f t="shared" si="3"/>
        <v>766.04000000000008</v>
      </c>
      <c r="U107" s="18" t="str">
        <f t="shared" si="4"/>
        <v/>
      </c>
      <c r="V107" s="18" t="str">
        <f t="shared" si="5"/>
        <v/>
      </c>
      <c r="W107" s="14"/>
    </row>
    <row r="108" spans="1:23" x14ac:dyDescent="0.25">
      <c r="A108" s="6"/>
      <c r="B108" s="22"/>
      <c r="C108" s="8"/>
      <c r="D108" s="20"/>
      <c r="E108" s="21"/>
      <c r="F108" s="34"/>
      <c r="G108" s="35"/>
      <c r="H108" s="10"/>
      <c r="I108" s="11"/>
      <c r="J108" s="11"/>
      <c r="K108" s="12"/>
      <c r="L108" s="11"/>
      <c r="M108" s="11"/>
      <c r="N108" s="11"/>
      <c r="O108" s="11"/>
      <c r="P108" s="13"/>
      <c r="Q108" s="18" t="str">
        <f t="shared" si="0"/>
        <v/>
      </c>
      <c r="R108" s="18" t="str">
        <f t="shared" si="1"/>
        <v/>
      </c>
      <c r="S108" s="18" t="str">
        <f t="shared" si="2"/>
        <v/>
      </c>
      <c r="T108" s="18" t="str">
        <f t="shared" si="3"/>
        <v/>
      </c>
      <c r="U108" s="18" t="str">
        <f t="shared" si="4"/>
        <v/>
      </c>
      <c r="V108" s="18" t="str">
        <f t="shared" si="5"/>
        <v/>
      </c>
      <c r="W108" s="14"/>
    </row>
    <row r="109" spans="1:23" x14ac:dyDescent="0.25">
      <c r="A109" s="6"/>
      <c r="B109" s="22"/>
      <c r="C109" s="8"/>
      <c r="D109" s="20"/>
      <c r="E109" s="21"/>
      <c r="F109" s="34"/>
      <c r="G109" s="35"/>
      <c r="H109" s="10"/>
      <c r="I109" s="11"/>
      <c r="J109" s="11"/>
      <c r="K109" s="12"/>
      <c r="L109" s="11"/>
      <c r="M109" s="11"/>
      <c r="N109" s="11"/>
      <c r="O109" s="11"/>
      <c r="P109" s="13"/>
      <c r="Q109" s="18" t="str">
        <f t="shared" ref="Q109:Q158" si="6">IF($H109=8,$P109,"")</f>
        <v/>
      </c>
      <c r="R109" s="18" t="str">
        <f t="shared" ref="R109:R158" si="7">IF($H109=10,$P109,"")</f>
        <v/>
      </c>
      <c r="S109" s="18" t="str">
        <f t="shared" ref="S109:S158" si="8">IF($H109=12,$P109,"")</f>
        <v/>
      </c>
      <c r="T109" s="18" t="str">
        <f t="shared" ref="T109:T158" si="9">IF($H109=16,$P109,"")</f>
        <v/>
      </c>
      <c r="U109" s="18" t="str">
        <f t="shared" ref="U109:U158" si="10">IF($H109=20,$P109,"")</f>
        <v/>
      </c>
      <c r="V109" s="18" t="str">
        <f t="shared" ref="V109:V158" si="11">IF($H109=25,$P109,"")</f>
        <v/>
      </c>
      <c r="W109" s="14"/>
    </row>
    <row r="110" spans="1:23" x14ac:dyDescent="0.25">
      <c r="A110" s="6"/>
      <c r="B110" s="42" t="s">
        <v>24</v>
      </c>
      <c r="C110" s="8"/>
      <c r="D110" s="20"/>
      <c r="E110" s="20"/>
      <c r="F110" s="34"/>
      <c r="G110" s="35"/>
      <c r="H110" s="10"/>
      <c r="I110" s="11"/>
      <c r="J110" s="11"/>
      <c r="K110" s="12"/>
      <c r="L110" s="11"/>
      <c r="M110" s="11"/>
      <c r="N110" s="11"/>
      <c r="O110" s="11"/>
      <c r="P110" s="13"/>
      <c r="Q110" s="18" t="str">
        <f t="shared" si="6"/>
        <v/>
      </c>
      <c r="R110" s="18" t="str">
        <f t="shared" si="7"/>
        <v/>
      </c>
      <c r="S110" s="18" t="str">
        <f t="shared" si="8"/>
        <v/>
      </c>
      <c r="T110" s="18" t="str">
        <f t="shared" si="9"/>
        <v/>
      </c>
      <c r="U110" s="18" t="str">
        <f t="shared" si="10"/>
        <v/>
      </c>
      <c r="V110" s="18" t="str">
        <f t="shared" si="11"/>
        <v/>
      </c>
      <c r="W110" s="14"/>
    </row>
    <row r="111" spans="1:23" x14ac:dyDescent="0.25">
      <c r="A111" s="6">
        <v>1</v>
      </c>
      <c r="B111" s="40" t="s">
        <v>121</v>
      </c>
      <c r="C111" s="8"/>
      <c r="D111" s="20"/>
      <c r="E111" s="20"/>
      <c r="F111" s="34"/>
      <c r="G111" s="35"/>
      <c r="H111" s="10"/>
      <c r="I111" s="11"/>
      <c r="J111" s="11"/>
      <c r="K111" s="12"/>
      <c r="L111" s="11"/>
      <c r="M111" s="11"/>
      <c r="N111" s="11"/>
      <c r="O111" s="11"/>
      <c r="P111" s="13"/>
      <c r="Q111" s="18" t="str">
        <f t="shared" si="6"/>
        <v/>
      </c>
      <c r="R111" s="18" t="str">
        <f t="shared" si="7"/>
        <v/>
      </c>
      <c r="S111" s="18" t="str">
        <f t="shared" si="8"/>
        <v/>
      </c>
      <c r="T111" s="18" t="str">
        <f t="shared" si="9"/>
        <v/>
      </c>
      <c r="U111" s="18" t="str">
        <f t="shared" si="10"/>
        <v/>
      </c>
      <c r="V111" s="18" t="str">
        <f t="shared" si="11"/>
        <v/>
      </c>
      <c r="W111" s="14"/>
    </row>
    <row r="112" spans="1:23" x14ac:dyDescent="0.25">
      <c r="A112" s="6"/>
      <c r="B112" s="60" t="s">
        <v>29</v>
      </c>
      <c r="C112" s="19">
        <v>0.5</v>
      </c>
      <c r="D112" s="63">
        <f>8.875-2*0.05</f>
        <v>8.7750000000000004</v>
      </c>
      <c r="E112" s="64"/>
      <c r="F112" s="19">
        <v>0.5</v>
      </c>
      <c r="G112" s="36">
        <v>0.25</v>
      </c>
      <c r="H112" s="10">
        <v>16</v>
      </c>
      <c r="I112" s="11">
        <v>1</v>
      </c>
      <c r="J112" s="13">
        <f>ROUND(1.5/G112+1,0)</f>
        <v>7</v>
      </c>
      <c r="K112" s="45">
        <f>D112</f>
        <v>8.7750000000000004</v>
      </c>
      <c r="L112" s="37" t="str">
        <f>IF(O112&lt;12,"0",0.049*H112)</f>
        <v>0</v>
      </c>
      <c r="M112" s="17">
        <v>2</v>
      </c>
      <c r="N112" s="11">
        <f>M112*2*H112/1000</f>
        <v>6.4000000000000001E-2</v>
      </c>
      <c r="O112" s="16">
        <f>(D112+C112+F112)-N112</f>
        <v>9.7110000000000003</v>
      </c>
      <c r="P112" s="16">
        <f>(I112*J112*O112)+L112</f>
        <v>67.977000000000004</v>
      </c>
      <c r="Q112" s="18" t="str">
        <f t="shared" si="6"/>
        <v/>
      </c>
      <c r="R112" s="18" t="str">
        <f t="shared" si="7"/>
        <v/>
      </c>
      <c r="S112" s="18" t="str">
        <f t="shared" si="8"/>
        <v/>
      </c>
      <c r="T112" s="18">
        <f t="shared" si="9"/>
        <v>67.977000000000004</v>
      </c>
      <c r="U112" s="18" t="str">
        <f t="shared" si="10"/>
        <v/>
      </c>
      <c r="V112" s="18" t="str">
        <f t="shared" si="11"/>
        <v/>
      </c>
      <c r="W112" s="14"/>
    </row>
    <row r="113" spans="1:23" x14ac:dyDescent="0.25">
      <c r="A113" s="6"/>
      <c r="B113" s="40"/>
      <c r="C113" s="8"/>
      <c r="D113" s="20"/>
      <c r="E113" s="20"/>
      <c r="F113" s="34"/>
      <c r="G113" s="35"/>
      <c r="H113" s="10"/>
      <c r="I113" s="11"/>
      <c r="J113" s="11"/>
      <c r="K113" s="12"/>
      <c r="L113" s="11"/>
      <c r="M113" s="11"/>
      <c r="N113" s="11"/>
      <c r="O113" s="11"/>
      <c r="P113" s="13"/>
      <c r="Q113" s="18" t="str">
        <f t="shared" si="6"/>
        <v/>
      </c>
      <c r="R113" s="18" t="str">
        <f t="shared" si="7"/>
        <v/>
      </c>
      <c r="S113" s="18" t="str">
        <f t="shared" si="8"/>
        <v/>
      </c>
      <c r="T113" s="18" t="str">
        <f t="shared" si="9"/>
        <v/>
      </c>
      <c r="U113" s="18" t="str">
        <f t="shared" si="10"/>
        <v/>
      </c>
      <c r="V113" s="18" t="str">
        <f t="shared" si="11"/>
        <v/>
      </c>
      <c r="W113" s="14"/>
    </row>
    <row r="114" spans="1:23" x14ac:dyDescent="0.25">
      <c r="A114" s="6">
        <v>2</v>
      </c>
      <c r="B114" s="40" t="s">
        <v>122</v>
      </c>
      <c r="C114" s="8"/>
      <c r="D114" s="20"/>
      <c r="E114" s="20"/>
      <c r="F114" s="34"/>
      <c r="G114" s="35"/>
      <c r="H114" s="10"/>
      <c r="I114" s="11"/>
      <c r="J114" s="11"/>
      <c r="K114" s="12"/>
      <c r="L114" s="11"/>
      <c r="M114" s="11"/>
      <c r="N114" s="11"/>
      <c r="O114" s="11"/>
      <c r="P114" s="13"/>
      <c r="Q114" s="18" t="str">
        <f t="shared" si="6"/>
        <v/>
      </c>
      <c r="R114" s="18" t="str">
        <f t="shared" si="7"/>
        <v/>
      </c>
      <c r="S114" s="18" t="str">
        <f t="shared" si="8"/>
        <v/>
      </c>
      <c r="T114" s="18" t="str">
        <f t="shared" si="9"/>
        <v/>
      </c>
      <c r="U114" s="18" t="str">
        <f t="shared" si="10"/>
        <v/>
      </c>
      <c r="V114" s="18" t="str">
        <f t="shared" si="11"/>
        <v/>
      </c>
      <c r="W114" s="14"/>
    </row>
    <row r="115" spans="1:23" x14ac:dyDescent="0.25">
      <c r="A115" s="6"/>
      <c r="B115" s="60" t="s">
        <v>29</v>
      </c>
      <c r="C115" s="19">
        <v>0.5</v>
      </c>
      <c r="D115" s="63">
        <f>12.825-2*0.05</f>
        <v>12.725</v>
      </c>
      <c r="E115" s="64"/>
      <c r="F115" s="19">
        <v>0.5</v>
      </c>
      <c r="G115" s="36">
        <v>0.25</v>
      </c>
      <c r="H115" s="10">
        <v>16</v>
      </c>
      <c r="I115" s="11">
        <v>1</v>
      </c>
      <c r="J115" s="13">
        <f>ROUND(0.815/G115+1,0)</f>
        <v>4</v>
      </c>
      <c r="K115" s="45">
        <f>D115</f>
        <v>12.725</v>
      </c>
      <c r="L115" s="37">
        <f>IF(O115&lt;12,"0",0.049*H115)</f>
        <v>0.78400000000000003</v>
      </c>
      <c r="M115" s="17">
        <v>2</v>
      </c>
      <c r="N115" s="11">
        <f>M115*2*H115/1000</f>
        <v>6.4000000000000001E-2</v>
      </c>
      <c r="O115" s="16">
        <f>(D115+C115+F115)-N115</f>
        <v>13.661</v>
      </c>
      <c r="P115" s="16">
        <f>(I115*J115*O115)+L115</f>
        <v>55.427999999999997</v>
      </c>
      <c r="Q115" s="18" t="str">
        <f t="shared" si="6"/>
        <v/>
      </c>
      <c r="R115" s="18" t="str">
        <f t="shared" si="7"/>
        <v/>
      </c>
      <c r="S115" s="18" t="str">
        <f t="shared" si="8"/>
        <v/>
      </c>
      <c r="T115" s="18">
        <f t="shared" si="9"/>
        <v>55.427999999999997</v>
      </c>
      <c r="U115" s="18" t="str">
        <f t="shared" si="10"/>
        <v/>
      </c>
      <c r="V115" s="18" t="str">
        <f t="shared" si="11"/>
        <v/>
      </c>
      <c r="W115" s="14"/>
    </row>
    <row r="116" spans="1:23" x14ac:dyDescent="0.25">
      <c r="A116" s="6"/>
      <c r="B116" s="60"/>
      <c r="C116" s="19"/>
      <c r="D116" s="56"/>
      <c r="E116" s="56"/>
      <c r="F116" s="41"/>
      <c r="G116" s="36"/>
      <c r="H116" s="10"/>
      <c r="I116" s="11"/>
      <c r="J116" s="13"/>
      <c r="K116" s="45"/>
      <c r="L116" s="37"/>
      <c r="M116" s="17"/>
      <c r="N116" s="11"/>
      <c r="O116" s="16"/>
      <c r="P116" s="16"/>
      <c r="Q116" s="18" t="str">
        <f t="shared" si="6"/>
        <v/>
      </c>
      <c r="R116" s="18" t="str">
        <f t="shared" si="7"/>
        <v/>
      </c>
      <c r="S116" s="18" t="str">
        <f t="shared" si="8"/>
        <v/>
      </c>
      <c r="T116" s="18" t="str">
        <f t="shared" si="9"/>
        <v/>
      </c>
      <c r="U116" s="18" t="str">
        <f t="shared" si="10"/>
        <v/>
      </c>
      <c r="V116" s="18" t="str">
        <f t="shared" si="11"/>
        <v/>
      </c>
      <c r="W116" s="14"/>
    </row>
    <row r="117" spans="1:23" x14ac:dyDescent="0.25">
      <c r="A117" s="6">
        <v>3</v>
      </c>
      <c r="B117" s="40" t="s">
        <v>123</v>
      </c>
      <c r="C117" s="8"/>
      <c r="D117" s="20"/>
      <c r="E117" s="20"/>
      <c r="F117" s="34"/>
      <c r="G117" s="35"/>
      <c r="H117" s="10"/>
      <c r="I117" s="11"/>
      <c r="J117" s="11"/>
      <c r="K117" s="12"/>
      <c r="L117" s="11"/>
      <c r="M117" s="11"/>
      <c r="N117" s="11"/>
      <c r="O117" s="11"/>
      <c r="P117" s="13"/>
      <c r="Q117" s="18" t="str">
        <f t="shared" si="6"/>
        <v/>
      </c>
      <c r="R117" s="18" t="str">
        <f t="shared" si="7"/>
        <v/>
      </c>
      <c r="S117" s="18" t="str">
        <f t="shared" si="8"/>
        <v/>
      </c>
      <c r="T117" s="18" t="str">
        <f t="shared" si="9"/>
        <v/>
      </c>
      <c r="U117" s="18" t="str">
        <f t="shared" si="10"/>
        <v/>
      </c>
      <c r="V117" s="18" t="str">
        <f t="shared" si="11"/>
        <v/>
      </c>
      <c r="W117" s="14"/>
    </row>
    <row r="118" spans="1:23" x14ac:dyDescent="0.25">
      <c r="A118" s="6"/>
      <c r="B118" s="60" t="s">
        <v>29</v>
      </c>
      <c r="C118" s="19">
        <v>0.5</v>
      </c>
      <c r="D118" s="63">
        <f>14.52-2*0.05</f>
        <v>14.42</v>
      </c>
      <c r="E118" s="64"/>
      <c r="F118" s="19">
        <v>0.5</v>
      </c>
      <c r="G118" s="36">
        <v>0.25</v>
      </c>
      <c r="H118" s="10">
        <v>16</v>
      </c>
      <c r="I118" s="11">
        <v>1</v>
      </c>
      <c r="J118" s="13">
        <f>ROUND(1.405/G118+1,0)</f>
        <v>7</v>
      </c>
      <c r="K118" s="45">
        <f>D118</f>
        <v>14.42</v>
      </c>
      <c r="L118" s="37">
        <f>IF(O118&lt;12,"0",0.049*H118)</f>
        <v>0.78400000000000003</v>
      </c>
      <c r="M118" s="17">
        <v>2</v>
      </c>
      <c r="N118" s="11">
        <f>M118*2*H118/1000</f>
        <v>6.4000000000000001E-2</v>
      </c>
      <c r="O118" s="16">
        <f>(D118+C118+F118)-N118</f>
        <v>15.356</v>
      </c>
      <c r="P118" s="16">
        <f>(I118*J118*O118)+L118</f>
        <v>108.27600000000001</v>
      </c>
      <c r="Q118" s="18" t="str">
        <f t="shared" si="6"/>
        <v/>
      </c>
      <c r="R118" s="18" t="str">
        <f t="shared" si="7"/>
        <v/>
      </c>
      <c r="S118" s="18" t="str">
        <f t="shared" si="8"/>
        <v/>
      </c>
      <c r="T118" s="18">
        <f t="shared" si="9"/>
        <v>108.27600000000001</v>
      </c>
      <c r="U118" s="18" t="str">
        <f t="shared" si="10"/>
        <v/>
      </c>
      <c r="V118" s="18" t="str">
        <f t="shared" si="11"/>
        <v/>
      </c>
      <c r="W118" s="14"/>
    </row>
    <row r="119" spans="1:23" x14ac:dyDescent="0.25">
      <c r="A119" s="6"/>
      <c r="B119" s="40"/>
      <c r="C119" s="8"/>
      <c r="D119" s="20"/>
      <c r="E119" s="20"/>
      <c r="F119" s="34"/>
      <c r="G119" s="35"/>
      <c r="H119" s="10"/>
      <c r="I119" s="11"/>
      <c r="J119" s="11"/>
      <c r="K119" s="12"/>
      <c r="L119" s="11"/>
      <c r="M119" s="11"/>
      <c r="N119" s="11"/>
      <c r="O119" s="11"/>
      <c r="P119" s="13"/>
      <c r="Q119" s="18" t="str">
        <f t="shared" si="6"/>
        <v/>
      </c>
      <c r="R119" s="18" t="str">
        <f t="shared" si="7"/>
        <v/>
      </c>
      <c r="S119" s="18" t="str">
        <f t="shared" si="8"/>
        <v/>
      </c>
      <c r="T119" s="18" t="str">
        <f t="shared" si="9"/>
        <v/>
      </c>
      <c r="U119" s="18" t="str">
        <f t="shared" si="10"/>
        <v/>
      </c>
      <c r="V119" s="18" t="str">
        <f t="shared" si="11"/>
        <v/>
      </c>
      <c r="W119" s="14"/>
    </row>
    <row r="120" spans="1:23" x14ac:dyDescent="0.25">
      <c r="A120" s="6">
        <v>4</v>
      </c>
      <c r="B120" s="40" t="s">
        <v>124</v>
      </c>
      <c r="C120" s="8"/>
      <c r="D120" s="20"/>
      <c r="E120" s="20"/>
      <c r="F120" s="34"/>
      <c r="G120" s="35"/>
      <c r="H120" s="10"/>
      <c r="I120" s="11"/>
      <c r="J120" s="11"/>
      <c r="K120" s="12"/>
      <c r="L120" s="11"/>
      <c r="M120" s="11"/>
      <c r="N120" s="11"/>
      <c r="O120" s="11"/>
      <c r="P120" s="13"/>
      <c r="Q120" s="18" t="str">
        <f t="shared" si="6"/>
        <v/>
      </c>
      <c r="R120" s="18" t="str">
        <f t="shared" si="7"/>
        <v/>
      </c>
      <c r="S120" s="18" t="str">
        <f t="shared" si="8"/>
        <v/>
      </c>
      <c r="T120" s="18" t="str">
        <f t="shared" si="9"/>
        <v/>
      </c>
      <c r="U120" s="18" t="str">
        <f t="shared" si="10"/>
        <v/>
      </c>
      <c r="V120" s="18" t="str">
        <f t="shared" si="11"/>
        <v/>
      </c>
      <c r="W120" s="14"/>
    </row>
    <row r="121" spans="1:23" x14ac:dyDescent="0.25">
      <c r="A121" s="6"/>
      <c r="B121" s="60" t="s">
        <v>29</v>
      </c>
      <c r="C121" s="19"/>
      <c r="D121" s="63">
        <f>25.805-1*0.05</f>
        <v>25.754999999999999</v>
      </c>
      <c r="E121" s="63"/>
      <c r="F121" s="41">
        <v>0.5</v>
      </c>
      <c r="G121" s="36">
        <v>0.25</v>
      </c>
      <c r="H121" s="10">
        <v>16</v>
      </c>
      <c r="I121" s="11">
        <v>1</v>
      </c>
      <c r="J121" s="13">
        <f>ROUND(6.565/G121+1,0)</f>
        <v>27</v>
      </c>
      <c r="K121" s="45">
        <f>D121</f>
        <v>25.754999999999999</v>
      </c>
      <c r="L121" s="37">
        <f>IF(O121&lt;12,"0",0.049*H121)*2</f>
        <v>1.5680000000000001</v>
      </c>
      <c r="M121" s="17">
        <v>1</v>
      </c>
      <c r="N121" s="11">
        <f>M121*1*H121/1000</f>
        <v>1.6E-2</v>
      </c>
      <c r="O121" s="16">
        <f>(D121+C121+F121)-N121</f>
        <v>26.239000000000001</v>
      </c>
      <c r="P121" s="16">
        <f>(I121*J121*O121)+L121</f>
        <v>710.02099999999996</v>
      </c>
      <c r="Q121" s="18" t="str">
        <f t="shared" si="6"/>
        <v/>
      </c>
      <c r="R121" s="18" t="str">
        <f t="shared" si="7"/>
        <v/>
      </c>
      <c r="S121" s="18" t="str">
        <f t="shared" si="8"/>
        <v/>
      </c>
      <c r="T121" s="18">
        <f t="shared" si="9"/>
        <v>710.02099999999996</v>
      </c>
      <c r="U121" s="18" t="str">
        <f t="shared" si="10"/>
        <v/>
      </c>
      <c r="V121" s="18" t="str">
        <f t="shared" si="11"/>
        <v/>
      </c>
      <c r="W121" s="14"/>
    </row>
    <row r="122" spans="1:23" x14ac:dyDescent="0.25">
      <c r="A122" s="6"/>
      <c r="B122" s="40"/>
      <c r="C122" s="8"/>
      <c r="D122" s="20"/>
      <c r="E122" s="20"/>
      <c r="F122" s="34"/>
      <c r="G122" s="35"/>
      <c r="H122" s="10"/>
      <c r="I122" s="11"/>
      <c r="J122" s="11"/>
      <c r="K122" s="12"/>
      <c r="L122" s="11"/>
      <c r="M122" s="11"/>
      <c r="N122" s="11"/>
      <c r="O122" s="11"/>
      <c r="P122" s="13"/>
      <c r="Q122" s="18" t="str">
        <f t="shared" si="6"/>
        <v/>
      </c>
      <c r="R122" s="18" t="str">
        <f t="shared" si="7"/>
        <v/>
      </c>
      <c r="S122" s="18" t="str">
        <f t="shared" si="8"/>
        <v/>
      </c>
      <c r="T122" s="18" t="str">
        <f t="shared" si="9"/>
        <v/>
      </c>
      <c r="U122" s="18" t="str">
        <f t="shared" si="10"/>
        <v/>
      </c>
      <c r="V122" s="18" t="str">
        <f t="shared" si="11"/>
        <v/>
      </c>
      <c r="W122" s="14"/>
    </row>
    <row r="123" spans="1:23" x14ac:dyDescent="0.25">
      <c r="A123" s="6">
        <v>5</v>
      </c>
      <c r="B123" s="40" t="s">
        <v>125</v>
      </c>
      <c r="C123" s="8"/>
      <c r="D123" s="20"/>
      <c r="E123" s="20"/>
      <c r="F123" s="34"/>
      <c r="G123" s="35"/>
      <c r="H123" s="10"/>
      <c r="I123" s="11"/>
      <c r="J123" s="11"/>
      <c r="K123" s="12"/>
      <c r="L123" s="11"/>
      <c r="M123" s="11"/>
      <c r="N123" s="11"/>
      <c r="O123" s="11"/>
      <c r="P123" s="13"/>
      <c r="Q123" s="18" t="str">
        <f t="shared" si="6"/>
        <v/>
      </c>
      <c r="R123" s="18" t="str">
        <f t="shared" si="7"/>
        <v/>
      </c>
      <c r="S123" s="18" t="str">
        <f t="shared" si="8"/>
        <v/>
      </c>
      <c r="T123" s="18" t="str">
        <f t="shared" si="9"/>
        <v/>
      </c>
      <c r="U123" s="18" t="str">
        <f t="shared" si="10"/>
        <v/>
      </c>
      <c r="V123" s="18" t="str">
        <f t="shared" si="11"/>
        <v/>
      </c>
      <c r="W123" s="14"/>
    </row>
    <row r="124" spans="1:23" x14ac:dyDescent="0.25">
      <c r="A124" s="6"/>
      <c r="B124" s="60" t="s">
        <v>29</v>
      </c>
      <c r="C124" s="19"/>
      <c r="D124" s="63">
        <f>36.89-1*0.05</f>
        <v>36.840000000000003</v>
      </c>
      <c r="E124" s="63"/>
      <c r="F124" s="41">
        <v>0.5</v>
      </c>
      <c r="G124" s="36">
        <v>0.25</v>
      </c>
      <c r="H124" s="10">
        <v>16</v>
      </c>
      <c r="I124" s="11">
        <v>1</v>
      </c>
      <c r="J124" s="13">
        <f>ROUND(9.235/G124+1,0)-8</f>
        <v>30</v>
      </c>
      <c r="K124" s="45">
        <f>D124</f>
        <v>36.840000000000003</v>
      </c>
      <c r="L124" s="37">
        <f>IF(O124&lt;12,"0",0.049*H124)*3</f>
        <v>2.3520000000000003</v>
      </c>
      <c r="M124" s="17">
        <v>1</v>
      </c>
      <c r="N124" s="11">
        <f>M124*1*H124/1000</f>
        <v>1.6E-2</v>
      </c>
      <c r="O124" s="16">
        <f>(D124+C124+F124)-N124</f>
        <v>37.324000000000005</v>
      </c>
      <c r="P124" s="16">
        <f>(I124*J124*O124)+L124</f>
        <v>1122.0720000000003</v>
      </c>
      <c r="Q124" s="18" t="str">
        <f t="shared" si="6"/>
        <v/>
      </c>
      <c r="R124" s="18" t="str">
        <f t="shared" si="7"/>
        <v/>
      </c>
      <c r="S124" s="18" t="str">
        <f t="shared" si="8"/>
        <v/>
      </c>
      <c r="T124" s="18">
        <f t="shared" si="9"/>
        <v>1122.0720000000003</v>
      </c>
      <c r="U124" s="18" t="str">
        <f t="shared" si="10"/>
        <v/>
      </c>
      <c r="V124" s="18" t="str">
        <f t="shared" si="11"/>
        <v/>
      </c>
      <c r="W124" s="14"/>
    </row>
    <row r="125" spans="1:23" x14ac:dyDescent="0.25">
      <c r="A125" s="6"/>
      <c r="B125" s="40"/>
      <c r="C125" s="8"/>
      <c r="D125" s="20"/>
      <c r="E125" s="20"/>
      <c r="F125" s="34"/>
      <c r="G125" s="35"/>
      <c r="H125" s="10"/>
      <c r="I125" s="11"/>
      <c r="J125" s="11"/>
      <c r="K125" s="12"/>
      <c r="L125" s="11"/>
      <c r="M125" s="11"/>
      <c r="N125" s="11"/>
      <c r="O125" s="11"/>
      <c r="P125" s="13"/>
      <c r="Q125" s="18" t="str">
        <f t="shared" si="6"/>
        <v/>
      </c>
      <c r="R125" s="18" t="str">
        <f t="shared" si="7"/>
        <v/>
      </c>
      <c r="S125" s="18" t="str">
        <f t="shared" si="8"/>
        <v/>
      </c>
      <c r="T125" s="18" t="str">
        <f t="shared" si="9"/>
        <v/>
      </c>
      <c r="U125" s="18" t="str">
        <f t="shared" si="10"/>
        <v/>
      </c>
      <c r="V125" s="18" t="str">
        <f t="shared" si="11"/>
        <v/>
      </c>
      <c r="W125" s="14"/>
    </row>
    <row r="126" spans="1:23" x14ac:dyDescent="0.25">
      <c r="A126" s="6">
        <v>6</v>
      </c>
      <c r="B126" s="40" t="s">
        <v>126</v>
      </c>
      <c r="C126" s="8"/>
      <c r="D126" s="20"/>
      <c r="E126" s="20"/>
      <c r="F126" s="34"/>
      <c r="G126" s="35"/>
      <c r="H126" s="10"/>
      <c r="I126" s="11"/>
      <c r="J126" s="11"/>
      <c r="K126" s="12"/>
      <c r="L126" s="11"/>
      <c r="M126" s="11"/>
      <c r="N126" s="11"/>
      <c r="O126" s="11"/>
      <c r="P126" s="13"/>
      <c r="Q126" s="18" t="str">
        <f t="shared" si="6"/>
        <v/>
      </c>
      <c r="R126" s="18" t="str">
        <f t="shared" si="7"/>
        <v/>
      </c>
      <c r="S126" s="18" t="str">
        <f t="shared" si="8"/>
        <v/>
      </c>
      <c r="T126" s="18" t="str">
        <f t="shared" si="9"/>
        <v/>
      </c>
      <c r="U126" s="18" t="str">
        <f t="shared" si="10"/>
        <v/>
      </c>
      <c r="V126" s="18" t="str">
        <f t="shared" si="11"/>
        <v/>
      </c>
      <c r="W126" s="14"/>
    </row>
    <row r="127" spans="1:23" x14ac:dyDescent="0.25">
      <c r="A127" s="6"/>
      <c r="B127" s="60" t="s">
        <v>29</v>
      </c>
      <c r="C127" s="19">
        <v>0.5</v>
      </c>
      <c r="D127" s="63">
        <f>25.89-2*0.05</f>
        <v>25.79</v>
      </c>
      <c r="E127" s="64"/>
      <c r="F127" s="19">
        <v>0.5</v>
      </c>
      <c r="G127" s="36">
        <v>0.25</v>
      </c>
      <c r="H127" s="10">
        <v>16</v>
      </c>
      <c r="I127" s="11">
        <v>1</v>
      </c>
      <c r="J127" s="13">
        <f>ROUND(12.415/G127+1,0)</f>
        <v>51</v>
      </c>
      <c r="K127" s="45">
        <f>D127</f>
        <v>25.79</v>
      </c>
      <c r="L127" s="37">
        <f>IF(O127&lt;12,"0",0.049*H127)*2</f>
        <v>1.5680000000000001</v>
      </c>
      <c r="M127" s="17">
        <v>2</v>
      </c>
      <c r="N127" s="11">
        <f>M127*2*H127/1000</f>
        <v>6.4000000000000001E-2</v>
      </c>
      <c r="O127" s="16">
        <f>(D127+C127+F127)-N127</f>
        <v>26.725999999999999</v>
      </c>
      <c r="P127" s="16">
        <f>(I127*J127*O127)+L127</f>
        <v>1364.5939999999998</v>
      </c>
      <c r="Q127" s="18" t="str">
        <f t="shared" si="6"/>
        <v/>
      </c>
      <c r="R127" s="18" t="str">
        <f t="shared" si="7"/>
        <v/>
      </c>
      <c r="S127" s="18" t="str">
        <f t="shared" si="8"/>
        <v/>
      </c>
      <c r="T127" s="18">
        <f t="shared" si="9"/>
        <v>1364.5939999999998</v>
      </c>
      <c r="U127" s="18" t="str">
        <f t="shared" si="10"/>
        <v/>
      </c>
      <c r="V127" s="18" t="str">
        <f t="shared" si="11"/>
        <v/>
      </c>
      <c r="W127" s="14"/>
    </row>
    <row r="128" spans="1:23" x14ac:dyDescent="0.25">
      <c r="A128" s="6"/>
      <c r="B128" s="40"/>
      <c r="C128" s="8"/>
      <c r="D128" s="20"/>
      <c r="E128" s="20"/>
      <c r="F128" s="34"/>
      <c r="G128" s="35"/>
      <c r="H128" s="10"/>
      <c r="I128" s="11"/>
      <c r="J128" s="11"/>
      <c r="K128" s="12"/>
      <c r="L128" s="11"/>
      <c r="M128" s="11"/>
      <c r="N128" s="11"/>
      <c r="O128" s="11"/>
      <c r="P128" s="13"/>
      <c r="Q128" s="18" t="str">
        <f t="shared" si="6"/>
        <v/>
      </c>
      <c r="R128" s="18" t="str">
        <f t="shared" si="7"/>
        <v/>
      </c>
      <c r="S128" s="18" t="str">
        <f t="shared" si="8"/>
        <v/>
      </c>
      <c r="T128" s="18" t="str">
        <f t="shared" si="9"/>
        <v/>
      </c>
      <c r="U128" s="18" t="str">
        <f t="shared" si="10"/>
        <v/>
      </c>
      <c r="V128" s="18" t="str">
        <f t="shared" si="11"/>
        <v/>
      </c>
      <c r="W128" s="14"/>
    </row>
    <row r="129" spans="1:23" x14ac:dyDescent="0.25">
      <c r="A129" s="6">
        <v>7</v>
      </c>
      <c r="B129" s="40" t="s">
        <v>127</v>
      </c>
      <c r="C129" s="8"/>
      <c r="D129" s="20"/>
      <c r="E129" s="20"/>
      <c r="F129" s="34"/>
      <c r="G129" s="35"/>
      <c r="H129" s="10"/>
      <c r="I129" s="11"/>
      <c r="J129" s="11"/>
      <c r="K129" s="12"/>
      <c r="L129" s="11"/>
      <c r="M129" s="11"/>
      <c r="N129" s="11"/>
      <c r="O129" s="11"/>
      <c r="P129" s="13"/>
      <c r="Q129" s="18" t="str">
        <f>IF($H129=8,$P129,"")</f>
        <v/>
      </c>
      <c r="R129" s="18" t="str">
        <f>IF($H129=10,$P129,"")</f>
        <v/>
      </c>
      <c r="S129" s="18" t="str">
        <f>IF($H129=12,$P129,"")</f>
        <v/>
      </c>
      <c r="T129" s="18" t="str">
        <f>IF($H129=16,$P129,"")</f>
        <v/>
      </c>
      <c r="U129" s="18" t="str">
        <f>IF($H129=20,$P129,"")</f>
        <v/>
      </c>
      <c r="V129" s="18" t="str">
        <f>IF($H129=25,$P129,"")</f>
        <v/>
      </c>
      <c r="W129" s="14"/>
    </row>
    <row r="130" spans="1:23" x14ac:dyDescent="0.25">
      <c r="A130" s="6"/>
      <c r="B130" t="s">
        <v>29</v>
      </c>
      <c r="C130" s="19">
        <v>0.5</v>
      </c>
      <c r="D130" s="63">
        <f>8.78-2*0.05</f>
        <v>8.68</v>
      </c>
      <c r="E130" s="64"/>
      <c r="F130" s="19">
        <v>0.5</v>
      </c>
      <c r="G130" s="36">
        <v>0.25</v>
      </c>
      <c r="H130" s="10">
        <v>16</v>
      </c>
      <c r="I130" s="11">
        <v>1</v>
      </c>
      <c r="J130" s="13">
        <f>ROUND(0.515/G130+1,0)</f>
        <v>3</v>
      </c>
      <c r="K130" s="45">
        <f>D130</f>
        <v>8.68</v>
      </c>
      <c r="L130" s="37" t="str">
        <f>IF(O130&lt;12,"0",0.049*H130)</f>
        <v>0</v>
      </c>
      <c r="M130" s="17">
        <v>2</v>
      </c>
      <c r="N130" s="11">
        <f>M130*2*H130/1000</f>
        <v>6.4000000000000001E-2</v>
      </c>
      <c r="O130" s="16">
        <f>(D130+C130+F130)-N130</f>
        <v>9.6159999999999997</v>
      </c>
      <c r="P130" s="16">
        <f>(I130*J130*O130)+L130</f>
        <v>28.847999999999999</v>
      </c>
      <c r="Q130" s="18" t="str">
        <f>IF($H130=8,$P130,"")</f>
        <v/>
      </c>
      <c r="R130" s="18" t="str">
        <f>IF($H130=10,$P130,"")</f>
        <v/>
      </c>
      <c r="S130" s="18" t="str">
        <f>IF($H130=12,$P130,"")</f>
        <v/>
      </c>
      <c r="T130" s="18">
        <f>IF($H130=16,$P130,"")</f>
        <v>28.847999999999999</v>
      </c>
      <c r="U130" s="18" t="str">
        <f>IF($H130=20,$P130,"")</f>
        <v/>
      </c>
      <c r="V130" s="18" t="str">
        <f>IF($H130=25,$P130,"")</f>
        <v/>
      </c>
      <c r="W130" s="14"/>
    </row>
    <row r="131" spans="1:23" x14ac:dyDescent="0.25">
      <c r="A131" s="6"/>
      <c r="B131" s="40"/>
      <c r="C131" s="8"/>
      <c r="D131" s="20"/>
      <c r="E131" s="20"/>
      <c r="F131" s="34"/>
      <c r="G131" s="35"/>
      <c r="H131" s="10"/>
      <c r="I131" s="11"/>
      <c r="J131" s="11"/>
      <c r="K131" s="12"/>
      <c r="L131" s="11"/>
      <c r="M131" s="11"/>
      <c r="N131" s="11"/>
      <c r="O131" s="11"/>
      <c r="P131" s="13"/>
      <c r="Q131" s="18" t="str">
        <f>IF($H131=8,$P131,"")</f>
        <v/>
      </c>
      <c r="R131" s="18" t="str">
        <f>IF($H131=10,$P131,"")</f>
        <v/>
      </c>
      <c r="S131" s="18" t="str">
        <f>IF($H131=12,$P131,"")</f>
        <v/>
      </c>
      <c r="T131" s="18" t="str">
        <f>IF($H131=16,$P131,"")</f>
        <v/>
      </c>
      <c r="U131" s="18" t="str">
        <f>IF($H131=20,$P131,"")</f>
        <v/>
      </c>
      <c r="V131" s="18" t="str">
        <f>IF($H131=25,$P131,"")</f>
        <v/>
      </c>
      <c r="W131" s="14"/>
    </row>
    <row r="132" spans="1:23" x14ac:dyDescent="0.25">
      <c r="A132" s="6"/>
      <c r="B132" s="40"/>
      <c r="C132" s="8"/>
      <c r="D132" s="20"/>
      <c r="E132" s="20"/>
      <c r="F132" s="34"/>
      <c r="G132" s="35"/>
      <c r="H132" s="10"/>
      <c r="I132" s="11"/>
      <c r="J132" s="11"/>
      <c r="K132" s="12"/>
      <c r="L132" s="11"/>
      <c r="M132" s="11"/>
      <c r="N132" s="11"/>
      <c r="O132" s="11"/>
      <c r="P132" s="13"/>
      <c r="Q132" s="18" t="str">
        <f t="shared" si="6"/>
        <v/>
      </c>
      <c r="R132" s="18" t="str">
        <f t="shared" si="7"/>
        <v/>
      </c>
      <c r="S132" s="18" t="str">
        <f t="shared" si="8"/>
        <v/>
      </c>
      <c r="T132" s="18" t="str">
        <f t="shared" si="9"/>
        <v/>
      </c>
      <c r="U132" s="18" t="str">
        <f t="shared" si="10"/>
        <v/>
      </c>
      <c r="V132" s="18" t="str">
        <f t="shared" si="11"/>
        <v/>
      </c>
      <c r="W132" s="14"/>
    </row>
    <row r="133" spans="1:23" x14ac:dyDescent="0.25">
      <c r="A133" s="6"/>
      <c r="B133" s="42" t="s">
        <v>25</v>
      </c>
      <c r="C133" s="8"/>
      <c r="D133" s="20"/>
      <c r="E133" s="20"/>
      <c r="F133" s="34"/>
      <c r="G133" s="35"/>
      <c r="H133" s="10"/>
      <c r="I133" s="11"/>
      <c r="J133" s="11"/>
      <c r="K133" s="12"/>
      <c r="L133" s="11"/>
      <c r="M133" s="11"/>
      <c r="N133" s="11"/>
      <c r="O133" s="11"/>
      <c r="P133" s="13"/>
      <c r="Q133" s="18" t="str">
        <f t="shared" si="6"/>
        <v/>
      </c>
      <c r="R133" s="18" t="str">
        <f t="shared" si="7"/>
        <v/>
      </c>
      <c r="S133" s="18" t="str">
        <f t="shared" si="8"/>
        <v/>
      </c>
      <c r="T133" s="18" t="str">
        <f t="shared" si="9"/>
        <v/>
      </c>
      <c r="U133" s="18" t="str">
        <f t="shared" si="10"/>
        <v/>
      </c>
      <c r="V133" s="18" t="str">
        <f t="shared" si="11"/>
        <v/>
      </c>
      <c r="W133" s="14"/>
    </row>
    <row r="134" spans="1:23" x14ac:dyDescent="0.25">
      <c r="A134" s="6">
        <v>1</v>
      </c>
      <c r="B134" s="7" t="s">
        <v>128</v>
      </c>
      <c r="C134" s="19">
        <v>0.3</v>
      </c>
      <c r="D134" s="63">
        <f>10.285</f>
        <v>10.285</v>
      </c>
      <c r="E134" s="64"/>
      <c r="F134" s="19">
        <v>0.3</v>
      </c>
      <c r="G134" s="36">
        <v>0.25</v>
      </c>
      <c r="H134" s="10">
        <v>12</v>
      </c>
      <c r="I134" s="11">
        <v>1</v>
      </c>
      <c r="J134" s="13">
        <v>2</v>
      </c>
      <c r="K134" s="45">
        <f>D134</f>
        <v>10.285</v>
      </c>
      <c r="L134" s="37" t="str">
        <f>IF(O134&lt;12,"0",0.049*H134)</f>
        <v>0</v>
      </c>
      <c r="M134" s="17">
        <v>2</v>
      </c>
      <c r="N134" s="11">
        <f>M134*2*H134/1000</f>
        <v>4.8000000000000001E-2</v>
      </c>
      <c r="O134" s="16">
        <f>(D134+C134+F134)-N134</f>
        <v>10.837000000000002</v>
      </c>
      <c r="P134" s="16">
        <f>(I134*J134*O134)+1*L134</f>
        <v>21.674000000000003</v>
      </c>
      <c r="Q134" s="18" t="str">
        <f t="shared" si="6"/>
        <v/>
      </c>
      <c r="R134" s="18" t="str">
        <f t="shared" si="7"/>
        <v/>
      </c>
      <c r="S134" s="18">
        <f t="shared" si="8"/>
        <v>21.674000000000003</v>
      </c>
      <c r="T134" s="18" t="str">
        <f t="shared" si="9"/>
        <v/>
      </c>
      <c r="U134" s="18" t="str">
        <f t="shared" si="10"/>
        <v/>
      </c>
      <c r="V134" s="18" t="str">
        <f t="shared" si="11"/>
        <v/>
      </c>
      <c r="W134" s="14"/>
    </row>
    <row r="135" spans="1:23" x14ac:dyDescent="0.25">
      <c r="A135" s="6"/>
      <c r="B135" s="40"/>
      <c r="C135" s="8"/>
      <c r="D135" s="20"/>
      <c r="E135" s="20"/>
      <c r="F135" s="34"/>
      <c r="G135" s="35"/>
      <c r="H135" s="10"/>
      <c r="I135" s="11"/>
      <c r="J135" s="11"/>
      <c r="K135" s="12"/>
      <c r="L135" s="11"/>
      <c r="M135" s="11"/>
      <c r="N135" s="11"/>
      <c r="O135" s="11"/>
      <c r="P135" s="13"/>
      <c r="Q135" s="18" t="str">
        <f t="shared" si="6"/>
        <v/>
      </c>
      <c r="R135" s="18" t="str">
        <f t="shared" si="7"/>
        <v/>
      </c>
      <c r="S135" s="18" t="str">
        <f t="shared" si="8"/>
        <v/>
      </c>
      <c r="T135" s="18" t="str">
        <f t="shared" si="9"/>
        <v/>
      </c>
      <c r="U135" s="18" t="str">
        <f t="shared" si="10"/>
        <v/>
      </c>
      <c r="V135" s="18" t="str">
        <f t="shared" si="11"/>
        <v/>
      </c>
      <c r="W135" s="14"/>
    </row>
    <row r="136" spans="1:23" x14ac:dyDescent="0.25">
      <c r="A136" s="6">
        <v>2</v>
      </c>
      <c r="B136" s="7" t="s">
        <v>129</v>
      </c>
      <c r="C136" s="19">
        <v>0.3</v>
      </c>
      <c r="D136" s="63">
        <f>11.09</f>
        <v>11.09</v>
      </c>
      <c r="E136" s="64"/>
      <c r="F136" s="19">
        <v>0.3</v>
      </c>
      <c r="G136" s="36">
        <v>0.25</v>
      </c>
      <c r="H136" s="10">
        <v>12</v>
      </c>
      <c r="I136" s="11">
        <v>1</v>
      </c>
      <c r="J136" s="13">
        <v>2</v>
      </c>
      <c r="K136" s="45">
        <f>D136</f>
        <v>11.09</v>
      </c>
      <c r="L136" s="37" t="str">
        <f>IF(O136&lt;12,"0",0.049*H136)</f>
        <v>0</v>
      </c>
      <c r="M136" s="17">
        <v>2</v>
      </c>
      <c r="N136" s="11">
        <f>M136*2*H136/1000</f>
        <v>4.8000000000000001E-2</v>
      </c>
      <c r="O136" s="16">
        <f>(D136+C136+F136)-N136</f>
        <v>11.642000000000001</v>
      </c>
      <c r="P136" s="16">
        <f>(I136*J136*O136)+1*L136</f>
        <v>23.284000000000002</v>
      </c>
      <c r="Q136" s="18" t="str">
        <f t="shared" si="6"/>
        <v/>
      </c>
      <c r="R136" s="18" t="str">
        <f t="shared" si="7"/>
        <v/>
      </c>
      <c r="S136" s="18">
        <f t="shared" si="8"/>
        <v>23.284000000000002</v>
      </c>
      <c r="T136" s="18" t="str">
        <f t="shared" si="9"/>
        <v/>
      </c>
      <c r="U136" s="18" t="str">
        <f t="shared" si="10"/>
        <v/>
      </c>
      <c r="V136" s="18" t="str">
        <f t="shared" si="11"/>
        <v/>
      </c>
      <c r="W136" s="14"/>
    </row>
    <row r="137" spans="1:23" x14ac:dyDescent="0.25">
      <c r="A137" s="6"/>
      <c r="B137" s="7"/>
      <c r="C137" s="19"/>
      <c r="D137" s="32"/>
      <c r="E137" s="32"/>
      <c r="F137" s="41"/>
      <c r="G137" s="36"/>
      <c r="H137" s="10"/>
      <c r="I137" s="11"/>
      <c r="J137" s="13"/>
      <c r="K137" s="45"/>
      <c r="L137" s="37"/>
      <c r="M137" s="17"/>
      <c r="N137" s="11"/>
      <c r="O137" s="16"/>
      <c r="P137" s="16"/>
      <c r="Q137" s="18" t="str">
        <f t="shared" si="6"/>
        <v/>
      </c>
      <c r="R137" s="18" t="str">
        <f t="shared" si="7"/>
        <v/>
      </c>
      <c r="S137" s="18" t="str">
        <f t="shared" si="8"/>
        <v/>
      </c>
      <c r="T137" s="18" t="str">
        <f t="shared" si="9"/>
        <v/>
      </c>
      <c r="U137" s="18" t="str">
        <f t="shared" si="10"/>
        <v/>
      </c>
      <c r="V137" s="18" t="str">
        <f t="shared" si="11"/>
        <v/>
      </c>
      <c r="W137" s="14"/>
    </row>
    <row r="138" spans="1:23" x14ac:dyDescent="0.25">
      <c r="A138" s="6">
        <v>3</v>
      </c>
      <c r="B138" s="7" t="s">
        <v>130</v>
      </c>
      <c r="C138" s="19">
        <v>0.3</v>
      </c>
      <c r="D138" s="63">
        <f>21.65-2*0.05</f>
        <v>21.549999999999997</v>
      </c>
      <c r="E138" s="64"/>
      <c r="F138" s="19">
        <v>0.3</v>
      </c>
      <c r="G138" s="36">
        <v>0.25</v>
      </c>
      <c r="H138" s="10">
        <v>12</v>
      </c>
      <c r="I138" s="11">
        <v>1</v>
      </c>
      <c r="J138" s="13">
        <v>2</v>
      </c>
      <c r="K138" s="45">
        <f>D138</f>
        <v>21.549999999999997</v>
      </c>
      <c r="L138" s="37">
        <f>IF(O138&lt;12,"0",0.049*H138)</f>
        <v>0.58800000000000008</v>
      </c>
      <c r="M138" s="17">
        <v>2</v>
      </c>
      <c r="N138" s="11">
        <f>M138*2*H138/1000</f>
        <v>4.8000000000000001E-2</v>
      </c>
      <c r="O138" s="16">
        <f>(D138+C138+F138)-N138</f>
        <v>22.102</v>
      </c>
      <c r="P138" s="16">
        <f>(I138*J138*O138)+2*L138</f>
        <v>45.38</v>
      </c>
      <c r="Q138" s="18" t="str">
        <f t="shared" si="6"/>
        <v/>
      </c>
      <c r="R138" s="18" t="str">
        <f t="shared" si="7"/>
        <v/>
      </c>
      <c r="S138" s="18">
        <f t="shared" si="8"/>
        <v>45.38</v>
      </c>
      <c r="T138" s="18" t="str">
        <f t="shared" si="9"/>
        <v/>
      </c>
      <c r="U138" s="18" t="str">
        <f t="shared" si="10"/>
        <v/>
      </c>
      <c r="V138" s="18" t="str">
        <f t="shared" si="11"/>
        <v/>
      </c>
      <c r="W138" s="14"/>
    </row>
    <row r="139" spans="1:23" x14ac:dyDescent="0.25">
      <c r="A139" s="6"/>
      <c r="B139" s="7"/>
      <c r="C139" s="19"/>
      <c r="D139" s="32"/>
      <c r="E139" s="32"/>
      <c r="F139" s="41"/>
      <c r="G139" s="36"/>
      <c r="H139" s="10"/>
      <c r="I139" s="11"/>
      <c r="J139" s="13"/>
      <c r="K139" s="45"/>
      <c r="L139" s="37"/>
      <c r="M139" s="17"/>
      <c r="N139" s="11"/>
      <c r="O139" s="16"/>
      <c r="P139" s="16"/>
      <c r="Q139" s="18" t="str">
        <f t="shared" si="6"/>
        <v/>
      </c>
      <c r="R139" s="18" t="str">
        <f t="shared" si="7"/>
        <v/>
      </c>
      <c r="S139" s="18" t="str">
        <f t="shared" si="8"/>
        <v/>
      </c>
      <c r="T139" s="18" t="str">
        <f t="shared" si="9"/>
        <v/>
      </c>
      <c r="U139" s="18" t="str">
        <f t="shared" si="10"/>
        <v/>
      </c>
      <c r="V139" s="18" t="str">
        <f t="shared" si="11"/>
        <v/>
      </c>
      <c r="W139" s="14"/>
    </row>
    <row r="140" spans="1:23" x14ac:dyDescent="0.25">
      <c r="A140" s="6">
        <v>5</v>
      </c>
      <c r="B140" s="7" t="s">
        <v>121</v>
      </c>
      <c r="C140" s="19">
        <v>0.3</v>
      </c>
      <c r="D140" s="63">
        <f>8.875-2*0.05</f>
        <v>8.7750000000000004</v>
      </c>
      <c r="E140" s="64"/>
      <c r="F140" s="19">
        <v>0.3</v>
      </c>
      <c r="G140" s="36">
        <v>0.25</v>
      </c>
      <c r="H140" s="10">
        <v>12</v>
      </c>
      <c r="I140" s="11">
        <v>1</v>
      </c>
      <c r="J140" s="13">
        <v>2</v>
      </c>
      <c r="K140" s="45">
        <f>D140</f>
        <v>8.7750000000000004</v>
      </c>
      <c r="L140" s="37" t="str">
        <f>IF(O140&lt;12,"0",0.049*H140)</f>
        <v>0</v>
      </c>
      <c r="M140" s="17">
        <v>2</v>
      </c>
      <c r="N140" s="11">
        <f>M140*2*H140/1000</f>
        <v>4.8000000000000001E-2</v>
      </c>
      <c r="O140" s="16">
        <f>(D140+C140+F140)-N140</f>
        <v>9.3270000000000017</v>
      </c>
      <c r="P140" s="16">
        <f>(I140*J140*O140)+1*L140</f>
        <v>18.654000000000003</v>
      </c>
      <c r="Q140" s="18" t="str">
        <f t="shared" si="6"/>
        <v/>
      </c>
      <c r="R140" s="18" t="str">
        <f t="shared" si="7"/>
        <v/>
      </c>
      <c r="S140" s="18">
        <f t="shared" si="8"/>
        <v>18.654000000000003</v>
      </c>
      <c r="T140" s="18" t="str">
        <f t="shared" si="9"/>
        <v/>
      </c>
      <c r="U140" s="18" t="str">
        <f t="shared" si="10"/>
        <v/>
      </c>
      <c r="V140" s="18" t="str">
        <f t="shared" si="11"/>
        <v/>
      </c>
      <c r="W140" s="14"/>
    </row>
    <row r="141" spans="1:23" x14ac:dyDescent="0.25">
      <c r="A141" s="6"/>
      <c r="B141" s="7"/>
      <c r="C141" s="19"/>
      <c r="D141" s="32"/>
      <c r="E141" s="32"/>
      <c r="F141" s="41"/>
      <c r="G141" s="36"/>
      <c r="H141" s="10"/>
      <c r="I141" s="11"/>
      <c r="J141" s="13"/>
      <c r="K141" s="45"/>
      <c r="L141" s="37"/>
      <c r="M141" s="17"/>
      <c r="N141" s="11"/>
      <c r="O141" s="16"/>
      <c r="P141" s="16"/>
      <c r="Q141" s="18" t="str">
        <f t="shared" si="6"/>
        <v/>
      </c>
      <c r="R141" s="18" t="str">
        <f t="shared" si="7"/>
        <v/>
      </c>
      <c r="S141" s="18" t="str">
        <f t="shared" si="8"/>
        <v/>
      </c>
      <c r="T141" s="18" t="str">
        <f t="shared" si="9"/>
        <v/>
      </c>
      <c r="U141" s="18" t="str">
        <f t="shared" si="10"/>
        <v/>
      </c>
      <c r="V141" s="18" t="str">
        <f t="shared" si="11"/>
        <v/>
      </c>
      <c r="W141" s="14"/>
    </row>
    <row r="142" spans="1:23" x14ac:dyDescent="0.25">
      <c r="A142" s="6">
        <v>6</v>
      </c>
      <c r="B142" s="7" t="s">
        <v>131</v>
      </c>
      <c r="C142" s="19">
        <v>0.3</v>
      </c>
      <c r="D142" s="63">
        <v>1.5</v>
      </c>
      <c r="E142" s="64"/>
      <c r="F142" s="19">
        <v>0.3</v>
      </c>
      <c r="G142" s="36">
        <v>0.25</v>
      </c>
      <c r="H142" s="10">
        <v>12</v>
      </c>
      <c r="I142" s="11">
        <v>1</v>
      </c>
      <c r="J142" s="13">
        <v>2</v>
      </c>
      <c r="K142" s="45">
        <f>D142</f>
        <v>1.5</v>
      </c>
      <c r="L142" s="37" t="str">
        <f>IF(O142&lt;12,"0",0.049*H142)</f>
        <v>0</v>
      </c>
      <c r="M142" s="17">
        <v>2</v>
      </c>
      <c r="N142" s="11">
        <f>M142*2*H142/1000</f>
        <v>4.8000000000000001E-2</v>
      </c>
      <c r="O142" s="16">
        <f>(D142+C142+F142)-N142</f>
        <v>2.052</v>
      </c>
      <c r="P142" s="16">
        <f>(I142*J142*O142)+1*L142</f>
        <v>4.1040000000000001</v>
      </c>
      <c r="Q142" s="18" t="str">
        <f t="shared" si="6"/>
        <v/>
      </c>
      <c r="R142" s="18" t="str">
        <f t="shared" si="7"/>
        <v/>
      </c>
      <c r="S142" s="18">
        <f t="shared" si="8"/>
        <v>4.1040000000000001</v>
      </c>
      <c r="T142" s="18" t="str">
        <f t="shared" si="9"/>
        <v/>
      </c>
      <c r="U142" s="18" t="str">
        <f t="shared" si="10"/>
        <v/>
      </c>
      <c r="V142" s="18" t="str">
        <f t="shared" si="11"/>
        <v/>
      </c>
      <c r="W142" s="14"/>
    </row>
    <row r="143" spans="1:23" x14ac:dyDescent="0.25">
      <c r="A143" s="6"/>
      <c r="B143" s="7"/>
      <c r="C143" s="19"/>
      <c r="D143" s="32"/>
      <c r="E143" s="32"/>
      <c r="F143" s="41"/>
      <c r="G143" s="36"/>
      <c r="H143" s="10"/>
      <c r="I143" s="11"/>
      <c r="J143" s="13"/>
      <c r="K143" s="45"/>
      <c r="L143" s="37"/>
      <c r="M143" s="17"/>
      <c r="N143" s="11"/>
      <c r="O143" s="16"/>
      <c r="P143" s="16"/>
      <c r="Q143" s="18" t="str">
        <f t="shared" si="6"/>
        <v/>
      </c>
      <c r="R143" s="18" t="str">
        <f t="shared" si="7"/>
        <v/>
      </c>
      <c r="S143" s="18" t="str">
        <f t="shared" si="8"/>
        <v/>
      </c>
      <c r="T143" s="18" t="str">
        <f t="shared" si="9"/>
        <v/>
      </c>
      <c r="U143" s="18" t="str">
        <f t="shared" si="10"/>
        <v/>
      </c>
      <c r="V143" s="18" t="str">
        <f t="shared" si="11"/>
        <v/>
      </c>
      <c r="W143" s="14"/>
    </row>
    <row r="144" spans="1:23" x14ac:dyDescent="0.25">
      <c r="A144" s="6">
        <v>7</v>
      </c>
      <c r="B144" s="7" t="s">
        <v>132</v>
      </c>
      <c r="C144" s="19">
        <v>0.3</v>
      </c>
      <c r="D144" s="63">
        <v>3.95</v>
      </c>
      <c r="E144" s="64"/>
      <c r="F144" s="19">
        <v>0.3</v>
      </c>
      <c r="G144" s="36">
        <v>0.25</v>
      </c>
      <c r="H144" s="10">
        <v>12</v>
      </c>
      <c r="I144" s="11">
        <v>1</v>
      </c>
      <c r="J144" s="13">
        <v>2</v>
      </c>
      <c r="K144" s="45">
        <f>D144</f>
        <v>3.95</v>
      </c>
      <c r="L144" s="37" t="str">
        <f>IF(O144&lt;12,"0",0.049*H144)</f>
        <v>0</v>
      </c>
      <c r="M144" s="17">
        <v>2</v>
      </c>
      <c r="N144" s="11">
        <f>M144*2*H144/1000</f>
        <v>4.8000000000000001E-2</v>
      </c>
      <c r="O144" s="16">
        <f>(D144+C144+F144)-N144</f>
        <v>4.5019999999999998</v>
      </c>
      <c r="P144" s="16">
        <f>(I144*J144*O144)+1*L144</f>
        <v>9.0039999999999996</v>
      </c>
      <c r="Q144" s="18" t="str">
        <f t="shared" si="6"/>
        <v/>
      </c>
      <c r="R144" s="18" t="str">
        <f t="shared" si="7"/>
        <v/>
      </c>
      <c r="S144" s="18">
        <f t="shared" si="8"/>
        <v>9.0039999999999996</v>
      </c>
      <c r="T144" s="18" t="str">
        <f t="shared" si="9"/>
        <v/>
      </c>
      <c r="U144" s="18" t="str">
        <f t="shared" si="10"/>
        <v/>
      </c>
      <c r="V144" s="18" t="str">
        <f t="shared" si="11"/>
        <v/>
      </c>
      <c r="W144" s="14"/>
    </row>
    <row r="145" spans="1:23" x14ac:dyDescent="0.25">
      <c r="A145" s="6"/>
      <c r="B145" s="7"/>
      <c r="C145" s="19"/>
      <c r="D145" s="32"/>
      <c r="E145" s="32"/>
      <c r="F145" s="41"/>
      <c r="G145" s="36"/>
      <c r="H145" s="10"/>
      <c r="I145" s="11"/>
      <c r="J145" s="13"/>
      <c r="K145" s="45"/>
      <c r="L145" s="37"/>
      <c r="M145" s="17"/>
      <c r="N145" s="11"/>
      <c r="O145" s="16"/>
      <c r="P145" s="16"/>
      <c r="Q145" s="18" t="str">
        <f t="shared" si="6"/>
        <v/>
      </c>
      <c r="R145" s="18" t="str">
        <f t="shared" si="7"/>
        <v/>
      </c>
      <c r="S145" s="18" t="str">
        <f t="shared" si="8"/>
        <v/>
      </c>
      <c r="T145" s="18" t="str">
        <f t="shared" si="9"/>
        <v/>
      </c>
      <c r="U145" s="18" t="str">
        <f t="shared" si="10"/>
        <v/>
      </c>
      <c r="V145" s="18" t="str">
        <f t="shared" si="11"/>
        <v/>
      </c>
      <c r="W145" s="14"/>
    </row>
    <row r="146" spans="1:23" x14ac:dyDescent="0.25">
      <c r="A146" s="6">
        <v>8</v>
      </c>
      <c r="B146" s="7" t="s">
        <v>133</v>
      </c>
      <c r="C146" s="19">
        <v>0.3</v>
      </c>
      <c r="D146" s="63">
        <v>0.81499999999999995</v>
      </c>
      <c r="E146" s="64"/>
      <c r="F146" s="19">
        <v>0.3</v>
      </c>
      <c r="G146" s="36">
        <v>0.25</v>
      </c>
      <c r="H146" s="10">
        <v>12</v>
      </c>
      <c r="I146" s="11">
        <v>1</v>
      </c>
      <c r="J146" s="13">
        <v>2</v>
      </c>
      <c r="K146" s="45">
        <f>D146</f>
        <v>0.81499999999999995</v>
      </c>
      <c r="L146" s="37" t="str">
        <f>IF(O146&lt;12,"0",0.049*H146)</f>
        <v>0</v>
      </c>
      <c r="M146" s="17">
        <v>2</v>
      </c>
      <c r="N146" s="11">
        <f>M146*2*H146/1000</f>
        <v>4.8000000000000001E-2</v>
      </c>
      <c r="O146" s="16">
        <f>(D146+C146+F146)-N146</f>
        <v>1.367</v>
      </c>
      <c r="P146" s="16">
        <f>(I146*J146*O146)+1*L146</f>
        <v>2.734</v>
      </c>
      <c r="Q146" s="18" t="str">
        <f t="shared" si="6"/>
        <v/>
      </c>
      <c r="R146" s="18" t="str">
        <f t="shared" si="7"/>
        <v/>
      </c>
      <c r="S146" s="18">
        <f t="shared" si="8"/>
        <v>2.734</v>
      </c>
      <c r="T146" s="18" t="str">
        <f t="shared" si="9"/>
        <v/>
      </c>
      <c r="U146" s="18" t="str">
        <f t="shared" si="10"/>
        <v/>
      </c>
      <c r="V146" s="18" t="str">
        <f t="shared" si="11"/>
        <v/>
      </c>
      <c r="W146" s="14"/>
    </row>
    <row r="147" spans="1:23" x14ac:dyDescent="0.25">
      <c r="A147" s="6"/>
      <c r="B147" s="7"/>
      <c r="C147" s="19"/>
      <c r="D147" s="32"/>
      <c r="E147" s="32"/>
      <c r="F147" s="41"/>
      <c r="G147" s="36"/>
      <c r="H147" s="10"/>
      <c r="I147" s="11"/>
      <c r="J147" s="13"/>
      <c r="K147" s="45"/>
      <c r="L147" s="37"/>
      <c r="M147" s="17"/>
      <c r="N147" s="11"/>
      <c r="O147" s="16"/>
      <c r="P147" s="16"/>
      <c r="Q147" s="18" t="str">
        <f t="shared" si="6"/>
        <v/>
      </c>
      <c r="R147" s="18" t="str">
        <f t="shared" si="7"/>
        <v/>
      </c>
      <c r="S147" s="18" t="str">
        <f t="shared" si="8"/>
        <v/>
      </c>
      <c r="T147" s="18" t="str">
        <f t="shared" si="9"/>
        <v/>
      </c>
      <c r="U147" s="18" t="str">
        <f t="shared" si="10"/>
        <v/>
      </c>
      <c r="V147" s="18" t="str">
        <f t="shared" si="11"/>
        <v/>
      </c>
      <c r="W147" s="14"/>
    </row>
    <row r="148" spans="1:23" x14ac:dyDescent="0.25">
      <c r="A148" s="6">
        <v>9</v>
      </c>
      <c r="B148" s="7" t="s">
        <v>134</v>
      </c>
      <c r="C148" s="19">
        <v>0.3</v>
      </c>
      <c r="D148" s="63">
        <v>1.6950000000000001</v>
      </c>
      <c r="E148" s="64"/>
      <c r="F148" s="19">
        <v>0.3</v>
      </c>
      <c r="G148" s="36">
        <v>0.25</v>
      </c>
      <c r="H148" s="10">
        <v>12</v>
      </c>
      <c r="I148" s="11">
        <v>1</v>
      </c>
      <c r="J148" s="13">
        <v>2</v>
      </c>
      <c r="K148" s="45">
        <f>D148</f>
        <v>1.6950000000000001</v>
      </c>
      <c r="L148" s="37" t="str">
        <f>IF(O148&lt;12,"0",0.049*H148)</f>
        <v>0</v>
      </c>
      <c r="M148" s="17">
        <v>2</v>
      </c>
      <c r="N148" s="11">
        <f>M148*2*H148/1000</f>
        <v>4.8000000000000001E-2</v>
      </c>
      <c r="O148" s="16">
        <f>(D148+C148+F148)-N148</f>
        <v>2.2469999999999999</v>
      </c>
      <c r="P148" s="16">
        <f>(I148*J148*O148)+1*L148</f>
        <v>4.4939999999999998</v>
      </c>
      <c r="Q148" s="18" t="str">
        <f t="shared" si="6"/>
        <v/>
      </c>
      <c r="R148" s="18" t="str">
        <f t="shared" si="7"/>
        <v/>
      </c>
      <c r="S148" s="18">
        <f t="shared" si="8"/>
        <v>4.4939999999999998</v>
      </c>
      <c r="T148" s="18" t="str">
        <f t="shared" si="9"/>
        <v/>
      </c>
      <c r="U148" s="18" t="str">
        <f t="shared" si="10"/>
        <v/>
      </c>
      <c r="V148" s="18" t="str">
        <f t="shared" si="11"/>
        <v/>
      </c>
      <c r="W148" s="14"/>
    </row>
    <row r="149" spans="1:23" x14ac:dyDescent="0.25">
      <c r="A149" s="6"/>
      <c r="B149" s="7"/>
      <c r="C149" s="19"/>
      <c r="D149" s="32"/>
      <c r="E149" s="32"/>
      <c r="F149" s="41"/>
      <c r="G149" s="36"/>
      <c r="H149" s="10"/>
      <c r="I149" s="11"/>
      <c r="J149" s="13"/>
      <c r="K149" s="45"/>
      <c r="L149" s="37"/>
      <c r="M149" s="17"/>
      <c r="N149" s="11"/>
      <c r="O149" s="16"/>
      <c r="P149" s="16"/>
      <c r="Q149" s="18" t="str">
        <f t="shared" si="6"/>
        <v/>
      </c>
      <c r="R149" s="18" t="str">
        <f t="shared" si="7"/>
        <v/>
      </c>
      <c r="S149" s="18" t="str">
        <f t="shared" si="8"/>
        <v/>
      </c>
      <c r="T149" s="18" t="str">
        <f t="shared" si="9"/>
        <v/>
      </c>
      <c r="U149" s="18" t="str">
        <f t="shared" si="10"/>
        <v/>
      </c>
      <c r="V149" s="18" t="str">
        <f t="shared" si="11"/>
        <v/>
      </c>
      <c r="W149" s="14"/>
    </row>
    <row r="150" spans="1:23" x14ac:dyDescent="0.25">
      <c r="A150" s="6">
        <v>10</v>
      </c>
      <c r="B150" s="7" t="s">
        <v>135</v>
      </c>
      <c r="C150" s="19">
        <v>0.3</v>
      </c>
      <c r="D150" s="63">
        <v>1.405</v>
      </c>
      <c r="E150" s="64"/>
      <c r="F150" s="19">
        <v>0.3</v>
      </c>
      <c r="G150" s="36">
        <v>0.25</v>
      </c>
      <c r="H150" s="10">
        <v>12</v>
      </c>
      <c r="I150" s="11">
        <v>1</v>
      </c>
      <c r="J150" s="13">
        <v>2</v>
      </c>
      <c r="K150" s="45">
        <f>D150</f>
        <v>1.405</v>
      </c>
      <c r="L150" s="37" t="str">
        <f>IF(O150&lt;12,"0",0.049*H150)</f>
        <v>0</v>
      </c>
      <c r="M150" s="17">
        <v>2</v>
      </c>
      <c r="N150" s="11">
        <f>M150*2*H150/1000</f>
        <v>4.8000000000000001E-2</v>
      </c>
      <c r="O150" s="16">
        <f>(D150+C150+F150)-N150</f>
        <v>1.9569999999999999</v>
      </c>
      <c r="P150" s="16">
        <f>(I150*J150*O150)+1*L150</f>
        <v>3.9139999999999997</v>
      </c>
      <c r="Q150" s="18" t="str">
        <f t="shared" si="6"/>
        <v/>
      </c>
      <c r="R150" s="18" t="str">
        <f t="shared" si="7"/>
        <v/>
      </c>
      <c r="S150" s="18">
        <f t="shared" si="8"/>
        <v>3.9139999999999997</v>
      </c>
      <c r="T150" s="18" t="str">
        <f t="shared" si="9"/>
        <v/>
      </c>
      <c r="U150" s="18" t="str">
        <f t="shared" si="10"/>
        <v/>
      </c>
      <c r="V150" s="18" t="str">
        <f t="shared" si="11"/>
        <v/>
      </c>
      <c r="W150" s="14"/>
    </row>
    <row r="151" spans="1:23" x14ac:dyDescent="0.25">
      <c r="A151" s="6"/>
      <c r="B151" s="7"/>
      <c r="C151" s="19"/>
      <c r="D151" s="32"/>
      <c r="E151" s="32"/>
      <c r="F151" s="41"/>
      <c r="G151" s="36"/>
      <c r="H151" s="10"/>
      <c r="I151" s="11"/>
      <c r="J151" s="13"/>
      <c r="K151" s="45"/>
      <c r="L151" s="37"/>
      <c r="M151" s="17"/>
      <c r="N151" s="11"/>
      <c r="O151" s="16"/>
      <c r="P151" s="16"/>
      <c r="Q151" s="18" t="str">
        <f t="shared" si="6"/>
        <v/>
      </c>
      <c r="R151" s="18" t="str">
        <f t="shared" si="7"/>
        <v/>
      </c>
      <c r="S151" s="18" t="str">
        <f t="shared" si="8"/>
        <v/>
      </c>
      <c r="T151" s="18" t="str">
        <f t="shared" si="9"/>
        <v/>
      </c>
      <c r="U151" s="18" t="str">
        <f t="shared" si="10"/>
        <v/>
      </c>
      <c r="V151" s="18" t="str">
        <f t="shared" si="11"/>
        <v/>
      </c>
      <c r="W151" s="14"/>
    </row>
    <row r="152" spans="1:23" x14ac:dyDescent="0.25">
      <c r="A152" s="6">
        <v>11</v>
      </c>
      <c r="B152" s="7" t="s">
        <v>136</v>
      </c>
      <c r="C152" s="19"/>
      <c r="D152" s="63">
        <f>11.285</f>
        <v>11.285</v>
      </c>
      <c r="E152" s="63"/>
      <c r="F152" s="41">
        <v>0.3</v>
      </c>
      <c r="G152" s="36">
        <v>0.25</v>
      </c>
      <c r="H152" s="10">
        <v>12</v>
      </c>
      <c r="I152" s="11">
        <v>1</v>
      </c>
      <c r="J152" s="13">
        <v>2</v>
      </c>
      <c r="K152" s="45">
        <f>D152</f>
        <v>11.285</v>
      </c>
      <c r="L152" s="37" t="str">
        <f>IF(O152&lt;12,"0",0.049*H152)</f>
        <v>0</v>
      </c>
      <c r="M152" s="17">
        <v>2</v>
      </c>
      <c r="N152" s="11">
        <f>M152*1*H152/1000</f>
        <v>2.4E-2</v>
      </c>
      <c r="O152" s="16">
        <f>(D152+C152+F152)-N152</f>
        <v>11.561000000000002</v>
      </c>
      <c r="P152" s="16">
        <f>(I152*J152*O152)+2*L152</f>
        <v>23.122000000000003</v>
      </c>
      <c r="Q152" s="18" t="str">
        <f t="shared" si="6"/>
        <v/>
      </c>
      <c r="R152" s="18" t="str">
        <f t="shared" si="7"/>
        <v/>
      </c>
      <c r="S152" s="18">
        <f t="shared" si="8"/>
        <v>23.122000000000003</v>
      </c>
      <c r="T152" s="18" t="str">
        <f t="shared" si="9"/>
        <v/>
      </c>
      <c r="U152" s="18" t="str">
        <f t="shared" si="10"/>
        <v/>
      </c>
      <c r="V152" s="18" t="str">
        <f t="shared" si="11"/>
        <v/>
      </c>
      <c r="W152" s="14"/>
    </row>
    <row r="153" spans="1:23" x14ac:dyDescent="0.25">
      <c r="A153" s="6"/>
      <c r="B153" s="7"/>
      <c r="C153" s="19"/>
      <c r="D153" s="56"/>
      <c r="E153" s="56"/>
      <c r="F153" s="41"/>
      <c r="G153" s="36"/>
      <c r="H153" s="10"/>
      <c r="I153" s="11"/>
      <c r="J153" s="13"/>
      <c r="K153" s="45"/>
      <c r="L153" s="37"/>
      <c r="M153" s="17"/>
      <c r="N153" s="11"/>
      <c r="O153" s="16"/>
      <c r="P153" s="16"/>
      <c r="Q153" s="18" t="str">
        <f t="shared" si="6"/>
        <v/>
      </c>
      <c r="R153" s="18" t="str">
        <f t="shared" si="7"/>
        <v/>
      </c>
      <c r="S153" s="18" t="str">
        <f t="shared" si="8"/>
        <v/>
      </c>
      <c r="T153" s="18" t="str">
        <f t="shared" si="9"/>
        <v/>
      </c>
      <c r="U153" s="18" t="str">
        <f t="shared" si="10"/>
        <v/>
      </c>
      <c r="V153" s="18" t="str">
        <f t="shared" si="11"/>
        <v/>
      </c>
      <c r="W153" s="14"/>
    </row>
    <row r="154" spans="1:23" x14ac:dyDescent="0.25">
      <c r="A154" s="6">
        <v>12</v>
      </c>
      <c r="B154" s="7" t="s">
        <v>137</v>
      </c>
      <c r="C154" s="19"/>
      <c r="D154" s="63">
        <v>11.005000000000001</v>
      </c>
      <c r="E154" s="63"/>
      <c r="F154" s="41">
        <v>0.3</v>
      </c>
      <c r="G154" s="36">
        <v>0.25</v>
      </c>
      <c r="H154" s="10">
        <v>12</v>
      </c>
      <c r="I154" s="11">
        <v>1</v>
      </c>
      <c r="J154" s="13">
        <v>2</v>
      </c>
      <c r="K154" s="45">
        <f>D154</f>
        <v>11.005000000000001</v>
      </c>
      <c r="L154" s="37" t="str">
        <f>IF(O154&lt;12,"0",0.049*H154)</f>
        <v>0</v>
      </c>
      <c r="M154" s="17">
        <v>2</v>
      </c>
      <c r="N154" s="11">
        <f>M154*1*H154/1000</f>
        <v>2.4E-2</v>
      </c>
      <c r="O154" s="16">
        <f>(D154+C154+F154)-N154</f>
        <v>11.281000000000002</v>
      </c>
      <c r="P154" s="16">
        <f>(I154*J154*O154)+2*L154</f>
        <v>22.562000000000005</v>
      </c>
      <c r="Q154" s="18" t="str">
        <f t="shared" si="6"/>
        <v/>
      </c>
      <c r="R154" s="18" t="str">
        <f t="shared" si="7"/>
        <v/>
      </c>
      <c r="S154" s="18">
        <f t="shared" si="8"/>
        <v>22.562000000000005</v>
      </c>
      <c r="T154" s="18" t="str">
        <f t="shared" si="9"/>
        <v/>
      </c>
      <c r="U154" s="18" t="str">
        <f t="shared" si="10"/>
        <v/>
      </c>
      <c r="V154" s="18" t="str">
        <f t="shared" si="11"/>
        <v/>
      </c>
      <c r="W154" s="14"/>
    </row>
    <row r="155" spans="1:23" x14ac:dyDescent="0.25">
      <c r="A155" s="6"/>
      <c r="B155" s="7"/>
      <c r="C155" s="19"/>
      <c r="D155" s="56"/>
      <c r="E155" s="56"/>
      <c r="F155" s="41"/>
      <c r="G155" s="36"/>
      <c r="H155" s="10"/>
      <c r="I155" s="11"/>
      <c r="J155" s="13"/>
      <c r="K155" s="45"/>
      <c r="L155" s="37"/>
      <c r="M155" s="17"/>
      <c r="N155" s="11"/>
      <c r="O155" s="16"/>
      <c r="P155" s="16"/>
      <c r="Q155" s="18" t="str">
        <f t="shared" si="6"/>
        <v/>
      </c>
      <c r="R155" s="18" t="str">
        <f t="shared" si="7"/>
        <v/>
      </c>
      <c r="S155" s="18" t="str">
        <f t="shared" si="8"/>
        <v/>
      </c>
      <c r="T155" s="18" t="str">
        <f t="shared" si="9"/>
        <v/>
      </c>
      <c r="U155" s="18" t="str">
        <f t="shared" si="10"/>
        <v/>
      </c>
      <c r="V155" s="18" t="str">
        <f t="shared" si="11"/>
        <v/>
      </c>
      <c r="W155" s="14"/>
    </row>
    <row r="156" spans="1:23" x14ac:dyDescent="0.25">
      <c r="A156" s="6">
        <v>13</v>
      </c>
      <c r="B156" s="7" t="s">
        <v>138</v>
      </c>
      <c r="C156" s="19">
        <v>0.3</v>
      </c>
      <c r="D156" s="63">
        <f>12.415</f>
        <v>12.414999999999999</v>
      </c>
      <c r="E156" s="64"/>
      <c r="F156" s="19">
        <v>0.3</v>
      </c>
      <c r="G156" s="36">
        <v>0.25</v>
      </c>
      <c r="H156" s="10">
        <v>12</v>
      </c>
      <c r="I156" s="11">
        <v>1</v>
      </c>
      <c r="J156" s="13">
        <v>2</v>
      </c>
      <c r="K156" s="45">
        <f>D156</f>
        <v>12.414999999999999</v>
      </c>
      <c r="L156" s="37">
        <f>IF(O156&lt;12,"0",0.049*H156)</f>
        <v>0.58800000000000008</v>
      </c>
      <c r="M156" s="17">
        <v>2</v>
      </c>
      <c r="N156" s="11">
        <f>M156*2*H156/1000</f>
        <v>4.8000000000000001E-2</v>
      </c>
      <c r="O156" s="16">
        <f>(D156+C156+F156)-N156</f>
        <v>12.967000000000001</v>
      </c>
      <c r="P156" s="16">
        <f>(I156*J156*O156)+1*L156</f>
        <v>26.522000000000002</v>
      </c>
      <c r="Q156" s="18" t="str">
        <f t="shared" si="6"/>
        <v/>
      </c>
      <c r="R156" s="18" t="str">
        <f t="shared" si="7"/>
        <v/>
      </c>
      <c r="S156" s="18">
        <f t="shared" si="8"/>
        <v>26.522000000000002</v>
      </c>
      <c r="T156" s="18" t="str">
        <f t="shared" si="9"/>
        <v/>
      </c>
      <c r="U156" s="18" t="str">
        <f t="shared" si="10"/>
        <v/>
      </c>
      <c r="V156" s="18" t="str">
        <f t="shared" si="11"/>
        <v/>
      </c>
      <c r="W156" s="14"/>
    </row>
    <row r="157" spans="1:23" x14ac:dyDescent="0.25">
      <c r="A157" s="6"/>
      <c r="B157" s="7"/>
      <c r="C157" s="19"/>
      <c r="D157" s="56"/>
      <c r="E157" s="56"/>
      <c r="F157" s="41"/>
      <c r="G157" s="36"/>
      <c r="H157" s="10"/>
      <c r="I157" s="11"/>
      <c r="J157" s="13"/>
      <c r="K157" s="45"/>
      <c r="L157" s="37"/>
      <c r="M157" s="17"/>
      <c r="N157" s="11"/>
      <c r="O157" s="16"/>
      <c r="P157" s="16"/>
      <c r="Q157" s="18" t="str">
        <f t="shared" si="6"/>
        <v/>
      </c>
      <c r="R157" s="18" t="str">
        <f t="shared" si="7"/>
        <v/>
      </c>
      <c r="S157" s="18" t="str">
        <f t="shared" si="8"/>
        <v/>
      </c>
      <c r="T157" s="18" t="str">
        <f t="shared" si="9"/>
        <v/>
      </c>
      <c r="U157" s="18" t="str">
        <f t="shared" si="10"/>
        <v/>
      </c>
      <c r="V157" s="18" t="str">
        <f t="shared" si="11"/>
        <v/>
      </c>
      <c r="W157" s="14"/>
    </row>
    <row r="158" spans="1:23" x14ac:dyDescent="0.25">
      <c r="A158" s="6">
        <v>14</v>
      </c>
      <c r="B158" s="7" t="s">
        <v>139</v>
      </c>
      <c r="C158" s="19">
        <v>0.3</v>
      </c>
      <c r="D158" s="63">
        <f>25.89-0.05*2</f>
        <v>25.79</v>
      </c>
      <c r="E158" s="64"/>
      <c r="F158" s="19">
        <v>0.3</v>
      </c>
      <c r="G158" s="36">
        <v>0.25</v>
      </c>
      <c r="H158" s="10">
        <v>12</v>
      </c>
      <c r="I158" s="11">
        <v>1</v>
      </c>
      <c r="J158" s="13">
        <v>2</v>
      </c>
      <c r="K158" s="45">
        <f>D158</f>
        <v>25.79</v>
      </c>
      <c r="L158" s="37">
        <f>IF(O158&lt;12,"0",0.049*H158)</f>
        <v>0.58800000000000008</v>
      </c>
      <c r="M158" s="17">
        <v>2</v>
      </c>
      <c r="N158" s="11">
        <f>M158*2*H158/1000</f>
        <v>4.8000000000000001E-2</v>
      </c>
      <c r="O158" s="16">
        <f>(D158+C158+F158)-N158</f>
        <v>26.342000000000002</v>
      </c>
      <c r="P158" s="16">
        <f>(I158*J158*O158)+1*L158</f>
        <v>53.272000000000006</v>
      </c>
      <c r="Q158" s="18" t="str">
        <f t="shared" si="6"/>
        <v/>
      </c>
      <c r="R158" s="18" t="str">
        <f t="shared" si="7"/>
        <v/>
      </c>
      <c r="S158" s="18">
        <f t="shared" si="8"/>
        <v>53.272000000000006</v>
      </c>
      <c r="T158" s="18" t="str">
        <f t="shared" si="9"/>
        <v/>
      </c>
      <c r="U158" s="18" t="str">
        <f t="shared" si="10"/>
        <v/>
      </c>
      <c r="V158" s="18" t="str">
        <f t="shared" si="11"/>
        <v/>
      </c>
      <c r="W158" s="14"/>
    </row>
    <row r="159" spans="1:23" x14ac:dyDescent="0.25">
      <c r="A159" s="6"/>
      <c r="B159" s="7"/>
      <c r="C159" s="19"/>
      <c r="D159" s="32"/>
      <c r="E159" s="32"/>
      <c r="F159" s="41"/>
      <c r="G159" s="36"/>
      <c r="H159" s="10"/>
      <c r="I159" s="11"/>
      <c r="J159" s="13"/>
      <c r="K159" s="45"/>
      <c r="L159" s="37"/>
      <c r="M159" s="17"/>
      <c r="N159" s="11"/>
      <c r="O159" s="16"/>
      <c r="P159" s="16"/>
      <c r="Q159" s="18" t="str">
        <f t="shared" ref="Q159:Q191" si="12">IF($H159=8,$P159,"")</f>
        <v/>
      </c>
      <c r="R159" s="18" t="str">
        <f t="shared" ref="R159:R191" si="13">IF($H159=10,$P159,"")</f>
        <v/>
      </c>
      <c r="S159" s="18" t="str">
        <f t="shared" ref="S159:S191" si="14">IF($H159=12,$P159,"")</f>
        <v/>
      </c>
      <c r="T159" s="18" t="str">
        <f t="shared" ref="T159:T191" si="15">IF($H159=16,$P159,"")</f>
        <v/>
      </c>
      <c r="U159" s="18" t="str">
        <f t="shared" ref="U159:U191" si="16">IF($H159=20,$P159,"")</f>
        <v/>
      </c>
      <c r="V159" s="18" t="str">
        <f t="shared" ref="V159:V191" si="17">IF($H159=25,$P159,"")</f>
        <v/>
      </c>
      <c r="W159" s="14"/>
    </row>
    <row r="160" spans="1:23" x14ac:dyDescent="0.25">
      <c r="A160" s="6"/>
      <c r="B160" s="7"/>
      <c r="C160" s="19"/>
      <c r="D160" s="32"/>
      <c r="E160" s="32"/>
      <c r="F160" s="41"/>
      <c r="G160" s="36"/>
      <c r="H160" s="10"/>
      <c r="I160" s="11"/>
      <c r="J160" s="13"/>
      <c r="K160" s="45"/>
      <c r="L160" s="37"/>
      <c r="M160" s="17"/>
      <c r="N160" s="11"/>
      <c r="O160" s="16"/>
      <c r="P160" s="16"/>
      <c r="Q160" s="18" t="str">
        <f t="shared" si="12"/>
        <v/>
      </c>
      <c r="R160" s="18" t="str">
        <f t="shared" si="13"/>
        <v/>
      </c>
      <c r="S160" s="18" t="str">
        <f t="shared" si="14"/>
        <v/>
      </c>
      <c r="T160" s="18" t="str">
        <f t="shared" si="15"/>
        <v/>
      </c>
      <c r="U160" s="18" t="str">
        <f t="shared" si="16"/>
        <v/>
      </c>
      <c r="V160" s="18" t="str">
        <f t="shared" si="17"/>
        <v/>
      </c>
      <c r="W160" s="14"/>
    </row>
    <row r="161" spans="1:23" x14ac:dyDescent="0.25">
      <c r="A161" s="6"/>
      <c r="B161" s="42" t="s">
        <v>26</v>
      </c>
      <c r="C161" s="8"/>
      <c r="D161" s="20"/>
      <c r="E161" s="15">
        <v>0.95</v>
      </c>
      <c r="F161" s="34"/>
      <c r="G161" s="35"/>
      <c r="H161" s="10"/>
      <c r="I161" s="11"/>
      <c r="J161" s="11"/>
      <c r="K161" s="12"/>
      <c r="L161" s="11"/>
      <c r="M161" s="11"/>
      <c r="N161" s="11"/>
      <c r="O161" s="11"/>
      <c r="P161" s="13"/>
      <c r="Q161" s="18" t="str">
        <f t="shared" si="12"/>
        <v/>
      </c>
      <c r="R161" s="18" t="str">
        <f t="shared" si="13"/>
        <v/>
      </c>
      <c r="S161" s="18" t="str">
        <f t="shared" si="14"/>
        <v/>
      </c>
      <c r="T161" s="18" t="str">
        <f t="shared" si="15"/>
        <v/>
      </c>
      <c r="U161" s="18" t="str">
        <f t="shared" si="16"/>
        <v/>
      </c>
      <c r="V161" s="18" t="str">
        <f t="shared" si="17"/>
        <v/>
      </c>
      <c r="W161" s="14"/>
    </row>
    <row r="162" spans="1:23" x14ac:dyDescent="0.25">
      <c r="A162" s="6">
        <v>1</v>
      </c>
      <c r="B162" s="7"/>
      <c r="C162" s="19"/>
      <c r="D162" s="63"/>
      <c r="E162" s="64"/>
      <c r="F162" s="19"/>
      <c r="G162" s="36"/>
      <c r="H162" s="10">
        <v>20</v>
      </c>
      <c r="I162" s="11">
        <v>1</v>
      </c>
      <c r="J162" s="13">
        <v>783</v>
      </c>
      <c r="K162" s="45">
        <f>0.35+0.675+0.95+0.675+0.35</f>
        <v>3</v>
      </c>
      <c r="L162" s="37" t="str">
        <f>IF(O162&lt;12,"0",0.049*H162)</f>
        <v>0</v>
      </c>
      <c r="M162" s="17"/>
      <c r="N162" s="16">
        <f>M162*2*H162/1000</f>
        <v>0</v>
      </c>
      <c r="O162" s="37">
        <f>K162-N162</f>
        <v>3</v>
      </c>
      <c r="P162" s="37">
        <f>(I162*J162*O162)+1*L162</f>
        <v>2349</v>
      </c>
      <c r="Q162" s="18" t="str">
        <f t="shared" si="12"/>
        <v/>
      </c>
      <c r="R162" s="18" t="str">
        <f t="shared" si="13"/>
        <v/>
      </c>
      <c r="S162" s="18" t="str">
        <f t="shared" si="14"/>
        <v/>
      </c>
      <c r="T162" s="18" t="str">
        <f t="shared" si="15"/>
        <v/>
      </c>
      <c r="U162" s="18">
        <f t="shared" si="16"/>
        <v>2349</v>
      </c>
      <c r="V162" s="18" t="str">
        <f t="shared" si="17"/>
        <v/>
      </c>
      <c r="W162" s="14"/>
    </row>
    <row r="163" spans="1:23" x14ac:dyDescent="0.25">
      <c r="A163" s="6"/>
      <c r="B163" s="7"/>
      <c r="C163" s="19"/>
      <c r="D163" s="39"/>
      <c r="E163" s="39">
        <v>0.67500000000000004</v>
      </c>
      <c r="F163" s="41"/>
      <c r="G163" s="36"/>
      <c r="H163" s="10"/>
      <c r="I163" s="11"/>
      <c r="J163" s="13"/>
      <c r="K163" s="45"/>
      <c r="L163" s="37"/>
      <c r="M163" s="17"/>
      <c r="N163" s="11"/>
      <c r="O163" s="16"/>
      <c r="P163" s="16"/>
      <c r="Q163" s="18" t="str">
        <f t="shared" si="12"/>
        <v/>
      </c>
      <c r="R163" s="18" t="str">
        <f t="shared" si="13"/>
        <v/>
      </c>
      <c r="S163" s="18" t="str">
        <f t="shared" si="14"/>
        <v/>
      </c>
      <c r="T163" s="18" t="str">
        <f t="shared" si="15"/>
        <v/>
      </c>
      <c r="U163" s="18" t="str">
        <f t="shared" si="16"/>
        <v/>
      </c>
      <c r="V163" s="18" t="str">
        <f t="shared" si="17"/>
        <v/>
      </c>
      <c r="W163" s="14"/>
    </row>
    <row r="164" spans="1:23" x14ac:dyDescent="0.25">
      <c r="A164" s="6"/>
      <c r="B164" s="7"/>
      <c r="C164" s="19"/>
      <c r="D164" s="32"/>
      <c r="E164" s="32"/>
      <c r="F164" s="43">
        <v>0.35</v>
      </c>
      <c r="G164" s="36"/>
      <c r="H164" s="10"/>
      <c r="I164" s="11"/>
      <c r="J164" s="13"/>
      <c r="K164" s="45"/>
      <c r="L164" s="37"/>
      <c r="M164" s="17"/>
      <c r="N164" s="11"/>
      <c r="O164" s="16"/>
      <c r="P164" s="16"/>
      <c r="Q164" s="18" t="str">
        <f t="shared" si="12"/>
        <v/>
      </c>
      <c r="R164" s="18" t="str">
        <f t="shared" si="13"/>
        <v/>
      </c>
      <c r="S164" s="18" t="str">
        <f t="shared" si="14"/>
        <v/>
      </c>
      <c r="T164" s="18" t="str">
        <f t="shared" si="15"/>
        <v/>
      </c>
      <c r="U164" s="18" t="str">
        <f t="shared" si="16"/>
        <v/>
      </c>
      <c r="V164" s="18" t="str">
        <f t="shared" si="17"/>
        <v/>
      </c>
      <c r="W164" s="14"/>
    </row>
    <row r="165" spans="1:23" x14ac:dyDescent="0.25">
      <c r="A165" s="6"/>
      <c r="B165" s="7"/>
      <c r="C165" s="19"/>
      <c r="D165" s="32"/>
      <c r="E165" s="32"/>
      <c r="F165" s="41"/>
      <c r="G165" s="36"/>
      <c r="H165" s="10"/>
      <c r="I165" s="11"/>
      <c r="J165" s="13"/>
      <c r="K165" s="45"/>
      <c r="L165" s="37"/>
      <c r="M165" s="17"/>
      <c r="N165" s="11"/>
      <c r="O165" s="16"/>
      <c r="P165" s="16"/>
      <c r="Q165" s="18" t="str">
        <f t="shared" si="12"/>
        <v/>
      </c>
      <c r="R165" s="18" t="str">
        <f t="shared" si="13"/>
        <v/>
      </c>
      <c r="S165" s="18" t="str">
        <f t="shared" si="14"/>
        <v/>
      </c>
      <c r="T165" s="18" t="str">
        <f t="shared" si="15"/>
        <v/>
      </c>
      <c r="U165" s="18" t="str">
        <f t="shared" si="16"/>
        <v/>
      </c>
      <c r="V165" s="18" t="str">
        <f t="shared" si="17"/>
        <v/>
      </c>
      <c r="W165" s="14"/>
    </row>
    <row r="166" spans="1:23" x14ac:dyDescent="0.25">
      <c r="A166" s="6"/>
      <c r="B166" s="7"/>
      <c r="C166" s="19"/>
      <c r="D166" s="39"/>
      <c r="E166" s="39"/>
      <c r="F166" s="41"/>
      <c r="G166" s="36"/>
      <c r="H166" s="10"/>
      <c r="I166" s="11"/>
      <c r="J166" s="13"/>
      <c r="K166" s="45"/>
      <c r="L166" s="37"/>
      <c r="M166" s="17"/>
      <c r="N166" s="11"/>
      <c r="O166" s="16"/>
      <c r="P166" s="16"/>
      <c r="Q166" s="18" t="str">
        <f t="shared" si="12"/>
        <v/>
      </c>
      <c r="R166" s="18" t="str">
        <f t="shared" si="13"/>
        <v/>
      </c>
      <c r="S166" s="18" t="str">
        <f t="shared" si="14"/>
        <v/>
      </c>
      <c r="T166" s="18" t="str">
        <f t="shared" si="15"/>
        <v/>
      </c>
      <c r="U166" s="18" t="str">
        <f t="shared" si="16"/>
        <v/>
      </c>
      <c r="V166" s="18" t="str">
        <f t="shared" si="17"/>
        <v/>
      </c>
      <c r="W166" s="14"/>
    </row>
    <row r="167" spans="1:23" x14ac:dyDescent="0.25">
      <c r="A167" s="6"/>
      <c r="B167" s="42" t="s">
        <v>30</v>
      </c>
      <c r="C167" s="19"/>
      <c r="D167" s="32"/>
      <c r="E167" s="32"/>
      <c r="F167" s="41"/>
      <c r="G167" s="36"/>
      <c r="H167" s="10"/>
      <c r="I167" s="11"/>
      <c r="J167" s="13"/>
      <c r="K167" s="45"/>
      <c r="L167" s="37"/>
      <c r="M167" s="17"/>
      <c r="N167" s="11"/>
      <c r="O167" s="16"/>
      <c r="P167" s="16"/>
      <c r="Q167" s="18" t="str">
        <f t="shared" si="12"/>
        <v/>
      </c>
      <c r="R167" s="18" t="str">
        <f t="shared" si="13"/>
        <v/>
      </c>
      <c r="S167" s="18" t="str">
        <f t="shared" si="14"/>
        <v/>
      </c>
      <c r="T167" s="18" t="str">
        <f t="shared" si="15"/>
        <v/>
      </c>
      <c r="U167" s="18" t="str">
        <f t="shared" si="16"/>
        <v/>
      </c>
      <c r="V167" s="18" t="str">
        <f t="shared" si="17"/>
        <v/>
      </c>
      <c r="W167" s="14"/>
    </row>
    <row r="168" spans="1:23" ht="15" customHeight="1" x14ac:dyDescent="0.25">
      <c r="A168" s="6">
        <v>1</v>
      </c>
      <c r="B168" s="33" t="s">
        <v>33</v>
      </c>
      <c r="C168" s="44"/>
      <c r="D168" s="62">
        <f>0.7+1.65+1</f>
        <v>3.3499999999999996</v>
      </c>
      <c r="E168" s="62"/>
      <c r="F168" s="41"/>
      <c r="G168" s="36">
        <v>0.25</v>
      </c>
      <c r="H168" s="10">
        <v>20</v>
      </c>
      <c r="I168" s="11">
        <v>1</v>
      </c>
      <c r="J168" s="13">
        <f>ROUND(1.95/G168+1,0)</f>
        <v>9</v>
      </c>
      <c r="K168" s="45">
        <f>D168</f>
        <v>3.3499999999999996</v>
      </c>
      <c r="L168" s="37" t="str">
        <f>IF(O168&lt;12,"0",0.049*H168)</f>
        <v>0</v>
      </c>
      <c r="M168" s="17">
        <v>0</v>
      </c>
      <c r="N168" s="11">
        <f>M168*2*H168/1000</f>
        <v>0</v>
      </c>
      <c r="O168" s="16">
        <f>(D168)-N168</f>
        <v>3.3499999999999996</v>
      </c>
      <c r="P168" s="16">
        <f>(I168*J168*O168)+L168</f>
        <v>30.15</v>
      </c>
      <c r="Q168" s="18" t="str">
        <f t="shared" si="12"/>
        <v/>
      </c>
      <c r="R168" s="18" t="str">
        <f t="shared" si="13"/>
        <v/>
      </c>
      <c r="S168" s="18" t="str">
        <f t="shared" si="14"/>
        <v/>
      </c>
      <c r="T168" s="18" t="str">
        <f t="shared" si="15"/>
        <v/>
      </c>
      <c r="U168" s="18">
        <f t="shared" si="16"/>
        <v>30.15</v>
      </c>
      <c r="V168" s="18" t="str">
        <f t="shared" si="17"/>
        <v/>
      </c>
      <c r="W168" s="14"/>
    </row>
    <row r="169" spans="1:23" x14ac:dyDescent="0.25">
      <c r="A169" s="6"/>
      <c r="B169" s="33" t="s">
        <v>170</v>
      </c>
      <c r="C169" s="19"/>
      <c r="D169" s="39"/>
      <c r="E169" s="39"/>
      <c r="F169" s="41"/>
      <c r="G169" s="36"/>
      <c r="H169" s="10"/>
      <c r="I169" s="11"/>
      <c r="J169" s="13"/>
      <c r="K169" s="45"/>
      <c r="L169" s="37"/>
      <c r="M169" s="17"/>
      <c r="N169" s="11"/>
      <c r="O169" s="16"/>
      <c r="P169" s="16"/>
      <c r="Q169" s="18" t="str">
        <f t="shared" si="12"/>
        <v/>
      </c>
      <c r="R169" s="18" t="str">
        <f t="shared" si="13"/>
        <v/>
      </c>
      <c r="S169" s="18" t="str">
        <f t="shared" si="14"/>
        <v/>
      </c>
      <c r="T169" s="18" t="str">
        <f t="shared" si="15"/>
        <v/>
      </c>
      <c r="U169" s="18" t="str">
        <f t="shared" si="16"/>
        <v/>
      </c>
      <c r="V169" s="18" t="str">
        <f t="shared" si="17"/>
        <v/>
      </c>
      <c r="W169" s="14"/>
    </row>
    <row r="170" spans="1:23" x14ac:dyDescent="0.25">
      <c r="A170" s="6"/>
      <c r="B170" s="50"/>
      <c r="C170" s="19"/>
      <c r="D170" s="39"/>
      <c r="E170" s="39"/>
      <c r="F170" s="41"/>
      <c r="G170" s="36"/>
      <c r="H170" s="10"/>
      <c r="I170" s="11"/>
      <c r="J170" s="13"/>
      <c r="K170" s="45"/>
      <c r="L170" s="37"/>
      <c r="M170" s="17"/>
      <c r="N170" s="11"/>
      <c r="O170" s="16"/>
      <c r="P170" s="16"/>
      <c r="Q170" s="18" t="str">
        <f t="shared" si="12"/>
        <v/>
      </c>
      <c r="R170" s="18" t="str">
        <f t="shared" si="13"/>
        <v/>
      </c>
      <c r="S170" s="18" t="str">
        <f t="shared" si="14"/>
        <v/>
      </c>
      <c r="T170" s="18" t="str">
        <f t="shared" si="15"/>
        <v/>
      </c>
      <c r="U170" s="18" t="str">
        <f t="shared" si="16"/>
        <v/>
      </c>
      <c r="V170" s="18" t="str">
        <f t="shared" si="17"/>
        <v/>
      </c>
      <c r="W170" s="14"/>
    </row>
    <row r="171" spans="1:23" ht="15" customHeight="1" x14ac:dyDescent="0.25">
      <c r="A171" s="6">
        <v>2</v>
      </c>
      <c r="B171" s="33" t="s">
        <v>34</v>
      </c>
      <c r="C171" s="44"/>
      <c r="D171" s="62">
        <f>0.7+0.65+0.6</f>
        <v>1.9500000000000002</v>
      </c>
      <c r="E171" s="62"/>
      <c r="F171" s="41"/>
      <c r="G171" s="36">
        <v>0.25</v>
      </c>
      <c r="H171" s="10">
        <v>12</v>
      </c>
      <c r="I171" s="11">
        <v>1</v>
      </c>
      <c r="J171" s="13">
        <f>ROUND(3.35/G171+1,0)</f>
        <v>14</v>
      </c>
      <c r="K171" s="45">
        <f>D171</f>
        <v>1.9500000000000002</v>
      </c>
      <c r="L171" s="37" t="str">
        <f>IF(O171&lt;12,"0",0.049*H171)</f>
        <v>0</v>
      </c>
      <c r="M171" s="17">
        <v>0</v>
      </c>
      <c r="N171" s="11">
        <f>M171*2*H171/1000</f>
        <v>0</v>
      </c>
      <c r="O171" s="16">
        <f>(D171)-N171</f>
        <v>1.9500000000000002</v>
      </c>
      <c r="P171" s="16">
        <f>(I171*J171*O171)+L171</f>
        <v>27.300000000000004</v>
      </c>
      <c r="Q171" s="18" t="str">
        <f t="shared" si="12"/>
        <v/>
      </c>
      <c r="R171" s="18" t="str">
        <f t="shared" si="13"/>
        <v/>
      </c>
      <c r="S171" s="18">
        <f t="shared" si="14"/>
        <v>27.300000000000004</v>
      </c>
      <c r="T171" s="18" t="str">
        <f t="shared" si="15"/>
        <v/>
      </c>
      <c r="U171" s="18" t="str">
        <f t="shared" si="16"/>
        <v/>
      </c>
      <c r="V171" s="18" t="str">
        <f t="shared" si="17"/>
        <v/>
      </c>
      <c r="W171" s="14"/>
    </row>
    <row r="172" spans="1:23" x14ac:dyDescent="0.25">
      <c r="A172" s="6"/>
      <c r="B172" s="33" t="s">
        <v>170</v>
      </c>
      <c r="C172" s="19"/>
      <c r="D172" s="39"/>
      <c r="E172" s="39"/>
      <c r="F172" s="41"/>
      <c r="G172" s="36"/>
      <c r="H172" s="10"/>
      <c r="I172" s="11"/>
      <c r="J172" s="13"/>
      <c r="K172" s="45"/>
      <c r="L172" s="37"/>
      <c r="M172" s="17"/>
      <c r="N172" s="11"/>
      <c r="O172" s="16"/>
      <c r="P172" s="16"/>
      <c r="Q172" s="18" t="str">
        <f t="shared" si="12"/>
        <v/>
      </c>
      <c r="R172" s="18" t="str">
        <f t="shared" si="13"/>
        <v/>
      </c>
      <c r="S172" s="18" t="str">
        <f t="shared" si="14"/>
        <v/>
      </c>
      <c r="T172" s="18" t="str">
        <f t="shared" si="15"/>
        <v/>
      </c>
      <c r="U172" s="18" t="str">
        <f t="shared" si="16"/>
        <v/>
      </c>
      <c r="V172" s="18" t="str">
        <f t="shared" si="17"/>
        <v/>
      </c>
      <c r="W172" s="14"/>
    </row>
    <row r="173" spans="1:23" x14ac:dyDescent="0.25">
      <c r="A173" s="6"/>
      <c r="B173" s="50"/>
      <c r="C173" s="19"/>
      <c r="D173" s="39"/>
      <c r="E173" s="39"/>
      <c r="F173" s="41"/>
      <c r="G173" s="36"/>
      <c r="H173" s="10"/>
      <c r="I173" s="11"/>
      <c r="J173" s="13"/>
      <c r="K173" s="45"/>
      <c r="L173" s="37"/>
      <c r="M173" s="17"/>
      <c r="N173" s="11"/>
      <c r="O173" s="16"/>
      <c r="P173" s="16"/>
      <c r="Q173" s="18" t="str">
        <f t="shared" si="12"/>
        <v/>
      </c>
      <c r="R173" s="18" t="str">
        <f t="shared" si="13"/>
        <v/>
      </c>
      <c r="S173" s="18" t="str">
        <f t="shared" si="14"/>
        <v/>
      </c>
      <c r="T173" s="18" t="str">
        <f t="shared" si="15"/>
        <v/>
      </c>
      <c r="U173" s="18" t="str">
        <f t="shared" si="16"/>
        <v/>
      </c>
      <c r="V173" s="18" t="str">
        <f t="shared" si="17"/>
        <v/>
      </c>
      <c r="W173" s="14"/>
    </row>
    <row r="174" spans="1:23" ht="15" customHeight="1" x14ac:dyDescent="0.25">
      <c r="A174" s="6">
        <v>3</v>
      </c>
      <c r="B174" s="33" t="s">
        <v>33</v>
      </c>
      <c r="C174" s="44"/>
      <c r="D174" s="62">
        <f>1.25+0.6+0.75-0.05</f>
        <v>2.5500000000000003</v>
      </c>
      <c r="E174" s="62"/>
      <c r="F174" s="41"/>
      <c r="G174" s="36">
        <v>0.25</v>
      </c>
      <c r="H174" s="10">
        <v>25</v>
      </c>
      <c r="I174" s="11">
        <v>1</v>
      </c>
      <c r="J174" s="13">
        <f>ROUND(2.3/G174+1,0)</f>
        <v>10</v>
      </c>
      <c r="K174" s="45">
        <f>D174</f>
        <v>2.5500000000000003</v>
      </c>
      <c r="L174" s="37" t="str">
        <f>IF(O174&lt;12,"0",0.049*H174)</f>
        <v>0</v>
      </c>
      <c r="M174" s="17">
        <v>0</v>
      </c>
      <c r="N174" s="11">
        <f>M174*2*H174/1000</f>
        <v>0</v>
      </c>
      <c r="O174" s="16">
        <f>(D174)-N174</f>
        <v>2.5500000000000003</v>
      </c>
      <c r="P174" s="16">
        <f>(I174*J174*O174)+L174</f>
        <v>25.500000000000004</v>
      </c>
      <c r="Q174" s="18" t="str">
        <f t="shared" si="12"/>
        <v/>
      </c>
      <c r="R174" s="18" t="str">
        <f t="shared" si="13"/>
        <v/>
      </c>
      <c r="S174" s="18" t="str">
        <f t="shared" si="14"/>
        <v/>
      </c>
      <c r="T174" s="18" t="str">
        <f t="shared" si="15"/>
        <v/>
      </c>
      <c r="U174" s="18" t="str">
        <f t="shared" si="16"/>
        <v/>
      </c>
      <c r="V174" s="18">
        <f t="shared" si="17"/>
        <v>25.500000000000004</v>
      </c>
      <c r="W174" s="14"/>
    </row>
    <row r="175" spans="1:23" x14ac:dyDescent="0.25">
      <c r="A175" s="6"/>
      <c r="B175" s="33" t="s">
        <v>171</v>
      </c>
      <c r="C175" s="19"/>
      <c r="D175" s="32"/>
      <c r="E175" s="32"/>
      <c r="F175" s="41"/>
      <c r="G175" s="36"/>
      <c r="H175" s="10"/>
      <c r="I175" s="11"/>
      <c r="J175" s="13"/>
      <c r="K175" s="45"/>
      <c r="L175" s="37"/>
      <c r="M175" s="17"/>
      <c r="N175" s="11"/>
      <c r="O175" s="16"/>
      <c r="P175" s="16"/>
      <c r="Q175" s="18" t="str">
        <f t="shared" si="12"/>
        <v/>
      </c>
      <c r="R175" s="18" t="str">
        <f t="shared" si="13"/>
        <v/>
      </c>
      <c r="S175" s="18" t="str">
        <f t="shared" si="14"/>
        <v/>
      </c>
      <c r="T175" s="18" t="str">
        <f t="shared" si="15"/>
        <v/>
      </c>
      <c r="U175" s="18" t="str">
        <f t="shared" si="16"/>
        <v/>
      </c>
      <c r="V175" s="18" t="str">
        <f t="shared" si="17"/>
        <v/>
      </c>
      <c r="W175" s="14"/>
    </row>
    <row r="176" spans="1:23" x14ac:dyDescent="0.25">
      <c r="A176" s="6"/>
      <c r="B176" s="33"/>
      <c r="C176" s="19"/>
      <c r="D176" s="39"/>
      <c r="E176" s="39"/>
      <c r="F176" s="41"/>
      <c r="G176" s="36"/>
      <c r="H176" s="10"/>
      <c r="I176" s="11"/>
      <c r="J176" s="13"/>
      <c r="K176" s="45"/>
      <c r="L176" s="37"/>
      <c r="M176" s="17"/>
      <c r="N176" s="11"/>
      <c r="O176" s="16"/>
      <c r="P176" s="16"/>
      <c r="Q176" s="18" t="str">
        <f t="shared" si="12"/>
        <v/>
      </c>
      <c r="R176" s="18" t="str">
        <f t="shared" si="13"/>
        <v/>
      </c>
      <c r="S176" s="18" t="str">
        <f t="shared" si="14"/>
        <v/>
      </c>
      <c r="T176" s="18" t="str">
        <f t="shared" si="15"/>
        <v/>
      </c>
      <c r="U176" s="18" t="str">
        <f t="shared" si="16"/>
        <v/>
      </c>
      <c r="V176" s="18" t="str">
        <f t="shared" si="17"/>
        <v/>
      </c>
      <c r="W176" s="14"/>
    </row>
    <row r="177" spans="1:23" ht="15" customHeight="1" x14ac:dyDescent="0.25">
      <c r="A177" s="6">
        <v>4</v>
      </c>
      <c r="B177" s="33" t="s">
        <v>34</v>
      </c>
      <c r="C177" s="44"/>
      <c r="D177" s="62">
        <f>1+0.3+1</f>
        <v>2.2999999999999998</v>
      </c>
      <c r="E177" s="62"/>
      <c r="F177" s="41"/>
      <c r="G177" s="36">
        <v>0.25</v>
      </c>
      <c r="H177" s="10">
        <v>20</v>
      </c>
      <c r="I177" s="11">
        <v>1</v>
      </c>
      <c r="J177" s="13">
        <f>ROUND(2.55/G177+1,0)</f>
        <v>11</v>
      </c>
      <c r="K177" s="45">
        <f>D177</f>
        <v>2.2999999999999998</v>
      </c>
      <c r="L177" s="37" t="str">
        <f>IF(O177&lt;12,"0",0.049*H177)</f>
        <v>0</v>
      </c>
      <c r="M177" s="17">
        <v>0</v>
      </c>
      <c r="N177" s="11">
        <f>M177*2*H177/1000</f>
        <v>0</v>
      </c>
      <c r="O177" s="16">
        <f>(D177)-N177</f>
        <v>2.2999999999999998</v>
      </c>
      <c r="P177" s="16">
        <f>(I177*J177*O177)+L177</f>
        <v>25.299999999999997</v>
      </c>
      <c r="Q177" s="18" t="str">
        <f t="shared" si="12"/>
        <v/>
      </c>
      <c r="R177" s="18" t="str">
        <f t="shared" si="13"/>
        <v/>
      </c>
      <c r="S177" s="18" t="str">
        <f t="shared" si="14"/>
        <v/>
      </c>
      <c r="T177" s="18" t="str">
        <f t="shared" si="15"/>
        <v/>
      </c>
      <c r="U177" s="18">
        <f t="shared" si="16"/>
        <v>25.299999999999997</v>
      </c>
      <c r="V177" s="18" t="str">
        <f t="shared" si="17"/>
        <v/>
      </c>
      <c r="W177" s="14"/>
    </row>
    <row r="178" spans="1:23" x14ac:dyDescent="0.25">
      <c r="A178" s="6"/>
      <c r="B178" s="33" t="s">
        <v>171</v>
      </c>
      <c r="C178" s="19"/>
      <c r="D178" s="39"/>
      <c r="E178" s="39"/>
      <c r="F178" s="41"/>
      <c r="G178" s="36"/>
      <c r="H178" s="10"/>
      <c r="I178" s="11"/>
      <c r="J178" s="13"/>
      <c r="K178" s="45"/>
      <c r="L178" s="37"/>
      <c r="M178" s="17"/>
      <c r="N178" s="11"/>
      <c r="O178" s="16"/>
      <c r="P178" s="16"/>
      <c r="Q178" s="18" t="str">
        <f t="shared" si="12"/>
        <v/>
      </c>
      <c r="R178" s="18" t="str">
        <f t="shared" si="13"/>
        <v/>
      </c>
      <c r="S178" s="18" t="str">
        <f t="shared" si="14"/>
        <v/>
      </c>
      <c r="T178" s="18" t="str">
        <f t="shared" si="15"/>
        <v/>
      </c>
      <c r="U178" s="18" t="str">
        <f t="shared" si="16"/>
        <v/>
      </c>
      <c r="V178" s="18" t="str">
        <f t="shared" si="17"/>
        <v/>
      </c>
      <c r="W178" s="14"/>
    </row>
    <row r="179" spans="1:23" x14ac:dyDescent="0.25">
      <c r="A179" s="6"/>
      <c r="B179" s="33"/>
      <c r="C179" s="19"/>
      <c r="D179" s="39"/>
      <c r="E179" s="39"/>
      <c r="F179" s="41"/>
      <c r="G179" s="36"/>
      <c r="H179" s="10"/>
      <c r="I179" s="11"/>
      <c r="J179" s="13"/>
      <c r="K179" s="45"/>
      <c r="L179" s="37"/>
      <c r="M179" s="17"/>
      <c r="N179" s="11"/>
      <c r="O179" s="16"/>
      <c r="P179" s="16"/>
      <c r="Q179" s="18" t="str">
        <f t="shared" si="12"/>
        <v/>
      </c>
      <c r="R179" s="18" t="str">
        <f t="shared" si="13"/>
        <v/>
      </c>
      <c r="S179" s="18" t="str">
        <f t="shared" si="14"/>
        <v/>
      </c>
      <c r="T179" s="18" t="str">
        <f t="shared" si="15"/>
        <v/>
      </c>
      <c r="U179" s="18" t="str">
        <f t="shared" si="16"/>
        <v/>
      </c>
      <c r="V179" s="18" t="str">
        <f t="shared" si="17"/>
        <v/>
      </c>
      <c r="W179" s="14"/>
    </row>
    <row r="180" spans="1:23" ht="15" customHeight="1" x14ac:dyDescent="0.25">
      <c r="A180" s="6">
        <v>5</v>
      </c>
      <c r="B180" s="33" t="s">
        <v>33</v>
      </c>
      <c r="C180" s="44"/>
      <c r="D180" s="62">
        <f>0.75-0.05+0.3+1</f>
        <v>2</v>
      </c>
      <c r="E180" s="62"/>
      <c r="F180" s="41"/>
      <c r="G180" s="36">
        <v>0.25</v>
      </c>
      <c r="H180" s="10">
        <v>20</v>
      </c>
      <c r="I180" s="11">
        <v>1</v>
      </c>
      <c r="J180" s="13">
        <f>ROUND(2.3/G180+1,0)</f>
        <v>10</v>
      </c>
      <c r="K180" s="45">
        <f>D180</f>
        <v>2</v>
      </c>
      <c r="L180" s="37" t="str">
        <f>IF(O180&lt;12,"0",0.049*H180)</f>
        <v>0</v>
      </c>
      <c r="M180" s="17">
        <v>0</v>
      </c>
      <c r="N180" s="11">
        <f>M180*2*H180/1000</f>
        <v>0</v>
      </c>
      <c r="O180" s="16">
        <f>(D180)-N180</f>
        <v>2</v>
      </c>
      <c r="P180" s="16">
        <f>(I180*J180*O180)+L180</f>
        <v>20</v>
      </c>
      <c r="Q180" s="18" t="str">
        <f t="shared" si="12"/>
        <v/>
      </c>
      <c r="R180" s="18" t="str">
        <f t="shared" si="13"/>
        <v/>
      </c>
      <c r="S180" s="18" t="str">
        <f t="shared" si="14"/>
        <v/>
      </c>
      <c r="T180" s="18" t="str">
        <f t="shared" si="15"/>
        <v/>
      </c>
      <c r="U180" s="18">
        <f t="shared" si="16"/>
        <v>20</v>
      </c>
      <c r="V180" s="18" t="str">
        <f t="shared" si="17"/>
        <v/>
      </c>
      <c r="W180" s="14"/>
    </row>
    <row r="181" spans="1:23" x14ac:dyDescent="0.25">
      <c r="A181" s="6"/>
      <c r="B181" s="33" t="s">
        <v>172</v>
      </c>
      <c r="C181" s="19"/>
      <c r="D181" s="39"/>
      <c r="E181" s="39"/>
      <c r="F181" s="41"/>
      <c r="G181" s="36"/>
      <c r="H181" s="10"/>
      <c r="I181" s="11"/>
      <c r="J181" s="13"/>
      <c r="K181" s="45"/>
      <c r="L181" s="37"/>
      <c r="M181" s="17"/>
      <c r="N181" s="11"/>
      <c r="O181" s="16"/>
      <c r="P181" s="16"/>
      <c r="Q181" s="18" t="str">
        <f t="shared" si="12"/>
        <v/>
      </c>
      <c r="R181" s="18" t="str">
        <f t="shared" si="13"/>
        <v/>
      </c>
      <c r="S181" s="18" t="str">
        <f t="shared" si="14"/>
        <v/>
      </c>
      <c r="T181" s="18" t="str">
        <f t="shared" si="15"/>
        <v/>
      </c>
      <c r="U181" s="18" t="str">
        <f t="shared" si="16"/>
        <v/>
      </c>
      <c r="V181" s="18" t="str">
        <f t="shared" si="17"/>
        <v/>
      </c>
      <c r="W181" s="14"/>
    </row>
    <row r="182" spans="1:23" x14ac:dyDescent="0.25">
      <c r="A182" s="6"/>
      <c r="B182" s="33"/>
      <c r="C182" s="19"/>
      <c r="D182" s="39"/>
      <c r="E182" s="39"/>
      <c r="F182" s="41"/>
      <c r="G182" s="36"/>
      <c r="H182" s="10"/>
      <c r="I182" s="11"/>
      <c r="J182" s="13"/>
      <c r="K182" s="45"/>
      <c r="L182" s="37"/>
      <c r="M182" s="17"/>
      <c r="N182" s="11"/>
      <c r="O182" s="16"/>
      <c r="P182" s="16"/>
      <c r="Q182" s="18" t="str">
        <f t="shared" si="12"/>
        <v/>
      </c>
      <c r="R182" s="18" t="str">
        <f t="shared" si="13"/>
        <v/>
      </c>
      <c r="S182" s="18" t="str">
        <f t="shared" si="14"/>
        <v/>
      </c>
      <c r="T182" s="18" t="str">
        <f t="shared" si="15"/>
        <v/>
      </c>
      <c r="U182" s="18" t="str">
        <f t="shared" si="16"/>
        <v/>
      </c>
      <c r="V182" s="18" t="str">
        <f t="shared" si="17"/>
        <v/>
      </c>
      <c r="W182" s="14"/>
    </row>
    <row r="183" spans="1:23" ht="15" customHeight="1" x14ac:dyDescent="0.25">
      <c r="A183" s="6">
        <v>6</v>
      </c>
      <c r="B183" s="33" t="s">
        <v>34</v>
      </c>
      <c r="C183" s="44"/>
      <c r="D183" s="62">
        <f>1+0.6+0.75-0.05</f>
        <v>2.3000000000000003</v>
      </c>
      <c r="E183" s="62"/>
      <c r="F183" s="41"/>
      <c r="G183" s="36">
        <v>0.25</v>
      </c>
      <c r="H183" s="10">
        <v>20</v>
      </c>
      <c r="I183" s="11">
        <v>1</v>
      </c>
      <c r="J183" s="13">
        <f>ROUND(2/G183+1,0)</f>
        <v>9</v>
      </c>
      <c r="K183" s="45">
        <f>D183</f>
        <v>2.3000000000000003</v>
      </c>
      <c r="L183" s="37" t="str">
        <f>IF(O183&lt;12,"0",0.049*H183)</f>
        <v>0</v>
      </c>
      <c r="M183" s="17">
        <v>0</v>
      </c>
      <c r="N183" s="11">
        <f>M183*2*H183/1000</f>
        <v>0</v>
      </c>
      <c r="O183" s="16">
        <f>(D183)-N183</f>
        <v>2.3000000000000003</v>
      </c>
      <c r="P183" s="16">
        <f>(I183*J183*O183)+L183</f>
        <v>20.700000000000003</v>
      </c>
      <c r="Q183" s="18" t="str">
        <f t="shared" si="12"/>
        <v/>
      </c>
      <c r="R183" s="18" t="str">
        <f t="shared" si="13"/>
        <v/>
      </c>
      <c r="S183" s="18" t="str">
        <f t="shared" si="14"/>
        <v/>
      </c>
      <c r="T183" s="18" t="str">
        <f t="shared" si="15"/>
        <v/>
      </c>
      <c r="U183" s="18">
        <f t="shared" si="16"/>
        <v>20.700000000000003</v>
      </c>
      <c r="V183" s="18" t="str">
        <f t="shared" si="17"/>
        <v/>
      </c>
      <c r="W183" s="14"/>
    </row>
    <row r="184" spans="1:23" x14ac:dyDescent="0.25">
      <c r="A184" s="6"/>
      <c r="B184" s="33" t="s">
        <v>172</v>
      </c>
      <c r="C184" s="19"/>
      <c r="D184" s="39"/>
      <c r="E184" s="39"/>
      <c r="F184" s="41"/>
      <c r="G184" s="36"/>
      <c r="H184" s="10"/>
      <c r="I184" s="11"/>
      <c r="J184" s="13"/>
      <c r="K184" s="45"/>
      <c r="L184" s="37"/>
      <c r="M184" s="17"/>
      <c r="N184" s="11"/>
      <c r="O184" s="16"/>
      <c r="P184" s="16"/>
      <c r="Q184" s="18" t="str">
        <f t="shared" si="12"/>
        <v/>
      </c>
      <c r="R184" s="18" t="str">
        <f t="shared" si="13"/>
        <v/>
      </c>
      <c r="S184" s="18" t="str">
        <f t="shared" si="14"/>
        <v/>
      </c>
      <c r="T184" s="18" t="str">
        <f t="shared" si="15"/>
        <v/>
      </c>
      <c r="U184" s="18" t="str">
        <f t="shared" si="16"/>
        <v/>
      </c>
      <c r="V184" s="18" t="str">
        <f t="shared" si="17"/>
        <v/>
      </c>
      <c r="W184" s="14"/>
    </row>
    <row r="185" spans="1:23" x14ac:dyDescent="0.25">
      <c r="A185" s="6"/>
      <c r="B185" s="33"/>
      <c r="C185" s="19"/>
      <c r="D185" s="39"/>
      <c r="E185" s="39"/>
      <c r="F185" s="41"/>
      <c r="G185" s="36"/>
      <c r="H185" s="10"/>
      <c r="I185" s="11"/>
      <c r="J185" s="13"/>
      <c r="K185" s="45"/>
      <c r="L185" s="37"/>
      <c r="M185" s="17"/>
      <c r="N185" s="11"/>
      <c r="O185" s="16"/>
      <c r="P185" s="16"/>
      <c r="Q185" s="18" t="str">
        <f t="shared" si="12"/>
        <v/>
      </c>
      <c r="R185" s="18" t="str">
        <f t="shared" si="13"/>
        <v/>
      </c>
      <c r="S185" s="18" t="str">
        <f t="shared" si="14"/>
        <v/>
      </c>
      <c r="T185" s="18" t="str">
        <f t="shared" si="15"/>
        <v/>
      </c>
      <c r="U185" s="18" t="str">
        <f t="shared" si="16"/>
        <v/>
      </c>
      <c r="V185" s="18" t="str">
        <f t="shared" si="17"/>
        <v/>
      </c>
      <c r="W185" s="14"/>
    </row>
    <row r="186" spans="1:23" ht="15" customHeight="1" x14ac:dyDescent="0.25">
      <c r="A186" s="6">
        <v>7</v>
      </c>
      <c r="B186" s="33" t="s">
        <v>33</v>
      </c>
      <c r="C186" s="44"/>
      <c r="D186" s="62">
        <f>0.75-0.05+1.85+1</f>
        <v>3.55</v>
      </c>
      <c r="E186" s="62"/>
      <c r="F186" s="41"/>
      <c r="G186" s="36">
        <v>0.25</v>
      </c>
      <c r="H186" s="10">
        <v>20</v>
      </c>
      <c r="I186" s="11">
        <v>1</v>
      </c>
      <c r="J186" s="13">
        <f>ROUND(2.4/G186+1,0)</f>
        <v>11</v>
      </c>
      <c r="K186" s="45">
        <f>D186</f>
        <v>3.55</v>
      </c>
      <c r="L186" s="37" t="str">
        <f>IF(O186&lt;12,"0",0.049*H186)</f>
        <v>0</v>
      </c>
      <c r="M186" s="17">
        <v>0</v>
      </c>
      <c r="N186" s="11">
        <f>M186*2*H186/1000</f>
        <v>0</v>
      </c>
      <c r="O186" s="16">
        <f>(D186)-N186</f>
        <v>3.55</v>
      </c>
      <c r="P186" s="16">
        <f>(I186*J186*O186)+L186</f>
        <v>39.049999999999997</v>
      </c>
      <c r="Q186" s="18" t="str">
        <f t="shared" si="12"/>
        <v/>
      </c>
      <c r="R186" s="18" t="str">
        <f t="shared" si="13"/>
        <v/>
      </c>
      <c r="S186" s="18" t="str">
        <f t="shared" si="14"/>
        <v/>
      </c>
      <c r="T186" s="18" t="str">
        <f t="shared" si="15"/>
        <v/>
      </c>
      <c r="U186" s="18">
        <f t="shared" si="16"/>
        <v>39.049999999999997</v>
      </c>
      <c r="V186" s="18" t="str">
        <f t="shared" si="17"/>
        <v/>
      </c>
      <c r="W186" s="14"/>
    </row>
    <row r="187" spans="1:23" x14ac:dyDescent="0.25">
      <c r="A187" s="6"/>
      <c r="B187" s="33" t="s">
        <v>173</v>
      </c>
      <c r="C187" s="19"/>
      <c r="D187" s="39"/>
      <c r="E187" s="39"/>
      <c r="F187" s="41"/>
      <c r="G187" s="36"/>
      <c r="H187" s="10"/>
      <c r="I187" s="11"/>
      <c r="J187" s="13"/>
      <c r="K187" s="45"/>
      <c r="L187" s="37"/>
      <c r="M187" s="17"/>
      <c r="N187" s="11"/>
      <c r="O187" s="16"/>
      <c r="P187" s="16"/>
      <c r="Q187" s="18" t="str">
        <f t="shared" si="12"/>
        <v/>
      </c>
      <c r="R187" s="18" t="str">
        <f t="shared" si="13"/>
        <v/>
      </c>
      <c r="S187" s="18" t="str">
        <f t="shared" si="14"/>
        <v/>
      </c>
      <c r="T187" s="18" t="str">
        <f t="shared" si="15"/>
        <v/>
      </c>
      <c r="U187" s="18" t="str">
        <f t="shared" si="16"/>
        <v/>
      </c>
      <c r="V187" s="18" t="str">
        <f t="shared" si="17"/>
        <v/>
      </c>
      <c r="W187" s="14"/>
    </row>
    <row r="188" spans="1:23" x14ac:dyDescent="0.25">
      <c r="A188" s="6"/>
      <c r="B188" s="33"/>
      <c r="C188" s="19"/>
      <c r="D188" s="39"/>
      <c r="E188" s="39"/>
      <c r="F188" s="41"/>
      <c r="G188" s="36"/>
      <c r="H188" s="10"/>
      <c r="I188" s="11"/>
      <c r="J188" s="13"/>
      <c r="K188" s="45"/>
      <c r="L188" s="37"/>
      <c r="M188" s="17"/>
      <c r="N188" s="11"/>
      <c r="O188" s="16"/>
      <c r="P188" s="16"/>
      <c r="Q188" s="18" t="str">
        <f t="shared" si="12"/>
        <v/>
      </c>
      <c r="R188" s="18" t="str">
        <f t="shared" si="13"/>
        <v/>
      </c>
      <c r="S188" s="18" t="str">
        <f t="shared" si="14"/>
        <v/>
      </c>
      <c r="T188" s="18" t="str">
        <f t="shared" si="15"/>
        <v/>
      </c>
      <c r="U188" s="18" t="str">
        <f t="shared" si="16"/>
        <v/>
      </c>
      <c r="V188" s="18" t="str">
        <f t="shared" si="17"/>
        <v/>
      </c>
      <c r="W188" s="14"/>
    </row>
    <row r="189" spans="1:23" ht="15" customHeight="1" x14ac:dyDescent="0.25">
      <c r="A189" s="6">
        <v>7</v>
      </c>
      <c r="B189" s="33" t="s">
        <v>33</v>
      </c>
      <c r="C189" s="44"/>
      <c r="D189" s="62">
        <f>0.75-0.05+0.8+1</f>
        <v>2.5</v>
      </c>
      <c r="E189" s="62"/>
      <c r="F189" s="41"/>
      <c r="G189" s="36">
        <v>0.25</v>
      </c>
      <c r="H189" s="10">
        <v>25</v>
      </c>
      <c r="I189" s="11">
        <v>1</v>
      </c>
      <c r="J189" s="13">
        <f>ROUND(1.645/G189+1,0)</f>
        <v>8</v>
      </c>
      <c r="K189" s="45">
        <f>D189</f>
        <v>2.5</v>
      </c>
      <c r="L189" s="37" t="str">
        <f>IF(O189&lt;12,"0",0.049*H189)</f>
        <v>0</v>
      </c>
      <c r="M189" s="17">
        <v>0</v>
      </c>
      <c r="N189" s="11">
        <f>M189*2*H189/1000</f>
        <v>0</v>
      </c>
      <c r="O189" s="16">
        <f>(D189)-N189</f>
        <v>2.5</v>
      </c>
      <c r="P189" s="16">
        <f>(I189*J189*O189)+L189</f>
        <v>20</v>
      </c>
      <c r="Q189" s="18" t="str">
        <f t="shared" si="12"/>
        <v/>
      </c>
      <c r="R189" s="18" t="str">
        <f t="shared" si="13"/>
        <v/>
      </c>
      <c r="S189" s="18" t="str">
        <f t="shared" si="14"/>
        <v/>
      </c>
      <c r="T189" s="18" t="str">
        <f t="shared" si="15"/>
        <v/>
      </c>
      <c r="U189" s="18" t="str">
        <f t="shared" si="16"/>
        <v/>
      </c>
      <c r="V189" s="18">
        <f t="shared" si="17"/>
        <v>20</v>
      </c>
      <c r="W189" s="14"/>
    </row>
    <row r="190" spans="1:23" x14ac:dyDescent="0.25">
      <c r="A190" s="6"/>
      <c r="B190" s="33" t="s">
        <v>173</v>
      </c>
      <c r="C190" s="19"/>
      <c r="D190" s="39"/>
      <c r="E190" s="39"/>
      <c r="F190" s="41"/>
      <c r="G190" s="36"/>
      <c r="H190" s="10"/>
      <c r="I190" s="11"/>
      <c r="J190" s="13"/>
      <c r="K190" s="45"/>
      <c r="L190" s="37"/>
      <c r="M190" s="17"/>
      <c r="N190" s="11"/>
      <c r="O190" s="16"/>
      <c r="P190" s="16"/>
      <c r="Q190" s="18" t="str">
        <f t="shared" si="12"/>
        <v/>
      </c>
      <c r="R190" s="18" t="str">
        <f t="shared" si="13"/>
        <v/>
      </c>
      <c r="S190" s="18" t="str">
        <f t="shared" si="14"/>
        <v/>
      </c>
      <c r="T190" s="18" t="str">
        <f t="shared" si="15"/>
        <v/>
      </c>
      <c r="U190" s="18" t="str">
        <f t="shared" si="16"/>
        <v/>
      </c>
      <c r="V190" s="18" t="str">
        <f t="shared" si="17"/>
        <v/>
      </c>
      <c r="W190" s="14"/>
    </row>
    <row r="191" spans="1:23" x14ac:dyDescent="0.25">
      <c r="A191" s="6"/>
      <c r="B191" s="33"/>
      <c r="C191" s="19"/>
      <c r="D191" s="39"/>
      <c r="E191" s="39"/>
      <c r="F191" s="41"/>
      <c r="G191" s="36"/>
      <c r="H191" s="10"/>
      <c r="I191" s="11"/>
      <c r="J191" s="13"/>
      <c r="K191" s="45"/>
      <c r="L191" s="37"/>
      <c r="M191" s="17"/>
      <c r="N191" s="11"/>
      <c r="O191" s="16"/>
      <c r="P191" s="16"/>
      <c r="Q191" s="18" t="str">
        <f t="shared" si="12"/>
        <v/>
      </c>
      <c r="R191" s="18" t="str">
        <f t="shared" si="13"/>
        <v/>
      </c>
      <c r="S191" s="18" t="str">
        <f t="shared" si="14"/>
        <v/>
      </c>
      <c r="T191" s="18" t="str">
        <f t="shared" si="15"/>
        <v/>
      </c>
      <c r="U191" s="18" t="str">
        <f t="shared" si="16"/>
        <v/>
      </c>
      <c r="V191" s="18" t="str">
        <f t="shared" si="17"/>
        <v/>
      </c>
      <c r="W191" s="14"/>
    </row>
    <row r="192" spans="1:23" ht="15" customHeight="1" x14ac:dyDescent="0.25">
      <c r="A192" s="6">
        <v>8</v>
      </c>
      <c r="B192" s="33" t="s">
        <v>34</v>
      </c>
      <c r="C192" s="44"/>
      <c r="D192" s="62">
        <f>1+0.65+0.75-0.05</f>
        <v>2.35</v>
      </c>
      <c r="E192" s="62"/>
      <c r="F192" s="41"/>
      <c r="G192" s="36">
        <v>0.25</v>
      </c>
      <c r="H192" s="10">
        <v>25</v>
      </c>
      <c r="I192" s="11">
        <v>1</v>
      </c>
      <c r="J192" s="13">
        <f>ROUND(1.405/G192+1,0)</f>
        <v>7</v>
      </c>
      <c r="K192" s="45">
        <f>D192</f>
        <v>2.35</v>
      </c>
      <c r="L192" s="37" t="str">
        <f>IF(O192&lt;12,"0",0.049*H192)</f>
        <v>0</v>
      </c>
      <c r="M192" s="17">
        <v>0</v>
      </c>
      <c r="N192" s="11">
        <f>M192*2*H192/1000</f>
        <v>0</v>
      </c>
      <c r="O192" s="16">
        <f>(D192)-N192</f>
        <v>2.35</v>
      </c>
      <c r="P192" s="16">
        <f>(I192*J192*O192)+L192</f>
        <v>16.45</v>
      </c>
      <c r="Q192" s="18" t="str">
        <f t="shared" ref="Q192:Q255" si="18">IF($H192=8,$P192,"")</f>
        <v/>
      </c>
      <c r="R192" s="18" t="str">
        <f t="shared" ref="R192:R255" si="19">IF($H192=10,$P192,"")</f>
        <v/>
      </c>
      <c r="S192" s="18" t="str">
        <f t="shared" ref="S192:S255" si="20">IF($H192=12,$P192,"")</f>
        <v/>
      </c>
      <c r="T192" s="18" t="str">
        <f t="shared" ref="T192:T255" si="21">IF($H192=16,$P192,"")</f>
        <v/>
      </c>
      <c r="U192" s="18" t="str">
        <f t="shared" ref="U192:U255" si="22">IF($H192=20,$P192,"")</f>
        <v/>
      </c>
      <c r="V192" s="18">
        <f t="shared" ref="V192:V255" si="23">IF($H192=25,$P192,"")</f>
        <v>16.45</v>
      </c>
      <c r="W192" s="14"/>
    </row>
    <row r="193" spans="1:23" x14ac:dyDescent="0.25">
      <c r="A193" s="6"/>
      <c r="B193" s="33" t="s">
        <v>173</v>
      </c>
      <c r="C193" s="19"/>
      <c r="D193" s="39"/>
      <c r="E193" s="39"/>
      <c r="F193" s="41"/>
      <c r="G193" s="36"/>
      <c r="H193" s="10"/>
      <c r="I193" s="11"/>
      <c r="J193" s="13"/>
      <c r="K193" s="45"/>
      <c r="L193" s="37"/>
      <c r="M193" s="17"/>
      <c r="N193" s="11"/>
      <c r="O193" s="16"/>
      <c r="P193" s="16"/>
      <c r="Q193" s="18" t="str">
        <f t="shared" si="18"/>
        <v/>
      </c>
      <c r="R193" s="18" t="str">
        <f t="shared" si="19"/>
        <v/>
      </c>
      <c r="S193" s="18" t="str">
        <f t="shared" si="20"/>
        <v/>
      </c>
      <c r="T193" s="18" t="str">
        <f t="shared" si="21"/>
        <v/>
      </c>
      <c r="U193" s="18" t="str">
        <f t="shared" si="22"/>
        <v/>
      </c>
      <c r="V193" s="18" t="str">
        <f t="shared" si="23"/>
        <v/>
      </c>
      <c r="W193" s="14"/>
    </row>
    <row r="194" spans="1:23" x14ac:dyDescent="0.25">
      <c r="A194" s="6"/>
      <c r="B194" s="33"/>
      <c r="C194" s="19"/>
      <c r="D194" s="39"/>
      <c r="E194" s="39"/>
      <c r="F194" s="41"/>
      <c r="G194" s="36"/>
      <c r="H194" s="10"/>
      <c r="I194" s="11"/>
      <c r="J194" s="13"/>
      <c r="K194" s="45"/>
      <c r="L194" s="37"/>
      <c r="M194" s="17"/>
      <c r="N194" s="11"/>
      <c r="O194" s="16"/>
      <c r="P194" s="16"/>
      <c r="Q194" s="18" t="str">
        <f t="shared" si="18"/>
        <v/>
      </c>
      <c r="R194" s="18" t="str">
        <f t="shared" si="19"/>
        <v/>
      </c>
      <c r="S194" s="18" t="str">
        <f t="shared" si="20"/>
        <v/>
      </c>
      <c r="T194" s="18" t="str">
        <f t="shared" si="21"/>
        <v/>
      </c>
      <c r="U194" s="18" t="str">
        <f t="shared" si="22"/>
        <v/>
      </c>
      <c r="V194" s="18" t="str">
        <f t="shared" si="23"/>
        <v/>
      </c>
      <c r="W194" s="14"/>
    </row>
    <row r="195" spans="1:23" ht="15" customHeight="1" x14ac:dyDescent="0.25">
      <c r="A195" s="6">
        <v>9</v>
      </c>
      <c r="B195" s="33" t="s">
        <v>34</v>
      </c>
      <c r="C195" s="44"/>
      <c r="D195" s="62">
        <f>1+0.65+0.75+1.695</f>
        <v>4.0949999999999998</v>
      </c>
      <c r="E195" s="62"/>
      <c r="F195" s="41"/>
      <c r="G195" s="36">
        <v>0.25</v>
      </c>
      <c r="H195" s="10">
        <v>25</v>
      </c>
      <c r="I195" s="11">
        <v>1</v>
      </c>
      <c r="J195" s="13">
        <f>ROUND(2.145/G195+1,0)</f>
        <v>10</v>
      </c>
      <c r="K195" s="45">
        <f>D195</f>
        <v>4.0949999999999998</v>
      </c>
      <c r="L195" s="37" t="str">
        <f>IF(O195&lt;12,"0",0.049*H195)</f>
        <v>0</v>
      </c>
      <c r="M195" s="17">
        <v>0</v>
      </c>
      <c r="N195" s="11">
        <f>M195*2*H195/1000</f>
        <v>0</v>
      </c>
      <c r="O195" s="16">
        <f>(D195)-N195</f>
        <v>4.0949999999999998</v>
      </c>
      <c r="P195" s="16">
        <f>(I195*J195*O195)+L195</f>
        <v>40.949999999999996</v>
      </c>
      <c r="Q195" s="18" t="str">
        <f t="shared" si="18"/>
        <v/>
      </c>
      <c r="R195" s="18" t="str">
        <f t="shared" si="19"/>
        <v/>
      </c>
      <c r="S195" s="18" t="str">
        <f t="shared" si="20"/>
        <v/>
      </c>
      <c r="T195" s="18" t="str">
        <f t="shared" si="21"/>
        <v/>
      </c>
      <c r="U195" s="18" t="str">
        <f t="shared" si="22"/>
        <v/>
      </c>
      <c r="V195" s="18">
        <f t="shared" si="23"/>
        <v>40.949999999999996</v>
      </c>
      <c r="W195" s="14"/>
    </row>
    <row r="196" spans="1:23" x14ac:dyDescent="0.25">
      <c r="A196" s="6"/>
      <c r="B196" s="33" t="s">
        <v>173</v>
      </c>
      <c r="C196" s="19"/>
      <c r="D196" s="39"/>
      <c r="E196" s="39"/>
      <c r="F196" s="41"/>
      <c r="G196" s="36"/>
      <c r="H196" s="10"/>
      <c r="I196" s="11"/>
      <c r="J196" s="13"/>
      <c r="K196" s="45"/>
      <c r="L196" s="37"/>
      <c r="M196" s="17"/>
      <c r="N196" s="11"/>
      <c r="O196" s="16"/>
      <c r="P196" s="16"/>
      <c r="Q196" s="18" t="str">
        <f t="shared" si="18"/>
        <v/>
      </c>
      <c r="R196" s="18" t="str">
        <f t="shared" si="19"/>
        <v/>
      </c>
      <c r="S196" s="18" t="str">
        <f t="shared" si="20"/>
        <v/>
      </c>
      <c r="T196" s="18" t="str">
        <f t="shared" si="21"/>
        <v/>
      </c>
      <c r="U196" s="18" t="str">
        <f t="shared" si="22"/>
        <v/>
      </c>
      <c r="V196" s="18" t="str">
        <f t="shared" si="23"/>
        <v/>
      </c>
      <c r="W196" s="14"/>
    </row>
    <row r="197" spans="1:23" x14ac:dyDescent="0.25">
      <c r="A197" s="6"/>
      <c r="B197" s="33"/>
      <c r="C197" s="19"/>
      <c r="D197" s="39"/>
      <c r="E197" s="39"/>
      <c r="F197" s="41"/>
      <c r="G197" s="36"/>
      <c r="H197" s="10"/>
      <c r="I197" s="11"/>
      <c r="J197" s="13"/>
      <c r="K197" s="45"/>
      <c r="L197" s="37"/>
      <c r="M197" s="17"/>
      <c r="N197" s="11"/>
      <c r="O197" s="16"/>
      <c r="P197" s="16"/>
      <c r="Q197" s="18" t="str">
        <f t="shared" si="18"/>
        <v/>
      </c>
      <c r="R197" s="18" t="str">
        <f t="shared" si="19"/>
        <v/>
      </c>
      <c r="S197" s="18" t="str">
        <f t="shared" si="20"/>
        <v/>
      </c>
      <c r="T197" s="18" t="str">
        <f t="shared" si="21"/>
        <v/>
      </c>
      <c r="U197" s="18" t="str">
        <f t="shared" si="22"/>
        <v/>
      </c>
      <c r="V197" s="18" t="str">
        <f t="shared" si="23"/>
        <v/>
      </c>
      <c r="W197" s="14"/>
    </row>
    <row r="198" spans="1:23" ht="15" customHeight="1" x14ac:dyDescent="0.25">
      <c r="A198" s="6">
        <v>10</v>
      </c>
      <c r="B198" s="33" t="s">
        <v>33</v>
      </c>
      <c r="C198" s="44"/>
      <c r="D198" s="62">
        <f>1.25+0.6+1.25</f>
        <v>3.1</v>
      </c>
      <c r="E198" s="62"/>
      <c r="F198" s="41"/>
      <c r="G198" s="36">
        <v>0.25</v>
      </c>
      <c r="H198" s="10">
        <v>25</v>
      </c>
      <c r="I198" s="11">
        <v>1</v>
      </c>
      <c r="J198" s="13">
        <f>ROUND(2.3/G198+1,0)</f>
        <v>10</v>
      </c>
      <c r="K198" s="45">
        <f>D198</f>
        <v>3.1</v>
      </c>
      <c r="L198" s="37" t="str">
        <f>IF(O198&lt;12,"0",0.049*H198)</f>
        <v>0</v>
      </c>
      <c r="M198" s="17">
        <v>0</v>
      </c>
      <c r="N198" s="11">
        <f>M198*2*H198/1000</f>
        <v>0</v>
      </c>
      <c r="O198" s="16">
        <f>(D198)-N198</f>
        <v>3.1</v>
      </c>
      <c r="P198" s="16">
        <f>(I198*J198*O198)+L198</f>
        <v>31</v>
      </c>
      <c r="Q198" s="18" t="str">
        <f t="shared" si="18"/>
        <v/>
      </c>
      <c r="R198" s="18" t="str">
        <f t="shared" si="19"/>
        <v/>
      </c>
      <c r="S198" s="18" t="str">
        <f t="shared" si="20"/>
        <v/>
      </c>
      <c r="T198" s="18" t="str">
        <f t="shared" si="21"/>
        <v/>
      </c>
      <c r="U198" s="18" t="str">
        <f t="shared" si="22"/>
        <v/>
      </c>
      <c r="V198" s="18">
        <f t="shared" si="23"/>
        <v>31</v>
      </c>
      <c r="W198" s="14"/>
    </row>
    <row r="199" spans="1:23" x14ac:dyDescent="0.25">
      <c r="A199" s="6"/>
      <c r="B199" s="33" t="s">
        <v>174</v>
      </c>
      <c r="C199" s="19"/>
      <c r="D199" s="39"/>
      <c r="E199" s="39"/>
      <c r="F199" s="41"/>
      <c r="G199" s="36"/>
      <c r="H199" s="10"/>
      <c r="I199" s="11"/>
      <c r="J199" s="13"/>
      <c r="K199" s="45"/>
      <c r="L199" s="37"/>
      <c r="M199" s="17"/>
      <c r="N199" s="11"/>
      <c r="O199" s="16"/>
      <c r="P199" s="16"/>
      <c r="Q199" s="18" t="str">
        <f t="shared" si="18"/>
        <v/>
      </c>
      <c r="R199" s="18" t="str">
        <f t="shared" si="19"/>
        <v/>
      </c>
      <c r="S199" s="18" t="str">
        <f t="shared" si="20"/>
        <v/>
      </c>
      <c r="T199" s="18" t="str">
        <f t="shared" si="21"/>
        <v/>
      </c>
      <c r="U199" s="18" t="str">
        <f t="shared" si="22"/>
        <v/>
      </c>
      <c r="V199" s="18" t="str">
        <f t="shared" si="23"/>
        <v/>
      </c>
      <c r="W199" s="14"/>
    </row>
    <row r="200" spans="1:23" x14ac:dyDescent="0.25">
      <c r="A200" s="6"/>
      <c r="B200" s="33"/>
      <c r="C200" s="19"/>
      <c r="D200" s="39"/>
      <c r="E200" s="39"/>
      <c r="F200" s="41"/>
      <c r="G200" s="36"/>
      <c r="H200" s="10"/>
      <c r="I200" s="11"/>
      <c r="J200" s="13"/>
      <c r="K200" s="45"/>
      <c r="L200" s="37"/>
      <c r="M200" s="17"/>
      <c r="N200" s="11"/>
      <c r="O200" s="16"/>
      <c r="P200" s="16"/>
      <c r="Q200" s="18" t="str">
        <f t="shared" si="18"/>
        <v/>
      </c>
      <c r="R200" s="18" t="str">
        <f t="shared" si="19"/>
        <v/>
      </c>
      <c r="S200" s="18" t="str">
        <f t="shared" si="20"/>
        <v/>
      </c>
      <c r="T200" s="18" t="str">
        <f t="shared" si="21"/>
        <v/>
      </c>
      <c r="U200" s="18" t="str">
        <f t="shared" si="22"/>
        <v/>
      </c>
      <c r="V200" s="18" t="str">
        <f t="shared" si="23"/>
        <v/>
      </c>
      <c r="W200" s="14"/>
    </row>
    <row r="201" spans="1:23" ht="15" customHeight="1" x14ac:dyDescent="0.25">
      <c r="A201" s="6">
        <v>11</v>
      </c>
      <c r="B201" s="33" t="s">
        <v>34</v>
      </c>
      <c r="C201" s="44"/>
      <c r="D201" s="62">
        <f>1+0.3+1</f>
        <v>2.2999999999999998</v>
      </c>
      <c r="E201" s="62"/>
      <c r="F201" s="41"/>
      <c r="G201" s="36">
        <v>0.25</v>
      </c>
      <c r="H201" s="10">
        <v>20</v>
      </c>
      <c r="I201" s="11">
        <v>1</v>
      </c>
      <c r="J201" s="13">
        <f>ROUND(3.1/G201+1,0)</f>
        <v>13</v>
      </c>
      <c r="K201" s="45">
        <f>D201</f>
        <v>2.2999999999999998</v>
      </c>
      <c r="L201" s="37" t="str">
        <f>IF(O201&lt;12,"0",0.049*H201)</f>
        <v>0</v>
      </c>
      <c r="M201" s="17">
        <v>0</v>
      </c>
      <c r="N201" s="11">
        <f>M201*2*H201/1000</f>
        <v>0</v>
      </c>
      <c r="O201" s="16">
        <f>(D201)-N201</f>
        <v>2.2999999999999998</v>
      </c>
      <c r="P201" s="16">
        <f>(I201*J201*O201)+L201</f>
        <v>29.9</v>
      </c>
      <c r="Q201" s="18" t="str">
        <f t="shared" si="18"/>
        <v/>
      </c>
      <c r="R201" s="18" t="str">
        <f t="shared" si="19"/>
        <v/>
      </c>
      <c r="S201" s="18" t="str">
        <f t="shared" si="20"/>
        <v/>
      </c>
      <c r="T201" s="18" t="str">
        <f t="shared" si="21"/>
        <v/>
      </c>
      <c r="U201" s="18">
        <f t="shared" si="22"/>
        <v>29.9</v>
      </c>
      <c r="V201" s="18" t="str">
        <f t="shared" si="23"/>
        <v/>
      </c>
      <c r="W201" s="14"/>
    </row>
    <row r="202" spans="1:23" x14ac:dyDescent="0.25">
      <c r="A202" s="6"/>
      <c r="B202" s="33" t="s">
        <v>174</v>
      </c>
      <c r="C202" s="19"/>
      <c r="D202" s="39"/>
      <c r="E202" s="39"/>
      <c r="F202" s="41"/>
      <c r="G202" s="36"/>
      <c r="H202" s="10"/>
      <c r="I202" s="11"/>
      <c r="J202" s="13"/>
      <c r="K202" s="45"/>
      <c r="L202" s="37"/>
      <c r="M202" s="17"/>
      <c r="N202" s="11"/>
      <c r="O202" s="16"/>
      <c r="P202" s="16"/>
      <c r="Q202" s="18" t="str">
        <f t="shared" si="18"/>
        <v/>
      </c>
      <c r="R202" s="18" t="str">
        <f t="shared" si="19"/>
        <v/>
      </c>
      <c r="S202" s="18" t="str">
        <f t="shared" si="20"/>
        <v/>
      </c>
      <c r="T202" s="18" t="str">
        <f t="shared" si="21"/>
        <v/>
      </c>
      <c r="U202" s="18" t="str">
        <f t="shared" si="22"/>
        <v/>
      </c>
      <c r="V202" s="18" t="str">
        <f t="shared" si="23"/>
        <v/>
      </c>
      <c r="W202" s="14"/>
    </row>
    <row r="203" spans="1:23" x14ac:dyDescent="0.25">
      <c r="A203" s="6"/>
      <c r="B203" s="33"/>
      <c r="C203" s="19"/>
      <c r="D203" s="39"/>
      <c r="E203" s="39"/>
      <c r="F203" s="41"/>
      <c r="G203" s="36"/>
      <c r="H203" s="10"/>
      <c r="I203" s="11"/>
      <c r="J203" s="13"/>
      <c r="K203" s="45"/>
      <c r="L203" s="37"/>
      <c r="M203" s="17"/>
      <c r="N203" s="11"/>
      <c r="O203" s="16"/>
      <c r="P203" s="16"/>
      <c r="Q203" s="18" t="str">
        <f t="shared" si="18"/>
        <v/>
      </c>
      <c r="R203" s="18" t="str">
        <f t="shared" si="19"/>
        <v/>
      </c>
      <c r="S203" s="18" t="str">
        <f t="shared" si="20"/>
        <v/>
      </c>
      <c r="T203" s="18" t="str">
        <f t="shared" si="21"/>
        <v/>
      </c>
      <c r="U203" s="18" t="str">
        <f t="shared" si="22"/>
        <v/>
      </c>
      <c r="V203" s="18" t="str">
        <f t="shared" si="23"/>
        <v/>
      </c>
      <c r="W203" s="14"/>
    </row>
    <row r="204" spans="1:23" ht="15" customHeight="1" x14ac:dyDescent="0.25">
      <c r="A204" s="6">
        <v>12</v>
      </c>
      <c r="B204" s="33" t="s">
        <v>33</v>
      </c>
      <c r="C204" s="44"/>
      <c r="D204" s="62">
        <f>0.75-0.05+0.3+1.25</f>
        <v>2.25</v>
      </c>
      <c r="E204" s="62"/>
      <c r="F204" s="41"/>
      <c r="G204" s="36">
        <v>0.25</v>
      </c>
      <c r="H204" s="10">
        <v>25</v>
      </c>
      <c r="I204" s="11">
        <v>1</v>
      </c>
      <c r="J204" s="13">
        <f>ROUND(2.6/G204+1,0)</f>
        <v>11</v>
      </c>
      <c r="K204" s="45">
        <f>D204</f>
        <v>2.25</v>
      </c>
      <c r="L204" s="37" t="str">
        <f>IF(O204&lt;12,"0",0.049*H204)</f>
        <v>0</v>
      </c>
      <c r="M204" s="17">
        <v>0</v>
      </c>
      <c r="N204" s="11">
        <f>M204*2*H204/1000</f>
        <v>0</v>
      </c>
      <c r="O204" s="16">
        <f>(D204)-N204</f>
        <v>2.25</v>
      </c>
      <c r="P204" s="16">
        <f>(I204*J204*O204)+L204</f>
        <v>24.75</v>
      </c>
      <c r="Q204" s="18" t="str">
        <f t="shared" si="18"/>
        <v/>
      </c>
      <c r="R204" s="18" t="str">
        <f t="shared" si="19"/>
        <v/>
      </c>
      <c r="S204" s="18" t="str">
        <f t="shared" si="20"/>
        <v/>
      </c>
      <c r="T204" s="18" t="str">
        <f t="shared" si="21"/>
        <v/>
      </c>
      <c r="U204" s="18" t="str">
        <f t="shared" si="22"/>
        <v/>
      </c>
      <c r="V204" s="18">
        <f t="shared" si="23"/>
        <v>24.75</v>
      </c>
      <c r="W204" s="14"/>
    </row>
    <row r="205" spans="1:23" x14ac:dyDescent="0.25">
      <c r="A205" s="6"/>
      <c r="B205" s="33" t="s">
        <v>175</v>
      </c>
      <c r="C205" s="19"/>
      <c r="D205" s="39"/>
      <c r="E205" s="39"/>
      <c r="F205" s="41"/>
      <c r="G205" s="36"/>
      <c r="H205" s="10"/>
      <c r="I205" s="11"/>
      <c r="J205" s="13"/>
      <c r="K205" s="45"/>
      <c r="L205" s="37"/>
      <c r="M205" s="17"/>
      <c r="N205" s="11"/>
      <c r="O205" s="16"/>
      <c r="P205" s="16"/>
      <c r="Q205" s="18" t="str">
        <f t="shared" si="18"/>
        <v/>
      </c>
      <c r="R205" s="18" t="str">
        <f t="shared" si="19"/>
        <v/>
      </c>
      <c r="S205" s="18" t="str">
        <f t="shared" si="20"/>
        <v/>
      </c>
      <c r="T205" s="18" t="str">
        <f t="shared" si="21"/>
        <v/>
      </c>
      <c r="U205" s="18" t="str">
        <f t="shared" si="22"/>
        <v/>
      </c>
      <c r="V205" s="18" t="str">
        <f t="shared" si="23"/>
        <v/>
      </c>
      <c r="W205" s="14"/>
    </row>
    <row r="206" spans="1:23" x14ac:dyDescent="0.25">
      <c r="A206" s="6"/>
      <c r="B206" s="33"/>
      <c r="C206" s="19"/>
      <c r="D206" s="39"/>
      <c r="E206" s="39"/>
      <c r="F206" s="41"/>
      <c r="G206" s="36"/>
      <c r="H206" s="10"/>
      <c r="I206" s="11"/>
      <c r="J206" s="13"/>
      <c r="K206" s="45"/>
      <c r="L206" s="37"/>
      <c r="M206" s="17"/>
      <c r="N206" s="11"/>
      <c r="O206" s="16"/>
      <c r="P206" s="16"/>
      <c r="Q206" s="18" t="str">
        <f t="shared" si="18"/>
        <v/>
      </c>
      <c r="R206" s="18" t="str">
        <f t="shared" si="19"/>
        <v/>
      </c>
      <c r="S206" s="18" t="str">
        <f t="shared" si="20"/>
        <v/>
      </c>
      <c r="T206" s="18" t="str">
        <f t="shared" si="21"/>
        <v/>
      </c>
      <c r="U206" s="18" t="str">
        <f t="shared" si="22"/>
        <v/>
      </c>
      <c r="V206" s="18" t="str">
        <f t="shared" si="23"/>
        <v/>
      </c>
      <c r="W206" s="14"/>
    </row>
    <row r="207" spans="1:23" ht="15" customHeight="1" x14ac:dyDescent="0.25">
      <c r="A207" s="6">
        <v>13</v>
      </c>
      <c r="B207" s="33" t="s">
        <v>34</v>
      </c>
      <c r="C207" s="44"/>
      <c r="D207" s="62">
        <f>1+0.6+1</f>
        <v>2.6</v>
      </c>
      <c r="E207" s="62"/>
      <c r="F207" s="41"/>
      <c r="G207" s="36">
        <v>0.25</v>
      </c>
      <c r="H207" s="10">
        <v>20</v>
      </c>
      <c r="I207" s="11">
        <v>1</v>
      </c>
      <c r="J207" s="13">
        <f>ROUND(2.25/G207+1,0)</f>
        <v>10</v>
      </c>
      <c r="K207" s="45">
        <f>D207</f>
        <v>2.6</v>
      </c>
      <c r="L207" s="37" t="str">
        <f>IF(O207&lt;12,"0",0.049*H207)</f>
        <v>0</v>
      </c>
      <c r="M207" s="17">
        <v>0</v>
      </c>
      <c r="N207" s="11">
        <f>M207*2*H207/1000</f>
        <v>0</v>
      </c>
      <c r="O207" s="16">
        <f>(D207)-N207</f>
        <v>2.6</v>
      </c>
      <c r="P207" s="16">
        <f>(I207*J207*O207)+L207</f>
        <v>26</v>
      </c>
      <c r="Q207" s="18" t="str">
        <f t="shared" si="18"/>
        <v/>
      </c>
      <c r="R207" s="18" t="str">
        <f t="shared" si="19"/>
        <v/>
      </c>
      <c r="S207" s="18" t="str">
        <f t="shared" si="20"/>
        <v/>
      </c>
      <c r="T207" s="18" t="str">
        <f t="shared" si="21"/>
        <v/>
      </c>
      <c r="U207" s="18">
        <f t="shared" si="22"/>
        <v>26</v>
      </c>
      <c r="V207" s="18" t="str">
        <f t="shared" si="23"/>
        <v/>
      </c>
      <c r="W207" s="14"/>
    </row>
    <row r="208" spans="1:23" x14ac:dyDescent="0.25">
      <c r="A208" s="6"/>
      <c r="B208" s="33" t="s">
        <v>176</v>
      </c>
      <c r="C208" s="19"/>
      <c r="D208" s="39"/>
      <c r="E208" s="39"/>
      <c r="F208" s="41"/>
      <c r="G208" s="36"/>
      <c r="H208" s="10"/>
      <c r="I208" s="11"/>
      <c r="J208" s="13"/>
      <c r="K208" s="45"/>
      <c r="L208" s="37"/>
      <c r="M208" s="17"/>
      <c r="N208" s="11"/>
      <c r="O208" s="16"/>
      <c r="P208" s="16"/>
      <c r="Q208" s="18" t="str">
        <f t="shared" si="18"/>
        <v/>
      </c>
      <c r="R208" s="18" t="str">
        <f t="shared" si="19"/>
        <v/>
      </c>
      <c r="S208" s="18" t="str">
        <f t="shared" si="20"/>
        <v/>
      </c>
      <c r="T208" s="18" t="str">
        <f t="shared" si="21"/>
        <v/>
      </c>
      <c r="U208" s="18" t="str">
        <f t="shared" si="22"/>
        <v/>
      </c>
      <c r="V208" s="18" t="str">
        <f t="shared" si="23"/>
        <v/>
      </c>
      <c r="W208" s="14"/>
    </row>
    <row r="209" spans="1:23" x14ac:dyDescent="0.25">
      <c r="A209" s="6"/>
      <c r="B209" s="33"/>
      <c r="C209" s="19"/>
      <c r="D209" s="39"/>
      <c r="E209" s="39"/>
      <c r="F209" s="41"/>
      <c r="G209" s="36"/>
      <c r="H209" s="10"/>
      <c r="I209" s="11"/>
      <c r="J209" s="13"/>
      <c r="K209" s="45"/>
      <c r="L209" s="37"/>
      <c r="M209" s="17"/>
      <c r="N209" s="11"/>
      <c r="O209" s="16"/>
      <c r="P209" s="16"/>
      <c r="Q209" s="18" t="str">
        <f t="shared" si="18"/>
        <v/>
      </c>
      <c r="R209" s="18" t="str">
        <f t="shared" si="19"/>
        <v/>
      </c>
      <c r="S209" s="18" t="str">
        <f t="shared" si="20"/>
        <v/>
      </c>
      <c r="T209" s="18" t="str">
        <f t="shared" si="21"/>
        <v/>
      </c>
      <c r="U209" s="18" t="str">
        <f t="shared" si="22"/>
        <v/>
      </c>
      <c r="V209" s="18" t="str">
        <f t="shared" si="23"/>
        <v/>
      </c>
      <c r="W209" s="14"/>
    </row>
    <row r="210" spans="1:23" ht="15" customHeight="1" x14ac:dyDescent="0.25">
      <c r="A210" s="6">
        <v>14</v>
      </c>
      <c r="B210" s="33" t="s">
        <v>33</v>
      </c>
      <c r="C210" s="44"/>
      <c r="D210" s="62">
        <f>0.75-0.05+0.3+1.25</f>
        <v>2.25</v>
      </c>
      <c r="E210" s="62"/>
      <c r="F210" s="41"/>
      <c r="G210" s="36">
        <v>0.25</v>
      </c>
      <c r="H210" s="10">
        <v>25</v>
      </c>
      <c r="I210" s="11">
        <v>1</v>
      </c>
      <c r="J210" s="13">
        <f>ROUND(3.1/G210+1,0)</f>
        <v>13</v>
      </c>
      <c r="K210" s="45">
        <f>D210</f>
        <v>2.25</v>
      </c>
      <c r="L210" s="37" t="str">
        <f>IF(O210&lt;12,"0",0.049*H210)</f>
        <v>0</v>
      </c>
      <c r="M210" s="17">
        <v>0</v>
      </c>
      <c r="N210" s="11">
        <f>M210*2*H210/1000</f>
        <v>0</v>
      </c>
      <c r="O210" s="16">
        <f>(D210)-N210</f>
        <v>2.25</v>
      </c>
      <c r="P210" s="16">
        <f>(I210*J210*O210)+L210</f>
        <v>29.25</v>
      </c>
      <c r="Q210" s="18" t="str">
        <f t="shared" si="18"/>
        <v/>
      </c>
      <c r="R210" s="18" t="str">
        <f t="shared" si="19"/>
        <v/>
      </c>
      <c r="S210" s="18" t="str">
        <f t="shared" si="20"/>
        <v/>
      </c>
      <c r="T210" s="18" t="str">
        <f t="shared" si="21"/>
        <v/>
      </c>
      <c r="U210" s="18" t="str">
        <f t="shared" si="22"/>
        <v/>
      </c>
      <c r="V210" s="18">
        <f t="shared" si="23"/>
        <v>29.25</v>
      </c>
      <c r="W210" s="14"/>
    </row>
    <row r="211" spans="1:23" x14ac:dyDescent="0.25">
      <c r="A211" s="6"/>
      <c r="B211" s="33" t="s">
        <v>177</v>
      </c>
      <c r="C211" s="19"/>
      <c r="D211" s="39"/>
      <c r="E211" s="39"/>
      <c r="F211" s="41"/>
      <c r="G211" s="36"/>
      <c r="H211" s="10"/>
      <c r="I211" s="11"/>
      <c r="J211" s="13"/>
      <c r="K211" s="45"/>
      <c r="L211" s="37"/>
      <c r="M211" s="17"/>
      <c r="N211" s="11"/>
      <c r="O211" s="16"/>
      <c r="P211" s="16"/>
      <c r="Q211" s="18" t="str">
        <f t="shared" si="18"/>
        <v/>
      </c>
      <c r="R211" s="18" t="str">
        <f t="shared" si="19"/>
        <v/>
      </c>
      <c r="S211" s="18" t="str">
        <f t="shared" si="20"/>
        <v/>
      </c>
      <c r="T211" s="18" t="str">
        <f t="shared" si="21"/>
        <v/>
      </c>
      <c r="U211" s="18" t="str">
        <f t="shared" si="22"/>
        <v/>
      </c>
      <c r="V211" s="18" t="str">
        <f t="shared" si="23"/>
        <v/>
      </c>
      <c r="W211" s="14"/>
    </row>
    <row r="212" spans="1:23" x14ac:dyDescent="0.25">
      <c r="A212" s="6"/>
      <c r="B212" s="33"/>
      <c r="C212" s="19"/>
      <c r="D212" s="39"/>
      <c r="E212" s="39"/>
      <c r="F212" s="41"/>
      <c r="G212" s="36"/>
      <c r="H212" s="10"/>
      <c r="I212" s="11"/>
      <c r="J212" s="13"/>
      <c r="K212" s="45"/>
      <c r="L212" s="37"/>
      <c r="M212" s="17"/>
      <c r="N212" s="11"/>
      <c r="O212" s="16"/>
      <c r="P212" s="16"/>
      <c r="Q212" s="18" t="str">
        <f t="shared" si="18"/>
        <v/>
      </c>
      <c r="R212" s="18" t="str">
        <f t="shared" si="19"/>
        <v/>
      </c>
      <c r="S212" s="18" t="str">
        <f t="shared" si="20"/>
        <v/>
      </c>
      <c r="T212" s="18" t="str">
        <f t="shared" si="21"/>
        <v/>
      </c>
      <c r="U212" s="18" t="str">
        <f t="shared" si="22"/>
        <v/>
      </c>
      <c r="V212" s="18" t="str">
        <f t="shared" si="23"/>
        <v/>
      </c>
      <c r="W212" s="14"/>
    </row>
    <row r="213" spans="1:23" ht="15" customHeight="1" x14ac:dyDescent="0.25">
      <c r="A213" s="6">
        <v>15</v>
      </c>
      <c r="B213" s="33" t="s">
        <v>34</v>
      </c>
      <c r="C213" s="44"/>
      <c r="D213" s="62">
        <f>1.25+0.6+1.25</f>
        <v>3.1</v>
      </c>
      <c r="E213" s="62"/>
      <c r="F213" s="41"/>
      <c r="G213" s="36">
        <v>0.25</v>
      </c>
      <c r="H213" s="10">
        <v>25</v>
      </c>
      <c r="I213" s="11">
        <v>1</v>
      </c>
      <c r="J213" s="13">
        <f>ROUND(2.25/G213+1,0)</f>
        <v>10</v>
      </c>
      <c r="K213" s="45">
        <f>D213</f>
        <v>3.1</v>
      </c>
      <c r="L213" s="37" t="str">
        <f>IF(O213&lt;12,"0",0.049*H213)</f>
        <v>0</v>
      </c>
      <c r="M213" s="17">
        <v>0</v>
      </c>
      <c r="N213" s="11">
        <f>M213*2*H213/1000</f>
        <v>0</v>
      </c>
      <c r="O213" s="16">
        <f>(D213)-N213</f>
        <v>3.1</v>
      </c>
      <c r="P213" s="16">
        <f>(I213*J213*O213)+L213</f>
        <v>31</v>
      </c>
      <c r="Q213" s="18" t="str">
        <f t="shared" si="18"/>
        <v/>
      </c>
      <c r="R213" s="18" t="str">
        <f t="shared" si="19"/>
        <v/>
      </c>
      <c r="S213" s="18" t="str">
        <f t="shared" si="20"/>
        <v/>
      </c>
      <c r="T213" s="18" t="str">
        <f t="shared" si="21"/>
        <v/>
      </c>
      <c r="U213" s="18" t="str">
        <f t="shared" si="22"/>
        <v/>
      </c>
      <c r="V213" s="18">
        <f t="shared" si="23"/>
        <v>31</v>
      </c>
      <c r="W213" s="14"/>
    </row>
    <row r="214" spans="1:23" x14ac:dyDescent="0.25">
      <c r="A214" s="6"/>
      <c r="B214" s="33" t="s">
        <v>177</v>
      </c>
      <c r="C214" s="19"/>
      <c r="D214" s="39"/>
      <c r="E214" s="39"/>
      <c r="F214" s="41"/>
      <c r="G214" s="36"/>
      <c r="H214" s="10"/>
      <c r="I214" s="11"/>
      <c r="J214" s="13"/>
      <c r="K214" s="45"/>
      <c r="L214" s="37"/>
      <c r="M214" s="17"/>
      <c r="N214" s="11"/>
      <c r="O214" s="16"/>
      <c r="P214" s="16"/>
      <c r="Q214" s="18" t="str">
        <f t="shared" si="18"/>
        <v/>
      </c>
      <c r="R214" s="18" t="str">
        <f t="shared" si="19"/>
        <v/>
      </c>
      <c r="S214" s="18" t="str">
        <f t="shared" si="20"/>
        <v/>
      </c>
      <c r="T214" s="18" t="str">
        <f t="shared" si="21"/>
        <v/>
      </c>
      <c r="U214" s="18" t="str">
        <f t="shared" si="22"/>
        <v/>
      </c>
      <c r="V214" s="18" t="str">
        <f t="shared" si="23"/>
        <v/>
      </c>
      <c r="W214" s="14"/>
    </row>
    <row r="215" spans="1:23" x14ac:dyDescent="0.25">
      <c r="A215" s="6"/>
      <c r="B215" s="33"/>
      <c r="C215" s="19"/>
      <c r="D215" s="39"/>
      <c r="E215" s="39"/>
      <c r="F215" s="41"/>
      <c r="G215" s="36"/>
      <c r="H215" s="10"/>
      <c r="I215" s="11"/>
      <c r="J215" s="13"/>
      <c r="K215" s="45"/>
      <c r="L215" s="37"/>
      <c r="M215" s="17"/>
      <c r="N215" s="11"/>
      <c r="O215" s="16"/>
      <c r="P215" s="16"/>
      <c r="Q215" s="18" t="str">
        <f t="shared" si="18"/>
        <v/>
      </c>
      <c r="R215" s="18" t="str">
        <f t="shared" si="19"/>
        <v/>
      </c>
      <c r="S215" s="18" t="str">
        <f t="shared" si="20"/>
        <v/>
      </c>
      <c r="T215" s="18" t="str">
        <f t="shared" si="21"/>
        <v/>
      </c>
      <c r="U215" s="18" t="str">
        <f t="shared" si="22"/>
        <v/>
      </c>
      <c r="V215" s="18" t="str">
        <f t="shared" si="23"/>
        <v/>
      </c>
      <c r="W215" s="14"/>
    </row>
    <row r="216" spans="1:23" ht="15" customHeight="1" x14ac:dyDescent="0.25">
      <c r="A216" s="6">
        <v>16</v>
      </c>
      <c r="B216" s="33" t="s">
        <v>33</v>
      </c>
      <c r="C216" s="44"/>
      <c r="D216" s="62">
        <f>1+0.3+1</f>
        <v>2.2999999999999998</v>
      </c>
      <c r="E216" s="62"/>
      <c r="F216" s="41"/>
      <c r="G216" s="36">
        <v>0.25</v>
      </c>
      <c r="H216" s="10">
        <v>20</v>
      </c>
      <c r="I216" s="11">
        <v>1</v>
      </c>
      <c r="J216" s="13">
        <f>ROUND(1.9/G216+1,0)</f>
        <v>9</v>
      </c>
      <c r="K216" s="45">
        <f>D216</f>
        <v>2.2999999999999998</v>
      </c>
      <c r="L216" s="37" t="str">
        <f>IF(O216&lt;12,"0",0.049*H216)</f>
        <v>0</v>
      </c>
      <c r="M216" s="17">
        <v>0</v>
      </c>
      <c r="N216" s="11">
        <f>M216*2*H216/1000</f>
        <v>0</v>
      </c>
      <c r="O216" s="16">
        <f>(D216)-N216</f>
        <v>2.2999999999999998</v>
      </c>
      <c r="P216" s="16">
        <f>(I216*J216*O216)+L216</f>
        <v>20.7</v>
      </c>
      <c r="Q216" s="18" t="str">
        <f t="shared" si="18"/>
        <v/>
      </c>
      <c r="R216" s="18" t="str">
        <f t="shared" si="19"/>
        <v/>
      </c>
      <c r="S216" s="18" t="str">
        <f t="shared" si="20"/>
        <v/>
      </c>
      <c r="T216" s="18" t="str">
        <f t="shared" si="21"/>
        <v/>
      </c>
      <c r="U216" s="18">
        <f t="shared" si="22"/>
        <v>20.7</v>
      </c>
      <c r="V216" s="18" t="str">
        <f t="shared" si="23"/>
        <v/>
      </c>
      <c r="W216" s="14"/>
    </row>
    <row r="217" spans="1:23" x14ac:dyDescent="0.25">
      <c r="A217" s="6"/>
      <c r="B217" s="33" t="s">
        <v>178</v>
      </c>
      <c r="C217" s="19"/>
      <c r="D217" s="39"/>
      <c r="E217" s="39"/>
      <c r="F217" s="41"/>
      <c r="G217" s="36"/>
      <c r="H217" s="10"/>
      <c r="I217" s="11"/>
      <c r="J217" s="13"/>
      <c r="K217" s="45"/>
      <c r="L217" s="37"/>
      <c r="M217" s="17"/>
      <c r="N217" s="11"/>
      <c r="O217" s="16"/>
      <c r="P217" s="16"/>
      <c r="Q217" s="18" t="str">
        <f t="shared" si="18"/>
        <v/>
      </c>
      <c r="R217" s="18" t="str">
        <f t="shared" si="19"/>
        <v/>
      </c>
      <c r="S217" s="18" t="str">
        <f t="shared" si="20"/>
        <v/>
      </c>
      <c r="T217" s="18" t="str">
        <f t="shared" si="21"/>
        <v/>
      </c>
      <c r="U217" s="18" t="str">
        <f t="shared" si="22"/>
        <v/>
      </c>
      <c r="V217" s="18" t="str">
        <f t="shared" si="23"/>
        <v/>
      </c>
      <c r="W217" s="14"/>
    </row>
    <row r="218" spans="1:23" x14ac:dyDescent="0.25">
      <c r="A218" s="6"/>
      <c r="B218" s="33"/>
      <c r="C218" s="19"/>
      <c r="D218" s="39"/>
      <c r="E218" s="39"/>
      <c r="F218" s="41"/>
      <c r="G218" s="36"/>
      <c r="H218" s="10"/>
      <c r="I218" s="11"/>
      <c r="J218" s="13"/>
      <c r="K218" s="45"/>
      <c r="L218" s="37"/>
      <c r="M218" s="17"/>
      <c r="N218" s="11"/>
      <c r="O218" s="16"/>
      <c r="P218" s="16"/>
      <c r="Q218" s="18" t="str">
        <f t="shared" si="18"/>
        <v/>
      </c>
      <c r="R218" s="18" t="str">
        <f t="shared" si="19"/>
        <v/>
      </c>
      <c r="S218" s="18" t="str">
        <f t="shared" si="20"/>
        <v/>
      </c>
      <c r="T218" s="18" t="str">
        <f t="shared" si="21"/>
        <v/>
      </c>
      <c r="U218" s="18" t="str">
        <f t="shared" si="22"/>
        <v/>
      </c>
      <c r="V218" s="18" t="str">
        <f t="shared" si="23"/>
        <v/>
      </c>
      <c r="W218" s="14"/>
    </row>
    <row r="219" spans="1:23" ht="15" customHeight="1" x14ac:dyDescent="0.25">
      <c r="A219" s="6">
        <v>17</v>
      </c>
      <c r="B219" s="33" t="s">
        <v>34</v>
      </c>
      <c r="C219" s="44"/>
      <c r="D219" s="62">
        <f>0.75-0.05+0.6+0.6</f>
        <v>1.9</v>
      </c>
      <c r="E219" s="62"/>
      <c r="F219" s="41"/>
      <c r="G219" s="36">
        <v>0.25</v>
      </c>
      <c r="H219" s="10">
        <v>12</v>
      </c>
      <c r="I219" s="11">
        <v>1</v>
      </c>
      <c r="J219" s="13">
        <f>ROUND(2.3/G219+1,0)</f>
        <v>10</v>
      </c>
      <c r="K219" s="45">
        <f>D219</f>
        <v>1.9</v>
      </c>
      <c r="L219" s="37" t="str">
        <f>IF(O219&lt;12,"0",0.049*H219)</f>
        <v>0</v>
      </c>
      <c r="M219" s="17">
        <v>0</v>
      </c>
      <c r="N219" s="11">
        <f>M219*2*H219/1000</f>
        <v>0</v>
      </c>
      <c r="O219" s="16">
        <f>(D219)-N219</f>
        <v>1.9</v>
      </c>
      <c r="P219" s="16">
        <f>(I219*J219*O219)+L219</f>
        <v>19</v>
      </c>
      <c r="Q219" s="18" t="str">
        <f t="shared" si="18"/>
        <v/>
      </c>
      <c r="R219" s="18" t="str">
        <f t="shared" si="19"/>
        <v/>
      </c>
      <c r="S219" s="18">
        <f t="shared" si="20"/>
        <v>19</v>
      </c>
      <c r="T219" s="18" t="str">
        <f t="shared" si="21"/>
        <v/>
      </c>
      <c r="U219" s="18" t="str">
        <f t="shared" si="22"/>
        <v/>
      </c>
      <c r="V219" s="18" t="str">
        <f t="shared" si="23"/>
        <v/>
      </c>
      <c r="W219" s="14"/>
    </row>
    <row r="220" spans="1:23" x14ac:dyDescent="0.25">
      <c r="A220" s="6"/>
      <c r="B220" s="33" t="s">
        <v>178</v>
      </c>
      <c r="C220" s="19"/>
      <c r="D220" s="39"/>
      <c r="E220" s="39"/>
      <c r="F220" s="41"/>
      <c r="G220" s="36"/>
      <c r="H220" s="10"/>
      <c r="I220" s="11"/>
      <c r="J220" s="13"/>
      <c r="K220" s="45"/>
      <c r="L220" s="37"/>
      <c r="M220" s="17"/>
      <c r="N220" s="11"/>
      <c r="O220" s="16"/>
      <c r="P220" s="16"/>
      <c r="Q220" s="18" t="str">
        <f t="shared" si="18"/>
        <v/>
      </c>
      <c r="R220" s="18" t="str">
        <f t="shared" si="19"/>
        <v/>
      </c>
      <c r="S220" s="18" t="str">
        <f t="shared" si="20"/>
        <v/>
      </c>
      <c r="T220" s="18" t="str">
        <f t="shared" si="21"/>
        <v/>
      </c>
      <c r="U220" s="18" t="str">
        <f t="shared" si="22"/>
        <v/>
      </c>
      <c r="V220" s="18" t="str">
        <f t="shared" si="23"/>
        <v/>
      </c>
      <c r="W220" s="14"/>
    </row>
    <row r="221" spans="1:23" x14ac:dyDescent="0.25">
      <c r="A221" s="6"/>
      <c r="B221" s="33"/>
      <c r="C221" s="19"/>
      <c r="D221" s="39"/>
      <c r="E221" s="39"/>
      <c r="F221" s="41"/>
      <c r="G221" s="36"/>
      <c r="H221" s="10"/>
      <c r="I221" s="11"/>
      <c r="J221" s="13"/>
      <c r="K221" s="45"/>
      <c r="L221" s="37"/>
      <c r="M221" s="17"/>
      <c r="N221" s="11"/>
      <c r="O221" s="16"/>
      <c r="P221" s="16"/>
      <c r="Q221" s="18" t="str">
        <f t="shared" si="18"/>
        <v/>
      </c>
      <c r="R221" s="18" t="str">
        <f t="shared" si="19"/>
        <v/>
      </c>
      <c r="S221" s="18" t="str">
        <f t="shared" si="20"/>
        <v/>
      </c>
      <c r="T221" s="18" t="str">
        <f t="shared" si="21"/>
        <v/>
      </c>
      <c r="U221" s="18" t="str">
        <f t="shared" si="22"/>
        <v/>
      </c>
      <c r="V221" s="18" t="str">
        <f t="shared" si="23"/>
        <v/>
      </c>
      <c r="W221" s="14"/>
    </row>
    <row r="222" spans="1:23" ht="15" customHeight="1" x14ac:dyDescent="0.25">
      <c r="A222" s="6">
        <v>18</v>
      </c>
      <c r="B222" s="33" t="s">
        <v>33</v>
      </c>
      <c r="C222" s="44"/>
      <c r="D222" s="62">
        <f>1+0.6+1</f>
        <v>2.6</v>
      </c>
      <c r="E222" s="62"/>
      <c r="F222" s="41"/>
      <c r="G222" s="36">
        <v>0.25</v>
      </c>
      <c r="H222" s="10">
        <v>20</v>
      </c>
      <c r="I222" s="11">
        <v>1</v>
      </c>
      <c r="J222" s="13">
        <f>ROUND(2.3/G222+1,0)</f>
        <v>10</v>
      </c>
      <c r="K222" s="45">
        <f>D222</f>
        <v>2.6</v>
      </c>
      <c r="L222" s="37" t="str">
        <f>IF(O222&lt;12,"0",0.049*H222)</f>
        <v>0</v>
      </c>
      <c r="M222" s="17">
        <v>0</v>
      </c>
      <c r="N222" s="11">
        <f>M222*2*H222/1000</f>
        <v>0</v>
      </c>
      <c r="O222" s="16">
        <f>(D222)-N222</f>
        <v>2.6</v>
      </c>
      <c r="P222" s="16">
        <f>(I222*J222*O222)+L222</f>
        <v>26</v>
      </c>
      <c r="Q222" s="18" t="str">
        <f t="shared" si="18"/>
        <v/>
      </c>
      <c r="R222" s="18" t="str">
        <f t="shared" si="19"/>
        <v/>
      </c>
      <c r="S222" s="18" t="str">
        <f t="shared" si="20"/>
        <v/>
      </c>
      <c r="T222" s="18" t="str">
        <f t="shared" si="21"/>
        <v/>
      </c>
      <c r="U222" s="18">
        <f t="shared" si="22"/>
        <v>26</v>
      </c>
      <c r="V222" s="18" t="str">
        <f t="shared" si="23"/>
        <v/>
      </c>
      <c r="W222" s="14"/>
    </row>
    <row r="223" spans="1:23" x14ac:dyDescent="0.25">
      <c r="A223" s="6"/>
      <c r="B223" s="33" t="s">
        <v>179</v>
      </c>
      <c r="C223" s="19"/>
      <c r="D223" s="39"/>
      <c r="E223" s="39"/>
      <c r="F223" s="41"/>
      <c r="G223" s="36"/>
      <c r="H223" s="10"/>
      <c r="I223" s="11"/>
      <c r="J223" s="13"/>
      <c r="K223" s="45"/>
      <c r="L223" s="37"/>
      <c r="M223" s="17"/>
      <c r="N223" s="11"/>
      <c r="O223" s="16"/>
      <c r="P223" s="16"/>
      <c r="Q223" s="18" t="str">
        <f t="shared" si="18"/>
        <v/>
      </c>
      <c r="R223" s="18" t="str">
        <f t="shared" si="19"/>
        <v/>
      </c>
      <c r="S223" s="18" t="str">
        <f t="shared" si="20"/>
        <v/>
      </c>
      <c r="T223" s="18" t="str">
        <f t="shared" si="21"/>
        <v/>
      </c>
      <c r="U223" s="18" t="str">
        <f t="shared" si="22"/>
        <v/>
      </c>
      <c r="V223" s="18" t="str">
        <f t="shared" si="23"/>
        <v/>
      </c>
      <c r="W223" s="14"/>
    </row>
    <row r="224" spans="1:23" x14ac:dyDescent="0.25">
      <c r="A224" s="6"/>
      <c r="B224" s="33"/>
      <c r="C224" s="19"/>
      <c r="D224" s="39"/>
      <c r="E224" s="39"/>
      <c r="F224" s="41"/>
      <c r="G224" s="36"/>
      <c r="H224" s="10"/>
      <c r="I224" s="11"/>
      <c r="J224" s="13"/>
      <c r="K224" s="45"/>
      <c r="L224" s="37"/>
      <c r="M224" s="17"/>
      <c r="N224" s="11"/>
      <c r="O224" s="16"/>
      <c r="P224" s="16"/>
      <c r="Q224" s="18" t="str">
        <f t="shared" si="18"/>
        <v/>
      </c>
      <c r="R224" s="18" t="str">
        <f t="shared" si="19"/>
        <v/>
      </c>
      <c r="S224" s="18" t="str">
        <f t="shared" si="20"/>
        <v/>
      </c>
      <c r="T224" s="18" t="str">
        <f t="shared" si="21"/>
        <v/>
      </c>
      <c r="U224" s="18" t="str">
        <f t="shared" si="22"/>
        <v/>
      </c>
      <c r="V224" s="18" t="str">
        <f t="shared" si="23"/>
        <v/>
      </c>
      <c r="W224" s="14"/>
    </row>
    <row r="225" spans="1:23" ht="15" customHeight="1" x14ac:dyDescent="0.25">
      <c r="A225" s="6">
        <v>19</v>
      </c>
      <c r="B225" s="33" t="s">
        <v>34</v>
      </c>
      <c r="C225" s="44"/>
      <c r="D225" s="62">
        <f>1+0.3+1</f>
        <v>2.2999999999999998</v>
      </c>
      <c r="E225" s="62"/>
      <c r="F225" s="41"/>
      <c r="G225" s="36">
        <v>0.25</v>
      </c>
      <c r="H225" s="10">
        <v>20</v>
      </c>
      <c r="I225" s="11">
        <v>1</v>
      </c>
      <c r="J225" s="13">
        <f>ROUND(2.6/G225+1,0)</f>
        <v>11</v>
      </c>
      <c r="K225" s="45">
        <f>D225</f>
        <v>2.2999999999999998</v>
      </c>
      <c r="L225" s="37" t="str">
        <f>IF(O225&lt;12,"0",0.049*H225)</f>
        <v>0</v>
      </c>
      <c r="M225" s="17">
        <v>0</v>
      </c>
      <c r="N225" s="11">
        <f>M225*2*H225/1000</f>
        <v>0</v>
      </c>
      <c r="O225" s="16">
        <f>(D225)-N225</f>
        <v>2.2999999999999998</v>
      </c>
      <c r="P225" s="16">
        <f>(I225*J225*O225)+L225</f>
        <v>25.299999999999997</v>
      </c>
      <c r="Q225" s="18" t="str">
        <f t="shared" si="18"/>
        <v/>
      </c>
      <c r="R225" s="18" t="str">
        <f t="shared" si="19"/>
        <v/>
      </c>
      <c r="S225" s="18" t="str">
        <f t="shared" si="20"/>
        <v/>
      </c>
      <c r="T225" s="18" t="str">
        <f t="shared" si="21"/>
        <v/>
      </c>
      <c r="U225" s="18">
        <f t="shared" si="22"/>
        <v>25.299999999999997</v>
      </c>
      <c r="V225" s="18" t="str">
        <f t="shared" si="23"/>
        <v/>
      </c>
      <c r="W225" s="14"/>
    </row>
    <row r="226" spans="1:23" x14ac:dyDescent="0.25">
      <c r="A226" s="6"/>
      <c r="B226" s="33" t="s">
        <v>179</v>
      </c>
      <c r="C226" s="19"/>
      <c r="D226" s="39"/>
      <c r="E226" s="39"/>
      <c r="F226" s="41"/>
      <c r="G226" s="36"/>
      <c r="H226" s="10"/>
      <c r="I226" s="11"/>
      <c r="J226" s="13"/>
      <c r="K226" s="45"/>
      <c r="L226" s="37"/>
      <c r="M226" s="17"/>
      <c r="N226" s="11"/>
      <c r="O226" s="16"/>
      <c r="P226" s="16"/>
      <c r="Q226" s="18" t="str">
        <f t="shared" si="18"/>
        <v/>
      </c>
      <c r="R226" s="18" t="str">
        <f t="shared" si="19"/>
        <v/>
      </c>
      <c r="S226" s="18" t="str">
        <f t="shared" si="20"/>
        <v/>
      </c>
      <c r="T226" s="18" t="str">
        <f t="shared" si="21"/>
        <v/>
      </c>
      <c r="U226" s="18" t="str">
        <f t="shared" si="22"/>
        <v/>
      </c>
      <c r="V226" s="18" t="str">
        <f t="shared" si="23"/>
        <v/>
      </c>
      <c r="W226" s="14"/>
    </row>
    <row r="227" spans="1:23" x14ac:dyDescent="0.25">
      <c r="A227" s="6"/>
      <c r="B227" s="33"/>
      <c r="C227" s="19"/>
      <c r="D227" s="39"/>
      <c r="E227" s="39"/>
      <c r="F227" s="41"/>
      <c r="G227" s="36"/>
      <c r="H227" s="10"/>
      <c r="I227" s="11"/>
      <c r="J227" s="13"/>
      <c r="K227" s="45"/>
      <c r="L227" s="37"/>
      <c r="M227" s="17"/>
      <c r="N227" s="11"/>
      <c r="O227" s="16"/>
      <c r="P227" s="16"/>
      <c r="Q227" s="18" t="str">
        <f t="shared" si="18"/>
        <v/>
      </c>
      <c r="R227" s="18" t="str">
        <f t="shared" si="19"/>
        <v/>
      </c>
      <c r="S227" s="18" t="str">
        <f t="shared" si="20"/>
        <v/>
      </c>
      <c r="T227" s="18" t="str">
        <f t="shared" si="21"/>
        <v/>
      </c>
      <c r="U227" s="18" t="str">
        <f t="shared" si="22"/>
        <v/>
      </c>
      <c r="V227" s="18" t="str">
        <f t="shared" si="23"/>
        <v/>
      </c>
      <c r="W227" s="14"/>
    </row>
    <row r="228" spans="1:23" ht="15" customHeight="1" x14ac:dyDescent="0.25">
      <c r="A228" s="6">
        <v>20</v>
      </c>
      <c r="B228" s="33" t="s">
        <v>33</v>
      </c>
      <c r="C228" s="44"/>
      <c r="D228" s="62">
        <f>1+0.3+1</f>
        <v>2.2999999999999998</v>
      </c>
      <c r="E228" s="62"/>
      <c r="F228" s="41"/>
      <c r="G228" s="36">
        <v>0.25</v>
      </c>
      <c r="H228" s="10">
        <v>20</v>
      </c>
      <c r="I228" s="11">
        <v>1</v>
      </c>
      <c r="J228" s="13">
        <f>ROUND(3.1/G228+1,0)</f>
        <v>13</v>
      </c>
      <c r="K228" s="45">
        <f>D228</f>
        <v>2.2999999999999998</v>
      </c>
      <c r="L228" s="37" t="str">
        <f>IF(O228&lt;12,"0",0.049*H228)</f>
        <v>0</v>
      </c>
      <c r="M228" s="17">
        <v>0</v>
      </c>
      <c r="N228" s="11">
        <f>M228*2*H228/1000</f>
        <v>0</v>
      </c>
      <c r="O228" s="16">
        <f>(D228)-N228</f>
        <v>2.2999999999999998</v>
      </c>
      <c r="P228" s="16">
        <f>(I228*J228*O228)+L228</f>
        <v>29.9</v>
      </c>
      <c r="Q228" s="18" t="str">
        <f t="shared" si="18"/>
        <v/>
      </c>
      <c r="R228" s="18" t="str">
        <f t="shared" si="19"/>
        <v/>
      </c>
      <c r="S228" s="18" t="str">
        <f t="shared" si="20"/>
        <v/>
      </c>
      <c r="T228" s="18" t="str">
        <f t="shared" si="21"/>
        <v/>
      </c>
      <c r="U228" s="18">
        <f t="shared" si="22"/>
        <v>29.9</v>
      </c>
      <c r="V228" s="18" t="str">
        <f t="shared" si="23"/>
        <v/>
      </c>
      <c r="W228" s="14"/>
    </row>
    <row r="229" spans="1:23" x14ac:dyDescent="0.25">
      <c r="A229" s="6"/>
      <c r="B229" s="33" t="s">
        <v>180</v>
      </c>
      <c r="C229" s="19"/>
      <c r="D229" s="39"/>
      <c r="E229" s="39"/>
      <c r="F229" s="41"/>
      <c r="G229" s="36"/>
      <c r="H229" s="10"/>
      <c r="I229" s="11"/>
      <c r="J229" s="13"/>
      <c r="K229" s="45"/>
      <c r="L229" s="37"/>
      <c r="M229" s="17"/>
      <c r="N229" s="11"/>
      <c r="O229" s="16"/>
      <c r="P229" s="16"/>
      <c r="Q229" s="18" t="str">
        <f t="shared" si="18"/>
        <v/>
      </c>
      <c r="R229" s="18" t="str">
        <f t="shared" si="19"/>
        <v/>
      </c>
      <c r="S229" s="18" t="str">
        <f t="shared" si="20"/>
        <v/>
      </c>
      <c r="T229" s="18" t="str">
        <f t="shared" si="21"/>
        <v/>
      </c>
      <c r="U229" s="18" t="str">
        <f t="shared" si="22"/>
        <v/>
      </c>
      <c r="V229" s="18" t="str">
        <f t="shared" si="23"/>
        <v/>
      </c>
      <c r="W229" s="14"/>
    </row>
    <row r="230" spans="1:23" x14ac:dyDescent="0.25">
      <c r="A230" s="6"/>
      <c r="B230" s="33"/>
      <c r="C230" s="19"/>
      <c r="D230" s="39"/>
      <c r="E230" s="39"/>
      <c r="F230" s="41"/>
      <c r="G230" s="36"/>
      <c r="H230" s="10"/>
      <c r="I230" s="11"/>
      <c r="J230" s="13"/>
      <c r="K230" s="45"/>
      <c r="L230" s="37"/>
      <c r="M230" s="17"/>
      <c r="N230" s="11"/>
      <c r="O230" s="16"/>
      <c r="P230" s="16"/>
      <c r="Q230" s="18" t="str">
        <f t="shared" si="18"/>
        <v/>
      </c>
      <c r="R230" s="18" t="str">
        <f t="shared" si="19"/>
        <v/>
      </c>
      <c r="S230" s="18" t="str">
        <f t="shared" si="20"/>
        <v/>
      </c>
      <c r="T230" s="18" t="str">
        <f t="shared" si="21"/>
        <v/>
      </c>
      <c r="U230" s="18" t="str">
        <f t="shared" si="22"/>
        <v/>
      </c>
      <c r="V230" s="18" t="str">
        <f t="shared" si="23"/>
        <v/>
      </c>
      <c r="W230" s="14"/>
    </row>
    <row r="231" spans="1:23" ht="15" customHeight="1" x14ac:dyDescent="0.25">
      <c r="A231" s="6">
        <v>21</v>
      </c>
      <c r="B231" s="33" t="s">
        <v>34</v>
      </c>
      <c r="C231" s="44"/>
      <c r="D231" s="62">
        <f>1.25+0.6+1.25</f>
        <v>3.1</v>
      </c>
      <c r="E231" s="62"/>
      <c r="F231" s="41"/>
      <c r="G231" s="36">
        <v>0.25</v>
      </c>
      <c r="H231" s="10">
        <v>25</v>
      </c>
      <c r="I231" s="11">
        <v>1</v>
      </c>
      <c r="J231" s="13">
        <f>ROUND(2.3/G231+1,0)</f>
        <v>10</v>
      </c>
      <c r="K231" s="45">
        <f>D231</f>
        <v>3.1</v>
      </c>
      <c r="L231" s="37" t="str">
        <f>IF(O231&lt;12,"0",0.049*H231)</f>
        <v>0</v>
      </c>
      <c r="M231" s="17">
        <v>0</v>
      </c>
      <c r="N231" s="11">
        <f>M231*2*H231/1000</f>
        <v>0</v>
      </c>
      <c r="O231" s="16">
        <f>(D231)-N231</f>
        <v>3.1</v>
      </c>
      <c r="P231" s="16">
        <f>(I231*J231*O231)+L231</f>
        <v>31</v>
      </c>
      <c r="Q231" s="18" t="str">
        <f t="shared" si="18"/>
        <v/>
      </c>
      <c r="R231" s="18" t="str">
        <f t="shared" si="19"/>
        <v/>
      </c>
      <c r="S231" s="18" t="str">
        <f t="shared" si="20"/>
        <v/>
      </c>
      <c r="T231" s="18" t="str">
        <f t="shared" si="21"/>
        <v/>
      </c>
      <c r="U231" s="18" t="str">
        <f t="shared" si="22"/>
        <v/>
      </c>
      <c r="V231" s="18">
        <f t="shared" si="23"/>
        <v>31</v>
      </c>
      <c r="W231" s="14"/>
    </row>
    <row r="232" spans="1:23" x14ac:dyDescent="0.25">
      <c r="A232" s="6"/>
      <c r="B232" s="33" t="s">
        <v>180</v>
      </c>
      <c r="C232" s="19"/>
      <c r="D232" s="39"/>
      <c r="E232" s="39"/>
      <c r="F232" s="41"/>
      <c r="G232" s="36"/>
      <c r="H232" s="10"/>
      <c r="I232" s="11"/>
      <c r="J232" s="13"/>
      <c r="K232" s="45"/>
      <c r="L232" s="37"/>
      <c r="M232" s="17"/>
      <c r="N232" s="11"/>
      <c r="O232" s="16"/>
      <c r="P232" s="16"/>
      <c r="Q232" s="18" t="str">
        <f t="shared" si="18"/>
        <v/>
      </c>
      <c r="R232" s="18" t="str">
        <f t="shared" si="19"/>
        <v/>
      </c>
      <c r="S232" s="18" t="str">
        <f t="shared" si="20"/>
        <v/>
      </c>
      <c r="T232" s="18" t="str">
        <f t="shared" si="21"/>
        <v/>
      </c>
      <c r="U232" s="18" t="str">
        <f t="shared" si="22"/>
        <v/>
      </c>
      <c r="V232" s="18" t="str">
        <f t="shared" si="23"/>
        <v/>
      </c>
      <c r="W232" s="14"/>
    </row>
    <row r="233" spans="1:23" x14ac:dyDescent="0.25">
      <c r="A233" s="6"/>
      <c r="B233" s="33"/>
      <c r="C233" s="19"/>
      <c r="D233" s="39"/>
      <c r="E233" s="39"/>
      <c r="F233" s="41"/>
      <c r="G233" s="36"/>
      <c r="H233" s="10"/>
      <c r="I233" s="11"/>
      <c r="J233" s="13"/>
      <c r="K233" s="45"/>
      <c r="L233" s="37"/>
      <c r="M233" s="17"/>
      <c r="N233" s="11"/>
      <c r="O233" s="16"/>
      <c r="P233" s="16"/>
      <c r="Q233" s="18" t="str">
        <f t="shared" si="18"/>
        <v/>
      </c>
      <c r="R233" s="18" t="str">
        <f t="shared" si="19"/>
        <v/>
      </c>
      <c r="S233" s="18" t="str">
        <f t="shared" si="20"/>
        <v/>
      </c>
      <c r="T233" s="18" t="str">
        <f t="shared" si="21"/>
        <v/>
      </c>
      <c r="U233" s="18" t="str">
        <f t="shared" si="22"/>
        <v/>
      </c>
      <c r="V233" s="18" t="str">
        <f t="shared" si="23"/>
        <v/>
      </c>
      <c r="W233" s="14"/>
    </row>
    <row r="234" spans="1:23" ht="15" customHeight="1" x14ac:dyDescent="0.25">
      <c r="A234" s="6">
        <v>22</v>
      </c>
      <c r="B234" s="33" t="s">
        <v>33</v>
      </c>
      <c r="C234" s="44"/>
      <c r="D234" s="62">
        <f>1+0.3+1</f>
        <v>2.2999999999999998</v>
      </c>
      <c r="E234" s="62"/>
      <c r="F234" s="41"/>
      <c r="G234" s="36">
        <v>0.25</v>
      </c>
      <c r="H234" s="10">
        <v>20</v>
      </c>
      <c r="I234" s="11">
        <v>1</v>
      </c>
      <c r="J234" s="13">
        <f>ROUND(3.1/G234+1,0)</f>
        <v>13</v>
      </c>
      <c r="K234" s="45">
        <f>D234</f>
        <v>2.2999999999999998</v>
      </c>
      <c r="L234" s="37" t="str">
        <f>IF(O234&lt;12,"0",0.049*H234)</f>
        <v>0</v>
      </c>
      <c r="M234" s="17">
        <v>0</v>
      </c>
      <c r="N234" s="11">
        <f>M234*2*H234/1000</f>
        <v>0</v>
      </c>
      <c r="O234" s="16">
        <f>(D234)-N234</f>
        <v>2.2999999999999998</v>
      </c>
      <c r="P234" s="16">
        <f>(I234*J234*O234)+L234</f>
        <v>29.9</v>
      </c>
      <c r="Q234" s="18" t="str">
        <f t="shared" si="18"/>
        <v/>
      </c>
      <c r="R234" s="18" t="str">
        <f t="shared" si="19"/>
        <v/>
      </c>
      <c r="S234" s="18" t="str">
        <f t="shared" si="20"/>
        <v/>
      </c>
      <c r="T234" s="18" t="str">
        <f t="shared" si="21"/>
        <v/>
      </c>
      <c r="U234" s="18">
        <f t="shared" si="22"/>
        <v>29.9</v>
      </c>
      <c r="V234" s="18" t="str">
        <f t="shared" si="23"/>
        <v/>
      </c>
      <c r="W234" s="14"/>
    </row>
    <row r="235" spans="1:23" x14ac:dyDescent="0.25">
      <c r="A235" s="6"/>
      <c r="B235" s="33" t="s">
        <v>181</v>
      </c>
      <c r="C235" s="19"/>
      <c r="D235" s="39"/>
      <c r="E235" s="39"/>
      <c r="F235" s="41"/>
      <c r="G235" s="36"/>
      <c r="H235" s="10"/>
      <c r="I235" s="11"/>
      <c r="J235" s="13"/>
      <c r="K235" s="45"/>
      <c r="L235" s="37"/>
      <c r="M235" s="17"/>
      <c r="N235" s="11"/>
      <c r="O235" s="16"/>
      <c r="P235" s="16"/>
      <c r="Q235" s="18" t="str">
        <f t="shared" si="18"/>
        <v/>
      </c>
      <c r="R235" s="18" t="str">
        <f t="shared" si="19"/>
        <v/>
      </c>
      <c r="S235" s="18" t="str">
        <f t="shared" si="20"/>
        <v/>
      </c>
      <c r="T235" s="18" t="str">
        <f t="shared" si="21"/>
        <v/>
      </c>
      <c r="U235" s="18" t="str">
        <f t="shared" si="22"/>
        <v/>
      </c>
      <c r="V235" s="18" t="str">
        <f t="shared" si="23"/>
        <v/>
      </c>
      <c r="W235" s="14"/>
    </row>
    <row r="236" spans="1:23" x14ac:dyDescent="0.25">
      <c r="A236" s="6"/>
      <c r="B236" s="33"/>
      <c r="C236" s="19"/>
      <c r="D236" s="39"/>
      <c r="E236" s="39"/>
      <c r="F236" s="41"/>
      <c r="G236" s="36"/>
      <c r="H236" s="10"/>
      <c r="I236" s="11"/>
      <c r="J236" s="13"/>
      <c r="K236" s="45"/>
      <c r="L236" s="37"/>
      <c r="M236" s="17"/>
      <c r="N236" s="11"/>
      <c r="O236" s="16"/>
      <c r="P236" s="16"/>
      <c r="Q236" s="18" t="str">
        <f t="shared" si="18"/>
        <v/>
      </c>
      <c r="R236" s="18" t="str">
        <f t="shared" si="19"/>
        <v/>
      </c>
      <c r="S236" s="18" t="str">
        <f t="shared" si="20"/>
        <v/>
      </c>
      <c r="T236" s="18" t="str">
        <f t="shared" si="21"/>
        <v/>
      </c>
      <c r="U236" s="18" t="str">
        <f t="shared" si="22"/>
        <v/>
      </c>
      <c r="V236" s="18" t="str">
        <f t="shared" si="23"/>
        <v/>
      </c>
      <c r="W236" s="14"/>
    </row>
    <row r="237" spans="1:23" ht="15" customHeight="1" x14ac:dyDescent="0.25">
      <c r="A237" s="6">
        <v>23</v>
      </c>
      <c r="B237" s="33" t="s">
        <v>34</v>
      </c>
      <c r="C237" s="44"/>
      <c r="D237" s="62">
        <f>1.25+0.6+1.25</f>
        <v>3.1</v>
      </c>
      <c r="E237" s="62"/>
      <c r="F237" s="41"/>
      <c r="G237" s="36">
        <v>0.25</v>
      </c>
      <c r="H237" s="10">
        <v>25</v>
      </c>
      <c r="I237" s="11">
        <v>1</v>
      </c>
      <c r="J237" s="13">
        <f>ROUND(2.3/G237+1,0)</f>
        <v>10</v>
      </c>
      <c r="K237" s="45">
        <f>D237</f>
        <v>3.1</v>
      </c>
      <c r="L237" s="37" t="str">
        <f>IF(O237&lt;12,"0",0.049*H237)</f>
        <v>0</v>
      </c>
      <c r="M237" s="17">
        <v>0</v>
      </c>
      <c r="N237" s="11">
        <f>M237*2*H237/1000</f>
        <v>0</v>
      </c>
      <c r="O237" s="16">
        <f>(D237)-N237</f>
        <v>3.1</v>
      </c>
      <c r="P237" s="16">
        <f>(I237*J237*O237)+L237</f>
        <v>31</v>
      </c>
      <c r="Q237" s="18" t="str">
        <f t="shared" si="18"/>
        <v/>
      </c>
      <c r="R237" s="18" t="str">
        <f t="shared" si="19"/>
        <v/>
      </c>
      <c r="S237" s="18" t="str">
        <f t="shared" si="20"/>
        <v/>
      </c>
      <c r="T237" s="18" t="str">
        <f t="shared" si="21"/>
        <v/>
      </c>
      <c r="U237" s="18" t="str">
        <f t="shared" si="22"/>
        <v/>
      </c>
      <c r="V237" s="18">
        <f t="shared" si="23"/>
        <v>31</v>
      </c>
      <c r="W237" s="14"/>
    </row>
    <row r="238" spans="1:23" x14ac:dyDescent="0.25">
      <c r="A238" s="6"/>
      <c r="B238" s="33" t="s">
        <v>181</v>
      </c>
      <c r="C238" s="19"/>
      <c r="D238" s="39"/>
      <c r="E238" s="39"/>
      <c r="F238" s="41"/>
      <c r="G238" s="36"/>
      <c r="H238" s="10"/>
      <c r="I238" s="11"/>
      <c r="J238" s="13"/>
      <c r="K238" s="45"/>
      <c r="L238" s="37"/>
      <c r="M238" s="17"/>
      <c r="N238" s="11"/>
      <c r="O238" s="16"/>
      <c r="P238" s="16"/>
      <c r="Q238" s="18" t="str">
        <f t="shared" si="18"/>
        <v/>
      </c>
      <c r="R238" s="18" t="str">
        <f t="shared" si="19"/>
        <v/>
      </c>
      <c r="S238" s="18" t="str">
        <f t="shared" si="20"/>
        <v/>
      </c>
      <c r="T238" s="18" t="str">
        <f t="shared" si="21"/>
        <v/>
      </c>
      <c r="U238" s="18" t="str">
        <f t="shared" si="22"/>
        <v/>
      </c>
      <c r="V238" s="18" t="str">
        <f t="shared" si="23"/>
        <v/>
      </c>
      <c r="W238" s="14"/>
    </row>
    <row r="239" spans="1:23" x14ac:dyDescent="0.25">
      <c r="A239" s="6"/>
      <c r="B239" s="33"/>
      <c r="C239" s="19"/>
      <c r="D239" s="39"/>
      <c r="E239" s="39"/>
      <c r="F239" s="41"/>
      <c r="G239" s="36"/>
      <c r="H239" s="10"/>
      <c r="I239" s="11"/>
      <c r="J239" s="13"/>
      <c r="K239" s="45"/>
      <c r="L239" s="37"/>
      <c r="M239" s="17"/>
      <c r="N239" s="11"/>
      <c r="O239" s="16"/>
      <c r="P239" s="16"/>
      <c r="Q239" s="18" t="str">
        <f t="shared" si="18"/>
        <v/>
      </c>
      <c r="R239" s="18" t="str">
        <f t="shared" si="19"/>
        <v/>
      </c>
      <c r="S239" s="18" t="str">
        <f t="shared" si="20"/>
        <v/>
      </c>
      <c r="T239" s="18" t="str">
        <f t="shared" si="21"/>
        <v/>
      </c>
      <c r="U239" s="18" t="str">
        <f t="shared" si="22"/>
        <v/>
      </c>
      <c r="V239" s="18" t="str">
        <f t="shared" si="23"/>
        <v/>
      </c>
      <c r="W239" s="14"/>
    </row>
    <row r="240" spans="1:23" ht="15" customHeight="1" x14ac:dyDescent="0.25">
      <c r="A240" s="6">
        <v>24</v>
      </c>
      <c r="B240" s="33" t="s">
        <v>33</v>
      </c>
      <c r="C240" s="44"/>
      <c r="D240" s="62">
        <f>1+0.3+1</f>
        <v>2.2999999999999998</v>
      </c>
      <c r="E240" s="62"/>
      <c r="F240" s="41"/>
      <c r="G240" s="36">
        <v>0.25</v>
      </c>
      <c r="H240" s="10">
        <v>20</v>
      </c>
      <c r="I240" s="11">
        <v>1</v>
      </c>
      <c r="J240" s="13">
        <f>ROUND(2.715/G240+1,0)</f>
        <v>12</v>
      </c>
      <c r="K240" s="45">
        <f>D240</f>
        <v>2.2999999999999998</v>
      </c>
      <c r="L240" s="37" t="str">
        <f>IF(O240&lt;12,"0",0.049*H240)</f>
        <v>0</v>
      </c>
      <c r="M240" s="17">
        <v>0</v>
      </c>
      <c r="N240" s="11">
        <f>M240*2*H240/1000</f>
        <v>0</v>
      </c>
      <c r="O240" s="16">
        <f>(D240)-N240</f>
        <v>2.2999999999999998</v>
      </c>
      <c r="P240" s="16">
        <f>(I240*J240*O240)+L240</f>
        <v>27.599999999999998</v>
      </c>
      <c r="Q240" s="18" t="str">
        <f t="shared" si="18"/>
        <v/>
      </c>
      <c r="R240" s="18" t="str">
        <f t="shared" si="19"/>
        <v/>
      </c>
      <c r="S240" s="18" t="str">
        <f t="shared" si="20"/>
        <v/>
      </c>
      <c r="T240" s="18" t="str">
        <f t="shared" si="21"/>
        <v/>
      </c>
      <c r="U240" s="18">
        <f t="shared" si="22"/>
        <v>27.599999999999998</v>
      </c>
      <c r="V240" s="18" t="str">
        <f t="shared" si="23"/>
        <v/>
      </c>
      <c r="W240" s="14"/>
    </row>
    <row r="241" spans="1:23" x14ac:dyDescent="0.25">
      <c r="A241" s="6"/>
      <c r="B241" s="33" t="s">
        <v>182</v>
      </c>
      <c r="C241" s="19"/>
      <c r="D241" s="39"/>
      <c r="E241" s="39"/>
      <c r="F241" s="41"/>
      <c r="G241" s="36"/>
      <c r="H241" s="10"/>
      <c r="I241" s="11"/>
      <c r="J241" s="13"/>
      <c r="K241" s="45"/>
      <c r="L241" s="37"/>
      <c r="M241" s="17"/>
      <c r="N241" s="11"/>
      <c r="O241" s="16"/>
      <c r="P241" s="16"/>
      <c r="Q241" s="18" t="str">
        <f t="shared" si="18"/>
        <v/>
      </c>
      <c r="R241" s="18" t="str">
        <f t="shared" si="19"/>
        <v/>
      </c>
      <c r="S241" s="18" t="str">
        <f t="shared" si="20"/>
        <v/>
      </c>
      <c r="T241" s="18" t="str">
        <f t="shared" si="21"/>
        <v/>
      </c>
      <c r="U241" s="18" t="str">
        <f t="shared" si="22"/>
        <v/>
      </c>
      <c r="V241" s="18" t="str">
        <f t="shared" si="23"/>
        <v/>
      </c>
      <c r="W241" s="14"/>
    </row>
    <row r="242" spans="1:23" x14ac:dyDescent="0.25">
      <c r="A242" s="6"/>
      <c r="B242" s="33"/>
      <c r="C242" s="19"/>
      <c r="D242" s="39"/>
      <c r="E242" s="39"/>
      <c r="F242" s="41"/>
      <c r="G242" s="36"/>
      <c r="H242" s="10"/>
      <c r="I242" s="11"/>
      <c r="J242" s="13"/>
      <c r="K242" s="45"/>
      <c r="L242" s="37"/>
      <c r="M242" s="17"/>
      <c r="N242" s="11"/>
      <c r="O242" s="16"/>
      <c r="P242" s="16"/>
      <c r="Q242" s="18" t="str">
        <f t="shared" si="18"/>
        <v/>
      </c>
      <c r="R242" s="18" t="str">
        <f t="shared" si="19"/>
        <v/>
      </c>
      <c r="S242" s="18" t="str">
        <f t="shared" si="20"/>
        <v/>
      </c>
      <c r="T242" s="18" t="str">
        <f t="shared" si="21"/>
        <v/>
      </c>
      <c r="U242" s="18" t="str">
        <f t="shared" si="22"/>
        <v/>
      </c>
      <c r="V242" s="18" t="str">
        <f t="shared" si="23"/>
        <v/>
      </c>
      <c r="W242" s="14"/>
    </row>
    <row r="243" spans="1:23" ht="15" customHeight="1" x14ac:dyDescent="0.25">
      <c r="A243" s="6">
        <v>25</v>
      </c>
      <c r="B243" s="33" t="s">
        <v>34</v>
      </c>
      <c r="C243" s="44"/>
      <c r="D243" s="62">
        <f>1+0.715+1</f>
        <v>2.7149999999999999</v>
      </c>
      <c r="E243" s="62"/>
      <c r="F243" s="41"/>
      <c r="G243" s="36">
        <v>0.25</v>
      </c>
      <c r="H243" s="10">
        <v>20</v>
      </c>
      <c r="I243" s="11">
        <v>1</v>
      </c>
      <c r="J243" s="13">
        <f>ROUND(2.3/G243+1,0)</f>
        <v>10</v>
      </c>
      <c r="K243" s="45">
        <f>D243</f>
        <v>2.7149999999999999</v>
      </c>
      <c r="L243" s="37" t="str">
        <f>IF(O243&lt;12,"0",0.049*H243)</f>
        <v>0</v>
      </c>
      <c r="M243" s="17">
        <v>0</v>
      </c>
      <c r="N243" s="11">
        <f>M243*2*H243/1000</f>
        <v>0</v>
      </c>
      <c r="O243" s="16">
        <f>(D243)-N243</f>
        <v>2.7149999999999999</v>
      </c>
      <c r="P243" s="16">
        <f>(I243*J243*O243)+L243</f>
        <v>27.15</v>
      </c>
      <c r="Q243" s="18" t="str">
        <f t="shared" si="18"/>
        <v/>
      </c>
      <c r="R243" s="18" t="str">
        <f t="shared" si="19"/>
        <v/>
      </c>
      <c r="S243" s="18" t="str">
        <f t="shared" si="20"/>
        <v/>
      </c>
      <c r="T243" s="18" t="str">
        <f t="shared" si="21"/>
        <v/>
      </c>
      <c r="U243" s="18">
        <f t="shared" si="22"/>
        <v>27.15</v>
      </c>
      <c r="V243" s="18" t="str">
        <f t="shared" si="23"/>
        <v/>
      </c>
      <c r="W243" s="14"/>
    </row>
    <row r="244" spans="1:23" x14ac:dyDescent="0.25">
      <c r="A244" s="6"/>
      <c r="B244" s="33" t="s">
        <v>182</v>
      </c>
      <c r="C244" s="19"/>
      <c r="D244" s="39"/>
      <c r="E244" s="39"/>
      <c r="F244" s="41"/>
      <c r="G244" s="36"/>
      <c r="H244" s="10"/>
      <c r="I244" s="11"/>
      <c r="J244" s="13"/>
      <c r="K244" s="45"/>
      <c r="L244" s="37"/>
      <c r="M244" s="17"/>
      <c r="N244" s="11"/>
      <c r="O244" s="16"/>
      <c r="P244" s="16"/>
      <c r="Q244" s="18" t="str">
        <f t="shared" si="18"/>
        <v/>
      </c>
      <c r="R244" s="18" t="str">
        <f t="shared" si="19"/>
        <v/>
      </c>
      <c r="S244" s="18" t="str">
        <f t="shared" si="20"/>
        <v/>
      </c>
      <c r="T244" s="18" t="str">
        <f t="shared" si="21"/>
        <v/>
      </c>
      <c r="U244" s="18" t="str">
        <f t="shared" si="22"/>
        <v/>
      </c>
      <c r="V244" s="18" t="str">
        <f t="shared" si="23"/>
        <v/>
      </c>
      <c r="W244" s="14"/>
    </row>
    <row r="245" spans="1:23" x14ac:dyDescent="0.25">
      <c r="A245" s="6"/>
      <c r="B245" s="33"/>
      <c r="C245" s="19"/>
      <c r="D245" s="39"/>
      <c r="E245" s="39"/>
      <c r="F245" s="41"/>
      <c r="G245" s="36"/>
      <c r="H245" s="10"/>
      <c r="I245" s="11"/>
      <c r="J245" s="13"/>
      <c r="K245" s="45"/>
      <c r="L245" s="37"/>
      <c r="M245" s="17"/>
      <c r="N245" s="11"/>
      <c r="O245" s="16"/>
      <c r="P245" s="16"/>
      <c r="Q245" s="18" t="str">
        <f t="shared" si="18"/>
        <v/>
      </c>
      <c r="R245" s="18" t="str">
        <f t="shared" si="19"/>
        <v/>
      </c>
      <c r="S245" s="18" t="str">
        <f t="shared" si="20"/>
        <v/>
      </c>
      <c r="T245" s="18" t="str">
        <f t="shared" si="21"/>
        <v/>
      </c>
      <c r="U245" s="18" t="str">
        <f t="shared" si="22"/>
        <v/>
      </c>
      <c r="V245" s="18" t="str">
        <f t="shared" si="23"/>
        <v/>
      </c>
      <c r="W245" s="14"/>
    </row>
    <row r="246" spans="1:23" ht="15" customHeight="1" x14ac:dyDescent="0.25">
      <c r="A246" s="6">
        <v>26</v>
      </c>
      <c r="B246" s="33" t="s">
        <v>33</v>
      </c>
      <c r="C246" s="44"/>
      <c r="D246" s="62">
        <f>1+1+0.835+0.1+1</f>
        <v>3.9350000000000001</v>
      </c>
      <c r="E246" s="62"/>
      <c r="F246" s="41"/>
      <c r="G246" s="36">
        <v>0.25</v>
      </c>
      <c r="H246" s="10">
        <v>20</v>
      </c>
      <c r="I246" s="11">
        <v>1</v>
      </c>
      <c r="J246" s="13">
        <f>ROUND(4.075/G246+1,0)</f>
        <v>17</v>
      </c>
      <c r="K246" s="45">
        <f>D246</f>
        <v>3.9350000000000001</v>
      </c>
      <c r="L246" s="37" t="str">
        <f>IF(O246&lt;12,"0",0.049*H246)</f>
        <v>0</v>
      </c>
      <c r="M246" s="17">
        <v>0</v>
      </c>
      <c r="N246" s="11">
        <f>M246*2*H246/1000</f>
        <v>0</v>
      </c>
      <c r="O246" s="16">
        <f>(D246)-N246</f>
        <v>3.9350000000000001</v>
      </c>
      <c r="P246" s="16">
        <f>(I246*J246*O246)+L246</f>
        <v>66.894999999999996</v>
      </c>
      <c r="Q246" s="18" t="str">
        <f t="shared" si="18"/>
        <v/>
      </c>
      <c r="R246" s="18" t="str">
        <f t="shared" si="19"/>
        <v/>
      </c>
      <c r="S246" s="18" t="str">
        <f t="shared" si="20"/>
        <v/>
      </c>
      <c r="T246" s="18" t="str">
        <f t="shared" si="21"/>
        <v/>
      </c>
      <c r="U246" s="18">
        <f t="shared" si="22"/>
        <v>66.894999999999996</v>
      </c>
      <c r="V246" s="18" t="str">
        <f t="shared" si="23"/>
        <v/>
      </c>
      <c r="W246" s="14"/>
    </row>
    <row r="247" spans="1:23" x14ac:dyDescent="0.25">
      <c r="A247" s="6"/>
      <c r="B247" s="33" t="s">
        <v>183</v>
      </c>
      <c r="C247" s="19"/>
      <c r="D247" s="39"/>
      <c r="E247" s="39"/>
      <c r="F247" s="41"/>
      <c r="G247" s="36"/>
      <c r="H247" s="10"/>
      <c r="I247" s="11"/>
      <c r="J247" s="13"/>
      <c r="K247" s="45"/>
      <c r="L247" s="37"/>
      <c r="M247" s="17"/>
      <c r="N247" s="11"/>
      <c r="O247" s="16"/>
      <c r="P247" s="16"/>
      <c r="Q247" s="18" t="str">
        <f t="shared" si="18"/>
        <v/>
      </c>
      <c r="R247" s="18" t="str">
        <f t="shared" si="19"/>
        <v/>
      </c>
      <c r="S247" s="18" t="str">
        <f t="shared" si="20"/>
        <v/>
      </c>
      <c r="T247" s="18" t="str">
        <f t="shared" si="21"/>
        <v/>
      </c>
      <c r="U247" s="18" t="str">
        <f t="shared" si="22"/>
        <v/>
      </c>
      <c r="V247" s="18" t="str">
        <f t="shared" si="23"/>
        <v/>
      </c>
      <c r="W247" s="14"/>
    </row>
    <row r="248" spans="1:23" x14ac:dyDescent="0.25">
      <c r="A248" s="6"/>
      <c r="B248" s="33"/>
      <c r="C248" s="19"/>
      <c r="D248" s="39"/>
      <c r="E248" s="39"/>
      <c r="F248" s="41"/>
      <c r="G248" s="36"/>
      <c r="H248" s="10"/>
      <c r="I248" s="11"/>
      <c r="J248" s="13"/>
      <c r="K248" s="45"/>
      <c r="L248" s="37"/>
      <c r="M248" s="17"/>
      <c r="N248" s="11"/>
      <c r="O248" s="16"/>
      <c r="P248" s="16"/>
      <c r="Q248" s="18" t="str">
        <f t="shared" si="18"/>
        <v/>
      </c>
      <c r="R248" s="18" t="str">
        <f t="shared" si="19"/>
        <v/>
      </c>
      <c r="S248" s="18" t="str">
        <f t="shared" si="20"/>
        <v/>
      </c>
      <c r="T248" s="18" t="str">
        <f t="shared" si="21"/>
        <v/>
      </c>
      <c r="U248" s="18" t="str">
        <f t="shared" si="22"/>
        <v/>
      </c>
      <c r="V248" s="18" t="str">
        <f t="shared" si="23"/>
        <v/>
      </c>
      <c r="W248" s="14"/>
    </row>
    <row r="249" spans="1:23" ht="15" customHeight="1" x14ac:dyDescent="0.25">
      <c r="A249" s="6">
        <v>27</v>
      </c>
      <c r="B249" s="33" t="s">
        <v>34</v>
      </c>
      <c r="C249" s="44"/>
      <c r="D249" s="62">
        <f>1+2.13-0.055+1</f>
        <v>4.0749999999999993</v>
      </c>
      <c r="E249" s="62"/>
      <c r="F249" s="41"/>
      <c r="G249" s="36">
        <v>0.25</v>
      </c>
      <c r="H249" s="10">
        <v>20</v>
      </c>
      <c r="I249" s="11">
        <v>1</v>
      </c>
      <c r="J249" s="13">
        <f>ROUND(3.935/G249+1,0)</f>
        <v>17</v>
      </c>
      <c r="K249" s="45">
        <f>D249</f>
        <v>4.0749999999999993</v>
      </c>
      <c r="L249" s="37" t="str">
        <f>IF(O249&lt;12,"0",0.049*H249)</f>
        <v>0</v>
      </c>
      <c r="M249" s="17">
        <v>0</v>
      </c>
      <c r="N249" s="11">
        <f>M249*2*H249/1000</f>
        <v>0</v>
      </c>
      <c r="O249" s="16">
        <f>(D249)-N249</f>
        <v>4.0749999999999993</v>
      </c>
      <c r="P249" s="16">
        <f>(I249*J249*O249)+L249</f>
        <v>69.274999999999991</v>
      </c>
      <c r="Q249" s="18" t="str">
        <f t="shared" si="18"/>
        <v/>
      </c>
      <c r="R249" s="18" t="str">
        <f t="shared" si="19"/>
        <v/>
      </c>
      <c r="S249" s="18" t="str">
        <f t="shared" si="20"/>
        <v/>
      </c>
      <c r="T249" s="18" t="str">
        <f t="shared" si="21"/>
        <v/>
      </c>
      <c r="U249" s="18">
        <f t="shared" si="22"/>
        <v>69.274999999999991</v>
      </c>
      <c r="V249" s="18" t="str">
        <f t="shared" si="23"/>
        <v/>
      </c>
      <c r="W249" s="14"/>
    </row>
    <row r="250" spans="1:23" x14ac:dyDescent="0.25">
      <c r="A250" s="6"/>
      <c r="B250" s="33" t="s">
        <v>183</v>
      </c>
      <c r="C250" s="19"/>
      <c r="D250" s="39"/>
      <c r="E250" s="39"/>
      <c r="F250" s="41"/>
      <c r="G250" s="36"/>
      <c r="H250" s="10"/>
      <c r="I250" s="11"/>
      <c r="J250" s="13"/>
      <c r="K250" s="45"/>
      <c r="L250" s="37"/>
      <c r="M250" s="17"/>
      <c r="N250" s="11"/>
      <c r="O250" s="16"/>
      <c r="P250" s="16"/>
      <c r="Q250" s="18" t="str">
        <f t="shared" si="18"/>
        <v/>
      </c>
      <c r="R250" s="18" t="str">
        <f t="shared" si="19"/>
        <v/>
      </c>
      <c r="S250" s="18" t="str">
        <f t="shared" si="20"/>
        <v/>
      </c>
      <c r="T250" s="18" t="str">
        <f t="shared" si="21"/>
        <v/>
      </c>
      <c r="U250" s="18" t="str">
        <f t="shared" si="22"/>
        <v/>
      </c>
      <c r="V250" s="18" t="str">
        <f t="shared" si="23"/>
        <v/>
      </c>
      <c r="W250" s="14"/>
    </row>
    <row r="251" spans="1:23" x14ac:dyDescent="0.25">
      <c r="A251" s="6"/>
      <c r="B251" s="33"/>
      <c r="C251" s="19"/>
      <c r="D251" s="39"/>
      <c r="E251" s="39"/>
      <c r="F251" s="41"/>
      <c r="G251" s="36"/>
      <c r="H251" s="10"/>
      <c r="I251" s="11"/>
      <c r="J251" s="13"/>
      <c r="K251" s="45"/>
      <c r="L251" s="37"/>
      <c r="M251" s="17"/>
      <c r="N251" s="11"/>
      <c r="O251" s="16"/>
      <c r="P251" s="16"/>
      <c r="Q251" s="18" t="str">
        <f t="shared" si="18"/>
        <v/>
      </c>
      <c r="R251" s="18" t="str">
        <f t="shared" si="19"/>
        <v/>
      </c>
      <c r="S251" s="18" t="str">
        <f t="shared" si="20"/>
        <v/>
      </c>
      <c r="T251" s="18" t="str">
        <f t="shared" si="21"/>
        <v/>
      </c>
      <c r="U251" s="18" t="str">
        <f t="shared" si="22"/>
        <v/>
      </c>
      <c r="V251" s="18" t="str">
        <f t="shared" si="23"/>
        <v/>
      </c>
      <c r="W251" s="14"/>
    </row>
    <row r="252" spans="1:23" ht="15" customHeight="1" x14ac:dyDescent="0.25">
      <c r="A252" s="6">
        <v>28</v>
      </c>
      <c r="B252" s="33" t="s">
        <v>33</v>
      </c>
      <c r="C252" s="44"/>
      <c r="D252" s="62">
        <f>0.8+0.23+0.8</f>
        <v>1.83</v>
      </c>
      <c r="E252" s="62"/>
      <c r="F252" s="41"/>
      <c r="G252" s="36">
        <v>0.25</v>
      </c>
      <c r="H252" s="10">
        <v>16</v>
      </c>
      <c r="I252" s="11">
        <v>1</v>
      </c>
      <c r="J252" s="13">
        <f>ROUND(3.185/G252+1,0)</f>
        <v>14</v>
      </c>
      <c r="K252" s="45">
        <f>D252</f>
        <v>1.83</v>
      </c>
      <c r="L252" s="37" t="str">
        <f>IF(O252&lt;12,"0",0.049*H252)</f>
        <v>0</v>
      </c>
      <c r="M252" s="17">
        <v>0</v>
      </c>
      <c r="N252" s="11">
        <f>M252*2*H252/1000</f>
        <v>0</v>
      </c>
      <c r="O252" s="16">
        <f>(D252)-N252</f>
        <v>1.83</v>
      </c>
      <c r="P252" s="16">
        <f>(I252*J252*O252)+L252</f>
        <v>25.62</v>
      </c>
      <c r="Q252" s="18" t="str">
        <f t="shared" si="18"/>
        <v/>
      </c>
      <c r="R252" s="18" t="str">
        <f t="shared" si="19"/>
        <v/>
      </c>
      <c r="S252" s="18" t="str">
        <f t="shared" si="20"/>
        <v/>
      </c>
      <c r="T252" s="18">
        <f t="shared" si="21"/>
        <v>25.62</v>
      </c>
      <c r="U252" s="18" t="str">
        <f t="shared" si="22"/>
        <v/>
      </c>
      <c r="V252" s="18" t="str">
        <f t="shared" si="23"/>
        <v/>
      </c>
      <c r="W252" s="14"/>
    </row>
    <row r="253" spans="1:23" x14ac:dyDescent="0.25">
      <c r="A253" s="6"/>
      <c r="B253" s="33" t="s">
        <v>184</v>
      </c>
      <c r="C253" s="19"/>
      <c r="D253" s="39"/>
      <c r="E253" s="39"/>
      <c r="F253" s="41"/>
      <c r="G253" s="36"/>
      <c r="H253" s="10"/>
      <c r="I253" s="11"/>
      <c r="J253" s="13"/>
      <c r="K253" s="45"/>
      <c r="L253" s="37"/>
      <c r="M253" s="17"/>
      <c r="N253" s="11"/>
      <c r="O253" s="16"/>
      <c r="P253" s="16"/>
      <c r="Q253" s="18" t="str">
        <f t="shared" si="18"/>
        <v/>
      </c>
      <c r="R253" s="18" t="str">
        <f t="shared" si="19"/>
        <v/>
      </c>
      <c r="S253" s="18" t="str">
        <f t="shared" si="20"/>
        <v/>
      </c>
      <c r="T253" s="18" t="str">
        <f t="shared" si="21"/>
        <v/>
      </c>
      <c r="U253" s="18" t="str">
        <f t="shared" si="22"/>
        <v/>
      </c>
      <c r="V253" s="18" t="str">
        <f t="shared" si="23"/>
        <v/>
      </c>
      <c r="W253" s="14"/>
    </row>
    <row r="254" spans="1:23" x14ac:dyDescent="0.25">
      <c r="A254" s="6"/>
      <c r="B254" s="33"/>
      <c r="C254" s="19"/>
      <c r="D254" s="39"/>
      <c r="E254" s="39"/>
      <c r="F254" s="41"/>
      <c r="G254" s="36"/>
      <c r="H254" s="10"/>
      <c r="I254" s="11"/>
      <c r="J254" s="13"/>
      <c r="K254" s="45"/>
      <c r="L254" s="37"/>
      <c r="M254" s="17"/>
      <c r="N254" s="11"/>
      <c r="O254" s="16"/>
      <c r="P254" s="16"/>
      <c r="Q254" s="18" t="str">
        <f t="shared" si="18"/>
        <v/>
      </c>
      <c r="R254" s="18" t="str">
        <f t="shared" si="19"/>
        <v/>
      </c>
      <c r="S254" s="18" t="str">
        <f t="shared" si="20"/>
        <v/>
      </c>
      <c r="T254" s="18" t="str">
        <f t="shared" si="21"/>
        <v/>
      </c>
      <c r="U254" s="18" t="str">
        <f t="shared" si="22"/>
        <v/>
      </c>
      <c r="V254" s="18" t="str">
        <f t="shared" si="23"/>
        <v/>
      </c>
      <c r="W254" s="14"/>
    </row>
    <row r="255" spans="1:23" ht="15" customHeight="1" x14ac:dyDescent="0.25">
      <c r="A255" s="6">
        <v>29</v>
      </c>
      <c r="B255" s="33" t="s">
        <v>34</v>
      </c>
      <c r="C255" s="44"/>
      <c r="D255" s="62">
        <f>1+1.185+1</f>
        <v>3.1850000000000001</v>
      </c>
      <c r="E255" s="62"/>
      <c r="F255" s="41"/>
      <c r="G255" s="36">
        <v>0.25</v>
      </c>
      <c r="H255" s="10">
        <v>20</v>
      </c>
      <c r="I255" s="11">
        <v>1</v>
      </c>
      <c r="J255" s="13">
        <f>ROUND(1.83/G255+1,0)</f>
        <v>8</v>
      </c>
      <c r="K255" s="45">
        <f>D255</f>
        <v>3.1850000000000001</v>
      </c>
      <c r="L255" s="37" t="str">
        <f>IF(O255&lt;12,"0",0.049*H255)</f>
        <v>0</v>
      </c>
      <c r="M255" s="17">
        <v>0</v>
      </c>
      <c r="N255" s="11">
        <f>M255*2*H255/1000</f>
        <v>0</v>
      </c>
      <c r="O255" s="16">
        <f>(D255)-N255</f>
        <v>3.1850000000000001</v>
      </c>
      <c r="P255" s="16">
        <f>(I255*J255*O255)+L255</f>
        <v>25.48</v>
      </c>
      <c r="Q255" s="18" t="str">
        <f t="shared" si="18"/>
        <v/>
      </c>
      <c r="R255" s="18" t="str">
        <f t="shared" si="19"/>
        <v/>
      </c>
      <c r="S255" s="18" t="str">
        <f t="shared" si="20"/>
        <v/>
      </c>
      <c r="T255" s="18" t="str">
        <f t="shared" si="21"/>
        <v/>
      </c>
      <c r="U255" s="18">
        <f t="shared" si="22"/>
        <v>25.48</v>
      </c>
      <c r="V255" s="18" t="str">
        <f t="shared" si="23"/>
        <v/>
      </c>
      <c r="W255" s="14"/>
    </row>
    <row r="256" spans="1:23" x14ac:dyDescent="0.25">
      <c r="A256" s="6"/>
      <c r="B256" s="33" t="s">
        <v>185</v>
      </c>
      <c r="C256" s="19"/>
      <c r="D256" s="39"/>
      <c r="E256" s="39"/>
      <c r="F256" s="41"/>
      <c r="G256" s="36"/>
      <c r="H256" s="10"/>
      <c r="I256" s="11"/>
      <c r="J256" s="13"/>
      <c r="K256" s="45"/>
      <c r="L256" s="37"/>
      <c r="M256" s="17"/>
      <c r="N256" s="11"/>
      <c r="O256" s="16"/>
      <c r="P256" s="16"/>
      <c r="Q256" s="18" t="str">
        <f t="shared" ref="Q256:Q319" si="24">IF($H256=8,$P256,"")</f>
        <v/>
      </c>
      <c r="R256" s="18" t="str">
        <f t="shared" ref="R256:R319" si="25">IF($H256=10,$P256,"")</f>
        <v/>
      </c>
      <c r="S256" s="18" t="str">
        <f t="shared" ref="S256:S319" si="26">IF($H256=12,$P256,"")</f>
        <v/>
      </c>
      <c r="T256" s="18" t="str">
        <f t="shared" ref="T256:T319" si="27">IF($H256=16,$P256,"")</f>
        <v/>
      </c>
      <c r="U256" s="18" t="str">
        <f t="shared" ref="U256:U319" si="28">IF($H256=20,$P256,"")</f>
        <v/>
      </c>
      <c r="V256" s="18" t="str">
        <f t="shared" ref="V256:V319" si="29">IF($H256=25,$P256,"")</f>
        <v/>
      </c>
      <c r="W256" s="14"/>
    </row>
    <row r="257" spans="1:23" x14ac:dyDescent="0.25">
      <c r="A257" s="6"/>
      <c r="B257" s="33"/>
      <c r="C257" s="19"/>
      <c r="D257" s="39"/>
      <c r="E257" s="39"/>
      <c r="F257" s="41"/>
      <c r="G257" s="36"/>
      <c r="H257" s="10"/>
      <c r="I257" s="11"/>
      <c r="J257" s="13"/>
      <c r="K257" s="45"/>
      <c r="L257" s="37"/>
      <c r="M257" s="17"/>
      <c r="N257" s="11"/>
      <c r="O257" s="16"/>
      <c r="P257" s="16"/>
      <c r="Q257" s="18" t="str">
        <f t="shared" si="24"/>
        <v/>
      </c>
      <c r="R257" s="18" t="str">
        <f t="shared" si="25"/>
        <v/>
      </c>
      <c r="S257" s="18" t="str">
        <f t="shared" si="26"/>
        <v/>
      </c>
      <c r="T257" s="18" t="str">
        <f t="shared" si="27"/>
        <v/>
      </c>
      <c r="U257" s="18" t="str">
        <f t="shared" si="28"/>
        <v/>
      </c>
      <c r="V257" s="18" t="str">
        <f t="shared" si="29"/>
        <v/>
      </c>
      <c r="W257" s="14"/>
    </row>
    <row r="258" spans="1:23" ht="15" customHeight="1" x14ac:dyDescent="0.25">
      <c r="A258" s="6">
        <v>30</v>
      </c>
      <c r="B258" s="33" t="s">
        <v>33</v>
      </c>
      <c r="C258" s="44"/>
      <c r="D258" s="62">
        <f>0.8+0.6+0.8</f>
        <v>2.2000000000000002</v>
      </c>
      <c r="E258" s="62"/>
      <c r="F258" s="41"/>
      <c r="G258" s="36">
        <v>0.25</v>
      </c>
      <c r="H258" s="10">
        <v>20</v>
      </c>
      <c r="I258" s="11">
        <v>1</v>
      </c>
      <c r="J258" s="13">
        <f>ROUND(2.8/G258+1,0)</f>
        <v>12</v>
      </c>
      <c r="K258" s="45">
        <f>D258</f>
        <v>2.2000000000000002</v>
      </c>
      <c r="L258" s="37" t="str">
        <f>IF(O258&lt;12,"0",0.049*H258)</f>
        <v>0</v>
      </c>
      <c r="M258" s="17">
        <v>0</v>
      </c>
      <c r="N258" s="11">
        <f>M258*2*H258/1000</f>
        <v>0</v>
      </c>
      <c r="O258" s="16">
        <f>(D258)-N258</f>
        <v>2.2000000000000002</v>
      </c>
      <c r="P258" s="16">
        <f>(I258*J258*O258)+L258</f>
        <v>26.400000000000002</v>
      </c>
      <c r="Q258" s="18" t="str">
        <f t="shared" si="24"/>
        <v/>
      </c>
      <c r="R258" s="18" t="str">
        <f t="shared" si="25"/>
        <v/>
      </c>
      <c r="S258" s="18" t="str">
        <f t="shared" si="26"/>
        <v/>
      </c>
      <c r="T258" s="18" t="str">
        <f t="shared" si="27"/>
        <v/>
      </c>
      <c r="U258" s="18">
        <f t="shared" si="28"/>
        <v>26.400000000000002</v>
      </c>
      <c r="V258" s="18" t="str">
        <f t="shared" si="29"/>
        <v/>
      </c>
      <c r="W258" s="14"/>
    </row>
    <row r="259" spans="1:23" x14ac:dyDescent="0.25">
      <c r="A259" s="6"/>
      <c r="B259" s="33" t="s">
        <v>186</v>
      </c>
      <c r="C259" s="19"/>
      <c r="D259" s="39"/>
      <c r="E259" s="39"/>
      <c r="F259" s="41"/>
      <c r="G259" s="36"/>
      <c r="H259" s="10"/>
      <c r="I259" s="11"/>
      <c r="J259" s="13"/>
      <c r="K259" s="45"/>
      <c r="L259" s="37"/>
      <c r="M259" s="17"/>
      <c r="N259" s="11"/>
      <c r="O259" s="16"/>
      <c r="P259" s="16"/>
      <c r="Q259" s="18" t="str">
        <f t="shared" si="24"/>
        <v/>
      </c>
      <c r="R259" s="18" t="str">
        <f t="shared" si="25"/>
        <v/>
      </c>
      <c r="S259" s="18" t="str">
        <f t="shared" si="26"/>
        <v/>
      </c>
      <c r="T259" s="18" t="str">
        <f t="shared" si="27"/>
        <v/>
      </c>
      <c r="U259" s="18" t="str">
        <f t="shared" si="28"/>
        <v/>
      </c>
      <c r="V259" s="18" t="str">
        <f t="shared" si="29"/>
        <v/>
      </c>
      <c r="W259" s="14"/>
    </row>
    <row r="260" spans="1:23" x14ac:dyDescent="0.25">
      <c r="A260" s="6"/>
      <c r="B260" s="33"/>
      <c r="C260" s="19"/>
      <c r="D260" s="39"/>
      <c r="E260" s="39"/>
      <c r="F260" s="41"/>
      <c r="G260" s="36"/>
      <c r="H260" s="10"/>
      <c r="I260" s="11"/>
      <c r="J260" s="13"/>
      <c r="K260" s="45"/>
      <c r="L260" s="37"/>
      <c r="M260" s="17"/>
      <c r="N260" s="11"/>
      <c r="O260" s="16"/>
      <c r="P260" s="16"/>
      <c r="Q260" s="18" t="str">
        <f t="shared" si="24"/>
        <v/>
      </c>
      <c r="R260" s="18" t="str">
        <f t="shared" si="25"/>
        <v/>
      </c>
      <c r="S260" s="18" t="str">
        <f t="shared" si="26"/>
        <v/>
      </c>
      <c r="T260" s="18" t="str">
        <f t="shared" si="27"/>
        <v/>
      </c>
      <c r="U260" s="18" t="str">
        <f t="shared" si="28"/>
        <v/>
      </c>
      <c r="V260" s="18" t="str">
        <f t="shared" si="29"/>
        <v/>
      </c>
      <c r="W260" s="14"/>
    </row>
    <row r="261" spans="1:23" ht="15" customHeight="1" x14ac:dyDescent="0.25">
      <c r="A261" s="6">
        <v>31</v>
      </c>
      <c r="B261" s="33" t="s">
        <v>34</v>
      </c>
      <c r="C261" s="44"/>
      <c r="D261" s="62">
        <f>1.25+0.3+1.25</f>
        <v>2.8</v>
      </c>
      <c r="E261" s="62"/>
      <c r="F261" s="41"/>
      <c r="G261" s="36">
        <v>0.25</v>
      </c>
      <c r="H261" s="10">
        <v>25</v>
      </c>
      <c r="I261" s="11">
        <v>1</v>
      </c>
      <c r="J261" s="13">
        <f>ROUND(2.2/G261+1,0)</f>
        <v>10</v>
      </c>
      <c r="K261" s="45">
        <f>D261</f>
        <v>2.8</v>
      </c>
      <c r="L261" s="37" t="str">
        <f>IF(O261&lt;12,"0",0.049*H261)</f>
        <v>0</v>
      </c>
      <c r="M261" s="17">
        <v>0</v>
      </c>
      <c r="N261" s="11">
        <f>M261*2*H261/1000</f>
        <v>0</v>
      </c>
      <c r="O261" s="16">
        <f>(D261)-N261</f>
        <v>2.8</v>
      </c>
      <c r="P261" s="16">
        <f>(I261*J261*O261)+L261</f>
        <v>28</v>
      </c>
      <c r="Q261" s="18" t="str">
        <f t="shared" si="24"/>
        <v/>
      </c>
      <c r="R261" s="18" t="str">
        <f t="shared" si="25"/>
        <v/>
      </c>
      <c r="S261" s="18" t="str">
        <f t="shared" si="26"/>
        <v/>
      </c>
      <c r="T261" s="18" t="str">
        <f t="shared" si="27"/>
        <v/>
      </c>
      <c r="U261" s="18" t="str">
        <f t="shared" si="28"/>
        <v/>
      </c>
      <c r="V261" s="18">
        <f t="shared" si="29"/>
        <v>28</v>
      </c>
      <c r="W261" s="14"/>
    </row>
    <row r="262" spans="1:23" x14ac:dyDescent="0.25">
      <c r="A262" s="6"/>
      <c r="B262" s="33" t="s">
        <v>186</v>
      </c>
      <c r="C262" s="19"/>
      <c r="D262" s="39"/>
      <c r="E262" s="39"/>
      <c r="F262" s="41"/>
      <c r="G262" s="36"/>
      <c r="H262" s="10"/>
      <c r="I262" s="11"/>
      <c r="J262" s="13"/>
      <c r="K262" s="45"/>
      <c r="L262" s="37"/>
      <c r="M262" s="17"/>
      <c r="N262" s="11"/>
      <c r="O262" s="16"/>
      <c r="P262" s="16"/>
      <c r="Q262" s="18" t="str">
        <f t="shared" si="24"/>
        <v/>
      </c>
      <c r="R262" s="18" t="str">
        <f t="shared" si="25"/>
        <v/>
      </c>
      <c r="S262" s="18" t="str">
        <f t="shared" si="26"/>
        <v/>
      </c>
      <c r="T262" s="18" t="str">
        <f t="shared" si="27"/>
        <v/>
      </c>
      <c r="U262" s="18" t="str">
        <f t="shared" si="28"/>
        <v/>
      </c>
      <c r="V262" s="18" t="str">
        <f t="shared" si="29"/>
        <v/>
      </c>
      <c r="W262" s="14"/>
    </row>
    <row r="263" spans="1:23" x14ac:dyDescent="0.25">
      <c r="A263" s="6"/>
      <c r="B263" s="33"/>
      <c r="C263" s="19"/>
      <c r="D263" s="39"/>
      <c r="E263" s="39"/>
      <c r="F263" s="41"/>
      <c r="G263" s="36"/>
      <c r="H263" s="10"/>
      <c r="I263" s="11"/>
      <c r="J263" s="13"/>
      <c r="K263" s="45"/>
      <c r="L263" s="37"/>
      <c r="M263" s="17"/>
      <c r="N263" s="11"/>
      <c r="O263" s="16"/>
      <c r="P263" s="16"/>
      <c r="Q263" s="18" t="str">
        <f t="shared" si="24"/>
        <v/>
      </c>
      <c r="R263" s="18" t="str">
        <f t="shared" si="25"/>
        <v/>
      </c>
      <c r="S263" s="18" t="str">
        <f t="shared" si="26"/>
        <v/>
      </c>
      <c r="T263" s="18" t="str">
        <f t="shared" si="27"/>
        <v/>
      </c>
      <c r="U263" s="18" t="str">
        <f t="shared" si="28"/>
        <v/>
      </c>
      <c r="V263" s="18" t="str">
        <f t="shared" si="29"/>
        <v/>
      </c>
      <c r="W263" s="14"/>
    </row>
    <row r="264" spans="1:23" ht="15" customHeight="1" x14ac:dyDescent="0.25">
      <c r="A264" s="6">
        <v>32</v>
      </c>
      <c r="B264" s="33" t="s">
        <v>33</v>
      </c>
      <c r="C264" s="44"/>
      <c r="D264" s="62">
        <f>1.25+0.3+1.25</f>
        <v>2.8</v>
      </c>
      <c r="E264" s="62"/>
      <c r="F264" s="41"/>
      <c r="G264" s="36">
        <v>0.25</v>
      </c>
      <c r="H264" s="10">
        <v>25</v>
      </c>
      <c r="I264" s="11">
        <v>1</v>
      </c>
      <c r="J264" s="13">
        <f>ROUND(2.6/G264+1,0)</f>
        <v>11</v>
      </c>
      <c r="K264" s="45">
        <f>D264</f>
        <v>2.8</v>
      </c>
      <c r="L264" s="37" t="str">
        <f>IF(O264&lt;12,"0",0.049*H264)</f>
        <v>0</v>
      </c>
      <c r="M264" s="17">
        <v>0</v>
      </c>
      <c r="N264" s="11">
        <f>M264*2*H264/1000</f>
        <v>0</v>
      </c>
      <c r="O264" s="16">
        <f>(D264)-N264</f>
        <v>2.8</v>
      </c>
      <c r="P264" s="16">
        <f>(I264*J264*O264)+L264</f>
        <v>30.799999999999997</v>
      </c>
      <c r="Q264" s="18" t="str">
        <f t="shared" si="24"/>
        <v/>
      </c>
      <c r="R264" s="18" t="str">
        <f t="shared" si="25"/>
        <v/>
      </c>
      <c r="S264" s="18" t="str">
        <f t="shared" si="26"/>
        <v/>
      </c>
      <c r="T264" s="18" t="str">
        <f t="shared" si="27"/>
        <v/>
      </c>
      <c r="U264" s="18" t="str">
        <f t="shared" si="28"/>
        <v/>
      </c>
      <c r="V264" s="18">
        <f t="shared" si="29"/>
        <v>30.799999999999997</v>
      </c>
      <c r="W264" s="14"/>
    </row>
    <row r="265" spans="1:23" x14ac:dyDescent="0.25">
      <c r="A265" s="6"/>
      <c r="B265" s="33" t="s">
        <v>187</v>
      </c>
      <c r="C265" s="19"/>
      <c r="D265" s="39"/>
      <c r="E265" s="39"/>
      <c r="F265" s="41"/>
      <c r="G265" s="36"/>
      <c r="H265" s="10"/>
      <c r="I265" s="11"/>
      <c r="J265" s="13"/>
      <c r="K265" s="45"/>
      <c r="L265" s="37"/>
      <c r="M265" s="17"/>
      <c r="N265" s="11"/>
      <c r="O265" s="16"/>
      <c r="P265" s="16"/>
      <c r="Q265" s="18" t="str">
        <f t="shared" si="24"/>
        <v/>
      </c>
      <c r="R265" s="18" t="str">
        <f t="shared" si="25"/>
        <v/>
      </c>
      <c r="S265" s="18" t="str">
        <f t="shared" si="26"/>
        <v/>
      </c>
      <c r="T265" s="18" t="str">
        <f t="shared" si="27"/>
        <v/>
      </c>
      <c r="U265" s="18" t="str">
        <f t="shared" si="28"/>
        <v/>
      </c>
      <c r="V265" s="18" t="str">
        <f t="shared" si="29"/>
        <v/>
      </c>
      <c r="W265" s="14"/>
    </row>
    <row r="266" spans="1:23" x14ac:dyDescent="0.25">
      <c r="A266" s="6"/>
      <c r="B266" s="33"/>
      <c r="C266" s="19"/>
      <c r="D266" s="39"/>
      <c r="E266" s="39"/>
      <c r="F266" s="41"/>
      <c r="G266" s="36"/>
      <c r="H266" s="10"/>
      <c r="I266" s="11"/>
      <c r="J266" s="13"/>
      <c r="K266" s="45"/>
      <c r="L266" s="37"/>
      <c r="M266" s="17"/>
      <c r="N266" s="11"/>
      <c r="O266" s="16"/>
      <c r="P266" s="16"/>
      <c r="Q266" s="18" t="str">
        <f t="shared" si="24"/>
        <v/>
      </c>
      <c r="R266" s="18" t="str">
        <f t="shared" si="25"/>
        <v/>
      </c>
      <c r="S266" s="18" t="str">
        <f t="shared" si="26"/>
        <v/>
      </c>
      <c r="T266" s="18" t="str">
        <f t="shared" si="27"/>
        <v/>
      </c>
      <c r="U266" s="18" t="str">
        <f t="shared" si="28"/>
        <v/>
      </c>
      <c r="V266" s="18" t="str">
        <f t="shared" si="29"/>
        <v/>
      </c>
      <c r="W266" s="14"/>
    </row>
    <row r="267" spans="1:23" ht="15" customHeight="1" x14ac:dyDescent="0.25">
      <c r="A267" s="6">
        <v>33</v>
      </c>
      <c r="B267" s="33" t="s">
        <v>34</v>
      </c>
      <c r="C267" s="44"/>
      <c r="D267" s="62">
        <f>1+0.6+1</f>
        <v>2.6</v>
      </c>
      <c r="E267" s="62"/>
      <c r="F267" s="41"/>
      <c r="G267" s="36">
        <v>0.25</v>
      </c>
      <c r="H267" s="10">
        <v>20</v>
      </c>
      <c r="I267" s="11">
        <v>1</v>
      </c>
      <c r="J267" s="13">
        <f>ROUND(2.8/G267+1,0)</f>
        <v>12</v>
      </c>
      <c r="K267" s="45">
        <f>D267</f>
        <v>2.6</v>
      </c>
      <c r="L267" s="37" t="str">
        <f>IF(O267&lt;12,"0",0.049*H267)</f>
        <v>0</v>
      </c>
      <c r="M267" s="17">
        <v>0</v>
      </c>
      <c r="N267" s="11">
        <f>M267*2*H267/1000</f>
        <v>0</v>
      </c>
      <c r="O267" s="16">
        <f>(D267)-N267</f>
        <v>2.6</v>
      </c>
      <c r="P267" s="16">
        <f>(I267*J267*O267)+L267</f>
        <v>31.200000000000003</v>
      </c>
      <c r="Q267" s="18" t="str">
        <f t="shared" si="24"/>
        <v/>
      </c>
      <c r="R267" s="18" t="str">
        <f t="shared" si="25"/>
        <v/>
      </c>
      <c r="S267" s="18" t="str">
        <f t="shared" si="26"/>
        <v/>
      </c>
      <c r="T267" s="18" t="str">
        <f t="shared" si="27"/>
        <v/>
      </c>
      <c r="U267" s="18">
        <f t="shared" si="28"/>
        <v>31.200000000000003</v>
      </c>
      <c r="V267" s="18" t="str">
        <f t="shared" si="29"/>
        <v/>
      </c>
      <c r="W267" s="14"/>
    </row>
    <row r="268" spans="1:23" x14ac:dyDescent="0.25">
      <c r="A268" s="6"/>
      <c r="B268" s="33" t="s">
        <v>187</v>
      </c>
      <c r="C268" s="19"/>
      <c r="D268" s="39"/>
      <c r="E268" s="39"/>
      <c r="F268" s="41"/>
      <c r="G268" s="36"/>
      <c r="H268" s="10"/>
      <c r="I268" s="11"/>
      <c r="J268" s="13"/>
      <c r="K268" s="45"/>
      <c r="L268" s="37"/>
      <c r="M268" s="17"/>
      <c r="N268" s="11"/>
      <c r="O268" s="16"/>
      <c r="P268" s="16"/>
      <c r="Q268" s="18" t="str">
        <f t="shared" si="24"/>
        <v/>
      </c>
      <c r="R268" s="18" t="str">
        <f t="shared" si="25"/>
        <v/>
      </c>
      <c r="S268" s="18" t="str">
        <f t="shared" si="26"/>
        <v/>
      </c>
      <c r="T268" s="18" t="str">
        <f t="shared" si="27"/>
        <v/>
      </c>
      <c r="U268" s="18" t="str">
        <f t="shared" si="28"/>
        <v/>
      </c>
      <c r="V268" s="18" t="str">
        <f t="shared" si="29"/>
        <v/>
      </c>
      <c r="W268" s="14"/>
    </row>
    <row r="269" spans="1:23" x14ac:dyDescent="0.25">
      <c r="A269" s="6"/>
      <c r="B269" s="33"/>
      <c r="C269" s="19"/>
      <c r="D269" s="39"/>
      <c r="E269" s="39"/>
      <c r="F269" s="41"/>
      <c r="G269" s="36"/>
      <c r="H269" s="10"/>
      <c r="I269" s="11"/>
      <c r="J269" s="13"/>
      <c r="K269" s="45"/>
      <c r="L269" s="37"/>
      <c r="M269" s="17"/>
      <c r="N269" s="11"/>
      <c r="O269" s="16"/>
      <c r="P269" s="16"/>
      <c r="Q269" s="18" t="str">
        <f t="shared" si="24"/>
        <v/>
      </c>
      <c r="R269" s="18" t="str">
        <f t="shared" si="25"/>
        <v/>
      </c>
      <c r="S269" s="18" t="str">
        <f t="shared" si="26"/>
        <v/>
      </c>
      <c r="T269" s="18" t="str">
        <f t="shared" si="27"/>
        <v/>
      </c>
      <c r="U269" s="18" t="str">
        <f t="shared" si="28"/>
        <v/>
      </c>
      <c r="V269" s="18" t="str">
        <f t="shared" si="29"/>
        <v/>
      </c>
      <c r="W269" s="14"/>
    </row>
    <row r="270" spans="1:23" ht="15" customHeight="1" x14ac:dyDescent="0.25">
      <c r="A270" s="6">
        <v>34</v>
      </c>
      <c r="B270" s="33" t="s">
        <v>33</v>
      </c>
      <c r="C270" s="44"/>
      <c r="D270" s="62">
        <f>1.25+0.3+1.25</f>
        <v>2.8</v>
      </c>
      <c r="E270" s="62"/>
      <c r="F270" s="41"/>
      <c r="G270" s="36">
        <v>0.25</v>
      </c>
      <c r="H270" s="10">
        <v>25</v>
      </c>
      <c r="I270" s="11">
        <v>1</v>
      </c>
      <c r="J270" s="13">
        <f>ROUND(3.1/G270+1,0)</f>
        <v>13</v>
      </c>
      <c r="K270" s="45">
        <f>D270</f>
        <v>2.8</v>
      </c>
      <c r="L270" s="37" t="str">
        <f>IF(O270&lt;12,"0",0.049*H270)</f>
        <v>0</v>
      </c>
      <c r="M270" s="17">
        <v>0</v>
      </c>
      <c r="N270" s="11">
        <f>M270*2*H270/1000</f>
        <v>0</v>
      </c>
      <c r="O270" s="16">
        <f>(D270)-N270</f>
        <v>2.8</v>
      </c>
      <c r="P270" s="16">
        <f>(I270*J270*O270)+L270</f>
        <v>36.4</v>
      </c>
      <c r="Q270" s="18" t="str">
        <f t="shared" si="24"/>
        <v/>
      </c>
      <c r="R270" s="18" t="str">
        <f t="shared" si="25"/>
        <v/>
      </c>
      <c r="S270" s="18" t="str">
        <f t="shared" si="26"/>
        <v/>
      </c>
      <c r="T270" s="18" t="str">
        <f t="shared" si="27"/>
        <v/>
      </c>
      <c r="U270" s="18" t="str">
        <f t="shared" si="28"/>
        <v/>
      </c>
      <c r="V270" s="18">
        <f t="shared" si="29"/>
        <v>36.4</v>
      </c>
      <c r="W270" s="14"/>
    </row>
    <row r="271" spans="1:23" x14ac:dyDescent="0.25">
      <c r="A271" s="6"/>
      <c r="B271" s="33" t="s">
        <v>188</v>
      </c>
      <c r="C271" s="19"/>
      <c r="D271" s="39"/>
      <c r="E271" s="39"/>
      <c r="F271" s="41"/>
      <c r="G271" s="36"/>
      <c r="H271" s="10"/>
      <c r="I271" s="11"/>
      <c r="J271" s="13"/>
      <c r="K271" s="45"/>
      <c r="L271" s="37"/>
      <c r="M271" s="17"/>
      <c r="N271" s="11"/>
      <c r="O271" s="16"/>
      <c r="P271" s="16"/>
      <c r="Q271" s="18" t="str">
        <f t="shared" si="24"/>
        <v/>
      </c>
      <c r="R271" s="18" t="str">
        <f t="shared" si="25"/>
        <v/>
      </c>
      <c r="S271" s="18" t="str">
        <f t="shared" si="26"/>
        <v/>
      </c>
      <c r="T271" s="18" t="str">
        <f t="shared" si="27"/>
        <v/>
      </c>
      <c r="U271" s="18" t="str">
        <f t="shared" si="28"/>
        <v/>
      </c>
      <c r="V271" s="18" t="str">
        <f t="shared" si="29"/>
        <v/>
      </c>
      <c r="W271" s="14"/>
    </row>
    <row r="272" spans="1:23" x14ac:dyDescent="0.25">
      <c r="A272" s="6"/>
      <c r="B272" s="33"/>
      <c r="C272" s="19"/>
      <c r="D272" s="39"/>
      <c r="E272" s="39"/>
      <c r="F272" s="41"/>
      <c r="G272" s="36"/>
      <c r="H272" s="10"/>
      <c r="I272" s="11"/>
      <c r="J272" s="13"/>
      <c r="K272" s="45"/>
      <c r="L272" s="37"/>
      <c r="M272" s="17"/>
      <c r="N272" s="11"/>
      <c r="O272" s="16"/>
      <c r="P272" s="16"/>
      <c r="Q272" s="18" t="str">
        <f t="shared" si="24"/>
        <v/>
      </c>
      <c r="R272" s="18" t="str">
        <f t="shared" si="25"/>
        <v/>
      </c>
      <c r="S272" s="18" t="str">
        <f t="shared" si="26"/>
        <v/>
      </c>
      <c r="T272" s="18" t="str">
        <f t="shared" si="27"/>
        <v/>
      </c>
      <c r="U272" s="18" t="str">
        <f t="shared" si="28"/>
        <v/>
      </c>
      <c r="V272" s="18" t="str">
        <f t="shared" si="29"/>
        <v/>
      </c>
      <c r="W272" s="14"/>
    </row>
    <row r="273" spans="1:23" ht="15" customHeight="1" x14ac:dyDescent="0.25">
      <c r="A273" s="6">
        <v>35</v>
      </c>
      <c r="B273" s="33" t="s">
        <v>34</v>
      </c>
      <c r="C273" s="44"/>
      <c r="D273" s="62">
        <f>1.25+0.6+1.25</f>
        <v>3.1</v>
      </c>
      <c r="E273" s="62"/>
      <c r="F273" s="41"/>
      <c r="G273" s="36">
        <v>0.25</v>
      </c>
      <c r="H273" s="10">
        <v>25</v>
      </c>
      <c r="I273" s="11">
        <v>1</v>
      </c>
      <c r="J273" s="13">
        <f>ROUND(2.8/G273+1,0)</f>
        <v>12</v>
      </c>
      <c r="K273" s="45">
        <f>D273</f>
        <v>3.1</v>
      </c>
      <c r="L273" s="37" t="str">
        <f>IF(O273&lt;12,"0",0.049*H273)</f>
        <v>0</v>
      </c>
      <c r="M273" s="17">
        <v>0</v>
      </c>
      <c r="N273" s="11">
        <f>M273*2*H273/1000</f>
        <v>0</v>
      </c>
      <c r="O273" s="16">
        <f>(D273)-N273</f>
        <v>3.1</v>
      </c>
      <c r="P273" s="16">
        <f>(I273*J273*O273)+L273</f>
        <v>37.200000000000003</v>
      </c>
      <c r="Q273" s="18" t="str">
        <f t="shared" si="24"/>
        <v/>
      </c>
      <c r="R273" s="18" t="str">
        <f t="shared" si="25"/>
        <v/>
      </c>
      <c r="S273" s="18" t="str">
        <f t="shared" si="26"/>
        <v/>
      </c>
      <c r="T273" s="18" t="str">
        <f t="shared" si="27"/>
        <v/>
      </c>
      <c r="U273" s="18" t="str">
        <f t="shared" si="28"/>
        <v/>
      </c>
      <c r="V273" s="18">
        <f t="shared" si="29"/>
        <v>37.200000000000003</v>
      </c>
      <c r="W273" s="14"/>
    </row>
    <row r="274" spans="1:23" x14ac:dyDescent="0.25">
      <c r="A274" s="6"/>
      <c r="B274" s="33" t="s">
        <v>188</v>
      </c>
      <c r="C274" s="19"/>
      <c r="D274" s="39"/>
      <c r="E274" s="39"/>
      <c r="F274" s="41"/>
      <c r="G274" s="36"/>
      <c r="H274" s="10"/>
      <c r="I274" s="11"/>
      <c r="J274" s="13"/>
      <c r="K274" s="45"/>
      <c r="L274" s="37"/>
      <c r="M274" s="17"/>
      <c r="N274" s="11"/>
      <c r="O274" s="16"/>
      <c r="P274" s="16"/>
      <c r="Q274" s="18" t="str">
        <f t="shared" si="24"/>
        <v/>
      </c>
      <c r="R274" s="18" t="str">
        <f t="shared" si="25"/>
        <v/>
      </c>
      <c r="S274" s="18" t="str">
        <f t="shared" si="26"/>
        <v/>
      </c>
      <c r="T274" s="18" t="str">
        <f t="shared" si="27"/>
        <v/>
      </c>
      <c r="U274" s="18" t="str">
        <f t="shared" si="28"/>
        <v/>
      </c>
      <c r="V274" s="18" t="str">
        <f t="shared" si="29"/>
        <v/>
      </c>
      <c r="W274" s="14"/>
    </row>
    <row r="275" spans="1:23" x14ac:dyDescent="0.25">
      <c r="A275" s="6"/>
      <c r="B275" s="33"/>
      <c r="C275" s="19"/>
      <c r="D275" s="49"/>
      <c r="E275" s="49"/>
      <c r="F275" s="41"/>
      <c r="G275" s="36"/>
      <c r="H275" s="10"/>
      <c r="I275" s="11"/>
      <c r="J275" s="13"/>
      <c r="K275" s="45"/>
      <c r="L275" s="37"/>
      <c r="M275" s="17"/>
      <c r="N275" s="11"/>
      <c r="O275" s="16"/>
      <c r="P275" s="16"/>
      <c r="Q275" s="18" t="str">
        <f t="shared" si="24"/>
        <v/>
      </c>
      <c r="R275" s="18" t="str">
        <f t="shared" si="25"/>
        <v/>
      </c>
      <c r="S275" s="18" t="str">
        <f t="shared" si="26"/>
        <v/>
      </c>
      <c r="T275" s="18" t="str">
        <f t="shared" si="27"/>
        <v/>
      </c>
      <c r="U275" s="18" t="str">
        <f t="shared" si="28"/>
        <v/>
      </c>
      <c r="V275" s="18" t="str">
        <f t="shared" si="29"/>
        <v/>
      </c>
      <c r="W275" s="14"/>
    </row>
    <row r="276" spans="1:23" ht="15" customHeight="1" x14ac:dyDescent="0.25">
      <c r="A276" s="6">
        <v>36</v>
      </c>
      <c r="B276" s="33" t="s">
        <v>33</v>
      </c>
      <c r="C276" s="44"/>
      <c r="D276" s="62">
        <f>0.75-0.05+0.115+0.47+0.515+1.17+1.935+0.055+1</f>
        <v>5.9599999999999991</v>
      </c>
      <c r="E276" s="62"/>
      <c r="F276" s="41"/>
      <c r="G276" s="36">
        <v>0.25</v>
      </c>
      <c r="H276" s="10">
        <v>25</v>
      </c>
      <c r="I276" s="11">
        <v>1</v>
      </c>
      <c r="J276" s="13">
        <f>ROUND(2.6/G276+1,0)</f>
        <v>11</v>
      </c>
      <c r="K276" s="45">
        <f>D276</f>
        <v>5.9599999999999991</v>
      </c>
      <c r="L276" s="37" t="str">
        <f>IF(O276&lt;12,"0",0.049*H276)</f>
        <v>0</v>
      </c>
      <c r="M276" s="17">
        <v>0</v>
      </c>
      <c r="N276" s="11">
        <f>M276*2*H276/1000</f>
        <v>0</v>
      </c>
      <c r="O276" s="16">
        <f>(D276)-N276</f>
        <v>5.9599999999999991</v>
      </c>
      <c r="P276" s="16">
        <f>(I276*J276*O276)+L276</f>
        <v>65.559999999999988</v>
      </c>
      <c r="Q276" s="18" t="str">
        <f t="shared" si="24"/>
        <v/>
      </c>
      <c r="R276" s="18" t="str">
        <f t="shared" si="25"/>
        <v/>
      </c>
      <c r="S276" s="18" t="str">
        <f t="shared" si="26"/>
        <v/>
      </c>
      <c r="T276" s="18" t="str">
        <f t="shared" si="27"/>
        <v/>
      </c>
      <c r="U276" s="18" t="str">
        <f t="shared" si="28"/>
        <v/>
      </c>
      <c r="V276" s="18">
        <f t="shared" si="29"/>
        <v>65.559999999999988</v>
      </c>
      <c r="W276" s="14"/>
    </row>
    <row r="277" spans="1:23" x14ac:dyDescent="0.25">
      <c r="A277" s="6"/>
      <c r="B277" s="33" t="s">
        <v>189</v>
      </c>
      <c r="C277" s="19"/>
      <c r="D277" s="49"/>
      <c r="E277" s="49"/>
      <c r="F277" s="41"/>
      <c r="G277" s="36"/>
      <c r="H277" s="10"/>
      <c r="I277" s="11"/>
      <c r="J277" s="13"/>
      <c r="K277" s="45"/>
      <c r="L277" s="37"/>
      <c r="M277" s="17"/>
      <c r="N277" s="11"/>
      <c r="O277" s="16"/>
      <c r="P277" s="16"/>
      <c r="Q277" s="18" t="str">
        <f t="shared" si="24"/>
        <v/>
      </c>
      <c r="R277" s="18" t="str">
        <f t="shared" si="25"/>
        <v/>
      </c>
      <c r="S277" s="18" t="str">
        <f t="shared" si="26"/>
        <v/>
      </c>
      <c r="T277" s="18" t="str">
        <f t="shared" si="27"/>
        <v/>
      </c>
      <c r="U277" s="18" t="str">
        <f t="shared" si="28"/>
        <v/>
      </c>
      <c r="V277" s="18" t="str">
        <f t="shared" si="29"/>
        <v/>
      </c>
      <c r="W277" s="14"/>
    </row>
    <row r="278" spans="1:23" x14ac:dyDescent="0.25">
      <c r="A278" s="6"/>
      <c r="B278" s="33"/>
      <c r="C278" s="19"/>
      <c r="D278" s="49"/>
      <c r="E278" s="49"/>
      <c r="F278" s="41"/>
      <c r="G278" s="36"/>
      <c r="H278" s="10"/>
      <c r="I278" s="11"/>
      <c r="J278" s="13"/>
      <c r="K278" s="45"/>
      <c r="L278" s="37"/>
      <c r="M278" s="17"/>
      <c r="N278" s="11"/>
      <c r="O278" s="16"/>
      <c r="P278" s="16"/>
      <c r="Q278" s="18" t="str">
        <f t="shared" si="24"/>
        <v/>
      </c>
      <c r="R278" s="18" t="str">
        <f t="shared" si="25"/>
        <v/>
      </c>
      <c r="S278" s="18" t="str">
        <f t="shared" si="26"/>
        <v/>
      </c>
      <c r="T278" s="18" t="str">
        <f t="shared" si="27"/>
        <v/>
      </c>
      <c r="U278" s="18" t="str">
        <f t="shared" si="28"/>
        <v/>
      </c>
      <c r="V278" s="18" t="str">
        <f t="shared" si="29"/>
        <v/>
      </c>
      <c r="W278" s="14"/>
    </row>
    <row r="279" spans="1:23" ht="15" customHeight="1" x14ac:dyDescent="0.25">
      <c r="A279" s="6">
        <v>37</v>
      </c>
      <c r="B279" s="33" t="s">
        <v>33</v>
      </c>
      <c r="C279" s="44"/>
      <c r="D279" s="62">
        <f>0.75-0.05+0.115+0.47+0.515+1.17+1.935+0.055+1</f>
        <v>5.9599999999999991</v>
      </c>
      <c r="E279" s="62"/>
      <c r="F279" s="41"/>
      <c r="G279" s="36">
        <v>0.25</v>
      </c>
      <c r="H279" s="10">
        <v>25</v>
      </c>
      <c r="I279" s="11">
        <v>1</v>
      </c>
      <c r="J279" s="13">
        <f>ROUND(2.6/G279+1,0)</f>
        <v>11</v>
      </c>
      <c r="K279" s="45">
        <f>D279</f>
        <v>5.9599999999999991</v>
      </c>
      <c r="L279" s="37" t="str">
        <f>IF(O279&lt;12,"0",0.049*H279)</f>
        <v>0</v>
      </c>
      <c r="M279" s="17">
        <v>0</v>
      </c>
      <c r="N279" s="11">
        <f>M279*2*H279/1000</f>
        <v>0</v>
      </c>
      <c r="O279" s="16">
        <f>(D279)-N279</f>
        <v>5.9599999999999991</v>
      </c>
      <c r="P279" s="16">
        <f>(I279*J279*O279)+L279</f>
        <v>65.559999999999988</v>
      </c>
      <c r="Q279" s="18" t="str">
        <f t="shared" si="24"/>
        <v/>
      </c>
      <c r="R279" s="18" t="str">
        <f t="shared" si="25"/>
        <v/>
      </c>
      <c r="S279" s="18" t="str">
        <f t="shared" si="26"/>
        <v/>
      </c>
      <c r="T279" s="18" t="str">
        <f t="shared" si="27"/>
        <v/>
      </c>
      <c r="U279" s="18" t="str">
        <f t="shared" si="28"/>
        <v/>
      </c>
      <c r="V279" s="18">
        <f t="shared" si="29"/>
        <v>65.559999999999988</v>
      </c>
      <c r="W279" s="14"/>
    </row>
    <row r="280" spans="1:23" x14ac:dyDescent="0.25">
      <c r="A280" s="6"/>
      <c r="B280" s="33" t="s">
        <v>189</v>
      </c>
      <c r="C280" s="19"/>
      <c r="D280" s="49"/>
      <c r="E280" s="49"/>
      <c r="F280" s="41"/>
      <c r="G280" s="36"/>
      <c r="H280" s="10"/>
      <c r="I280" s="11"/>
      <c r="J280" s="13"/>
      <c r="K280" s="45"/>
      <c r="L280" s="37"/>
      <c r="M280" s="17"/>
      <c r="N280" s="11"/>
      <c r="O280" s="16"/>
      <c r="P280" s="16"/>
      <c r="Q280" s="18" t="str">
        <f t="shared" si="24"/>
        <v/>
      </c>
      <c r="R280" s="18" t="str">
        <f t="shared" si="25"/>
        <v/>
      </c>
      <c r="S280" s="18" t="str">
        <f t="shared" si="26"/>
        <v/>
      </c>
      <c r="T280" s="18" t="str">
        <f t="shared" si="27"/>
        <v/>
      </c>
      <c r="U280" s="18" t="str">
        <f t="shared" si="28"/>
        <v/>
      </c>
      <c r="V280" s="18" t="str">
        <f t="shared" si="29"/>
        <v/>
      </c>
      <c r="W280" s="14"/>
    </row>
    <row r="281" spans="1:23" x14ac:dyDescent="0.25">
      <c r="A281" s="6"/>
      <c r="B281" s="33"/>
      <c r="C281" s="19"/>
      <c r="D281" s="49"/>
      <c r="E281" s="49"/>
      <c r="F281" s="41"/>
      <c r="G281" s="36"/>
      <c r="H281" s="10"/>
      <c r="I281" s="11"/>
      <c r="J281" s="13"/>
      <c r="K281" s="45"/>
      <c r="L281" s="37"/>
      <c r="M281" s="17"/>
      <c r="N281" s="11"/>
      <c r="O281" s="16"/>
      <c r="P281" s="16"/>
      <c r="Q281" s="18" t="str">
        <f t="shared" si="24"/>
        <v/>
      </c>
      <c r="R281" s="18" t="str">
        <f t="shared" si="25"/>
        <v/>
      </c>
      <c r="S281" s="18" t="str">
        <f t="shared" si="26"/>
        <v/>
      </c>
      <c r="T281" s="18" t="str">
        <f t="shared" si="27"/>
        <v/>
      </c>
      <c r="U281" s="18" t="str">
        <f t="shared" si="28"/>
        <v/>
      </c>
      <c r="V281" s="18" t="str">
        <f t="shared" si="29"/>
        <v/>
      </c>
      <c r="W281" s="14"/>
    </row>
    <row r="282" spans="1:23" ht="15" customHeight="1" x14ac:dyDescent="0.25">
      <c r="A282" s="6">
        <v>38</v>
      </c>
      <c r="B282" s="33" t="s">
        <v>34</v>
      </c>
      <c r="C282" s="44"/>
      <c r="D282" s="62">
        <f>0.75-0.05+0.65+1.25</f>
        <v>2.6</v>
      </c>
      <c r="E282" s="62"/>
      <c r="F282" s="41"/>
      <c r="G282" s="36">
        <v>0.25</v>
      </c>
      <c r="H282" s="10">
        <v>20</v>
      </c>
      <c r="I282" s="11">
        <v>1</v>
      </c>
      <c r="J282" s="13">
        <f>ROUND(5.96/G282+1,0)</f>
        <v>25</v>
      </c>
      <c r="K282" s="45">
        <f>D282</f>
        <v>2.6</v>
      </c>
      <c r="L282" s="37" t="str">
        <f>IF(O282&lt;12,"0",0.049*H282)</f>
        <v>0</v>
      </c>
      <c r="M282" s="17">
        <v>0</v>
      </c>
      <c r="N282" s="11">
        <f>M282*2*H282/1000</f>
        <v>0</v>
      </c>
      <c r="O282" s="16">
        <f>(D282)-N282</f>
        <v>2.6</v>
      </c>
      <c r="P282" s="16">
        <f>(I282*J282*O282)+L282</f>
        <v>65</v>
      </c>
      <c r="Q282" s="18" t="str">
        <f t="shared" si="24"/>
        <v/>
      </c>
      <c r="R282" s="18" t="str">
        <f t="shared" si="25"/>
        <v/>
      </c>
      <c r="S282" s="18" t="str">
        <f t="shared" si="26"/>
        <v/>
      </c>
      <c r="T282" s="18" t="str">
        <f t="shared" si="27"/>
        <v/>
      </c>
      <c r="U282" s="18">
        <f t="shared" si="28"/>
        <v>65</v>
      </c>
      <c r="V282" s="18" t="str">
        <f t="shared" si="29"/>
        <v/>
      </c>
      <c r="W282" s="14"/>
    </row>
    <row r="283" spans="1:23" x14ac:dyDescent="0.25">
      <c r="A283" s="6"/>
      <c r="B283" s="33" t="s">
        <v>189</v>
      </c>
      <c r="C283" s="19"/>
      <c r="D283" s="49"/>
      <c r="E283" s="49"/>
      <c r="F283" s="41"/>
      <c r="G283" s="36"/>
      <c r="H283" s="10"/>
      <c r="I283" s="11"/>
      <c r="J283" s="13"/>
      <c r="K283" s="45"/>
      <c r="L283" s="37"/>
      <c r="M283" s="17"/>
      <c r="N283" s="11"/>
      <c r="O283" s="16"/>
      <c r="P283" s="16"/>
      <c r="Q283" s="18" t="str">
        <f t="shared" si="24"/>
        <v/>
      </c>
      <c r="R283" s="18" t="str">
        <f t="shared" si="25"/>
        <v/>
      </c>
      <c r="S283" s="18" t="str">
        <f t="shared" si="26"/>
        <v/>
      </c>
      <c r="T283" s="18" t="str">
        <f t="shared" si="27"/>
        <v/>
      </c>
      <c r="U283" s="18" t="str">
        <f t="shared" si="28"/>
        <v/>
      </c>
      <c r="V283" s="18" t="str">
        <f t="shared" si="29"/>
        <v/>
      </c>
      <c r="W283" s="14"/>
    </row>
    <row r="284" spans="1:23" x14ac:dyDescent="0.25">
      <c r="A284" s="6"/>
      <c r="B284" s="33"/>
      <c r="C284" s="19"/>
      <c r="D284" s="49"/>
      <c r="E284" s="49"/>
      <c r="F284" s="41"/>
      <c r="G284" s="36"/>
      <c r="H284" s="10"/>
      <c r="I284" s="11"/>
      <c r="J284" s="13"/>
      <c r="K284" s="45"/>
      <c r="L284" s="37"/>
      <c r="M284" s="17"/>
      <c r="N284" s="11"/>
      <c r="O284" s="16"/>
      <c r="P284" s="16"/>
      <c r="Q284" s="18" t="str">
        <f t="shared" si="24"/>
        <v/>
      </c>
      <c r="R284" s="18" t="str">
        <f t="shared" si="25"/>
        <v/>
      </c>
      <c r="S284" s="18" t="str">
        <f t="shared" si="26"/>
        <v/>
      </c>
      <c r="T284" s="18" t="str">
        <f t="shared" si="27"/>
        <v/>
      </c>
      <c r="U284" s="18" t="str">
        <f t="shared" si="28"/>
        <v/>
      </c>
      <c r="V284" s="18" t="str">
        <f t="shared" si="29"/>
        <v/>
      </c>
      <c r="W284" s="14"/>
    </row>
    <row r="285" spans="1:23" ht="15" customHeight="1" x14ac:dyDescent="0.25">
      <c r="A285" s="6">
        <v>39</v>
      </c>
      <c r="B285" s="33" t="s">
        <v>33</v>
      </c>
      <c r="C285" s="44"/>
      <c r="D285" s="62">
        <f>0.75-0.05+0.6+1</f>
        <v>2.2999999999999998</v>
      </c>
      <c r="E285" s="62"/>
      <c r="F285" s="41"/>
      <c r="G285" s="36">
        <v>0.25</v>
      </c>
      <c r="H285" s="10">
        <v>20</v>
      </c>
      <c r="I285" s="11">
        <v>1</v>
      </c>
      <c r="J285" s="13">
        <f>ROUND(3.1/G285+1,0)</f>
        <v>13</v>
      </c>
      <c r="K285" s="45">
        <f>D285</f>
        <v>2.2999999999999998</v>
      </c>
      <c r="L285" s="37" t="str">
        <f>IF(O285&lt;12,"0",0.049*H285)</f>
        <v>0</v>
      </c>
      <c r="M285" s="17">
        <v>0</v>
      </c>
      <c r="N285" s="11">
        <f>M285*2*H285/1000</f>
        <v>0</v>
      </c>
      <c r="O285" s="16">
        <f>(D285)-N285</f>
        <v>2.2999999999999998</v>
      </c>
      <c r="P285" s="16">
        <f>(I285*J285*O285)+L285</f>
        <v>29.9</v>
      </c>
      <c r="Q285" s="18" t="str">
        <f t="shared" si="24"/>
        <v/>
      </c>
      <c r="R285" s="18" t="str">
        <f t="shared" si="25"/>
        <v/>
      </c>
      <c r="S285" s="18" t="str">
        <f t="shared" si="26"/>
        <v/>
      </c>
      <c r="T285" s="18" t="str">
        <f t="shared" si="27"/>
        <v/>
      </c>
      <c r="U285" s="18">
        <f t="shared" si="28"/>
        <v>29.9</v>
      </c>
      <c r="V285" s="18" t="str">
        <f t="shared" si="29"/>
        <v/>
      </c>
      <c r="W285" s="14"/>
    </row>
    <row r="286" spans="1:23" x14ac:dyDescent="0.25">
      <c r="A286" s="6"/>
      <c r="B286" s="33" t="s">
        <v>190</v>
      </c>
      <c r="C286" s="19"/>
      <c r="D286" s="49"/>
      <c r="E286" s="49"/>
      <c r="F286" s="41"/>
      <c r="G286" s="36"/>
      <c r="H286" s="10"/>
      <c r="I286" s="11"/>
      <c r="J286" s="13"/>
      <c r="K286" s="45"/>
      <c r="L286" s="37"/>
      <c r="M286" s="17"/>
      <c r="N286" s="11"/>
      <c r="O286" s="16"/>
      <c r="P286" s="16"/>
      <c r="Q286" s="18" t="str">
        <f t="shared" si="24"/>
        <v/>
      </c>
      <c r="R286" s="18" t="str">
        <f t="shared" si="25"/>
        <v/>
      </c>
      <c r="S286" s="18" t="str">
        <f t="shared" si="26"/>
        <v/>
      </c>
      <c r="T286" s="18" t="str">
        <f t="shared" si="27"/>
        <v/>
      </c>
      <c r="U286" s="18" t="str">
        <f t="shared" si="28"/>
        <v/>
      </c>
      <c r="V286" s="18" t="str">
        <f t="shared" si="29"/>
        <v/>
      </c>
      <c r="W286" s="14"/>
    </row>
    <row r="287" spans="1:23" x14ac:dyDescent="0.25">
      <c r="A287" s="6"/>
      <c r="B287" s="33"/>
      <c r="C287" s="19"/>
      <c r="D287" s="49"/>
      <c r="E287" s="49"/>
      <c r="F287" s="41"/>
      <c r="G287" s="36"/>
      <c r="H287" s="10"/>
      <c r="I287" s="11"/>
      <c r="J287" s="13"/>
      <c r="K287" s="45"/>
      <c r="L287" s="37"/>
      <c r="M287" s="17"/>
      <c r="N287" s="11"/>
      <c r="O287" s="16"/>
      <c r="P287" s="16"/>
      <c r="Q287" s="18" t="str">
        <f t="shared" si="24"/>
        <v/>
      </c>
      <c r="R287" s="18" t="str">
        <f t="shared" si="25"/>
        <v/>
      </c>
      <c r="S287" s="18" t="str">
        <f t="shared" si="26"/>
        <v/>
      </c>
      <c r="T287" s="18" t="str">
        <f t="shared" si="27"/>
        <v/>
      </c>
      <c r="U287" s="18" t="str">
        <f t="shared" si="28"/>
        <v/>
      </c>
      <c r="V287" s="18" t="str">
        <f t="shared" si="29"/>
        <v/>
      </c>
      <c r="W287" s="14"/>
    </row>
    <row r="288" spans="1:23" ht="15" customHeight="1" x14ac:dyDescent="0.25">
      <c r="A288" s="6">
        <v>40</v>
      </c>
      <c r="B288" s="33" t="s">
        <v>34</v>
      </c>
      <c r="C288" s="44"/>
      <c r="D288" s="62">
        <f>1.25+0.6+1.25</f>
        <v>3.1</v>
      </c>
      <c r="E288" s="62"/>
      <c r="F288" s="41"/>
      <c r="G288" s="36">
        <v>0.25</v>
      </c>
      <c r="H288" s="10">
        <v>25</v>
      </c>
      <c r="I288" s="11">
        <v>1</v>
      </c>
      <c r="J288" s="13">
        <f>ROUND(2.3/G288+1,0)</f>
        <v>10</v>
      </c>
      <c r="K288" s="45">
        <f>D288</f>
        <v>3.1</v>
      </c>
      <c r="L288" s="37" t="str">
        <f>IF(O288&lt;12,"0",0.049*H288)</f>
        <v>0</v>
      </c>
      <c r="M288" s="17">
        <v>0</v>
      </c>
      <c r="N288" s="11">
        <f>M288*2*H288/1000</f>
        <v>0</v>
      </c>
      <c r="O288" s="16">
        <f>(D288)-N288</f>
        <v>3.1</v>
      </c>
      <c r="P288" s="16">
        <f>(I288*J288*O288)+L288</f>
        <v>31</v>
      </c>
      <c r="Q288" s="18" t="str">
        <f t="shared" si="24"/>
        <v/>
      </c>
      <c r="R288" s="18" t="str">
        <f t="shared" si="25"/>
        <v/>
      </c>
      <c r="S288" s="18" t="str">
        <f t="shared" si="26"/>
        <v/>
      </c>
      <c r="T288" s="18" t="str">
        <f t="shared" si="27"/>
        <v/>
      </c>
      <c r="U288" s="18" t="str">
        <f t="shared" si="28"/>
        <v/>
      </c>
      <c r="V288" s="18">
        <f t="shared" si="29"/>
        <v>31</v>
      </c>
      <c r="W288" s="14"/>
    </row>
    <row r="289" spans="1:23" x14ac:dyDescent="0.25">
      <c r="A289" s="6"/>
      <c r="B289" s="33" t="s">
        <v>190</v>
      </c>
      <c r="C289" s="19"/>
      <c r="D289" s="49"/>
      <c r="E289" s="49"/>
      <c r="F289" s="41"/>
      <c r="G289" s="36"/>
      <c r="H289" s="10"/>
      <c r="I289" s="11"/>
      <c r="J289" s="13"/>
      <c r="K289" s="45"/>
      <c r="L289" s="37"/>
      <c r="M289" s="17"/>
      <c r="N289" s="11"/>
      <c r="O289" s="16"/>
      <c r="P289" s="16"/>
      <c r="Q289" s="18" t="str">
        <f t="shared" si="24"/>
        <v/>
      </c>
      <c r="R289" s="18" t="str">
        <f t="shared" si="25"/>
        <v/>
      </c>
      <c r="S289" s="18" t="str">
        <f t="shared" si="26"/>
        <v/>
      </c>
      <c r="T289" s="18" t="str">
        <f t="shared" si="27"/>
        <v/>
      </c>
      <c r="U289" s="18" t="str">
        <f t="shared" si="28"/>
        <v/>
      </c>
      <c r="V289" s="18" t="str">
        <f t="shared" si="29"/>
        <v/>
      </c>
      <c r="W289" s="14"/>
    </row>
    <row r="290" spans="1:23" x14ac:dyDescent="0.25">
      <c r="A290" s="6"/>
      <c r="B290" s="33"/>
      <c r="C290" s="19"/>
      <c r="D290" s="49"/>
      <c r="E290" s="49"/>
      <c r="F290" s="41"/>
      <c r="G290" s="36"/>
      <c r="H290" s="10"/>
      <c r="I290" s="11"/>
      <c r="J290" s="13"/>
      <c r="K290" s="45"/>
      <c r="L290" s="37"/>
      <c r="M290" s="17"/>
      <c r="N290" s="11"/>
      <c r="O290" s="16"/>
      <c r="P290" s="16"/>
      <c r="Q290" s="18" t="str">
        <f t="shared" si="24"/>
        <v/>
      </c>
      <c r="R290" s="18" t="str">
        <f t="shared" si="25"/>
        <v/>
      </c>
      <c r="S290" s="18" t="str">
        <f t="shared" si="26"/>
        <v/>
      </c>
      <c r="T290" s="18" t="str">
        <f t="shared" si="27"/>
        <v/>
      </c>
      <c r="U290" s="18" t="str">
        <f t="shared" si="28"/>
        <v/>
      </c>
      <c r="V290" s="18" t="str">
        <f t="shared" si="29"/>
        <v/>
      </c>
      <c r="W290" s="14"/>
    </row>
    <row r="291" spans="1:23" ht="15" customHeight="1" x14ac:dyDescent="0.25">
      <c r="A291" s="6">
        <v>41</v>
      </c>
      <c r="B291" s="33" t="s">
        <v>33</v>
      </c>
      <c r="C291" s="44"/>
      <c r="D291" s="62">
        <f>0.12+0.715+1</f>
        <v>1.835</v>
      </c>
      <c r="E291" s="62"/>
      <c r="F291" s="41"/>
      <c r="G291" s="36">
        <v>0.25</v>
      </c>
      <c r="H291" s="10">
        <v>20</v>
      </c>
      <c r="I291" s="11">
        <v>1</v>
      </c>
      <c r="J291" s="13">
        <f>ROUND(2.3/G291+1,0)</f>
        <v>10</v>
      </c>
      <c r="K291" s="45">
        <f>D291</f>
        <v>1.835</v>
      </c>
      <c r="L291" s="37" t="str">
        <f>IF(O291&lt;12,"0",0.049*H291)</f>
        <v>0</v>
      </c>
      <c r="M291" s="17">
        <v>0</v>
      </c>
      <c r="N291" s="11">
        <f>M291*2*H291/1000</f>
        <v>0</v>
      </c>
      <c r="O291" s="16">
        <f>(D291)-N291</f>
        <v>1.835</v>
      </c>
      <c r="P291" s="16">
        <f>(I291*J291*O291)+L291</f>
        <v>18.350000000000001</v>
      </c>
      <c r="Q291" s="18" t="str">
        <f t="shared" si="24"/>
        <v/>
      </c>
      <c r="R291" s="18" t="str">
        <f t="shared" si="25"/>
        <v/>
      </c>
      <c r="S291" s="18" t="str">
        <f t="shared" si="26"/>
        <v/>
      </c>
      <c r="T291" s="18" t="str">
        <f t="shared" si="27"/>
        <v/>
      </c>
      <c r="U291" s="18">
        <f t="shared" si="28"/>
        <v>18.350000000000001</v>
      </c>
      <c r="V291" s="18" t="str">
        <f t="shared" si="29"/>
        <v/>
      </c>
      <c r="W291" s="14"/>
    </row>
    <row r="292" spans="1:23" x14ac:dyDescent="0.25">
      <c r="A292" s="6"/>
      <c r="B292" s="33" t="s">
        <v>191</v>
      </c>
      <c r="C292" s="19"/>
      <c r="D292" s="49"/>
      <c r="E292" s="49"/>
      <c r="F292" s="41"/>
      <c r="G292" s="36"/>
      <c r="H292" s="10"/>
      <c r="I292" s="11"/>
      <c r="J292" s="13"/>
      <c r="K292" s="45"/>
      <c r="L292" s="37"/>
      <c r="M292" s="17"/>
      <c r="N292" s="11"/>
      <c r="O292" s="16"/>
      <c r="P292" s="16"/>
      <c r="Q292" s="18" t="str">
        <f t="shared" si="24"/>
        <v/>
      </c>
      <c r="R292" s="18" t="str">
        <f t="shared" si="25"/>
        <v/>
      </c>
      <c r="S292" s="18" t="str">
        <f t="shared" si="26"/>
        <v/>
      </c>
      <c r="T292" s="18" t="str">
        <f t="shared" si="27"/>
        <v/>
      </c>
      <c r="U292" s="18" t="str">
        <f t="shared" si="28"/>
        <v/>
      </c>
      <c r="V292" s="18" t="str">
        <f t="shared" si="29"/>
        <v/>
      </c>
      <c r="W292" s="14"/>
    </row>
    <row r="293" spans="1:23" x14ac:dyDescent="0.25">
      <c r="A293" s="6"/>
      <c r="B293" s="33"/>
      <c r="C293" s="19"/>
      <c r="D293" s="49"/>
      <c r="E293" s="49"/>
      <c r="F293" s="41"/>
      <c r="G293" s="36"/>
      <c r="H293" s="10"/>
      <c r="I293" s="11"/>
      <c r="J293" s="13"/>
      <c r="K293" s="45"/>
      <c r="L293" s="37"/>
      <c r="M293" s="17"/>
      <c r="N293" s="11"/>
      <c r="O293" s="16"/>
      <c r="P293" s="16"/>
      <c r="Q293" s="18" t="str">
        <f t="shared" si="24"/>
        <v/>
      </c>
      <c r="R293" s="18" t="str">
        <f t="shared" si="25"/>
        <v/>
      </c>
      <c r="S293" s="18" t="str">
        <f t="shared" si="26"/>
        <v/>
      </c>
      <c r="T293" s="18" t="str">
        <f t="shared" si="27"/>
        <v/>
      </c>
      <c r="U293" s="18" t="str">
        <f t="shared" si="28"/>
        <v/>
      </c>
      <c r="V293" s="18" t="str">
        <f t="shared" si="29"/>
        <v/>
      </c>
      <c r="W293" s="14"/>
    </row>
    <row r="294" spans="1:23" ht="15" customHeight="1" x14ac:dyDescent="0.25">
      <c r="A294" s="6">
        <v>42</v>
      </c>
      <c r="B294" s="33" t="s">
        <v>34</v>
      </c>
      <c r="C294" s="44"/>
      <c r="D294" s="62">
        <f>1+0.3+1</f>
        <v>2.2999999999999998</v>
      </c>
      <c r="E294" s="62"/>
      <c r="F294" s="41"/>
      <c r="G294" s="36">
        <v>0.25</v>
      </c>
      <c r="H294" s="10">
        <v>20</v>
      </c>
      <c r="I294" s="11">
        <v>1</v>
      </c>
      <c r="J294" s="13">
        <f>ROUND(1.835/G294+1,0)</f>
        <v>8</v>
      </c>
      <c r="K294" s="45">
        <f>D294</f>
        <v>2.2999999999999998</v>
      </c>
      <c r="L294" s="37" t="str">
        <f>IF(O294&lt;12,"0",0.049*H294)</f>
        <v>0</v>
      </c>
      <c r="M294" s="17">
        <v>0</v>
      </c>
      <c r="N294" s="11">
        <f>M294*2*H294/1000</f>
        <v>0</v>
      </c>
      <c r="O294" s="16">
        <f>(D294)-N294</f>
        <v>2.2999999999999998</v>
      </c>
      <c r="P294" s="16">
        <f>(I294*J294*O294)+L294</f>
        <v>18.399999999999999</v>
      </c>
      <c r="Q294" s="18" t="str">
        <f t="shared" si="24"/>
        <v/>
      </c>
      <c r="R294" s="18" t="str">
        <f t="shared" si="25"/>
        <v/>
      </c>
      <c r="S294" s="18" t="str">
        <f t="shared" si="26"/>
        <v/>
      </c>
      <c r="T294" s="18" t="str">
        <f t="shared" si="27"/>
        <v/>
      </c>
      <c r="U294" s="18">
        <f t="shared" si="28"/>
        <v>18.399999999999999</v>
      </c>
      <c r="V294" s="18" t="str">
        <f t="shared" si="29"/>
        <v/>
      </c>
      <c r="W294" s="14"/>
    </row>
    <row r="295" spans="1:23" x14ac:dyDescent="0.25">
      <c r="A295" s="6"/>
      <c r="B295" s="33" t="s">
        <v>191</v>
      </c>
      <c r="C295" s="19"/>
      <c r="D295" s="49"/>
      <c r="E295" s="49"/>
      <c r="F295" s="41"/>
      <c r="G295" s="36"/>
      <c r="H295" s="10"/>
      <c r="I295" s="11"/>
      <c r="J295" s="13"/>
      <c r="K295" s="45"/>
      <c r="L295" s="37"/>
      <c r="M295" s="17"/>
      <c r="N295" s="11"/>
      <c r="O295" s="16"/>
      <c r="P295" s="16"/>
      <c r="Q295" s="18" t="str">
        <f t="shared" si="24"/>
        <v/>
      </c>
      <c r="R295" s="18" t="str">
        <f t="shared" si="25"/>
        <v/>
      </c>
      <c r="S295" s="18" t="str">
        <f t="shared" si="26"/>
        <v/>
      </c>
      <c r="T295" s="18" t="str">
        <f t="shared" si="27"/>
        <v/>
      </c>
      <c r="U295" s="18" t="str">
        <f t="shared" si="28"/>
        <v/>
      </c>
      <c r="V295" s="18" t="str">
        <f t="shared" si="29"/>
        <v/>
      </c>
      <c r="W295" s="14"/>
    </row>
    <row r="296" spans="1:23" x14ac:dyDescent="0.25">
      <c r="A296" s="6"/>
      <c r="B296" s="33"/>
      <c r="C296" s="19"/>
      <c r="D296" s="49"/>
      <c r="E296" s="49"/>
      <c r="F296" s="41"/>
      <c r="G296" s="36"/>
      <c r="H296" s="10"/>
      <c r="I296" s="11"/>
      <c r="J296" s="13"/>
      <c r="K296" s="45"/>
      <c r="L296" s="37"/>
      <c r="M296" s="17"/>
      <c r="N296" s="11"/>
      <c r="O296" s="16"/>
      <c r="P296" s="16"/>
      <c r="Q296" s="18" t="str">
        <f t="shared" si="24"/>
        <v/>
      </c>
      <c r="R296" s="18" t="str">
        <f t="shared" si="25"/>
        <v/>
      </c>
      <c r="S296" s="18" t="str">
        <f t="shared" si="26"/>
        <v/>
      </c>
      <c r="T296" s="18" t="str">
        <f t="shared" si="27"/>
        <v/>
      </c>
      <c r="U296" s="18" t="str">
        <f t="shared" si="28"/>
        <v/>
      </c>
      <c r="V296" s="18" t="str">
        <f t="shared" si="29"/>
        <v/>
      </c>
      <c r="W296" s="14"/>
    </row>
    <row r="297" spans="1:23" ht="15" customHeight="1" x14ac:dyDescent="0.25">
      <c r="A297" s="6">
        <v>43</v>
      </c>
      <c r="B297" s="33" t="s">
        <v>33</v>
      </c>
      <c r="C297" s="44"/>
      <c r="D297" s="62">
        <f>1.25+0.75+1.25</f>
        <v>3.25</v>
      </c>
      <c r="E297" s="62"/>
      <c r="F297" s="41"/>
      <c r="G297" s="36">
        <v>0.25</v>
      </c>
      <c r="H297" s="10">
        <v>25</v>
      </c>
      <c r="I297" s="11">
        <v>1</v>
      </c>
      <c r="J297" s="13">
        <f>ROUND(2.8/G297+1,0)</f>
        <v>12</v>
      </c>
      <c r="K297" s="45">
        <f>D297</f>
        <v>3.25</v>
      </c>
      <c r="L297" s="37" t="str">
        <f>IF(O297&lt;12,"0",0.049*H297)</f>
        <v>0</v>
      </c>
      <c r="M297" s="17">
        <v>0</v>
      </c>
      <c r="N297" s="11">
        <f>M297*2*H297/1000</f>
        <v>0</v>
      </c>
      <c r="O297" s="16">
        <f>(D297)-N297</f>
        <v>3.25</v>
      </c>
      <c r="P297" s="16">
        <f>(I297*J297*O297)+L297</f>
        <v>39</v>
      </c>
      <c r="Q297" s="18" t="str">
        <f t="shared" si="24"/>
        <v/>
      </c>
      <c r="R297" s="18" t="str">
        <f t="shared" si="25"/>
        <v/>
      </c>
      <c r="S297" s="18" t="str">
        <f t="shared" si="26"/>
        <v/>
      </c>
      <c r="T297" s="18" t="str">
        <f t="shared" si="27"/>
        <v/>
      </c>
      <c r="U297" s="18" t="str">
        <f t="shared" si="28"/>
        <v/>
      </c>
      <c r="V297" s="18">
        <f t="shared" si="29"/>
        <v>39</v>
      </c>
      <c r="W297" s="14"/>
    </row>
    <row r="298" spans="1:23" x14ac:dyDescent="0.25">
      <c r="A298" s="6"/>
      <c r="B298" s="33" t="s">
        <v>192</v>
      </c>
      <c r="C298" s="19"/>
      <c r="D298" s="49"/>
      <c r="E298" s="49"/>
      <c r="F298" s="41"/>
      <c r="G298" s="36"/>
      <c r="H298" s="10"/>
      <c r="I298" s="11"/>
      <c r="J298" s="13"/>
      <c r="K298" s="45"/>
      <c r="L298" s="37"/>
      <c r="M298" s="17"/>
      <c r="N298" s="11"/>
      <c r="O298" s="16"/>
      <c r="P298" s="16"/>
      <c r="Q298" s="18" t="str">
        <f t="shared" si="24"/>
        <v/>
      </c>
      <c r="R298" s="18" t="str">
        <f t="shared" si="25"/>
        <v/>
      </c>
      <c r="S298" s="18" t="str">
        <f t="shared" si="26"/>
        <v/>
      </c>
      <c r="T298" s="18" t="str">
        <f t="shared" si="27"/>
        <v/>
      </c>
      <c r="U298" s="18" t="str">
        <f t="shared" si="28"/>
        <v/>
      </c>
      <c r="V298" s="18" t="str">
        <f t="shared" si="29"/>
        <v/>
      </c>
      <c r="W298" s="14"/>
    </row>
    <row r="299" spans="1:23" x14ac:dyDescent="0.25">
      <c r="A299" s="6"/>
      <c r="B299" s="33"/>
      <c r="C299" s="19"/>
      <c r="D299" s="49"/>
      <c r="E299" s="49"/>
      <c r="F299" s="41"/>
      <c r="G299" s="36"/>
      <c r="H299" s="10"/>
      <c r="I299" s="11"/>
      <c r="J299" s="13"/>
      <c r="K299" s="45"/>
      <c r="L299" s="37"/>
      <c r="M299" s="17"/>
      <c r="N299" s="11"/>
      <c r="O299" s="16"/>
      <c r="P299" s="16"/>
      <c r="Q299" s="18" t="str">
        <f t="shared" si="24"/>
        <v/>
      </c>
      <c r="R299" s="18" t="str">
        <f t="shared" si="25"/>
        <v/>
      </c>
      <c r="S299" s="18" t="str">
        <f t="shared" si="26"/>
        <v/>
      </c>
      <c r="T299" s="18" t="str">
        <f t="shared" si="27"/>
        <v/>
      </c>
      <c r="U299" s="18" t="str">
        <f t="shared" si="28"/>
        <v/>
      </c>
      <c r="V299" s="18" t="str">
        <f t="shared" si="29"/>
        <v/>
      </c>
      <c r="W299" s="14"/>
    </row>
    <row r="300" spans="1:23" ht="15" customHeight="1" x14ac:dyDescent="0.25">
      <c r="A300" s="6">
        <v>44</v>
      </c>
      <c r="B300" s="33" t="s">
        <v>34</v>
      </c>
      <c r="C300" s="44"/>
      <c r="D300" s="62">
        <f>1.25+0.3+1.25</f>
        <v>2.8</v>
      </c>
      <c r="E300" s="62"/>
      <c r="F300" s="41"/>
      <c r="G300" s="36">
        <v>0.25</v>
      </c>
      <c r="H300" s="10">
        <v>25</v>
      </c>
      <c r="I300" s="11">
        <v>1</v>
      </c>
      <c r="J300" s="13">
        <f>ROUND(3.25/G300+1,0)</f>
        <v>14</v>
      </c>
      <c r="K300" s="45">
        <f>D300</f>
        <v>2.8</v>
      </c>
      <c r="L300" s="37" t="str">
        <f>IF(O300&lt;12,"0",0.049*H300)</f>
        <v>0</v>
      </c>
      <c r="M300" s="17">
        <v>0</v>
      </c>
      <c r="N300" s="11">
        <f>M300*2*H300/1000</f>
        <v>0</v>
      </c>
      <c r="O300" s="16">
        <f>(D300)-N300</f>
        <v>2.8</v>
      </c>
      <c r="P300" s="16">
        <f>(I300*J300*O300)+L300</f>
        <v>39.199999999999996</v>
      </c>
      <c r="Q300" s="18" t="str">
        <f t="shared" si="24"/>
        <v/>
      </c>
      <c r="R300" s="18" t="str">
        <f t="shared" si="25"/>
        <v/>
      </c>
      <c r="S300" s="18" t="str">
        <f t="shared" si="26"/>
        <v/>
      </c>
      <c r="T300" s="18" t="str">
        <f t="shared" si="27"/>
        <v/>
      </c>
      <c r="U300" s="18" t="str">
        <f t="shared" si="28"/>
        <v/>
      </c>
      <c r="V300" s="18">
        <f t="shared" si="29"/>
        <v>39.199999999999996</v>
      </c>
      <c r="W300" s="14"/>
    </row>
    <row r="301" spans="1:23" x14ac:dyDescent="0.25">
      <c r="A301" s="6"/>
      <c r="B301" s="33" t="s">
        <v>192</v>
      </c>
      <c r="C301" s="19"/>
      <c r="D301" s="49"/>
      <c r="E301" s="49"/>
      <c r="F301" s="41"/>
      <c r="G301" s="36"/>
      <c r="H301" s="10"/>
      <c r="I301" s="11"/>
      <c r="J301" s="13"/>
      <c r="K301" s="45"/>
      <c r="L301" s="37"/>
      <c r="M301" s="17"/>
      <c r="N301" s="11"/>
      <c r="O301" s="16"/>
      <c r="P301" s="16"/>
      <c r="Q301" s="18" t="str">
        <f t="shared" si="24"/>
        <v/>
      </c>
      <c r="R301" s="18" t="str">
        <f t="shared" si="25"/>
        <v/>
      </c>
      <c r="S301" s="18" t="str">
        <f t="shared" si="26"/>
        <v/>
      </c>
      <c r="T301" s="18" t="str">
        <f t="shared" si="27"/>
        <v/>
      </c>
      <c r="U301" s="18" t="str">
        <f t="shared" si="28"/>
        <v/>
      </c>
      <c r="V301" s="18" t="str">
        <f t="shared" si="29"/>
        <v/>
      </c>
      <c r="W301" s="14"/>
    </row>
    <row r="302" spans="1:23" x14ac:dyDescent="0.25">
      <c r="A302" s="6"/>
      <c r="B302" s="33"/>
      <c r="C302" s="19"/>
      <c r="D302" s="49"/>
      <c r="E302" s="49"/>
      <c r="F302" s="41"/>
      <c r="G302" s="36"/>
      <c r="H302" s="10"/>
      <c r="I302" s="11"/>
      <c r="J302" s="13"/>
      <c r="K302" s="45"/>
      <c r="L302" s="37"/>
      <c r="M302" s="17"/>
      <c r="N302" s="11"/>
      <c r="O302" s="16"/>
      <c r="P302" s="16"/>
      <c r="Q302" s="18" t="str">
        <f t="shared" si="24"/>
        <v/>
      </c>
      <c r="R302" s="18" t="str">
        <f t="shared" si="25"/>
        <v/>
      </c>
      <c r="S302" s="18" t="str">
        <f t="shared" si="26"/>
        <v/>
      </c>
      <c r="T302" s="18" t="str">
        <f t="shared" si="27"/>
        <v/>
      </c>
      <c r="U302" s="18" t="str">
        <f t="shared" si="28"/>
        <v/>
      </c>
      <c r="V302" s="18" t="str">
        <f t="shared" si="29"/>
        <v/>
      </c>
      <c r="W302" s="14"/>
    </row>
    <row r="303" spans="1:23" ht="15" customHeight="1" x14ac:dyDescent="0.25">
      <c r="A303" s="6">
        <v>45</v>
      </c>
      <c r="B303" s="33" t="s">
        <v>33</v>
      </c>
      <c r="C303" s="44"/>
      <c r="D303" s="62">
        <f>1.25+0.23+1.25</f>
        <v>2.73</v>
      </c>
      <c r="E303" s="62"/>
      <c r="F303" s="41"/>
      <c r="G303" s="36">
        <v>0.25</v>
      </c>
      <c r="H303" s="10">
        <v>25</v>
      </c>
      <c r="I303" s="11">
        <v>1</v>
      </c>
      <c r="J303" s="13">
        <f>ROUND(3.7/G303+1,0)</f>
        <v>16</v>
      </c>
      <c r="K303" s="45">
        <f>D303</f>
        <v>2.73</v>
      </c>
      <c r="L303" s="37" t="str">
        <f>IF(O303&lt;12,"0",0.049*H303)</f>
        <v>0</v>
      </c>
      <c r="M303" s="17">
        <v>0</v>
      </c>
      <c r="N303" s="11">
        <f>M303*2*H303/1000</f>
        <v>0</v>
      </c>
      <c r="O303" s="16">
        <f>(D303)-N303</f>
        <v>2.73</v>
      </c>
      <c r="P303" s="16">
        <f>(I303*J303*O303)+L303</f>
        <v>43.68</v>
      </c>
      <c r="Q303" s="18" t="str">
        <f t="shared" si="24"/>
        <v/>
      </c>
      <c r="R303" s="18" t="str">
        <f t="shared" si="25"/>
        <v/>
      </c>
      <c r="S303" s="18" t="str">
        <f t="shared" si="26"/>
        <v/>
      </c>
      <c r="T303" s="18" t="str">
        <f t="shared" si="27"/>
        <v/>
      </c>
      <c r="U303" s="18" t="str">
        <f t="shared" si="28"/>
        <v/>
      </c>
      <c r="V303" s="18">
        <f t="shared" si="29"/>
        <v>43.68</v>
      </c>
      <c r="W303" s="14"/>
    </row>
    <row r="304" spans="1:23" x14ac:dyDescent="0.25">
      <c r="A304" s="6"/>
      <c r="B304" s="33" t="s">
        <v>193</v>
      </c>
      <c r="C304" s="19"/>
      <c r="D304" s="49"/>
      <c r="E304" s="49"/>
      <c r="F304" s="41"/>
      <c r="G304" s="36"/>
      <c r="H304" s="10"/>
      <c r="I304" s="11"/>
      <c r="J304" s="13"/>
      <c r="K304" s="45"/>
      <c r="L304" s="37"/>
      <c r="M304" s="17"/>
      <c r="N304" s="11"/>
      <c r="O304" s="16"/>
      <c r="P304" s="16"/>
      <c r="Q304" s="18" t="str">
        <f t="shared" si="24"/>
        <v/>
      </c>
      <c r="R304" s="18" t="str">
        <f t="shared" si="25"/>
        <v/>
      </c>
      <c r="S304" s="18" t="str">
        <f t="shared" si="26"/>
        <v/>
      </c>
      <c r="T304" s="18" t="str">
        <f t="shared" si="27"/>
        <v/>
      </c>
      <c r="U304" s="18" t="str">
        <f t="shared" si="28"/>
        <v/>
      </c>
      <c r="V304" s="18" t="str">
        <f t="shared" si="29"/>
        <v/>
      </c>
      <c r="W304" s="14"/>
    </row>
    <row r="305" spans="1:23" x14ac:dyDescent="0.25">
      <c r="A305" s="6"/>
      <c r="B305" s="33"/>
      <c r="C305" s="19"/>
      <c r="D305" s="49"/>
      <c r="E305" s="49"/>
      <c r="F305" s="41"/>
      <c r="G305" s="36"/>
      <c r="H305" s="10"/>
      <c r="I305" s="11"/>
      <c r="J305" s="13"/>
      <c r="K305" s="45"/>
      <c r="L305" s="37"/>
      <c r="M305" s="17"/>
      <c r="N305" s="11"/>
      <c r="O305" s="16"/>
      <c r="P305" s="16"/>
      <c r="Q305" s="18" t="str">
        <f t="shared" si="24"/>
        <v/>
      </c>
      <c r="R305" s="18" t="str">
        <f t="shared" si="25"/>
        <v/>
      </c>
      <c r="S305" s="18" t="str">
        <f t="shared" si="26"/>
        <v/>
      </c>
      <c r="T305" s="18" t="str">
        <f t="shared" si="27"/>
        <v/>
      </c>
      <c r="U305" s="18" t="str">
        <f t="shared" si="28"/>
        <v/>
      </c>
      <c r="V305" s="18" t="str">
        <f t="shared" si="29"/>
        <v/>
      </c>
      <c r="W305" s="14"/>
    </row>
    <row r="306" spans="1:23" ht="15" customHeight="1" x14ac:dyDescent="0.25">
      <c r="A306" s="6">
        <v>46</v>
      </c>
      <c r="B306" s="33" t="s">
        <v>34</v>
      </c>
      <c r="C306" s="44"/>
      <c r="D306" s="62">
        <f>1+1.7+1</f>
        <v>3.7</v>
      </c>
      <c r="E306" s="62"/>
      <c r="F306" s="41"/>
      <c r="G306" s="36">
        <v>0.25</v>
      </c>
      <c r="H306" s="10">
        <v>20</v>
      </c>
      <c r="I306" s="11">
        <v>1</v>
      </c>
      <c r="J306" s="13">
        <f>ROUND(2.73/G306+1,0)</f>
        <v>12</v>
      </c>
      <c r="K306" s="45">
        <f>D306</f>
        <v>3.7</v>
      </c>
      <c r="L306" s="37" t="str">
        <f>IF(O306&lt;12,"0",0.049*H306)</f>
        <v>0</v>
      </c>
      <c r="M306" s="17">
        <v>0</v>
      </c>
      <c r="N306" s="11">
        <f>M306*2*H306/1000</f>
        <v>0</v>
      </c>
      <c r="O306" s="16">
        <f>(D306)-N306</f>
        <v>3.7</v>
      </c>
      <c r="P306" s="16">
        <f>(I306*J306*O306)+L306</f>
        <v>44.400000000000006</v>
      </c>
      <c r="Q306" s="18" t="str">
        <f t="shared" si="24"/>
        <v/>
      </c>
      <c r="R306" s="18" t="str">
        <f t="shared" si="25"/>
        <v/>
      </c>
      <c r="S306" s="18" t="str">
        <f t="shared" si="26"/>
        <v/>
      </c>
      <c r="T306" s="18" t="str">
        <f t="shared" si="27"/>
        <v/>
      </c>
      <c r="U306" s="18">
        <f t="shared" si="28"/>
        <v>44.400000000000006</v>
      </c>
      <c r="V306" s="18" t="str">
        <f t="shared" si="29"/>
        <v/>
      </c>
      <c r="W306" s="14"/>
    </row>
    <row r="307" spans="1:23" x14ac:dyDescent="0.25">
      <c r="A307" s="6"/>
      <c r="B307" s="33" t="s">
        <v>193</v>
      </c>
      <c r="C307" s="19"/>
      <c r="D307" s="49"/>
      <c r="E307" s="49"/>
      <c r="F307" s="41"/>
      <c r="G307" s="36"/>
      <c r="H307" s="10"/>
      <c r="I307" s="11"/>
      <c r="J307" s="13"/>
      <c r="K307" s="45"/>
      <c r="L307" s="37"/>
      <c r="M307" s="17"/>
      <c r="N307" s="11"/>
      <c r="O307" s="16"/>
      <c r="P307" s="16"/>
      <c r="Q307" s="18" t="str">
        <f t="shared" si="24"/>
        <v/>
      </c>
      <c r="R307" s="18" t="str">
        <f t="shared" si="25"/>
        <v/>
      </c>
      <c r="S307" s="18" t="str">
        <f t="shared" si="26"/>
        <v/>
      </c>
      <c r="T307" s="18" t="str">
        <f t="shared" si="27"/>
        <v/>
      </c>
      <c r="U307" s="18" t="str">
        <f t="shared" si="28"/>
        <v/>
      </c>
      <c r="V307" s="18" t="str">
        <f t="shared" si="29"/>
        <v/>
      </c>
      <c r="W307" s="14"/>
    </row>
    <row r="308" spans="1:23" x14ac:dyDescent="0.25">
      <c r="A308" s="6"/>
      <c r="B308" s="33"/>
      <c r="C308" s="19"/>
      <c r="D308" s="49"/>
      <c r="E308" s="49"/>
      <c r="F308" s="41"/>
      <c r="G308" s="36"/>
      <c r="H308" s="10"/>
      <c r="I308" s="11"/>
      <c r="J308" s="13"/>
      <c r="K308" s="45"/>
      <c r="L308" s="37"/>
      <c r="M308" s="17"/>
      <c r="N308" s="11"/>
      <c r="O308" s="16"/>
      <c r="P308" s="16"/>
      <c r="Q308" s="18" t="str">
        <f t="shared" si="24"/>
        <v/>
      </c>
      <c r="R308" s="18" t="str">
        <f t="shared" si="25"/>
        <v/>
      </c>
      <c r="S308" s="18" t="str">
        <f t="shared" si="26"/>
        <v/>
      </c>
      <c r="T308" s="18" t="str">
        <f t="shared" si="27"/>
        <v/>
      </c>
      <c r="U308" s="18" t="str">
        <f t="shared" si="28"/>
        <v/>
      </c>
      <c r="V308" s="18" t="str">
        <f t="shared" si="29"/>
        <v/>
      </c>
      <c r="W308" s="14"/>
    </row>
    <row r="309" spans="1:23" ht="15" customHeight="1" x14ac:dyDescent="0.25">
      <c r="A309" s="6">
        <v>47</v>
      </c>
      <c r="B309" s="33" t="s">
        <v>33</v>
      </c>
      <c r="C309" s="44"/>
      <c r="D309" s="62">
        <f>1+0.23+1</f>
        <v>2.23</v>
      </c>
      <c r="E309" s="62"/>
      <c r="F309" s="41"/>
      <c r="G309" s="36">
        <v>0.25</v>
      </c>
      <c r="H309" s="10">
        <v>20</v>
      </c>
      <c r="I309" s="11">
        <v>1</v>
      </c>
      <c r="J309" s="13">
        <f>ROUND(3.7/G309+1,0)</f>
        <v>16</v>
      </c>
      <c r="K309" s="45">
        <f>D309</f>
        <v>2.23</v>
      </c>
      <c r="L309" s="37" t="str">
        <f>IF(O309&lt;12,"0",0.049*H309)</f>
        <v>0</v>
      </c>
      <c r="M309" s="17">
        <v>0</v>
      </c>
      <c r="N309" s="11">
        <f>M309*2*H309/1000</f>
        <v>0</v>
      </c>
      <c r="O309" s="16">
        <f>(D309)-N309</f>
        <v>2.23</v>
      </c>
      <c r="P309" s="16">
        <f>(I309*J309*O309)+L309</f>
        <v>35.68</v>
      </c>
      <c r="Q309" s="18" t="str">
        <f t="shared" si="24"/>
        <v/>
      </c>
      <c r="R309" s="18" t="str">
        <f t="shared" si="25"/>
        <v/>
      </c>
      <c r="S309" s="18" t="str">
        <f t="shared" si="26"/>
        <v/>
      </c>
      <c r="T309" s="18" t="str">
        <f t="shared" si="27"/>
        <v/>
      </c>
      <c r="U309" s="18">
        <f t="shared" si="28"/>
        <v>35.68</v>
      </c>
      <c r="V309" s="18" t="str">
        <f t="shared" si="29"/>
        <v/>
      </c>
      <c r="W309" s="14"/>
    </row>
    <row r="310" spans="1:23" x14ac:dyDescent="0.25">
      <c r="A310" s="6"/>
      <c r="B310" s="33" t="s">
        <v>194</v>
      </c>
      <c r="C310" s="19"/>
      <c r="D310" s="49"/>
      <c r="E310" s="49"/>
      <c r="F310" s="41"/>
      <c r="G310" s="36"/>
      <c r="H310" s="10"/>
      <c r="I310" s="11"/>
      <c r="J310" s="13"/>
      <c r="K310" s="45"/>
      <c r="L310" s="37"/>
      <c r="M310" s="17"/>
      <c r="N310" s="11"/>
      <c r="O310" s="16"/>
      <c r="P310" s="16"/>
      <c r="Q310" s="18" t="str">
        <f t="shared" si="24"/>
        <v/>
      </c>
      <c r="R310" s="18" t="str">
        <f t="shared" si="25"/>
        <v/>
      </c>
      <c r="S310" s="18" t="str">
        <f t="shared" si="26"/>
        <v/>
      </c>
      <c r="T310" s="18" t="str">
        <f t="shared" si="27"/>
        <v/>
      </c>
      <c r="U310" s="18" t="str">
        <f t="shared" si="28"/>
        <v/>
      </c>
      <c r="V310" s="18" t="str">
        <f t="shared" si="29"/>
        <v/>
      </c>
      <c r="W310" s="14"/>
    </row>
    <row r="311" spans="1:23" x14ac:dyDescent="0.25">
      <c r="A311" s="6"/>
      <c r="B311" s="33"/>
      <c r="C311" s="19"/>
      <c r="D311" s="49"/>
      <c r="E311" s="49"/>
      <c r="F311" s="41"/>
      <c r="G311" s="36"/>
      <c r="H311" s="10"/>
      <c r="I311" s="11"/>
      <c r="J311" s="13"/>
      <c r="K311" s="45"/>
      <c r="L311" s="37"/>
      <c r="M311" s="17"/>
      <c r="N311" s="11"/>
      <c r="O311" s="16"/>
      <c r="P311" s="16"/>
      <c r="Q311" s="18" t="str">
        <f t="shared" si="24"/>
        <v/>
      </c>
      <c r="R311" s="18" t="str">
        <f t="shared" si="25"/>
        <v/>
      </c>
      <c r="S311" s="18" t="str">
        <f t="shared" si="26"/>
        <v/>
      </c>
      <c r="T311" s="18" t="str">
        <f t="shared" si="27"/>
        <v/>
      </c>
      <c r="U311" s="18" t="str">
        <f t="shared" si="28"/>
        <v/>
      </c>
      <c r="V311" s="18" t="str">
        <f t="shared" si="29"/>
        <v/>
      </c>
      <c r="W311" s="14"/>
    </row>
    <row r="312" spans="1:23" ht="15" customHeight="1" x14ac:dyDescent="0.25">
      <c r="A312" s="6">
        <v>48</v>
      </c>
      <c r="B312" s="33" t="s">
        <v>34</v>
      </c>
      <c r="C312" s="44"/>
      <c r="D312" s="62">
        <f>1+1.7+1</f>
        <v>3.7</v>
      </c>
      <c r="E312" s="62"/>
      <c r="F312" s="41"/>
      <c r="G312" s="36">
        <v>0.25</v>
      </c>
      <c r="H312" s="10">
        <v>20</v>
      </c>
      <c r="I312" s="11">
        <v>1</v>
      </c>
      <c r="J312" s="13">
        <f>ROUND(2.23/G312+1,0)</f>
        <v>10</v>
      </c>
      <c r="K312" s="45">
        <f>D312</f>
        <v>3.7</v>
      </c>
      <c r="L312" s="37" t="str">
        <f>IF(O312&lt;12,"0",0.049*H312)</f>
        <v>0</v>
      </c>
      <c r="M312" s="17">
        <v>0</v>
      </c>
      <c r="N312" s="11">
        <f>M312*2*H312/1000</f>
        <v>0</v>
      </c>
      <c r="O312" s="16">
        <f>(D312)-N312</f>
        <v>3.7</v>
      </c>
      <c r="P312" s="16">
        <f>(I312*J312*O312)+L312</f>
        <v>37</v>
      </c>
      <c r="Q312" s="18" t="str">
        <f t="shared" si="24"/>
        <v/>
      </c>
      <c r="R312" s="18" t="str">
        <f t="shared" si="25"/>
        <v/>
      </c>
      <c r="S312" s="18" t="str">
        <f t="shared" si="26"/>
        <v/>
      </c>
      <c r="T312" s="18" t="str">
        <f t="shared" si="27"/>
        <v/>
      </c>
      <c r="U312" s="18">
        <f t="shared" si="28"/>
        <v>37</v>
      </c>
      <c r="V312" s="18" t="str">
        <f t="shared" si="29"/>
        <v/>
      </c>
      <c r="W312" s="14"/>
    </row>
    <row r="313" spans="1:23" x14ac:dyDescent="0.25">
      <c r="A313" s="6"/>
      <c r="B313" s="33" t="s">
        <v>194</v>
      </c>
      <c r="C313" s="19"/>
      <c r="D313" s="49"/>
      <c r="E313" s="49"/>
      <c r="F313" s="41"/>
      <c r="G313" s="36"/>
      <c r="H313" s="10"/>
      <c r="I313" s="11"/>
      <c r="J313" s="13"/>
      <c r="K313" s="45"/>
      <c r="L313" s="37"/>
      <c r="M313" s="17"/>
      <c r="N313" s="11"/>
      <c r="O313" s="16"/>
      <c r="P313" s="16"/>
      <c r="Q313" s="18" t="str">
        <f t="shared" si="24"/>
        <v/>
      </c>
      <c r="R313" s="18" t="str">
        <f t="shared" si="25"/>
        <v/>
      </c>
      <c r="S313" s="18" t="str">
        <f t="shared" si="26"/>
        <v/>
      </c>
      <c r="T313" s="18" t="str">
        <f t="shared" si="27"/>
        <v/>
      </c>
      <c r="U313" s="18" t="str">
        <f t="shared" si="28"/>
        <v/>
      </c>
      <c r="V313" s="18" t="str">
        <f t="shared" si="29"/>
        <v/>
      </c>
      <c r="W313" s="14"/>
    </row>
    <row r="314" spans="1:23" x14ac:dyDescent="0.25">
      <c r="A314" s="6"/>
      <c r="B314" s="33"/>
      <c r="C314" s="19"/>
      <c r="D314" s="49"/>
      <c r="E314" s="49"/>
      <c r="F314" s="41"/>
      <c r="G314" s="36"/>
      <c r="H314" s="10"/>
      <c r="I314" s="11"/>
      <c r="J314" s="13"/>
      <c r="K314" s="45"/>
      <c r="L314" s="37"/>
      <c r="M314" s="17"/>
      <c r="N314" s="11"/>
      <c r="O314" s="16"/>
      <c r="P314" s="16"/>
      <c r="Q314" s="18" t="str">
        <f t="shared" si="24"/>
        <v/>
      </c>
      <c r="R314" s="18" t="str">
        <f t="shared" si="25"/>
        <v/>
      </c>
      <c r="S314" s="18" t="str">
        <f t="shared" si="26"/>
        <v/>
      </c>
      <c r="T314" s="18" t="str">
        <f t="shared" si="27"/>
        <v/>
      </c>
      <c r="U314" s="18" t="str">
        <f t="shared" si="28"/>
        <v/>
      </c>
      <c r="V314" s="18" t="str">
        <f t="shared" si="29"/>
        <v/>
      </c>
      <c r="W314" s="14"/>
    </row>
    <row r="315" spans="1:23" ht="15" customHeight="1" x14ac:dyDescent="0.25">
      <c r="A315" s="6">
        <v>49</v>
      </c>
      <c r="B315" s="33" t="s">
        <v>33</v>
      </c>
      <c r="C315" s="44"/>
      <c r="D315" s="62">
        <f>1+1.5-0.17+0.47+0.515+1.17+0.115+1</f>
        <v>5.6</v>
      </c>
      <c r="E315" s="62"/>
      <c r="F315" s="41"/>
      <c r="G315" s="36">
        <v>0.25</v>
      </c>
      <c r="H315" s="10">
        <v>20</v>
      </c>
      <c r="I315" s="11">
        <v>1</v>
      </c>
      <c r="J315" s="13">
        <f>ROUND(4.725/G315+1,0)</f>
        <v>20</v>
      </c>
      <c r="K315" s="45">
        <f>D315</f>
        <v>5.6</v>
      </c>
      <c r="L315" s="37" t="str">
        <f>IF(O315&lt;12,"0",0.049*H315)</f>
        <v>0</v>
      </c>
      <c r="M315" s="17">
        <v>0</v>
      </c>
      <c r="N315" s="11">
        <f>M315*2*H315/1000</f>
        <v>0</v>
      </c>
      <c r="O315" s="16">
        <f>(D315)-N315</f>
        <v>5.6</v>
      </c>
      <c r="P315" s="16">
        <f>(I315*J315*O315)+L315</f>
        <v>112</v>
      </c>
      <c r="Q315" s="18" t="str">
        <f t="shared" si="24"/>
        <v/>
      </c>
      <c r="R315" s="18" t="str">
        <f t="shared" si="25"/>
        <v/>
      </c>
      <c r="S315" s="18" t="str">
        <f t="shared" si="26"/>
        <v/>
      </c>
      <c r="T315" s="18" t="str">
        <f t="shared" si="27"/>
        <v/>
      </c>
      <c r="U315" s="18">
        <f t="shared" si="28"/>
        <v>112</v>
      </c>
      <c r="V315" s="18" t="str">
        <f t="shared" si="29"/>
        <v/>
      </c>
      <c r="W315" s="14"/>
    </row>
    <row r="316" spans="1:23" x14ac:dyDescent="0.25">
      <c r="A316" s="6"/>
      <c r="B316" s="33" t="s">
        <v>195</v>
      </c>
      <c r="C316" s="19"/>
      <c r="D316" s="49"/>
      <c r="E316" s="49"/>
      <c r="F316" s="41"/>
      <c r="G316" s="36"/>
      <c r="H316" s="10"/>
      <c r="I316" s="11"/>
      <c r="J316" s="13"/>
      <c r="K316" s="45"/>
      <c r="L316" s="37"/>
      <c r="M316" s="17"/>
      <c r="N316" s="11"/>
      <c r="O316" s="16"/>
      <c r="P316" s="16"/>
      <c r="Q316" s="18" t="str">
        <f t="shared" si="24"/>
        <v/>
      </c>
      <c r="R316" s="18" t="str">
        <f t="shared" si="25"/>
        <v/>
      </c>
      <c r="S316" s="18" t="str">
        <f t="shared" si="26"/>
        <v/>
      </c>
      <c r="T316" s="18" t="str">
        <f t="shared" si="27"/>
        <v/>
      </c>
      <c r="U316" s="18" t="str">
        <f t="shared" si="28"/>
        <v/>
      </c>
      <c r="V316" s="18" t="str">
        <f t="shared" si="29"/>
        <v/>
      </c>
      <c r="W316" s="14"/>
    </row>
    <row r="317" spans="1:23" x14ac:dyDescent="0.25">
      <c r="A317" s="6"/>
      <c r="B317" s="33"/>
      <c r="C317" s="19"/>
      <c r="D317" s="49"/>
      <c r="E317" s="49"/>
      <c r="F317" s="41"/>
      <c r="G317" s="36"/>
      <c r="H317" s="10"/>
      <c r="I317" s="11"/>
      <c r="J317" s="13"/>
      <c r="K317" s="45"/>
      <c r="L317" s="37"/>
      <c r="M317" s="17"/>
      <c r="N317" s="11"/>
      <c r="O317" s="16"/>
      <c r="P317" s="16"/>
      <c r="Q317" s="18" t="str">
        <f t="shared" si="24"/>
        <v/>
      </c>
      <c r="R317" s="18" t="str">
        <f t="shared" si="25"/>
        <v/>
      </c>
      <c r="S317" s="18" t="str">
        <f t="shared" si="26"/>
        <v/>
      </c>
      <c r="T317" s="18" t="str">
        <f t="shared" si="27"/>
        <v/>
      </c>
      <c r="U317" s="18" t="str">
        <f t="shared" si="28"/>
        <v/>
      </c>
      <c r="V317" s="18" t="str">
        <f t="shared" si="29"/>
        <v/>
      </c>
      <c r="W317" s="14"/>
    </row>
    <row r="318" spans="1:23" ht="15" customHeight="1" x14ac:dyDescent="0.25">
      <c r="A318" s="6">
        <v>50</v>
      </c>
      <c r="B318" s="33" t="s">
        <v>34</v>
      </c>
      <c r="C318" s="44"/>
      <c r="D318" s="62">
        <f>1.25+1.855-0.23+0.6+1.25</f>
        <v>4.7249999999999996</v>
      </c>
      <c r="E318" s="62"/>
      <c r="F318" s="41"/>
      <c r="G318" s="36">
        <v>0.25</v>
      </c>
      <c r="H318" s="10">
        <v>25</v>
      </c>
      <c r="I318" s="11">
        <v>1</v>
      </c>
      <c r="J318" s="13">
        <f>ROUND(5.6/G318+1,0)</f>
        <v>23</v>
      </c>
      <c r="K318" s="45">
        <f>D318</f>
        <v>4.7249999999999996</v>
      </c>
      <c r="L318" s="37" t="str">
        <f>IF(O318&lt;12,"0",0.049*H318)</f>
        <v>0</v>
      </c>
      <c r="M318" s="17">
        <v>0</v>
      </c>
      <c r="N318" s="11">
        <f>M318*2*H318/1000</f>
        <v>0</v>
      </c>
      <c r="O318" s="16">
        <f>(D318)-N318</f>
        <v>4.7249999999999996</v>
      </c>
      <c r="P318" s="16">
        <f>(I318*J318*O318)+L318</f>
        <v>108.675</v>
      </c>
      <c r="Q318" s="18" t="str">
        <f t="shared" si="24"/>
        <v/>
      </c>
      <c r="R318" s="18" t="str">
        <f t="shared" si="25"/>
        <v/>
      </c>
      <c r="S318" s="18" t="str">
        <f t="shared" si="26"/>
        <v/>
      </c>
      <c r="T318" s="18" t="str">
        <f t="shared" si="27"/>
        <v/>
      </c>
      <c r="U318" s="18" t="str">
        <f t="shared" si="28"/>
        <v/>
      </c>
      <c r="V318" s="18">
        <f t="shared" si="29"/>
        <v>108.675</v>
      </c>
      <c r="W318" s="14"/>
    </row>
    <row r="319" spans="1:23" x14ac:dyDescent="0.25">
      <c r="A319" s="6"/>
      <c r="B319" s="33" t="s">
        <v>195</v>
      </c>
      <c r="C319" s="19"/>
      <c r="D319" s="49"/>
      <c r="E319" s="49"/>
      <c r="F319" s="41"/>
      <c r="G319" s="36"/>
      <c r="H319" s="10"/>
      <c r="I319" s="11"/>
      <c r="J319" s="13"/>
      <c r="K319" s="45"/>
      <c r="L319" s="37"/>
      <c r="M319" s="17"/>
      <c r="N319" s="11"/>
      <c r="O319" s="16"/>
      <c r="P319" s="16"/>
      <c r="Q319" s="18" t="str">
        <f t="shared" si="24"/>
        <v/>
      </c>
      <c r="R319" s="18" t="str">
        <f t="shared" si="25"/>
        <v/>
      </c>
      <c r="S319" s="18" t="str">
        <f t="shared" si="26"/>
        <v/>
      </c>
      <c r="T319" s="18" t="str">
        <f t="shared" si="27"/>
        <v/>
      </c>
      <c r="U319" s="18" t="str">
        <f t="shared" si="28"/>
        <v/>
      </c>
      <c r="V319" s="18" t="str">
        <f t="shared" si="29"/>
        <v/>
      </c>
      <c r="W319" s="14"/>
    </row>
    <row r="320" spans="1:23" x14ac:dyDescent="0.25">
      <c r="A320" s="6"/>
      <c r="B320" s="33"/>
      <c r="C320" s="19"/>
      <c r="D320" s="49"/>
      <c r="E320" s="49"/>
      <c r="F320" s="41"/>
      <c r="G320" s="36"/>
      <c r="H320" s="10"/>
      <c r="I320" s="11"/>
      <c r="J320" s="13"/>
      <c r="K320" s="45"/>
      <c r="L320" s="37"/>
      <c r="M320" s="17"/>
      <c r="N320" s="11"/>
      <c r="O320" s="16"/>
      <c r="P320" s="16"/>
      <c r="Q320" s="18" t="str">
        <f t="shared" ref="Q320:Q383" si="30">IF($H320=8,$P320,"")</f>
        <v/>
      </c>
      <c r="R320" s="18" t="str">
        <f t="shared" ref="R320:R383" si="31">IF($H320=10,$P320,"")</f>
        <v/>
      </c>
      <c r="S320" s="18" t="str">
        <f t="shared" ref="S320:S383" si="32">IF($H320=12,$P320,"")</f>
        <v/>
      </c>
      <c r="T320" s="18" t="str">
        <f t="shared" ref="T320:T383" si="33">IF($H320=16,$P320,"")</f>
        <v/>
      </c>
      <c r="U320" s="18" t="str">
        <f t="shared" ref="U320:U383" si="34">IF($H320=20,$P320,"")</f>
        <v/>
      </c>
      <c r="V320" s="18" t="str">
        <f t="shared" ref="V320:V383" si="35">IF($H320=25,$P320,"")</f>
        <v/>
      </c>
      <c r="W320" s="14"/>
    </row>
    <row r="321" spans="1:23" ht="15" customHeight="1" x14ac:dyDescent="0.25">
      <c r="A321" s="6">
        <v>51</v>
      </c>
      <c r="B321" s="33" t="s">
        <v>33</v>
      </c>
      <c r="C321" s="44"/>
      <c r="D321" s="62">
        <f>1.25+3.6+1.25</f>
        <v>6.1</v>
      </c>
      <c r="E321" s="62"/>
      <c r="F321" s="41"/>
      <c r="G321" s="36">
        <v>0.25</v>
      </c>
      <c r="H321" s="10">
        <v>25</v>
      </c>
      <c r="I321" s="11">
        <v>1</v>
      </c>
      <c r="J321" s="13">
        <f>ROUND(2.73/G321+1,0)</f>
        <v>12</v>
      </c>
      <c r="K321" s="45">
        <f>D321</f>
        <v>6.1</v>
      </c>
      <c r="L321" s="37" t="str">
        <f>IF(O321&lt;12,"0",0.049*H321)</f>
        <v>0</v>
      </c>
      <c r="M321" s="17">
        <v>0</v>
      </c>
      <c r="N321" s="11">
        <f>M321*2*H321/1000</f>
        <v>0</v>
      </c>
      <c r="O321" s="16">
        <f>(D321)-N321</f>
        <v>6.1</v>
      </c>
      <c r="P321" s="16">
        <f>(I321*J321*O321)+L321</f>
        <v>73.199999999999989</v>
      </c>
      <c r="Q321" s="18" t="str">
        <f t="shared" si="30"/>
        <v/>
      </c>
      <c r="R321" s="18" t="str">
        <f t="shared" si="31"/>
        <v/>
      </c>
      <c r="S321" s="18" t="str">
        <f t="shared" si="32"/>
        <v/>
      </c>
      <c r="T321" s="18" t="str">
        <f t="shared" si="33"/>
        <v/>
      </c>
      <c r="U321" s="18" t="str">
        <f t="shared" si="34"/>
        <v/>
      </c>
      <c r="V321" s="18">
        <f t="shared" si="35"/>
        <v>73.199999999999989</v>
      </c>
      <c r="W321" s="14"/>
    </row>
    <row r="322" spans="1:23" x14ac:dyDescent="0.25">
      <c r="A322" s="6"/>
      <c r="B322" s="33" t="s">
        <v>57</v>
      </c>
      <c r="C322" s="19"/>
      <c r="D322" s="49"/>
      <c r="E322" s="49"/>
      <c r="F322" s="41"/>
      <c r="G322" s="36"/>
      <c r="H322" s="10"/>
      <c r="I322" s="11"/>
      <c r="J322" s="13"/>
      <c r="K322" s="45"/>
      <c r="L322" s="37"/>
      <c r="M322" s="17"/>
      <c r="N322" s="11"/>
      <c r="O322" s="16"/>
      <c r="P322" s="16"/>
      <c r="Q322" s="18" t="str">
        <f t="shared" si="30"/>
        <v/>
      </c>
      <c r="R322" s="18" t="str">
        <f t="shared" si="31"/>
        <v/>
      </c>
      <c r="S322" s="18" t="str">
        <f t="shared" si="32"/>
        <v/>
      </c>
      <c r="T322" s="18" t="str">
        <f t="shared" si="33"/>
        <v/>
      </c>
      <c r="U322" s="18" t="str">
        <f t="shared" si="34"/>
        <v/>
      </c>
      <c r="V322" s="18" t="str">
        <f t="shared" si="35"/>
        <v/>
      </c>
      <c r="W322" s="14"/>
    </row>
    <row r="323" spans="1:23" x14ac:dyDescent="0.25">
      <c r="A323" s="6"/>
      <c r="B323" s="33"/>
      <c r="C323" s="19"/>
      <c r="D323" s="49"/>
      <c r="E323" s="49"/>
      <c r="F323" s="41"/>
      <c r="G323" s="36"/>
      <c r="H323" s="10"/>
      <c r="I323" s="11"/>
      <c r="J323" s="13"/>
      <c r="K323" s="45"/>
      <c r="L323" s="37"/>
      <c r="M323" s="17"/>
      <c r="N323" s="11"/>
      <c r="O323" s="16"/>
      <c r="P323" s="16"/>
      <c r="Q323" s="18" t="str">
        <f t="shared" si="30"/>
        <v/>
      </c>
      <c r="R323" s="18" t="str">
        <f t="shared" si="31"/>
        <v/>
      </c>
      <c r="S323" s="18" t="str">
        <f t="shared" si="32"/>
        <v/>
      </c>
      <c r="T323" s="18" t="str">
        <f t="shared" si="33"/>
        <v/>
      </c>
      <c r="U323" s="18" t="str">
        <f t="shared" si="34"/>
        <v/>
      </c>
      <c r="V323" s="18" t="str">
        <f t="shared" si="35"/>
        <v/>
      </c>
      <c r="W323" s="14"/>
    </row>
    <row r="324" spans="1:23" ht="15" customHeight="1" x14ac:dyDescent="0.25">
      <c r="A324" s="6">
        <v>52</v>
      </c>
      <c r="B324" s="33" t="s">
        <v>34</v>
      </c>
      <c r="C324" s="44"/>
      <c r="D324" s="62">
        <f>1.25+0.23+1.25</f>
        <v>2.73</v>
      </c>
      <c r="E324" s="62"/>
      <c r="F324" s="41"/>
      <c r="G324" s="36">
        <v>0.25</v>
      </c>
      <c r="H324" s="10">
        <v>25</v>
      </c>
      <c r="I324" s="11">
        <v>1</v>
      </c>
      <c r="J324" s="13">
        <f>ROUND(6.1/G324+1,0)</f>
        <v>25</v>
      </c>
      <c r="K324" s="45">
        <f>D324</f>
        <v>2.73</v>
      </c>
      <c r="L324" s="37" t="str">
        <f>IF(O324&lt;12,"0",0.049*H324)</f>
        <v>0</v>
      </c>
      <c r="M324" s="17">
        <v>0</v>
      </c>
      <c r="N324" s="11">
        <f>M324*2*H324/1000</f>
        <v>0</v>
      </c>
      <c r="O324" s="16">
        <f>(D324)-N324</f>
        <v>2.73</v>
      </c>
      <c r="P324" s="16">
        <f>(I324*J324*O324)+L324</f>
        <v>68.25</v>
      </c>
      <c r="Q324" s="18" t="str">
        <f t="shared" si="30"/>
        <v/>
      </c>
      <c r="R324" s="18" t="str">
        <f t="shared" si="31"/>
        <v/>
      </c>
      <c r="S324" s="18" t="str">
        <f t="shared" si="32"/>
        <v/>
      </c>
      <c r="T324" s="18" t="str">
        <f t="shared" si="33"/>
        <v/>
      </c>
      <c r="U324" s="18" t="str">
        <f t="shared" si="34"/>
        <v/>
      </c>
      <c r="V324" s="18">
        <f t="shared" si="35"/>
        <v>68.25</v>
      </c>
      <c r="W324" s="14"/>
    </row>
    <row r="325" spans="1:23" x14ac:dyDescent="0.25">
      <c r="A325" s="6"/>
      <c r="B325" s="33" t="s">
        <v>57</v>
      </c>
      <c r="C325" s="19"/>
      <c r="D325" s="49"/>
      <c r="E325" s="49"/>
      <c r="F325" s="41"/>
      <c r="G325" s="36"/>
      <c r="H325" s="10"/>
      <c r="I325" s="11"/>
      <c r="J325" s="13"/>
      <c r="K325" s="45"/>
      <c r="L325" s="37"/>
      <c r="M325" s="17"/>
      <c r="N325" s="11"/>
      <c r="O325" s="16"/>
      <c r="P325" s="16"/>
      <c r="Q325" s="18" t="str">
        <f t="shared" si="30"/>
        <v/>
      </c>
      <c r="R325" s="18" t="str">
        <f t="shared" si="31"/>
        <v/>
      </c>
      <c r="S325" s="18" t="str">
        <f t="shared" si="32"/>
        <v/>
      </c>
      <c r="T325" s="18" t="str">
        <f t="shared" si="33"/>
        <v/>
      </c>
      <c r="U325" s="18" t="str">
        <f t="shared" si="34"/>
        <v/>
      </c>
      <c r="V325" s="18" t="str">
        <f t="shared" si="35"/>
        <v/>
      </c>
      <c r="W325" s="14"/>
    </row>
    <row r="326" spans="1:23" x14ac:dyDescent="0.25">
      <c r="A326" s="6"/>
      <c r="B326" s="33"/>
      <c r="C326" s="19"/>
      <c r="D326" s="51"/>
      <c r="E326" s="51"/>
      <c r="F326" s="41"/>
      <c r="G326" s="36"/>
      <c r="H326" s="10"/>
      <c r="I326" s="11"/>
      <c r="J326" s="13"/>
      <c r="K326" s="45"/>
      <c r="L326" s="37"/>
      <c r="M326" s="17"/>
      <c r="N326" s="11"/>
      <c r="O326" s="16"/>
      <c r="P326" s="16"/>
      <c r="Q326" s="18" t="str">
        <f t="shared" si="30"/>
        <v/>
      </c>
      <c r="R326" s="18" t="str">
        <f t="shared" si="31"/>
        <v/>
      </c>
      <c r="S326" s="18" t="str">
        <f t="shared" si="32"/>
        <v/>
      </c>
      <c r="T326" s="18" t="str">
        <f t="shared" si="33"/>
        <v/>
      </c>
      <c r="U326" s="18" t="str">
        <f t="shared" si="34"/>
        <v/>
      </c>
      <c r="V326" s="18" t="str">
        <f t="shared" si="35"/>
        <v/>
      </c>
      <c r="W326" s="14"/>
    </row>
    <row r="327" spans="1:23" ht="15" customHeight="1" x14ac:dyDescent="0.25">
      <c r="A327" s="6">
        <v>53</v>
      </c>
      <c r="B327" s="33" t="s">
        <v>33</v>
      </c>
      <c r="C327" s="44"/>
      <c r="D327" s="62">
        <f>1+0.75+1</f>
        <v>2.75</v>
      </c>
      <c r="E327" s="62"/>
      <c r="F327" s="41"/>
      <c r="G327" s="36">
        <v>0.25</v>
      </c>
      <c r="H327" s="10">
        <v>25</v>
      </c>
      <c r="I327" s="11">
        <v>1</v>
      </c>
      <c r="J327" s="13">
        <f>ROUND(2.8/G327+1,0)</f>
        <v>12</v>
      </c>
      <c r="K327" s="45">
        <f>D327</f>
        <v>2.75</v>
      </c>
      <c r="L327" s="37" t="str">
        <f>IF(O327&lt;12,"0",0.049*H327)</f>
        <v>0</v>
      </c>
      <c r="M327" s="17">
        <v>0</v>
      </c>
      <c r="N327" s="11">
        <f>M327*2*H327/1000</f>
        <v>0</v>
      </c>
      <c r="O327" s="16">
        <f>(D327)-N327</f>
        <v>2.75</v>
      </c>
      <c r="P327" s="16">
        <f>(I327*J327*O327)+L327</f>
        <v>33</v>
      </c>
      <c r="Q327" s="18" t="str">
        <f t="shared" si="30"/>
        <v/>
      </c>
      <c r="R327" s="18" t="str">
        <f t="shared" si="31"/>
        <v/>
      </c>
      <c r="S327" s="18" t="str">
        <f t="shared" si="32"/>
        <v/>
      </c>
      <c r="T327" s="18" t="str">
        <f t="shared" si="33"/>
        <v/>
      </c>
      <c r="U327" s="18" t="str">
        <f t="shared" si="34"/>
        <v/>
      </c>
      <c r="V327" s="18">
        <f t="shared" si="35"/>
        <v>33</v>
      </c>
      <c r="W327" s="14"/>
    </row>
    <row r="328" spans="1:23" x14ac:dyDescent="0.25">
      <c r="A328" s="6"/>
      <c r="B328" s="33" t="s">
        <v>196</v>
      </c>
      <c r="C328" s="19"/>
      <c r="D328" s="51"/>
      <c r="E328" s="51"/>
      <c r="F328" s="41"/>
      <c r="G328" s="36"/>
      <c r="H328" s="10"/>
      <c r="I328" s="11"/>
      <c r="J328" s="13"/>
      <c r="K328" s="45"/>
      <c r="L328" s="37"/>
      <c r="M328" s="17"/>
      <c r="N328" s="11"/>
      <c r="O328" s="16"/>
      <c r="P328" s="16"/>
      <c r="Q328" s="18" t="str">
        <f t="shared" si="30"/>
        <v/>
      </c>
      <c r="R328" s="18" t="str">
        <f t="shared" si="31"/>
        <v/>
      </c>
      <c r="S328" s="18" t="str">
        <f t="shared" si="32"/>
        <v/>
      </c>
      <c r="T328" s="18" t="str">
        <f t="shared" si="33"/>
        <v/>
      </c>
      <c r="U328" s="18" t="str">
        <f t="shared" si="34"/>
        <v/>
      </c>
      <c r="V328" s="18" t="str">
        <f t="shared" si="35"/>
        <v/>
      </c>
      <c r="W328" s="14"/>
    </row>
    <row r="329" spans="1:23" x14ac:dyDescent="0.25">
      <c r="A329" s="6"/>
      <c r="B329" s="33"/>
      <c r="C329" s="19"/>
      <c r="D329" s="51"/>
      <c r="E329" s="51"/>
      <c r="F329" s="41"/>
      <c r="G329" s="36"/>
      <c r="H329" s="10"/>
      <c r="I329" s="11"/>
      <c r="J329" s="13"/>
      <c r="K329" s="45"/>
      <c r="L329" s="37"/>
      <c r="M329" s="17"/>
      <c r="N329" s="11"/>
      <c r="O329" s="16"/>
      <c r="P329" s="16"/>
      <c r="Q329" s="18" t="str">
        <f t="shared" si="30"/>
        <v/>
      </c>
      <c r="R329" s="18" t="str">
        <f t="shared" si="31"/>
        <v/>
      </c>
      <c r="S329" s="18" t="str">
        <f t="shared" si="32"/>
        <v/>
      </c>
      <c r="T329" s="18" t="str">
        <f t="shared" si="33"/>
        <v/>
      </c>
      <c r="U329" s="18" t="str">
        <f t="shared" si="34"/>
        <v/>
      </c>
      <c r="V329" s="18" t="str">
        <f t="shared" si="35"/>
        <v/>
      </c>
      <c r="W329" s="14"/>
    </row>
    <row r="330" spans="1:23" ht="15" customHeight="1" x14ac:dyDescent="0.25">
      <c r="A330" s="6">
        <v>54</v>
      </c>
      <c r="B330" s="33" t="s">
        <v>33</v>
      </c>
      <c r="C330" s="44"/>
      <c r="D330" s="62">
        <f>1+0.75+1</f>
        <v>2.75</v>
      </c>
      <c r="E330" s="62"/>
      <c r="F330" s="41"/>
      <c r="G330" s="36">
        <v>0.25</v>
      </c>
      <c r="H330" s="10">
        <v>20</v>
      </c>
      <c r="I330" s="11">
        <v>1</v>
      </c>
      <c r="J330" s="13">
        <f>ROUND(2.8/G330+1,0)</f>
        <v>12</v>
      </c>
      <c r="K330" s="45">
        <f>D330</f>
        <v>2.75</v>
      </c>
      <c r="L330" s="37" t="str">
        <f>IF(O330&lt;12,"0",0.049*H330)</f>
        <v>0</v>
      </c>
      <c r="M330" s="17">
        <v>0</v>
      </c>
      <c r="N330" s="11">
        <f>M330*2*H330/1000</f>
        <v>0</v>
      </c>
      <c r="O330" s="16">
        <f>(D330)-N330</f>
        <v>2.75</v>
      </c>
      <c r="P330" s="16">
        <f>(I330*J330*O330)+L330</f>
        <v>33</v>
      </c>
      <c r="Q330" s="18" t="str">
        <f t="shared" si="30"/>
        <v/>
      </c>
      <c r="R330" s="18" t="str">
        <f t="shared" si="31"/>
        <v/>
      </c>
      <c r="S330" s="18" t="str">
        <f t="shared" si="32"/>
        <v/>
      </c>
      <c r="T330" s="18" t="str">
        <f t="shared" si="33"/>
        <v/>
      </c>
      <c r="U330" s="18">
        <f t="shared" si="34"/>
        <v>33</v>
      </c>
      <c r="V330" s="18" t="str">
        <f t="shared" si="35"/>
        <v/>
      </c>
      <c r="W330" s="14"/>
    </row>
    <row r="331" spans="1:23" x14ac:dyDescent="0.25">
      <c r="A331" s="6"/>
      <c r="B331" s="33" t="s">
        <v>196</v>
      </c>
      <c r="C331" s="19"/>
      <c r="D331" s="51"/>
      <c r="E331" s="51"/>
      <c r="F331" s="41"/>
      <c r="G331" s="36"/>
      <c r="H331" s="10"/>
      <c r="I331" s="11"/>
      <c r="J331" s="13"/>
      <c r="K331" s="45"/>
      <c r="L331" s="37"/>
      <c r="M331" s="17"/>
      <c r="N331" s="11"/>
      <c r="O331" s="16"/>
      <c r="P331" s="16"/>
      <c r="Q331" s="18" t="str">
        <f t="shared" si="30"/>
        <v/>
      </c>
      <c r="R331" s="18" t="str">
        <f t="shared" si="31"/>
        <v/>
      </c>
      <c r="S331" s="18" t="str">
        <f t="shared" si="32"/>
        <v/>
      </c>
      <c r="T331" s="18" t="str">
        <f t="shared" si="33"/>
        <v/>
      </c>
      <c r="U331" s="18" t="str">
        <f t="shared" si="34"/>
        <v/>
      </c>
      <c r="V331" s="18" t="str">
        <f t="shared" si="35"/>
        <v/>
      </c>
      <c r="W331" s="14"/>
    </row>
    <row r="332" spans="1:23" x14ac:dyDescent="0.25">
      <c r="A332" s="6"/>
      <c r="B332" s="33"/>
      <c r="C332" s="19"/>
      <c r="D332" s="51"/>
      <c r="E332" s="51"/>
      <c r="F332" s="41"/>
      <c r="G332" s="36"/>
      <c r="H332" s="10"/>
      <c r="I332" s="11"/>
      <c r="J332" s="13"/>
      <c r="K332" s="45"/>
      <c r="L332" s="37"/>
      <c r="M332" s="17"/>
      <c r="N332" s="11"/>
      <c r="O332" s="16"/>
      <c r="P332" s="16"/>
      <c r="Q332" s="18" t="str">
        <f t="shared" si="30"/>
        <v/>
      </c>
      <c r="R332" s="18" t="str">
        <f t="shared" si="31"/>
        <v/>
      </c>
      <c r="S332" s="18" t="str">
        <f t="shared" si="32"/>
        <v/>
      </c>
      <c r="T332" s="18" t="str">
        <f t="shared" si="33"/>
        <v/>
      </c>
      <c r="U332" s="18" t="str">
        <f t="shared" si="34"/>
        <v/>
      </c>
      <c r="V332" s="18" t="str">
        <f t="shared" si="35"/>
        <v/>
      </c>
      <c r="W332" s="14"/>
    </row>
    <row r="333" spans="1:23" ht="15" customHeight="1" x14ac:dyDescent="0.25">
      <c r="A333" s="6">
        <v>55</v>
      </c>
      <c r="B333" s="33" t="s">
        <v>34</v>
      </c>
      <c r="C333" s="44"/>
      <c r="D333" s="62">
        <f>1.25+0.3+1.25</f>
        <v>2.8</v>
      </c>
      <c r="E333" s="62"/>
      <c r="F333" s="41"/>
      <c r="G333" s="36">
        <v>0.25</v>
      </c>
      <c r="H333" s="10">
        <v>25</v>
      </c>
      <c r="I333" s="11">
        <v>1</v>
      </c>
      <c r="J333" s="13">
        <f>ROUND(2.75/G333+1,0)</f>
        <v>12</v>
      </c>
      <c r="K333" s="45">
        <f>D333</f>
        <v>2.8</v>
      </c>
      <c r="L333" s="37" t="str">
        <f>IF(O333&lt;12,"0",0.049*H333)</f>
        <v>0</v>
      </c>
      <c r="M333" s="17">
        <v>0</v>
      </c>
      <c r="N333" s="11">
        <f>M333*2*H333/1000</f>
        <v>0</v>
      </c>
      <c r="O333" s="16">
        <f>(D333)-N333</f>
        <v>2.8</v>
      </c>
      <c r="P333" s="16">
        <f>(I333*J333*O333)+L333</f>
        <v>33.599999999999994</v>
      </c>
      <c r="Q333" s="18" t="str">
        <f t="shared" si="30"/>
        <v/>
      </c>
      <c r="R333" s="18" t="str">
        <f t="shared" si="31"/>
        <v/>
      </c>
      <c r="S333" s="18" t="str">
        <f t="shared" si="32"/>
        <v/>
      </c>
      <c r="T333" s="18" t="str">
        <f t="shared" si="33"/>
        <v/>
      </c>
      <c r="U333" s="18" t="str">
        <f t="shared" si="34"/>
        <v/>
      </c>
      <c r="V333" s="18">
        <f t="shared" si="35"/>
        <v>33.599999999999994</v>
      </c>
      <c r="W333" s="14"/>
    </row>
    <row r="334" spans="1:23" x14ac:dyDescent="0.25">
      <c r="A334" s="6"/>
      <c r="B334" s="33" t="s">
        <v>196</v>
      </c>
      <c r="C334" s="19"/>
      <c r="D334" s="51"/>
      <c r="E334" s="51"/>
      <c r="F334" s="41"/>
      <c r="G334" s="36"/>
      <c r="H334" s="10"/>
      <c r="I334" s="11"/>
      <c r="J334" s="13"/>
      <c r="K334" s="45"/>
      <c r="L334" s="37"/>
      <c r="M334" s="17"/>
      <c r="N334" s="11"/>
      <c r="O334" s="16"/>
      <c r="P334" s="16"/>
      <c r="Q334" s="18" t="str">
        <f t="shared" si="30"/>
        <v/>
      </c>
      <c r="R334" s="18" t="str">
        <f t="shared" si="31"/>
        <v/>
      </c>
      <c r="S334" s="18" t="str">
        <f t="shared" si="32"/>
        <v/>
      </c>
      <c r="T334" s="18" t="str">
        <f t="shared" si="33"/>
        <v/>
      </c>
      <c r="U334" s="18" t="str">
        <f t="shared" si="34"/>
        <v/>
      </c>
      <c r="V334" s="18" t="str">
        <f t="shared" si="35"/>
        <v/>
      </c>
      <c r="W334" s="14"/>
    </row>
    <row r="335" spans="1:23" x14ac:dyDescent="0.25">
      <c r="A335" s="6"/>
      <c r="B335" s="33"/>
      <c r="C335" s="19"/>
      <c r="D335" s="51"/>
      <c r="E335" s="51"/>
      <c r="F335" s="41"/>
      <c r="G335" s="36"/>
      <c r="H335" s="10"/>
      <c r="I335" s="11"/>
      <c r="J335" s="13"/>
      <c r="K335" s="45"/>
      <c r="L335" s="37"/>
      <c r="M335" s="17"/>
      <c r="N335" s="11"/>
      <c r="O335" s="16"/>
      <c r="P335" s="16"/>
      <c r="Q335" s="18" t="str">
        <f t="shared" si="30"/>
        <v/>
      </c>
      <c r="R335" s="18" t="str">
        <f t="shared" si="31"/>
        <v/>
      </c>
      <c r="S335" s="18" t="str">
        <f t="shared" si="32"/>
        <v/>
      </c>
      <c r="T335" s="18" t="str">
        <f t="shared" si="33"/>
        <v/>
      </c>
      <c r="U335" s="18" t="str">
        <f t="shared" si="34"/>
        <v/>
      </c>
      <c r="V335" s="18" t="str">
        <f t="shared" si="35"/>
        <v/>
      </c>
      <c r="W335" s="14"/>
    </row>
    <row r="336" spans="1:23" ht="15" customHeight="1" x14ac:dyDescent="0.25">
      <c r="A336" s="6">
        <v>56</v>
      </c>
      <c r="B336" s="33" t="s">
        <v>34</v>
      </c>
      <c r="C336" s="44"/>
      <c r="D336" s="62">
        <f>1.25+0.3+1.25</f>
        <v>2.8</v>
      </c>
      <c r="E336" s="62"/>
      <c r="F336" s="41"/>
      <c r="G336" s="36">
        <v>0.25</v>
      </c>
      <c r="H336" s="10">
        <v>20</v>
      </c>
      <c r="I336" s="11">
        <v>1</v>
      </c>
      <c r="J336" s="13">
        <f>ROUND(2.75/G336+1,0)</f>
        <v>12</v>
      </c>
      <c r="K336" s="45">
        <f>D336</f>
        <v>2.8</v>
      </c>
      <c r="L336" s="37" t="str">
        <f>IF(O336&lt;12,"0",0.049*H336)</f>
        <v>0</v>
      </c>
      <c r="M336" s="17">
        <v>0</v>
      </c>
      <c r="N336" s="11">
        <f>M336*2*H336/1000</f>
        <v>0</v>
      </c>
      <c r="O336" s="16">
        <f>(D336)-N336</f>
        <v>2.8</v>
      </c>
      <c r="P336" s="16">
        <f>(I336*J336*O336)+L336</f>
        <v>33.599999999999994</v>
      </c>
      <c r="Q336" s="18" t="str">
        <f t="shared" si="30"/>
        <v/>
      </c>
      <c r="R336" s="18" t="str">
        <f t="shared" si="31"/>
        <v/>
      </c>
      <c r="S336" s="18" t="str">
        <f t="shared" si="32"/>
        <v/>
      </c>
      <c r="T336" s="18" t="str">
        <f t="shared" si="33"/>
        <v/>
      </c>
      <c r="U336" s="18">
        <f t="shared" si="34"/>
        <v>33.599999999999994</v>
      </c>
      <c r="V336" s="18" t="str">
        <f t="shared" si="35"/>
        <v/>
      </c>
      <c r="W336" s="14"/>
    </row>
    <row r="337" spans="1:23" x14ac:dyDescent="0.25">
      <c r="A337" s="6"/>
      <c r="B337" s="33" t="s">
        <v>196</v>
      </c>
      <c r="C337" s="19"/>
      <c r="D337" s="51"/>
      <c r="E337" s="51"/>
      <c r="F337" s="41"/>
      <c r="G337" s="36"/>
      <c r="H337" s="10"/>
      <c r="I337" s="11"/>
      <c r="J337" s="13"/>
      <c r="K337" s="45"/>
      <c r="L337" s="37"/>
      <c r="M337" s="17"/>
      <c r="N337" s="11"/>
      <c r="O337" s="16"/>
      <c r="P337" s="16"/>
      <c r="Q337" s="18" t="str">
        <f t="shared" si="30"/>
        <v/>
      </c>
      <c r="R337" s="18" t="str">
        <f t="shared" si="31"/>
        <v/>
      </c>
      <c r="S337" s="18" t="str">
        <f t="shared" si="32"/>
        <v/>
      </c>
      <c r="T337" s="18" t="str">
        <f t="shared" si="33"/>
        <v/>
      </c>
      <c r="U337" s="18" t="str">
        <f t="shared" si="34"/>
        <v/>
      </c>
      <c r="V337" s="18" t="str">
        <f t="shared" si="35"/>
        <v/>
      </c>
      <c r="W337" s="14"/>
    </row>
    <row r="338" spans="1:23" x14ac:dyDescent="0.25">
      <c r="A338" s="6"/>
      <c r="B338" s="33"/>
      <c r="C338" s="19"/>
      <c r="D338" s="51"/>
      <c r="E338" s="51"/>
      <c r="F338" s="41"/>
      <c r="G338" s="36"/>
      <c r="H338" s="10"/>
      <c r="I338" s="11"/>
      <c r="J338" s="13"/>
      <c r="K338" s="45"/>
      <c r="L338" s="37"/>
      <c r="M338" s="17"/>
      <c r="N338" s="11"/>
      <c r="O338" s="16"/>
      <c r="P338" s="16"/>
      <c r="Q338" s="18" t="str">
        <f t="shared" si="30"/>
        <v/>
      </c>
      <c r="R338" s="18" t="str">
        <f t="shared" si="31"/>
        <v/>
      </c>
      <c r="S338" s="18" t="str">
        <f t="shared" si="32"/>
        <v/>
      </c>
      <c r="T338" s="18" t="str">
        <f t="shared" si="33"/>
        <v/>
      </c>
      <c r="U338" s="18" t="str">
        <f t="shared" si="34"/>
        <v/>
      </c>
      <c r="V338" s="18" t="str">
        <f t="shared" si="35"/>
        <v/>
      </c>
      <c r="W338" s="14"/>
    </row>
    <row r="339" spans="1:23" ht="15" customHeight="1" x14ac:dyDescent="0.25">
      <c r="A339" s="6">
        <v>57</v>
      </c>
      <c r="B339" s="33" t="s">
        <v>33</v>
      </c>
      <c r="C339" s="44"/>
      <c r="D339" s="62">
        <f>1.25+0.75+1.25</f>
        <v>3.25</v>
      </c>
      <c r="E339" s="62"/>
      <c r="F339" s="41"/>
      <c r="G339" s="36">
        <v>0.25</v>
      </c>
      <c r="H339" s="10">
        <v>25</v>
      </c>
      <c r="I339" s="11">
        <v>1</v>
      </c>
      <c r="J339" s="13">
        <f>ROUND(2.3/G339+1,0)</f>
        <v>10</v>
      </c>
      <c r="K339" s="45">
        <f>D339</f>
        <v>3.25</v>
      </c>
      <c r="L339" s="37" t="str">
        <f>IF(O339&lt;12,"0",0.049*H339)</f>
        <v>0</v>
      </c>
      <c r="M339" s="17">
        <v>0</v>
      </c>
      <c r="N339" s="11">
        <f>M339*2*H339/1000</f>
        <v>0</v>
      </c>
      <c r="O339" s="16">
        <f>(D339)-N339</f>
        <v>3.25</v>
      </c>
      <c r="P339" s="16">
        <f>(I339*J339*O339)+L339</f>
        <v>32.5</v>
      </c>
      <c r="Q339" s="18" t="str">
        <f t="shared" si="30"/>
        <v/>
      </c>
      <c r="R339" s="18" t="str">
        <f t="shared" si="31"/>
        <v/>
      </c>
      <c r="S339" s="18" t="str">
        <f t="shared" si="32"/>
        <v/>
      </c>
      <c r="T339" s="18" t="str">
        <f t="shared" si="33"/>
        <v/>
      </c>
      <c r="U339" s="18" t="str">
        <f t="shared" si="34"/>
        <v/>
      </c>
      <c r="V339" s="18">
        <f t="shared" si="35"/>
        <v>32.5</v>
      </c>
      <c r="W339" s="14"/>
    </row>
    <row r="340" spans="1:23" x14ac:dyDescent="0.25">
      <c r="A340" s="6"/>
      <c r="B340" s="33" t="s">
        <v>197</v>
      </c>
      <c r="C340" s="19"/>
      <c r="D340" s="51"/>
      <c r="E340" s="51"/>
      <c r="F340" s="41"/>
      <c r="G340" s="36"/>
      <c r="H340" s="10"/>
      <c r="I340" s="11"/>
      <c r="J340" s="13"/>
      <c r="K340" s="45"/>
      <c r="L340" s="37"/>
      <c r="M340" s="17"/>
      <c r="N340" s="11"/>
      <c r="O340" s="16"/>
      <c r="P340" s="16"/>
      <c r="Q340" s="18" t="str">
        <f t="shared" si="30"/>
        <v/>
      </c>
      <c r="R340" s="18" t="str">
        <f t="shared" si="31"/>
        <v/>
      </c>
      <c r="S340" s="18" t="str">
        <f t="shared" si="32"/>
        <v/>
      </c>
      <c r="T340" s="18" t="str">
        <f t="shared" si="33"/>
        <v/>
      </c>
      <c r="U340" s="18" t="str">
        <f t="shared" si="34"/>
        <v/>
      </c>
      <c r="V340" s="18" t="str">
        <f t="shared" si="35"/>
        <v/>
      </c>
      <c r="W340" s="14"/>
    </row>
    <row r="341" spans="1:23" x14ac:dyDescent="0.25">
      <c r="A341" s="6"/>
      <c r="B341" s="33"/>
      <c r="C341" s="19"/>
      <c r="D341" s="51"/>
      <c r="E341" s="51"/>
      <c r="F341" s="41"/>
      <c r="G341" s="36"/>
      <c r="H341" s="10"/>
      <c r="I341" s="11"/>
      <c r="J341" s="13"/>
      <c r="K341" s="45"/>
      <c r="L341" s="37"/>
      <c r="M341" s="17"/>
      <c r="N341" s="11"/>
      <c r="O341" s="16"/>
      <c r="P341" s="16"/>
      <c r="Q341" s="18" t="str">
        <f t="shared" si="30"/>
        <v/>
      </c>
      <c r="R341" s="18" t="str">
        <f t="shared" si="31"/>
        <v/>
      </c>
      <c r="S341" s="18" t="str">
        <f t="shared" si="32"/>
        <v/>
      </c>
      <c r="T341" s="18" t="str">
        <f t="shared" si="33"/>
        <v/>
      </c>
      <c r="U341" s="18" t="str">
        <f t="shared" si="34"/>
        <v/>
      </c>
      <c r="V341" s="18" t="str">
        <f t="shared" si="35"/>
        <v/>
      </c>
      <c r="W341" s="14"/>
    </row>
    <row r="342" spans="1:23" ht="15" customHeight="1" x14ac:dyDescent="0.25">
      <c r="A342" s="6">
        <v>58</v>
      </c>
      <c r="B342" s="33" t="s">
        <v>34</v>
      </c>
      <c r="C342" s="44"/>
      <c r="D342" s="62">
        <f>1+0.3+1</f>
        <v>2.2999999999999998</v>
      </c>
      <c r="E342" s="62"/>
      <c r="F342" s="41"/>
      <c r="G342" s="36">
        <v>0.25</v>
      </c>
      <c r="H342" s="10">
        <v>20</v>
      </c>
      <c r="I342" s="11">
        <v>1</v>
      </c>
      <c r="J342" s="13">
        <f>ROUND(3.25/G342+1,0)</f>
        <v>14</v>
      </c>
      <c r="K342" s="45">
        <f>D342</f>
        <v>2.2999999999999998</v>
      </c>
      <c r="L342" s="37" t="str">
        <f>IF(O342&lt;12,"0",0.049*H342)</f>
        <v>0</v>
      </c>
      <c r="M342" s="17">
        <v>0</v>
      </c>
      <c r="N342" s="11">
        <f>M342*2*H342/1000</f>
        <v>0</v>
      </c>
      <c r="O342" s="16">
        <f>(D342)-N342</f>
        <v>2.2999999999999998</v>
      </c>
      <c r="P342" s="16">
        <f>(I342*J342*O342)+L342</f>
        <v>32.199999999999996</v>
      </c>
      <c r="Q342" s="18" t="str">
        <f t="shared" si="30"/>
        <v/>
      </c>
      <c r="R342" s="18" t="str">
        <f t="shared" si="31"/>
        <v/>
      </c>
      <c r="S342" s="18" t="str">
        <f t="shared" si="32"/>
        <v/>
      </c>
      <c r="T342" s="18" t="str">
        <f t="shared" si="33"/>
        <v/>
      </c>
      <c r="U342" s="18">
        <f t="shared" si="34"/>
        <v>32.199999999999996</v>
      </c>
      <c r="V342" s="18" t="str">
        <f t="shared" si="35"/>
        <v/>
      </c>
      <c r="W342" s="14"/>
    </row>
    <row r="343" spans="1:23" x14ac:dyDescent="0.25">
      <c r="A343" s="6"/>
      <c r="B343" s="33" t="s">
        <v>197</v>
      </c>
      <c r="C343" s="19"/>
      <c r="D343" s="51"/>
      <c r="E343" s="51"/>
      <c r="F343" s="41"/>
      <c r="G343" s="36"/>
      <c r="H343" s="10"/>
      <c r="I343" s="11"/>
      <c r="J343" s="13"/>
      <c r="K343" s="45"/>
      <c r="L343" s="37"/>
      <c r="M343" s="17"/>
      <c r="N343" s="11"/>
      <c r="O343" s="16"/>
      <c r="P343" s="16"/>
      <c r="Q343" s="18" t="str">
        <f t="shared" si="30"/>
        <v/>
      </c>
      <c r="R343" s="18" t="str">
        <f t="shared" si="31"/>
        <v/>
      </c>
      <c r="S343" s="18" t="str">
        <f t="shared" si="32"/>
        <v/>
      </c>
      <c r="T343" s="18" t="str">
        <f t="shared" si="33"/>
        <v/>
      </c>
      <c r="U343" s="18" t="str">
        <f t="shared" si="34"/>
        <v/>
      </c>
      <c r="V343" s="18" t="str">
        <f t="shared" si="35"/>
        <v/>
      </c>
      <c r="W343" s="14"/>
    </row>
    <row r="344" spans="1:23" x14ac:dyDescent="0.25">
      <c r="A344" s="6"/>
      <c r="B344" s="33"/>
      <c r="C344" s="19"/>
      <c r="D344" s="51"/>
      <c r="E344" s="51"/>
      <c r="F344" s="41"/>
      <c r="G344" s="36"/>
      <c r="H344" s="10"/>
      <c r="I344" s="11"/>
      <c r="J344" s="13"/>
      <c r="K344" s="45"/>
      <c r="L344" s="37"/>
      <c r="M344" s="17"/>
      <c r="N344" s="11"/>
      <c r="O344" s="16"/>
      <c r="P344" s="16"/>
      <c r="Q344" s="18" t="str">
        <f t="shared" si="30"/>
        <v/>
      </c>
      <c r="R344" s="18" t="str">
        <f t="shared" si="31"/>
        <v/>
      </c>
      <c r="S344" s="18" t="str">
        <f t="shared" si="32"/>
        <v/>
      </c>
      <c r="T344" s="18" t="str">
        <f t="shared" si="33"/>
        <v/>
      </c>
      <c r="U344" s="18" t="str">
        <f t="shared" si="34"/>
        <v/>
      </c>
      <c r="V344" s="18" t="str">
        <f t="shared" si="35"/>
        <v/>
      </c>
      <c r="W344" s="14"/>
    </row>
    <row r="345" spans="1:23" ht="15" customHeight="1" x14ac:dyDescent="0.25">
      <c r="A345" s="6">
        <v>59</v>
      </c>
      <c r="B345" s="33" t="s">
        <v>33</v>
      </c>
      <c r="C345" s="44"/>
      <c r="D345" s="62">
        <f>1+0.75+1</f>
        <v>2.75</v>
      </c>
      <c r="E345" s="62"/>
      <c r="F345" s="41"/>
      <c r="G345" s="36">
        <v>0.25</v>
      </c>
      <c r="H345" s="10">
        <v>20</v>
      </c>
      <c r="I345" s="11">
        <v>1</v>
      </c>
      <c r="J345" s="13">
        <f>ROUND(2.8/G345+1,0)</f>
        <v>12</v>
      </c>
      <c r="K345" s="45">
        <f>D345</f>
        <v>2.75</v>
      </c>
      <c r="L345" s="37" t="str">
        <f>IF(O345&lt;12,"0",0.049*H345)</f>
        <v>0</v>
      </c>
      <c r="M345" s="17">
        <v>0</v>
      </c>
      <c r="N345" s="11">
        <f>M345*2*H345/1000</f>
        <v>0</v>
      </c>
      <c r="O345" s="16">
        <f>(D345)-N345</f>
        <v>2.75</v>
      </c>
      <c r="P345" s="16">
        <f>(I345*J345*O345)+L345</f>
        <v>33</v>
      </c>
      <c r="Q345" s="18" t="str">
        <f t="shared" si="30"/>
        <v/>
      </c>
      <c r="R345" s="18" t="str">
        <f t="shared" si="31"/>
        <v/>
      </c>
      <c r="S345" s="18" t="str">
        <f t="shared" si="32"/>
        <v/>
      </c>
      <c r="T345" s="18" t="str">
        <f t="shared" si="33"/>
        <v/>
      </c>
      <c r="U345" s="18">
        <f t="shared" si="34"/>
        <v>33</v>
      </c>
      <c r="V345" s="18" t="str">
        <f t="shared" si="35"/>
        <v/>
      </c>
      <c r="W345" s="14"/>
    </row>
    <row r="346" spans="1:23" x14ac:dyDescent="0.25">
      <c r="A346" s="6"/>
      <c r="B346" s="33" t="s">
        <v>198</v>
      </c>
      <c r="C346" s="19"/>
      <c r="D346" s="51"/>
      <c r="E346" s="51"/>
      <c r="F346" s="41"/>
      <c r="G346" s="36"/>
      <c r="H346" s="10"/>
      <c r="I346" s="11"/>
      <c r="J346" s="13"/>
      <c r="K346" s="45"/>
      <c r="L346" s="37"/>
      <c r="M346" s="17"/>
      <c r="N346" s="11"/>
      <c r="O346" s="16"/>
      <c r="P346" s="16"/>
      <c r="Q346" s="18" t="str">
        <f t="shared" si="30"/>
        <v/>
      </c>
      <c r="R346" s="18" t="str">
        <f t="shared" si="31"/>
        <v/>
      </c>
      <c r="S346" s="18" t="str">
        <f t="shared" si="32"/>
        <v/>
      </c>
      <c r="T346" s="18" t="str">
        <f t="shared" si="33"/>
        <v/>
      </c>
      <c r="U346" s="18" t="str">
        <f t="shared" si="34"/>
        <v/>
      </c>
      <c r="V346" s="18" t="str">
        <f t="shared" si="35"/>
        <v/>
      </c>
      <c r="W346" s="14"/>
    </row>
    <row r="347" spans="1:23" x14ac:dyDescent="0.25">
      <c r="A347" s="6"/>
      <c r="B347" s="33"/>
      <c r="C347" s="19"/>
      <c r="D347" s="51"/>
      <c r="E347" s="51"/>
      <c r="F347" s="41"/>
      <c r="G347" s="36"/>
      <c r="H347" s="10"/>
      <c r="I347" s="11"/>
      <c r="J347" s="13"/>
      <c r="K347" s="45"/>
      <c r="L347" s="37"/>
      <c r="M347" s="17"/>
      <c r="N347" s="11"/>
      <c r="O347" s="16"/>
      <c r="P347" s="16"/>
      <c r="Q347" s="18" t="str">
        <f t="shared" si="30"/>
        <v/>
      </c>
      <c r="R347" s="18" t="str">
        <f t="shared" si="31"/>
        <v/>
      </c>
      <c r="S347" s="18" t="str">
        <f t="shared" si="32"/>
        <v/>
      </c>
      <c r="T347" s="18" t="str">
        <f t="shared" si="33"/>
        <v/>
      </c>
      <c r="U347" s="18" t="str">
        <f t="shared" si="34"/>
        <v/>
      </c>
      <c r="V347" s="18" t="str">
        <f t="shared" si="35"/>
        <v/>
      </c>
      <c r="W347" s="14"/>
    </row>
    <row r="348" spans="1:23" ht="15" customHeight="1" x14ac:dyDescent="0.25">
      <c r="A348" s="6">
        <v>60</v>
      </c>
      <c r="B348" s="33" t="s">
        <v>34</v>
      </c>
      <c r="C348" s="44"/>
      <c r="D348" s="62">
        <f>1.25+0.3+1.25</f>
        <v>2.8</v>
      </c>
      <c r="E348" s="62"/>
      <c r="F348" s="41"/>
      <c r="G348" s="36">
        <v>0.25</v>
      </c>
      <c r="H348" s="10">
        <v>25</v>
      </c>
      <c r="I348" s="11">
        <v>1</v>
      </c>
      <c r="J348" s="13">
        <f>ROUND(2.75/G348+1,0)</f>
        <v>12</v>
      </c>
      <c r="K348" s="45">
        <f>D348</f>
        <v>2.8</v>
      </c>
      <c r="L348" s="37" t="str">
        <f>IF(O348&lt;12,"0",0.049*H348)</f>
        <v>0</v>
      </c>
      <c r="M348" s="17">
        <v>0</v>
      </c>
      <c r="N348" s="11">
        <f>M348*2*H348/1000</f>
        <v>0</v>
      </c>
      <c r="O348" s="16">
        <f>(D348)-N348</f>
        <v>2.8</v>
      </c>
      <c r="P348" s="16">
        <f>(I348*J348*O348)+L348</f>
        <v>33.599999999999994</v>
      </c>
      <c r="Q348" s="18" t="str">
        <f t="shared" si="30"/>
        <v/>
      </c>
      <c r="R348" s="18" t="str">
        <f t="shared" si="31"/>
        <v/>
      </c>
      <c r="S348" s="18" t="str">
        <f t="shared" si="32"/>
        <v/>
      </c>
      <c r="T348" s="18" t="str">
        <f t="shared" si="33"/>
        <v/>
      </c>
      <c r="U348" s="18" t="str">
        <f t="shared" si="34"/>
        <v/>
      </c>
      <c r="V348" s="18">
        <f t="shared" si="35"/>
        <v>33.599999999999994</v>
      </c>
      <c r="W348" s="14"/>
    </row>
    <row r="349" spans="1:23" x14ac:dyDescent="0.25">
      <c r="A349" s="6"/>
      <c r="B349" s="33" t="s">
        <v>198</v>
      </c>
      <c r="C349" s="19"/>
      <c r="D349" s="51"/>
      <c r="E349" s="51"/>
      <c r="F349" s="41"/>
      <c r="G349" s="36"/>
      <c r="H349" s="10"/>
      <c r="I349" s="11"/>
      <c r="J349" s="13"/>
      <c r="K349" s="45"/>
      <c r="L349" s="37"/>
      <c r="M349" s="17"/>
      <c r="N349" s="11"/>
      <c r="O349" s="16"/>
      <c r="P349" s="16"/>
      <c r="Q349" s="18" t="str">
        <f t="shared" si="30"/>
        <v/>
      </c>
      <c r="R349" s="18" t="str">
        <f t="shared" si="31"/>
        <v/>
      </c>
      <c r="S349" s="18" t="str">
        <f t="shared" si="32"/>
        <v/>
      </c>
      <c r="T349" s="18" t="str">
        <f t="shared" si="33"/>
        <v/>
      </c>
      <c r="U349" s="18" t="str">
        <f t="shared" si="34"/>
        <v/>
      </c>
      <c r="V349" s="18" t="str">
        <f t="shared" si="35"/>
        <v/>
      </c>
      <c r="W349" s="14"/>
    </row>
    <row r="350" spans="1:23" x14ac:dyDescent="0.25">
      <c r="A350" s="6"/>
      <c r="B350" s="33"/>
      <c r="C350" s="19"/>
      <c r="D350" s="51"/>
      <c r="E350" s="51"/>
      <c r="F350" s="41"/>
      <c r="G350" s="36"/>
      <c r="H350" s="10"/>
      <c r="I350" s="11"/>
      <c r="J350" s="13"/>
      <c r="K350" s="45"/>
      <c r="L350" s="37"/>
      <c r="M350" s="17"/>
      <c r="N350" s="11"/>
      <c r="O350" s="16"/>
      <c r="P350" s="16"/>
      <c r="Q350" s="18" t="str">
        <f t="shared" si="30"/>
        <v/>
      </c>
      <c r="R350" s="18" t="str">
        <f t="shared" si="31"/>
        <v/>
      </c>
      <c r="S350" s="18" t="str">
        <f t="shared" si="32"/>
        <v/>
      </c>
      <c r="T350" s="18" t="str">
        <f t="shared" si="33"/>
        <v/>
      </c>
      <c r="U350" s="18" t="str">
        <f t="shared" si="34"/>
        <v/>
      </c>
      <c r="V350" s="18" t="str">
        <f t="shared" si="35"/>
        <v/>
      </c>
      <c r="W350" s="14"/>
    </row>
    <row r="351" spans="1:23" ht="15" customHeight="1" x14ac:dyDescent="0.25">
      <c r="A351" s="6">
        <v>61</v>
      </c>
      <c r="B351" s="33" t="s">
        <v>34</v>
      </c>
      <c r="C351" s="44"/>
      <c r="D351" s="62">
        <f>1.25+0.3+1.25</f>
        <v>2.8</v>
      </c>
      <c r="E351" s="62"/>
      <c r="F351" s="41"/>
      <c r="G351" s="36">
        <v>0.25</v>
      </c>
      <c r="H351" s="10">
        <v>20</v>
      </c>
      <c r="I351" s="11">
        <v>1</v>
      </c>
      <c r="J351" s="13">
        <f>ROUND(2.75/G351+1,0)</f>
        <v>12</v>
      </c>
      <c r="K351" s="45">
        <f>D351</f>
        <v>2.8</v>
      </c>
      <c r="L351" s="37" t="str">
        <f>IF(O351&lt;12,"0",0.049*H351)</f>
        <v>0</v>
      </c>
      <c r="M351" s="17">
        <v>0</v>
      </c>
      <c r="N351" s="11">
        <f>M351*2*H351/1000</f>
        <v>0</v>
      </c>
      <c r="O351" s="16">
        <f>(D351)-N351</f>
        <v>2.8</v>
      </c>
      <c r="P351" s="16">
        <f>(I351*J351*O351)+L351</f>
        <v>33.599999999999994</v>
      </c>
      <c r="Q351" s="18" t="str">
        <f t="shared" si="30"/>
        <v/>
      </c>
      <c r="R351" s="18" t="str">
        <f t="shared" si="31"/>
        <v/>
      </c>
      <c r="S351" s="18" t="str">
        <f t="shared" si="32"/>
        <v/>
      </c>
      <c r="T351" s="18" t="str">
        <f t="shared" si="33"/>
        <v/>
      </c>
      <c r="U351" s="18">
        <f t="shared" si="34"/>
        <v>33.599999999999994</v>
      </c>
      <c r="V351" s="18" t="str">
        <f t="shared" si="35"/>
        <v/>
      </c>
      <c r="W351" s="14"/>
    </row>
    <row r="352" spans="1:23" x14ac:dyDescent="0.25">
      <c r="A352" s="6"/>
      <c r="B352" s="33" t="s">
        <v>198</v>
      </c>
      <c r="C352" s="19"/>
      <c r="D352" s="51"/>
      <c r="E352" s="51"/>
      <c r="F352" s="41"/>
      <c r="G352" s="36"/>
      <c r="H352" s="10"/>
      <c r="I352" s="11"/>
      <c r="J352" s="13"/>
      <c r="K352" s="45"/>
      <c r="L352" s="37"/>
      <c r="M352" s="17"/>
      <c r="N352" s="11"/>
      <c r="O352" s="16"/>
      <c r="P352" s="16"/>
      <c r="Q352" s="18" t="str">
        <f t="shared" si="30"/>
        <v/>
      </c>
      <c r="R352" s="18" t="str">
        <f t="shared" si="31"/>
        <v/>
      </c>
      <c r="S352" s="18" t="str">
        <f t="shared" si="32"/>
        <v/>
      </c>
      <c r="T352" s="18" t="str">
        <f t="shared" si="33"/>
        <v/>
      </c>
      <c r="U352" s="18" t="str">
        <f t="shared" si="34"/>
        <v/>
      </c>
      <c r="V352" s="18" t="str">
        <f t="shared" si="35"/>
        <v/>
      </c>
      <c r="W352" s="14"/>
    </row>
    <row r="353" spans="1:23" x14ac:dyDescent="0.25">
      <c r="A353" s="6"/>
      <c r="B353" s="33"/>
      <c r="C353" s="19"/>
      <c r="D353" s="51"/>
      <c r="E353" s="51"/>
      <c r="F353" s="41"/>
      <c r="G353" s="36"/>
      <c r="H353" s="10"/>
      <c r="I353" s="11"/>
      <c r="J353" s="13"/>
      <c r="K353" s="45"/>
      <c r="L353" s="37"/>
      <c r="M353" s="17"/>
      <c r="N353" s="11"/>
      <c r="O353" s="16"/>
      <c r="P353" s="16"/>
      <c r="Q353" s="18" t="str">
        <f t="shared" si="30"/>
        <v/>
      </c>
      <c r="R353" s="18" t="str">
        <f t="shared" si="31"/>
        <v/>
      </c>
      <c r="S353" s="18" t="str">
        <f t="shared" si="32"/>
        <v/>
      </c>
      <c r="T353" s="18" t="str">
        <f t="shared" si="33"/>
        <v/>
      </c>
      <c r="U353" s="18" t="str">
        <f t="shared" si="34"/>
        <v/>
      </c>
      <c r="V353" s="18" t="str">
        <f t="shared" si="35"/>
        <v/>
      </c>
      <c r="W353" s="14"/>
    </row>
    <row r="354" spans="1:23" ht="15" customHeight="1" x14ac:dyDescent="0.25">
      <c r="A354" s="6">
        <v>62</v>
      </c>
      <c r="B354" s="33" t="s">
        <v>33</v>
      </c>
      <c r="C354" s="44"/>
      <c r="D354" s="62">
        <f>1+0.75+1</f>
        <v>2.75</v>
      </c>
      <c r="E354" s="62"/>
      <c r="F354" s="41"/>
      <c r="G354" s="36">
        <v>0.25</v>
      </c>
      <c r="H354" s="10">
        <v>20</v>
      </c>
      <c r="I354" s="11">
        <v>1</v>
      </c>
      <c r="J354" s="13">
        <f>ROUND(2.8/G354+1,0)</f>
        <v>12</v>
      </c>
      <c r="K354" s="45">
        <f>D354</f>
        <v>2.75</v>
      </c>
      <c r="L354" s="37" t="str">
        <f>IF(O354&lt;12,"0",0.049*H354)</f>
        <v>0</v>
      </c>
      <c r="M354" s="17">
        <v>0</v>
      </c>
      <c r="N354" s="11">
        <f>M354*2*H354/1000</f>
        <v>0</v>
      </c>
      <c r="O354" s="16">
        <f>(D354)-N354</f>
        <v>2.75</v>
      </c>
      <c r="P354" s="16">
        <f>(I354*J354*O354)+L354</f>
        <v>33</v>
      </c>
      <c r="Q354" s="18" t="str">
        <f t="shared" si="30"/>
        <v/>
      </c>
      <c r="R354" s="18" t="str">
        <f t="shared" si="31"/>
        <v/>
      </c>
      <c r="S354" s="18" t="str">
        <f t="shared" si="32"/>
        <v/>
      </c>
      <c r="T354" s="18" t="str">
        <f t="shared" si="33"/>
        <v/>
      </c>
      <c r="U354" s="18">
        <f t="shared" si="34"/>
        <v>33</v>
      </c>
      <c r="V354" s="18" t="str">
        <f t="shared" si="35"/>
        <v/>
      </c>
      <c r="W354" s="14"/>
    </row>
    <row r="355" spans="1:23" x14ac:dyDescent="0.25">
      <c r="A355" s="6"/>
      <c r="B355" s="33" t="s">
        <v>199</v>
      </c>
      <c r="C355" s="19"/>
      <c r="D355" s="51"/>
      <c r="E355" s="51"/>
      <c r="F355" s="41"/>
      <c r="G355" s="36"/>
      <c r="H355" s="10"/>
      <c r="I355" s="11"/>
      <c r="J355" s="13"/>
      <c r="K355" s="45"/>
      <c r="L355" s="37"/>
      <c r="M355" s="17"/>
      <c r="N355" s="11"/>
      <c r="O355" s="16"/>
      <c r="P355" s="16"/>
      <c r="Q355" s="18" t="str">
        <f t="shared" si="30"/>
        <v/>
      </c>
      <c r="R355" s="18" t="str">
        <f t="shared" si="31"/>
        <v/>
      </c>
      <c r="S355" s="18" t="str">
        <f t="shared" si="32"/>
        <v/>
      </c>
      <c r="T355" s="18" t="str">
        <f t="shared" si="33"/>
        <v/>
      </c>
      <c r="U355" s="18" t="str">
        <f t="shared" si="34"/>
        <v/>
      </c>
      <c r="V355" s="18" t="str">
        <f t="shared" si="35"/>
        <v/>
      </c>
      <c r="W355" s="14"/>
    </row>
    <row r="356" spans="1:23" x14ac:dyDescent="0.25">
      <c r="A356" s="6"/>
      <c r="B356" s="33"/>
      <c r="C356" s="19"/>
      <c r="D356" s="51"/>
      <c r="E356" s="51"/>
      <c r="F356" s="41"/>
      <c r="G356" s="36"/>
      <c r="H356" s="10"/>
      <c r="I356" s="11"/>
      <c r="J356" s="13"/>
      <c r="K356" s="45"/>
      <c r="L356" s="37"/>
      <c r="M356" s="17"/>
      <c r="N356" s="11"/>
      <c r="O356" s="16"/>
      <c r="P356" s="16"/>
      <c r="Q356" s="18" t="str">
        <f t="shared" si="30"/>
        <v/>
      </c>
      <c r="R356" s="18" t="str">
        <f t="shared" si="31"/>
        <v/>
      </c>
      <c r="S356" s="18" t="str">
        <f t="shared" si="32"/>
        <v/>
      </c>
      <c r="T356" s="18" t="str">
        <f t="shared" si="33"/>
        <v/>
      </c>
      <c r="U356" s="18" t="str">
        <f t="shared" si="34"/>
        <v/>
      </c>
      <c r="V356" s="18" t="str">
        <f t="shared" si="35"/>
        <v/>
      </c>
      <c r="W356" s="14"/>
    </row>
    <row r="357" spans="1:23" ht="15" customHeight="1" x14ac:dyDescent="0.25">
      <c r="A357" s="6">
        <v>63</v>
      </c>
      <c r="B357" s="33" t="s">
        <v>34</v>
      </c>
      <c r="C357" s="44"/>
      <c r="D357" s="62">
        <f>1.25+0.3+1.25</f>
        <v>2.8</v>
      </c>
      <c r="E357" s="62"/>
      <c r="F357" s="41"/>
      <c r="G357" s="36">
        <v>0.25</v>
      </c>
      <c r="H357" s="10">
        <v>25</v>
      </c>
      <c r="I357" s="11">
        <v>1</v>
      </c>
      <c r="J357" s="13">
        <f>ROUND(2.75/G357+1,0)</f>
        <v>12</v>
      </c>
      <c r="K357" s="45">
        <f>D357</f>
        <v>2.8</v>
      </c>
      <c r="L357" s="37" t="str">
        <f>IF(O357&lt;12,"0",0.049*H357)</f>
        <v>0</v>
      </c>
      <c r="M357" s="17">
        <v>0</v>
      </c>
      <c r="N357" s="11">
        <f>M357*2*H357/1000</f>
        <v>0</v>
      </c>
      <c r="O357" s="16">
        <f>(D357)-N357</f>
        <v>2.8</v>
      </c>
      <c r="P357" s="16">
        <f>(I357*J357*O357)+L357</f>
        <v>33.599999999999994</v>
      </c>
      <c r="Q357" s="18" t="str">
        <f t="shared" si="30"/>
        <v/>
      </c>
      <c r="R357" s="18" t="str">
        <f t="shared" si="31"/>
        <v/>
      </c>
      <c r="S357" s="18" t="str">
        <f t="shared" si="32"/>
        <v/>
      </c>
      <c r="T357" s="18" t="str">
        <f t="shared" si="33"/>
        <v/>
      </c>
      <c r="U357" s="18" t="str">
        <f t="shared" si="34"/>
        <v/>
      </c>
      <c r="V357" s="18">
        <f t="shared" si="35"/>
        <v>33.599999999999994</v>
      </c>
      <c r="W357" s="14"/>
    </row>
    <row r="358" spans="1:23" x14ac:dyDescent="0.25">
      <c r="A358" s="6"/>
      <c r="B358" s="33" t="s">
        <v>199</v>
      </c>
      <c r="C358" s="19"/>
      <c r="D358" s="51"/>
      <c r="E358" s="51"/>
      <c r="F358" s="41"/>
      <c r="G358" s="36"/>
      <c r="H358" s="10"/>
      <c r="I358" s="11"/>
      <c r="J358" s="13"/>
      <c r="K358" s="45"/>
      <c r="L358" s="37"/>
      <c r="M358" s="17"/>
      <c r="N358" s="11"/>
      <c r="O358" s="16"/>
      <c r="P358" s="16"/>
      <c r="Q358" s="18" t="str">
        <f t="shared" si="30"/>
        <v/>
      </c>
      <c r="R358" s="18" t="str">
        <f t="shared" si="31"/>
        <v/>
      </c>
      <c r="S358" s="18" t="str">
        <f t="shared" si="32"/>
        <v/>
      </c>
      <c r="T358" s="18" t="str">
        <f t="shared" si="33"/>
        <v/>
      </c>
      <c r="U358" s="18" t="str">
        <f t="shared" si="34"/>
        <v/>
      </c>
      <c r="V358" s="18" t="str">
        <f t="shared" si="35"/>
        <v/>
      </c>
      <c r="W358" s="14"/>
    </row>
    <row r="359" spans="1:23" x14ac:dyDescent="0.25">
      <c r="A359" s="6"/>
      <c r="B359" s="33"/>
      <c r="C359" s="19"/>
      <c r="D359" s="51"/>
      <c r="E359" s="51"/>
      <c r="F359" s="41"/>
      <c r="G359" s="36"/>
      <c r="H359" s="10"/>
      <c r="I359" s="11"/>
      <c r="J359" s="13"/>
      <c r="K359" s="45"/>
      <c r="L359" s="37"/>
      <c r="M359" s="17"/>
      <c r="N359" s="11"/>
      <c r="O359" s="16"/>
      <c r="P359" s="16"/>
      <c r="Q359" s="18" t="str">
        <f t="shared" si="30"/>
        <v/>
      </c>
      <c r="R359" s="18" t="str">
        <f t="shared" si="31"/>
        <v/>
      </c>
      <c r="S359" s="18" t="str">
        <f t="shared" si="32"/>
        <v/>
      </c>
      <c r="T359" s="18" t="str">
        <f t="shared" si="33"/>
        <v/>
      </c>
      <c r="U359" s="18" t="str">
        <f t="shared" si="34"/>
        <v/>
      </c>
      <c r="V359" s="18" t="str">
        <f t="shared" si="35"/>
        <v/>
      </c>
      <c r="W359" s="14"/>
    </row>
    <row r="360" spans="1:23" ht="15" customHeight="1" x14ac:dyDescent="0.25">
      <c r="A360" s="6">
        <v>64</v>
      </c>
      <c r="B360" s="33" t="s">
        <v>34</v>
      </c>
      <c r="C360" s="44"/>
      <c r="D360" s="62">
        <f>1.25+0.3+1.25</f>
        <v>2.8</v>
      </c>
      <c r="E360" s="62"/>
      <c r="F360" s="41"/>
      <c r="G360" s="36">
        <v>0.25</v>
      </c>
      <c r="H360" s="10">
        <v>20</v>
      </c>
      <c r="I360" s="11">
        <v>1</v>
      </c>
      <c r="J360" s="13">
        <f>ROUND(2.75/G360+1,0)</f>
        <v>12</v>
      </c>
      <c r="K360" s="45">
        <f>D360</f>
        <v>2.8</v>
      </c>
      <c r="L360" s="37" t="str">
        <f>IF(O360&lt;12,"0",0.049*H360)</f>
        <v>0</v>
      </c>
      <c r="M360" s="17">
        <v>0</v>
      </c>
      <c r="N360" s="11">
        <f>M360*2*H360/1000</f>
        <v>0</v>
      </c>
      <c r="O360" s="16">
        <f>(D360)-N360</f>
        <v>2.8</v>
      </c>
      <c r="P360" s="16">
        <f>(I360*J360*O360)+L360</f>
        <v>33.599999999999994</v>
      </c>
      <c r="Q360" s="18" t="str">
        <f t="shared" si="30"/>
        <v/>
      </c>
      <c r="R360" s="18" t="str">
        <f t="shared" si="31"/>
        <v/>
      </c>
      <c r="S360" s="18" t="str">
        <f t="shared" si="32"/>
        <v/>
      </c>
      <c r="T360" s="18" t="str">
        <f t="shared" si="33"/>
        <v/>
      </c>
      <c r="U360" s="18">
        <f t="shared" si="34"/>
        <v>33.599999999999994</v>
      </c>
      <c r="V360" s="18" t="str">
        <f t="shared" si="35"/>
        <v/>
      </c>
      <c r="W360" s="14"/>
    </row>
    <row r="361" spans="1:23" x14ac:dyDescent="0.25">
      <c r="A361" s="6"/>
      <c r="B361" s="33" t="s">
        <v>199</v>
      </c>
      <c r="C361" s="19"/>
      <c r="D361" s="51"/>
      <c r="E361" s="51"/>
      <c r="F361" s="41"/>
      <c r="G361" s="36"/>
      <c r="H361" s="10"/>
      <c r="I361" s="11"/>
      <c r="J361" s="13"/>
      <c r="K361" s="45"/>
      <c r="L361" s="37"/>
      <c r="M361" s="17"/>
      <c r="N361" s="11"/>
      <c r="O361" s="16"/>
      <c r="P361" s="16"/>
      <c r="Q361" s="18" t="str">
        <f t="shared" si="30"/>
        <v/>
      </c>
      <c r="R361" s="18" t="str">
        <f t="shared" si="31"/>
        <v/>
      </c>
      <c r="S361" s="18" t="str">
        <f t="shared" si="32"/>
        <v/>
      </c>
      <c r="T361" s="18" t="str">
        <f t="shared" si="33"/>
        <v/>
      </c>
      <c r="U361" s="18" t="str">
        <f t="shared" si="34"/>
        <v/>
      </c>
      <c r="V361" s="18" t="str">
        <f t="shared" si="35"/>
        <v/>
      </c>
      <c r="W361" s="14"/>
    </row>
    <row r="362" spans="1:23" x14ac:dyDescent="0.25">
      <c r="A362" s="6"/>
      <c r="B362" s="33"/>
      <c r="C362" s="19"/>
      <c r="D362" s="51"/>
      <c r="E362" s="51"/>
      <c r="F362" s="41"/>
      <c r="G362" s="36"/>
      <c r="H362" s="10"/>
      <c r="I362" s="11"/>
      <c r="J362" s="13"/>
      <c r="K362" s="45"/>
      <c r="L362" s="37"/>
      <c r="M362" s="17"/>
      <c r="N362" s="11"/>
      <c r="O362" s="16"/>
      <c r="P362" s="16"/>
      <c r="Q362" s="18" t="str">
        <f t="shared" si="30"/>
        <v/>
      </c>
      <c r="R362" s="18" t="str">
        <f t="shared" si="31"/>
        <v/>
      </c>
      <c r="S362" s="18" t="str">
        <f t="shared" si="32"/>
        <v/>
      </c>
      <c r="T362" s="18" t="str">
        <f t="shared" si="33"/>
        <v/>
      </c>
      <c r="U362" s="18" t="str">
        <f t="shared" si="34"/>
        <v/>
      </c>
      <c r="V362" s="18" t="str">
        <f t="shared" si="35"/>
        <v/>
      </c>
      <c r="W362" s="14"/>
    </row>
    <row r="363" spans="1:23" ht="15" customHeight="1" x14ac:dyDescent="0.25">
      <c r="A363" s="6">
        <v>65</v>
      </c>
      <c r="B363" s="33" t="s">
        <v>33</v>
      </c>
      <c r="C363" s="44"/>
      <c r="D363" s="62">
        <f>0.8+0.23+0.8</f>
        <v>1.83</v>
      </c>
      <c r="E363" s="62"/>
      <c r="F363" s="41"/>
      <c r="G363" s="36">
        <v>0.25</v>
      </c>
      <c r="H363" s="10">
        <v>16</v>
      </c>
      <c r="I363" s="11">
        <v>1</v>
      </c>
      <c r="J363" s="13">
        <f>ROUND(D366/G363+1,0)</f>
        <v>14</v>
      </c>
      <c r="K363" s="45">
        <f>D363</f>
        <v>1.83</v>
      </c>
      <c r="L363" s="37" t="str">
        <f>IF(O363&lt;12,"0",0.049*H363)</f>
        <v>0</v>
      </c>
      <c r="M363" s="17">
        <v>0</v>
      </c>
      <c r="N363" s="11">
        <f>M363*2*H363/1000</f>
        <v>0</v>
      </c>
      <c r="O363" s="16">
        <f>(D363)-N363</f>
        <v>1.83</v>
      </c>
      <c r="P363" s="16">
        <f>(I363*J363*O363)+L363</f>
        <v>25.62</v>
      </c>
      <c r="Q363" s="18" t="str">
        <f t="shared" si="30"/>
        <v/>
      </c>
      <c r="R363" s="18" t="str">
        <f t="shared" si="31"/>
        <v/>
      </c>
      <c r="S363" s="18" t="str">
        <f t="shared" si="32"/>
        <v/>
      </c>
      <c r="T363" s="18">
        <f t="shared" si="33"/>
        <v>25.62</v>
      </c>
      <c r="U363" s="18" t="str">
        <f t="shared" si="34"/>
        <v/>
      </c>
      <c r="V363" s="18" t="str">
        <f t="shared" si="35"/>
        <v/>
      </c>
      <c r="W363" s="14"/>
    </row>
    <row r="364" spans="1:23" x14ac:dyDescent="0.25">
      <c r="A364" s="6"/>
      <c r="B364" s="33" t="s">
        <v>200</v>
      </c>
      <c r="C364" s="19"/>
      <c r="D364" s="51"/>
      <c r="E364" s="51"/>
      <c r="F364" s="41"/>
      <c r="G364" s="36"/>
      <c r="H364" s="10"/>
      <c r="I364" s="11"/>
      <c r="J364" s="13"/>
      <c r="K364" s="45"/>
      <c r="L364" s="37"/>
      <c r="M364" s="17"/>
      <c r="N364" s="11"/>
      <c r="O364" s="16"/>
      <c r="P364" s="16"/>
      <c r="Q364" s="18" t="str">
        <f t="shared" si="30"/>
        <v/>
      </c>
      <c r="R364" s="18" t="str">
        <f t="shared" si="31"/>
        <v/>
      </c>
      <c r="S364" s="18" t="str">
        <f t="shared" si="32"/>
        <v/>
      </c>
      <c r="T364" s="18" t="str">
        <f t="shared" si="33"/>
        <v/>
      </c>
      <c r="U364" s="18" t="str">
        <f t="shared" si="34"/>
        <v/>
      </c>
      <c r="V364" s="18" t="str">
        <f t="shared" si="35"/>
        <v/>
      </c>
      <c r="W364" s="14"/>
    </row>
    <row r="365" spans="1:23" x14ac:dyDescent="0.25">
      <c r="A365" s="6"/>
      <c r="B365" s="33"/>
      <c r="C365" s="19"/>
      <c r="D365" s="51"/>
      <c r="E365" s="51"/>
      <c r="F365" s="41"/>
      <c r="G365" s="36"/>
      <c r="H365" s="10"/>
      <c r="I365" s="11"/>
      <c r="J365" s="13"/>
      <c r="K365" s="45"/>
      <c r="L365" s="37"/>
      <c r="M365" s="17"/>
      <c r="N365" s="11"/>
      <c r="O365" s="16"/>
      <c r="P365" s="16"/>
      <c r="Q365" s="18" t="str">
        <f t="shared" si="30"/>
        <v/>
      </c>
      <c r="R365" s="18" t="str">
        <f t="shared" si="31"/>
        <v/>
      </c>
      <c r="S365" s="18" t="str">
        <f t="shared" si="32"/>
        <v/>
      </c>
      <c r="T365" s="18" t="str">
        <f t="shared" si="33"/>
        <v/>
      </c>
      <c r="U365" s="18" t="str">
        <f t="shared" si="34"/>
        <v/>
      </c>
      <c r="V365" s="18" t="str">
        <f t="shared" si="35"/>
        <v/>
      </c>
      <c r="W365" s="14"/>
    </row>
    <row r="366" spans="1:23" ht="15" customHeight="1" x14ac:dyDescent="0.25">
      <c r="A366" s="6">
        <v>66</v>
      </c>
      <c r="B366" s="33" t="s">
        <v>34</v>
      </c>
      <c r="C366" s="44"/>
      <c r="D366" s="62">
        <f>1+1.185+1</f>
        <v>3.1850000000000001</v>
      </c>
      <c r="E366" s="62"/>
      <c r="F366" s="41"/>
      <c r="G366" s="36">
        <v>0.25</v>
      </c>
      <c r="H366" s="10">
        <v>20</v>
      </c>
      <c r="I366" s="11">
        <v>1</v>
      </c>
      <c r="J366" s="13">
        <f>ROUND(D363/G366+1,0)</f>
        <v>8</v>
      </c>
      <c r="K366" s="45">
        <f>D366</f>
        <v>3.1850000000000001</v>
      </c>
      <c r="L366" s="37" t="str">
        <f>IF(O366&lt;12,"0",0.049*H366)</f>
        <v>0</v>
      </c>
      <c r="M366" s="17">
        <v>0</v>
      </c>
      <c r="N366" s="11">
        <f>M366*2*H366/1000</f>
        <v>0</v>
      </c>
      <c r="O366" s="16">
        <f>(D366)-N366</f>
        <v>3.1850000000000001</v>
      </c>
      <c r="P366" s="16">
        <f>(I366*J366*O366)+L366</f>
        <v>25.48</v>
      </c>
      <c r="Q366" s="18" t="str">
        <f t="shared" si="30"/>
        <v/>
      </c>
      <c r="R366" s="18" t="str">
        <f t="shared" si="31"/>
        <v/>
      </c>
      <c r="S366" s="18" t="str">
        <f t="shared" si="32"/>
        <v/>
      </c>
      <c r="T366" s="18" t="str">
        <f t="shared" si="33"/>
        <v/>
      </c>
      <c r="U366" s="18">
        <f t="shared" si="34"/>
        <v>25.48</v>
      </c>
      <c r="V366" s="18" t="str">
        <f t="shared" si="35"/>
        <v/>
      </c>
      <c r="W366" s="14"/>
    </row>
    <row r="367" spans="1:23" x14ac:dyDescent="0.25">
      <c r="A367" s="6"/>
      <c r="B367" s="33" t="s">
        <v>200</v>
      </c>
      <c r="C367" s="19"/>
      <c r="D367" s="51"/>
      <c r="E367" s="51"/>
      <c r="F367" s="41"/>
      <c r="G367" s="36"/>
      <c r="H367" s="10"/>
      <c r="I367" s="11"/>
      <c r="J367" s="13"/>
      <c r="K367" s="45"/>
      <c r="L367" s="37"/>
      <c r="M367" s="17"/>
      <c r="N367" s="11"/>
      <c r="O367" s="16"/>
      <c r="P367" s="16"/>
      <c r="Q367" s="18" t="str">
        <f t="shared" si="30"/>
        <v/>
      </c>
      <c r="R367" s="18" t="str">
        <f t="shared" si="31"/>
        <v/>
      </c>
      <c r="S367" s="18" t="str">
        <f t="shared" si="32"/>
        <v/>
      </c>
      <c r="T367" s="18" t="str">
        <f t="shared" si="33"/>
        <v/>
      </c>
      <c r="U367" s="18" t="str">
        <f t="shared" si="34"/>
        <v/>
      </c>
      <c r="V367" s="18" t="str">
        <f t="shared" si="35"/>
        <v/>
      </c>
      <c r="W367" s="14"/>
    </row>
    <row r="368" spans="1:23" x14ac:dyDescent="0.25">
      <c r="A368" s="6"/>
      <c r="B368" s="33"/>
      <c r="C368" s="19"/>
      <c r="D368" s="51"/>
      <c r="E368" s="51"/>
      <c r="F368" s="41"/>
      <c r="G368" s="36"/>
      <c r="H368" s="10"/>
      <c r="I368" s="11"/>
      <c r="J368" s="13"/>
      <c r="K368" s="45"/>
      <c r="L368" s="37"/>
      <c r="M368" s="17"/>
      <c r="N368" s="11"/>
      <c r="O368" s="16"/>
      <c r="P368" s="16"/>
      <c r="Q368" s="18" t="str">
        <f t="shared" si="30"/>
        <v/>
      </c>
      <c r="R368" s="18" t="str">
        <f t="shared" si="31"/>
        <v/>
      </c>
      <c r="S368" s="18" t="str">
        <f t="shared" si="32"/>
        <v/>
      </c>
      <c r="T368" s="18" t="str">
        <f t="shared" si="33"/>
        <v/>
      </c>
      <c r="U368" s="18" t="str">
        <f t="shared" si="34"/>
        <v/>
      </c>
      <c r="V368" s="18" t="str">
        <f t="shared" si="35"/>
        <v/>
      </c>
      <c r="W368" s="14"/>
    </row>
    <row r="369" spans="1:23" ht="15" customHeight="1" x14ac:dyDescent="0.25">
      <c r="A369" s="6">
        <v>67</v>
      </c>
      <c r="B369" s="33" t="s">
        <v>33</v>
      </c>
      <c r="C369" s="44"/>
      <c r="D369" s="62">
        <f>1+0.6+1</f>
        <v>2.6</v>
      </c>
      <c r="E369" s="62"/>
      <c r="F369" s="41"/>
      <c r="G369" s="36">
        <v>0.25</v>
      </c>
      <c r="H369" s="10">
        <v>20</v>
      </c>
      <c r="I369" s="11">
        <v>1</v>
      </c>
      <c r="J369" s="13">
        <f>ROUND(D372/G369+1,0)</f>
        <v>12</v>
      </c>
      <c r="K369" s="45">
        <f>D369</f>
        <v>2.6</v>
      </c>
      <c r="L369" s="37" t="str">
        <f>IF(O369&lt;12,"0",0.049*H369)</f>
        <v>0</v>
      </c>
      <c r="M369" s="17">
        <v>0</v>
      </c>
      <c r="N369" s="11">
        <f>M369*2*H369/1000</f>
        <v>0</v>
      </c>
      <c r="O369" s="16">
        <f>(D369)-N369</f>
        <v>2.6</v>
      </c>
      <c r="P369" s="16">
        <f>(I369*J369*O369)+L369</f>
        <v>31.200000000000003</v>
      </c>
      <c r="Q369" s="18" t="str">
        <f t="shared" si="30"/>
        <v/>
      </c>
      <c r="R369" s="18" t="str">
        <f t="shared" si="31"/>
        <v/>
      </c>
      <c r="S369" s="18" t="str">
        <f t="shared" si="32"/>
        <v/>
      </c>
      <c r="T369" s="18" t="str">
        <f t="shared" si="33"/>
        <v/>
      </c>
      <c r="U369" s="18">
        <f t="shared" si="34"/>
        <v>31.200000000000003</v>
      </c>
      <c r="V369" s="18" t="str">
        <f t="shared" si="35"/>
        <v/>
      </c>
      <c r="W369" s="14"/>
    </row>
    <row r="370" spans="1:23" x14ac:dyDescent="0.25">
      <c r="A370" s="6"/>
      <c r="B370" s="33" t="s">
        <v>201</v>
      </c>
      <c r="C370" s="19"/>
      <c r="D370" s="51"/>
      <c r="E370" s="51"/>
      <c r="F370" s="41"/>
      <c r="G370" s="36"/>
      <c r="H370" s="10"/>
      <c r="I370" s="11"/>
      <c r="J370" s="13"/>
      <c r="K370" s="45"/>
      <c r="L370" s="37"/>
      <c r="M370" s="17"/>
      <c r="N370" s="11"/>
      <c r="O370" s="16"/>
      <c r="P370" s="16"/>
      <c r="Q370" s="18" t="str">
        <f t="shared" si="30"/>
        <v/>
      </c>
      <c r="R370" s="18" t="str">
        <f t="shared" si="31"/>
        <v/>
      </c>
      <c r="S370" s="18" t="str">
        <f t="shared" si="32"/>
        <v/>
      </c>
      <c r="T370" s="18" t="str">
        <f t="shared" si="33"/>
        <v/>
      </c>
      <c r="U370" s="18" t="str">
        <f t="shared" si="34"/>
        <v/>
      </c>
      <c r="V370" s="18" t="str">
        <f t="shared" si="35"/>
        <v/>
      </c>
      <c r="W370" s="14"/>
    </row>
    <row r="371" spans="1:23" x14ac:dyDescent="0.25">
      <c r="A371" s="6"/>
      <c r="B371" s="33"/>
      <c r="C371" s="19"/>
      <c r="D371" s="51"/>
      <c r="E371" s="51"/>
      <c r="F371" s="41"/>
      <c r="G371" s="36"/>
      <c r="H371" s="10"/>
      <c r="I371" s="11"/>
      <c r="J371" s="13"/>
      <c r="K371" s="45"/>
      <c r="L371" s="37"/>
      <c r="M371" s="17"/>
      <c r="N371" s="11"/>
      <c r="O371" s="16"/>
      <c r="P371" s="16"/>
      <c r="Q371" s="18" t="str">
        <f t="shared" si="30"/>
        <v/>
      </c>
      <c r="R371" s="18" t="str">
        <f t="shared" si="31"/>
        <v/>
      </c>
      <c r="S371" s="18" t="str">
        <f t="shared" si="32"/>
        <v/>
      </c>
      <c r="T371" s="18" t="str">
        <f t="shared" si="33"/>
        <v/>
      </c>
      <c r="U371" s="18" t="str">
        <f t="shared" si="34"/>
        <v/>
      </c>
      <c r="V371" s="18" t="str">
        <f t="shared" si="35"/>
        <v/>
      </c>
      <c r="W371" s="14"/>
    </row>
    <row r="372" spans="1:23" ht="15" customHeight="1" x14ac:dyDescent="0.25">
      <c r="A372" s="6">
        <v>68</v>
      </c>
      <c r="B372" s="33" t="s">
        <v>34</v>
      </c>
      <c r="C372" s="44"/>
      <c r="D372" s="62">
        <f>1.25+0.2+1.25</f>
        <v>2.7</v>
      </c>
      <c r="E372" s="62"/>
      <c r="F372" s="41"/>
      <c r="G372" s="36">
        <v>0.25</v>
      </c>
      <c r="H372" s="10">
        <v>25</v>
      </c>
      <c r="I372" s="11">
        <v>1</v>
      </c>
      <c r="J372" s="13">
        <f>ROUND(D369/G372+1,0)</f>
        <v>11</v>
      </c>
      <c r="K372" s="45">
        <f>D372</f>
        <v>2.7</v>
      </c>
      <c r="L372" s="37" t="str">
        <f>IF(O372&lt;12,"0",0.049*H372)</f>
        <v>0</v>
      </c>
      <c r="M372" s="17">
        <v>0</v>
      </c>
      <c r="N372" s="11">
        <f>M372*2*H372/1000</f>
        <v>0</v>
      </c>
      <c r="O372" s="16">
        <f>(D372)-N372</f>
        <v>2.7</v>
      </c>
      <c r="P372" s="16">
        <f>(I372*J372*O372)+L372</f>
        <v>29.700000000000003</v>
      </c>
      <c r="Q372" s="18" t="str">
        <f t="shared" si="30"/>
        <v/>
      </c>
      <c r="R372" s="18" t="str">
        <f t="shared" si="31"/>
        <v/>
      </c>
      <c r="S372" s="18" t="str">
        <f t="shared" si="32"/>
        <v/>
      </c>
      <c r="T372" s="18" t="str">
        <f t="shared" si="33"/>
        <v/>
      </c>
      <c r="U372" s="18" t="str">
        <f t="shared" si="34"/>
        <v/>
      </c>
      <c r="V372" s="18">
        <f t="shared" si="35"/>
        <v>29.700000000000003</v>
      </c>
      <c r="W372" s="14"/>
    </row>
    <row r="373" spans="1:23" x14ac:dyDescent="0.25">
      <c r="A373" s="6"/>
      <c r="B373" s="33" t="s">
        <v>201</v>
      </c>
      <c r="C373" s="19"/>
      <c r="D373" s="51"/>
      <c r="E373" s="51"/>
      <c r="F373" s="41"/>
      <c r="G373" s="36"/>
      <c r="H373" s="10"/>
      <c r="I373" s="11"/>
      <c r="J373" s="13"/>
      <c r="K373" s="45"/>
      <c r="L373" s="37"/>
      <c r="M373" s="17"/>
      <c r="N373" s="11"/>
      <c r="O373" s="16"/>
      <c r="P373" s="16"/>
      <c r="Q373" s="18" t="str">
        <f t="shared" si="30"/>
        <v/>
      </c>
      <c r="R373" s="18" t="str">
        <f t="shared" si="31"/>
        <v/>
      </c>
      <c r="S373" s="18" t="str">
        <f t="shared" si="32"/>
        <v/>
      </c>
      <c r="T373" s="18" t="str">
        <f t="shared" si="33"/>
        <v/>
      </c>
      <c r="U373" s="18" t="str">
        <f t="shared" si="34"/>
        <v/>
      </c>
      <c r="V373" s="18" t="str">
        <f t="shared" si="35"/>
        <v/>
      </c>
      <c r="W373" s="14"/>
    </row>
    <row r="374" spans="1:23" x14ac:dyDescent="0.25">
      <c r="A374" s="6"/>
      <c r="B374" s="33"/>
      <c r="C374" s="19"/>
      <c r="D374" s="51"/>
      <c r="E374" s="51"/>
      <c r="F374" s="41"/>
      <c r="G374" s="36"/>
      <c r="H374" s="10"/>
      <c r="I374" s="11"/>
      <c r="J374" s="13"/>
      <c r="K374" s="45"/>
      <c r="L374" s="37"/>
      <c r="M374" s="17"/>
      <c r="N374" s="11"/>
      <c r="O374" s="16"/>
      <c r="P374" s="16"/>
      <c r="Q374" s="18" t="str">
        <f t="shared" si="30"/>
        <v/>
      </c>
      <c r="R374" s="18" t="str">
        <f t="shared" si="31"/>
        <v/>
      </c>
      <c r="S374" s="18" t="str">
        <f t="shared" si="32"/>
        <v/>
      </c>
      <c r="T374" s="18" t="str">
        <f t="shared" si="33"/>
        <v/>
      </c>
      <c r="U374" s="18" t="str">
        <f t="shared" si="34"/>
        <v/>
      </c>
      <c r="V374" s="18" t="str">
        <f t="shared" si="35"/>
        <v/>
      </c>
      <c r="W374" s="14"/>
    </row>
    <row r="375" spans="1:23" ht="15" customHeight="1" x14ac:dyDescent="0.25">
      <c r="A375" s="6">
        <v>69</v>
      </c>
      <c r="B375" s="33" t="s">
        <v>33</v>
      </c>
      <c r="C375" s="44"/>
      <c r="D375" s="62">
        <f>1.25+0.3+1.25</f>
        <v>2.8</v>
      </c>
      <c r="E375" s="62"/>
      <c r="F375" s="41"/>
      <c r="G375" s="36">
        <v>0.25</v>
      </c>
      <c r="H375" s="10">
        <v>20</v>
      </c>
      <c r="I375" s="11">
        <v>1</v>
      </c>
      <c r="J375" s="13">
        <f>ROUND(D378/G375+1,0)</f>
        <v>11</v>
      </c>
      <c r="K375" s="45">
        <f>D375</f>
        <v>2.8</v>
      </c>
      <c r="L375" s="37" t="str">
        <f>IF(O375&lt;12,"0",0.049*H375)</f>
        <v>0</v>
      </c>
      <c r="M375" s="17">
        <v>0</v>
      </c>
      <c r="N375" s="11">
        <f>M375*2*H375/1000</f>
        <v>0</v>
      </c>
      <c r="O375" s="16">
        <f>(D375)-N375</f>
        <v>2.8</v>
      </c>
      <c r="P375" s="16">
        <f>(I375*J375*O375)+L375</f>
        <v>30.799999999999997</v>
      </c>
      <c r="Q375" s="18" t="str">
        <f t="shared" si="30"/>
        <v/>
      </c>
      <c r="R375" s="18" t="str">
        <f t="shared" si="31"/>
        <v/>
      </c>
      <c r="S375" s="18" t="str">
        <f t="shared" si="32"/>
        <v/>
      </c>
      <c r="T375" s="18" t="str">
        <f t="shared" si="33"/>
        <v/>
      </c>
      <c r="U375" s="18">
        <f t="shared" si="34"/>
        <v>30.799999999999997</v>
      </c>
      <c r="V375" s="18" t="str">
        <f t="shared" si="35"/>
        <v/>
      </c>
      <c r="W375" s="14"/>
    </row>
    <row r="376" spans="1:23" x14ac:dyDescent="0.25">
      <c r="A376" s="6"/>
      <c r="B376" s="33" t="s">
        <v>202</v>
      </c>
      <c r="C376" s="19"/>
      <c r="D376" s="51"/>
      <c r="E376" s="51"/>
      <c r="F376" s="41"/>
      <c r="G376" s="36"/>
      <c r="H376" s="10"/>
      <c r="I376" s="11"/>
      <c r="J376" s="13"/>
      <c r="K376" s="45"/>
      <c r="L376" s="37"/>
      <c r="M376" s="17"/>
      <c r="N376" s="11"/>
      <c r="O376" s="16"/>
      <c r="P376" s="16"/>
      <c r="Q376" s="18" t="str">
        <f t="shared" si="30"/>
        <v/>
      </c>
      <c r="R376" s="18" t="str">
        <f t="shared" si="31"/>
        <v/>
      </c>
      <c r="S376" s="18" t="str">
        <f t="shared" si="32"/>
        <v/>
      </c>
      <c r="T376" s="18" t="str">
        <f t="shared" si="33"/>
        <v/>
      </c>
      <c r="U376" s="18" t="str">
        <f t="shared" si="34"/>
        <v/>
      </c>
      <c r="V376" s="18" t="str">
        <f t="shared" si="35"/>
        <v/>
      </c>
      <c r="W376" s="14"/>
    </row>
    <row r="377" spans="1:23" x14ac:dyDescent="0.25">
      <c r="A377" s="6"/>
      <c r="B377" s="33"/>
      <c r="C377" s="19"/>
      <c r="D377" s="51"/>
      <c r="E377" s="51"/>
      <c r="F377" s="41"/>
      <c r="G377" s="36"/>
      <c r="H377" s="10"/>
      <c r="I377" s="11"/>
      <c r="J377" s="13"/>
      <c r="K377" s="45"/>
      <c r="L377" s="37"/>
      <c r="M377" s="17"/>
      <c r="N377" s="11"/>
      <c r="O377" s="16"/>
      <c r="P377" s="16"/>
      <c r="Q377" s="18" t="str">
        <f t="shared" si="30"/>
        <v/>
      </c>
      <c r="R377" s="18" t="str">
        <f t="shared" si="31"/>
        <v/>
      </c>
      <c r="S377" s="18" t="str">
        <f t="shared" si="32"/>
        <v/>
      </c>
      <c r="T377" s="18" t="str">
        <f t="shared" si="33"/>
        <v/>
      </c>
      <c r="U377" s="18" t="str">
        <f t="shared" si="34"/>
        <v/>
      </c>
      <c r="V377" s="18" t="str">
        <f t="shared" si="35"/>
        <v/>
      </c>
      <c r="W377" s="14"/>
    </row>
    <row r="378" spans="1:23" ht="15" customHeight="1" x14ac:dyDescent="0.25">
      <c r="A378" s="6">
        <v>70</v>
      </c>
      <c r="B378" s="33" t="s">
        <v>34</v>
      </c>
      <c r="C378" s="44"/>
      <c r="D378" s="62">
        <f>1+0.6+1</f>
        <v>2.6</v>
      </c>
      <c r="E378" s="62"/>
      <c r="F378" s="41"/>
      <c r="G378" s="36">
        <v>0.25</v>
      </c>
      <c r="H378" s="10">
        <v>25</v>
      </c>
      <c r="I378" s="11">
        <v>1</v>
      </c>
      <c r="J378" s="13">
        <f>ROUND(D375/G378+1,0)</f>
        <v>12</v>
      </c>
      <c r="K378" s="45">
        <f>D378</f>
        <v>2.6</v>
      </c>
      <c r="L378" s="37" t="str">
        <f>IF(O378&lt;12,"0",0.049*H378)</f>
        <v>0</v>
      </c>
      <c r="M378" s="17">
        <v>0</v>
      </c>
      <c r="N378" s="11">
        <f>M378*2*H378/1000</f>
        <v>0</v>
      </c>
      <c r="O378" s="16">
        <f>(D378)-N378</f>
        <v>2.6</v>
      </c>
      <c r="P378" s="16">
        <f>(I378*J378*O378)+L378</f>
        <v>31.200000000000003</v>
      </c>
      <c r="Q378" s="18" t="str">
        <f t="shared" si="30"/>
        <v/>
      </c>
      <c r="R378" s="18" t="str">
        <f t="shared" si="31"/>
        <v/>
      </c>
      <c r="S378" s="18" t="str">
        <f t="shared" si="32"/>
        <v/>
      </c>
      <c r="T378" s="18" t="str">
        <f t="shared" si="33"/>
        <v/>
      </c>
      <c r="U378" s="18" t="str">
        <f t="shared" si="34"/>
        <v/>
      </c>
      <c r="V378" s="18">
        <f t="shared" si="35"/>
        <v>31.200000000000003</v>
      </c>
      <c r="W378" s="14"/>
    </row>
    <row r="379" spans="1:23" x14ac:dyDescent="0.25">
      <c r="A379" s="6"/>
      <c r="B379" s="33" t="s">
        <v>202</v>
      </c>
      <c r="C379" s="19"/>
      <c r="D379" s="51"/>
      <c r="E379" s="51"/>
      <c r="F379" s="41"/>
      <c r="G379" s="36"/>
      <c r="H379" s="10"/>
      <c r="I379" s="11"/>
      <c r="J379" s="13"/>
      <c r="K379" s="45"/>
      <c r="L379" s="37"/>
      <c r="M379" s="17"/>
      <c r="N379" s="11"/>
      <c r="O379" s="16"/>
      <c r="P379" s="16"/>
      <c r="Q379" s="18" t="str">
        <f t="shared" si="30"/>
        <v/>
      </c>
      <c r="R379" s="18" t="str">
        <f t="shared" si="31"/>
        <v/>
      </c>
      <c r="S379" s="18" t="str">
        <f t="shared" si="32"/>
        <v/>
      </c>
      <c r="T379" s="18" t="str">
        <f t="shared" si="33"/>
        <v/>
      </c>
      <c r="U379" s="18" t="str">
        <f t="shared" si="34"/>
        <v/>
      </c>
      <c r="V379" s="18" t="str">
        <f t="shared" si="35"/>
        <v/>
      </c>
      <c r="W379" s="14"/>
    </row>
    <row r="380" spans="1:23" x14ac:dyDescent="0.25">
      <c r="A380" s="6"/>
      <c r="B380" s="33"/>
      <c r="C380" s="19"/>
      <c r="D380" s="51"/>
      <c r="E380" s="51"/>
      <c r="F380" s="41"/>
      <c r="G380" s="36"/>
      <c r="H380" s="10"/>
      <c r="I380" s="11"/>
      <c r="J380" s="13"/>
      <c r="K380" s="45"/>
      <c r="L380" s="37"/>
      <c r="M380" s="17"/>
      <c r="N380" s="11"/>
      <c r="O380" s="16"/>
      <c r="P380" s="16"/>
      <c r="Q380" s="18" t="str">
        <f t="shared" si="30"/>
        <v/>
      </c>
      <c r="R380" s="18" t="str">
        <f t="shared" si="31"/>
        <v/>
      </c>
      <c r="S380" s="18" t="str">
        <f t="shared" si="32"/>
        <v/>
      </c>
      <c r="T380" s="18" t="str">
        <f t="shared" si="33"/>
        <v/>
      </c>
      <c r="U380" s="18" t="str">
        <f t="shared" si="34"/>
        <v/>
      </c>
      <c r="V380" s="18" t="str">
        <f t="shared" si="35"/>
        <v/>
      </c>
      <c r="W380" s="14"/>
    </row>
    <row r="381" spans="1:23" ht="15" customHeight="1" x14ac:dyDescent="0.25">
      <c r="A381" s="6">
        <v>71</v>
      </c>
      <c r="B381" s="33" t="s">
        <v>33</v>
      </c>
      <c r="C381" s="44"/>
      <c r="D381" s="62">
        <f>1.25+0.3+1.25</f>
        <v>2.8</v>
      </c>
      <c r="E381" s="62"/>
      <c r="F381" s="41"/>
      <c r="G381" s="36">
        <v>0.25</v>
      </c>
      <c r="H381" s="10">
        <v>25</v>
      </c>
      <c r="I381" s="11">
        <v>1</v>
      </c>
      <c r="J381" s="13">
        <f>ROUND(3.1/G381+1,0)</f>
        <v>13</v>
      </c>
      <c r="K381" s="45">
        <f>D381</f>
        <v>2.8</v>
      </c>
      <c r="L381" s="37" t="str">
        <f>IF(O381&lt;12,"0",0.049*H381)</f>
        <v>0</v>
      </c>
      <c r="M381" s="17">
        <v>0</v>
      </c>
      <c r="N381" s="11">
        <f>M381*2*H381/1000</f>
        <v>0</v>
      </c>
      <c r="O381" s="16">
        <f>(D381)-N381</f>
        <v>2.8</v>
      </c>
      <c r="P381" s="16">
        <f>(I381*J381*O381)+L381</f>
        <v>36.4</v>
      </c>
      <c r="Q381" s="18" t="str">
        <f t="shared" si="30"/>
        <v/>
      </c>
      <c r="R381" s="18" t="str">
        <f t="shared" si="31"/>
        <v/>
      </c>
      <c r="S381" s="18" t="str">
        <f t="shared" si="32"/>
        <v/>
      </c>
      <c r="T381" s="18" t="str">
        <f t="shared" si="33"/>
        <v/>
      </c>
      <c r="U381" s="18" t="str">
        <f t="shared" si="34"/>
        <v/>
      </c>
      <c r="V381" s="18">
        <f t="shared" si="35"/>
        <v>36.4</v>
      </c>
      <c r="W381" s="14"/>
    </row>
    <row r="382" spans="1:23" x14ac:dyDescent="0.25">
      <c r="A382" s="6"/>
      <c r="B382" s="33" t="s">
        <v>203</v>
      </c>
      <c r="C382" s="19"/>
      <c r="D382" s="51"/>
      <c r="E382" s="51"/>
      <c r="F382" s="41"/>
      <c r="G382" s="36"/>
      <c r="H382" s="10"/>
      <c r="I382" s="11"/>
      <c r="J382" s="13"/>
      <c r="K382" s="45"/>
      <c r="L382" s="37"/>
      <c r="M382" s="17"/>
      <c r="N382" s="11"/>
      <c r="O382" s="16"/>
      <c r="P382" s="16"/>
      <c r="Q382" s="18" t="str">
        <f t="shared" si="30"/>
        <v/>
      </c>
      <c r="R382" s="18" t="str">
        <f t="shared" si="31"/>
        <v/>
      </c>
      <c r="S382" s="18" t="str">
        <f t="shared" si="32"/>
        <v/>
      </c>
      <c r="T382" s="18" t="str">
        <f t="shared" si="33"/>
        <v/>
      </c>
      <c r="U382" s="18" t="str">
        <f t="shared" si="34"/>
        <v/>
      </c>
      <c r="V382" s="18" t="str">
        <f t="shared" si="35"/>
        <v/>
      </c>
      <c r="W382" s="14"/>
    </row>
    <row r="383" spans="1:23" x14ac:dyDescent="0.25">
      <c r="A383" s="6"/>
      <c r="B383" s="33"/>
      <c r="C383" s="19"/>
      <c r="D383" s="51"/>
      <c r="E383" s="51"/>
      <c r="F383" s="41"/>
      <c r="G383" s="36"/>
      <c r="H383" s="10"/>
      <c r="I383" s="11"/>
      <c r="J383" s="13"/>
      <c r="K383" s="45"/>
      <c r="L383" s="37"/>
      <c r="M383" s="17"/>
      <c r="N383" s="11"/>
      <c r="O383" s="16"/>
      <c r="P383" s="16"/>
      <c r="Q383" s="18" t="str">
        <f t="shared" si="30"/>
        <v/>
      </c>
      <c r="R383" s="18" t="str">
        <f t="shared" si="31"/>
        <v/>
      </c>
      <c r="S383" s="18" t="str">
        <f t="shared" si="32"/>
        <v/>
      </c>
      <c r="T383" s="18" t="str">
        <f t="shared" si="33"/>
        <v/>
      </c>
      <c r="U383" s="18" t="str">
        <f t="shared" si="34"/>
        <v/>
      </c>
      <c r="V383" s="18" t="str">
        <f t="shared" si="35"/>
        <v/>
      </c>
      <c r="W383" s="14"/>
    </row>
    <row r="384" spans="1:23" ht="15" customHeight="1" x14ac:dyDescent="0.25">
      <c r="A384" s="6">
        <v>72</v>
      </c>
      <c r="B384" s="33" t="s">
        <v>34</v>
      </c>
      <c r="C384" s="44"/>
      <c r="D384" s="62">
        <f>1.25+0.6+1.25</f>
        <v>3.1</v>
      </c>
      <c r="E384" s="62"/>
      <c r="F384" s="41"/>
      <c r="G384" s="36">
        <v>0.25</v>
      </c>
      <c r="H384" s="10">
        <v>25</v>
      </c>
      <c r="I384" s="11">
        <v>1</v>
      </c>
      <c r="J384" s="13">
        <f>ROUND(2.8/G384+1,0)</f>
        <v>12</v>
      </c>
      <c r="K384" s="45">
        <f>D384</f>
        <v>3.1</v>
      </c>
      <c r="L384" s="37" t="str">
        <f>IF(O384&lt;12,"0",0.049*H384)</f>
        <v>0</v>
      </c>
      <c r="M384" s="17">
        <v>0</v>
      </c>
      <c r="N384" s="11">
        <f>M384*2*H384/1000</f>
        <v>0</v>
      </c>
      <c r="O384" s="16">
        <f>(D384)-N384</f>
        <v>3.1</v>
      </c>
      <c r="P384" s="16">
        <f>(I384*J384*O384)+L384</f>
        <v>37.200000000000003</v>
      </c>
      <c r="Q384" s="18" t="str">
        <f t="shared" ref="Q384:Q447" si="36">IF($H384=8,$P384,"")</f>
        <v/>
      </c>
      <c r="R384" s="18" t="str">
        <f t="shared" ref="R384:R447" si="37">IF($H384=10,$P384,"")</f>
        <v/>
      </c>
      <c r="S384" s="18" t="str">
        <f t="shared" ref="S384:S447" si="38">IF($H384=12,$P384,"")</f>
        <v/>
      </c>
      <c r="T384" s="18" t="str">
        <f t="shared" ref="T384:T447" si="39">IF($H384=16,$P384,"")</f>
        <v/>
      </c>
      <c r="U384" s="18" t="str">
        <f t="shared" ref="U384:U447" si="40">IF($H384=20,$P384,"")</f>
        <v/>
      </c>
      <c r="V384" s="18">
        <f t="shared" ref="V384:V447" si="41">IF($H384=25,$P384,"")</f>
        <v>37.200000000000003</v>
      </c>
      <c r="W384" s="14"/>
    </row>
    <row r="385" spans="1:23" x14ac:dyDescent="0.25">
      <c r="A385" s="6"/>
      <c r="B385" s="33" t="s">
        <v>203</v>
      </c>
      <c r="C385" s="19"/>
      <c r="D385" s="51"/>
      <c r="E385" s="51"/>
      <c r="F385" s="41"/>
      <c r="G385" s="36"/>
      <c r="H385" s="10"/>
      <c r="I385" s="11"/>
      <c r="J385" s="13"/>
      <c r="K385" s="45"/>
      <c r="L385" s="37"/>
      <c r="M385" s="17"/>
      <c r="N385" s="11"/>
      <c r="O385" s="16"/>
      <c r="P385" s="16"/>
      <c r="Q385" s="18" t="str">
        <f t="shared" si="36"/>
        <v/>
      </c>
      <c r="R385" s="18" t="str">
        <f t="shared" si="37"/>
        <v/>
      </c>
      <c r="S385" s="18" t="str">
        <f t="shared" si="38"/>
        <v/>
      </c>
      <c r="T385" s="18" t="str">
        <f t="shared" si="39"/>
        <v/>
      </c>
      <c r="U385" s="18" t="str">
        <f t="shared" si="40"/>
        <v/>
      </c>
      <c r="V385" s="18" t="str">
        <f t="shared" si="41"/>
        <v/>
      </c>
      <c r="W385" s="14"/>
    </row>
    <row r="386" spans="1:23" x14ac:dyDescent="0.25">
      <c r="A386" s="6"/>
      <c r="B386" s="33"/>
      <c r="C386" s="19"/>
      <c r="D386" s="51"/>
      <c r="E386" s="51"/>
      <c r="F386" s="41"/>
      <c r="G386" s="36"/>
      <c r="H386" s="10"/>
      <c r="I386" s="11"/>
      <c r="J386" s="13"/>
      <c r="K386" s="45"/>
      <c r="L386" s="37"/>
      <c r="M386" s="17"/>
      <c r="N386" s="11"/>
      <c r="O386" s="16"/>
      <c r="P386" s="16"/>
      <c r="Q386" s="18" t="str">
        <f t="shared" si="36"/>
        <v/>
      </c>
      <c r="R386" s="18" t="str">
        <f t="shared" si="37"/>
        <v/>
      </c>
      <c r="S386" s="18" t="str">
        <f t="shared" si="38"/>
        <v/>
      </c>
      <c r="T386" s="18" t="str">
        <f t="shared" si="39"/>
        <v/>
      </c>
      <c r="U386" s="18" t="str">
        <f t="shared" si="40"/>
        <v/>
      </c>
      <c r="V386" s="18" t="str">
        <f t="shared" si="41"/>
        <v/>
      </c>
      <c r="W386" s="14"/>
    </row>
    <row r="387" spans="1:23" ht="15" customHeight="1" x14ac:dyDescent="0.25">
      <c r="A387" s="6">
        <v>73</v>
      </c>
      <c r="B387" s="33" t="s">
        <v>33</v>
      </c>
      <c r="C387" s="44"/>
      <c r="D387" s="62">
        <f>1+0.3+1</f>
        <v>2.2999999999999998</v>
      </c>
      <c r="E387" s="62"/>
      <c r="F387" s="41"/>
      <c r="G387" s="36">
        <v>0.25</v>
      </c>
      <c r="H387" s="10">
        <v>20</v>
      </c>
      <c r="I387" s="11">
        <v>1</v>
      </c>
      <c r="J387" s="13">
        <f>ROUND(2.6/G387+1,0)</f>
        <v>11</v>
      </c>
      <c r="K387" s="45">
        <f>D387</f>
        <v>2.2999999999999998</v>
      </c>
      <c r="L387" s="37" t="str">
        <f>IF(O387&lt;12,"0",0.049*H387)</f>
        <v>0</v>
      </c>
      <c r="M387" s="17">
        <v>0</v>
      </c>
      <c r="N387" s="11">
        <f>M387*2*H387/1000</f>
        <v>0</v>
      </c>
      <c r="O387" s="16">
        <f>(D387)-N387</f>
        <v>2.2999999999999998</v>
      </c>
      <c r="P387" s="16">
        <f>(I387*J387*O387)+L387</f>
        <v>25.299999999999997</v>
      </c>
      <c r="Q387" s="18" t="str">
        <f t="shared" si="36"/>
        <v/>
      </c>
      <c r="R387" s="18" t="str">
        <f t="shared" si="37"/>
        <v/>
      </c>
      <c r="S387" s="18" t="str">
        <f t="shared" si="38"/>
        <v/>
      </c>
      <c r="T387" s="18" t="str">
        <f t="shared" si="39"/>
        <v/>
      </c>
      <c r="U387" s="18">
        <f t="shared" si="40"/>
        <v>25.299999999999997</v>
      </c>
      <c r="V387" s="18" t="str">
        <f t="shared" si="41"/>
        <v/>
      </c>
      <c r="W387" s="14"/>
    </row>
    <row r="388" spans="1:23" x14ac:dyDescent="0.25">
      <c r="A388" s="6"/>
      <c r="B388" s="33" t="s">
        <v>204</v>
      </c>
      <c r="C388" s="19"/>
      <c r="D388" s="51"/>
      <c r="E388" s="51"/>
      <c r="F388" s="41"/>
      <c r="G388" s="36"/>
      <c r="H388" s="10"/>
      <c r="I388" s="11"/>
      <c r="J388" s="13"/>
      <c r="K388" s="45"/>
      <c r="L388" s="37"/>
      <c r="M388" s="17"/>
      <c r="N388" s="11"/>
      <c r="O388" s="16"/>
      <c r="P388" s="16"/>
      <c r="Q388" s="18" t="str">
        <f t="shared" si="36"/>
        <v/>
      </c>
      <c r="R388" s="18" t="str">
        <f t="shared" si="37"/>
        <v/>
      </c>
      <c r="S388" s="18" t="str">
        <f t="shared" si="38"/>
        <v/>
      </c>
      <c r="T388" s="18" t="str">
        <f t="shared" si="39"/>
        <v/>
      </c>
      <c r="U388" s="18" t="str">
        <f t="shared" si="40"/>
        <v/>
      </c>
      <c r="V388" s="18" t="str">
        <f t="shared" si="41"/>
        <v/>
      </c>
      <c r="W388" s="14"/>
    </row>
    <row r="389" spans="1:23" x14ac:dyDescent="0.25">
      <c r="A389" s="6"/>
      <c r="B389" s="33"/>
      <c r="C389" s="19"/>
      <c r="D389" s="51"/>
      <c r="E389" s="51"/>
      <c r="F389" s="41"/>
      <c r="G389" s="36"/>
      <c r="H389" s="10"/>
      <c r="I389" s="11"/>
      <c r="J389" s="13"/>
      <c r="K389" s="45"/>
      <c r="L389" s="37"/>
      <c r="M389" s="17"/>
      <c r="N389" s="11"/>
      <c r="O389" s="16"/>
      <c r="P389" s="16"/>
      <c r="Q389" s="18" t="str">
        <f t="shared" si="36"/>
        <v/>
      </c>
      <c r="R389" s="18" t="str">
        <f t="shared" si="37"/>
        <v/>
      </c>
      <c r="S389" s="18" t="str">
        <f t="shared" si="38"/>
        <v/>
      </c>
      <c r="T389" s="18" t="str">
        <f t="shared" si="39"/>
        <v/>
      </c>
      <c r="U389" s="18" t="str">
        <f t="shared" si="40"/>
        <v/>
      </c>
      <c r="V389" s="18" t="str">
        <f t="shared" si="41"/>
        <v/>
      </c>
      <c r="W389" s="14"/>
    </row>
    <row r="390" spans="1:23" ht="15" customHeight="1" x14ac:dyDescent="0.25">
      <c r="A390" s="6">
        <v>74</v>
      </c>
      <c r="B390" s="33" t="s">
        <v>34</v>
      </c>
      <c r="C390" s="44"/>
      <c r="D390" s="62">
        <f>1+0.6+1</f>
        <v>2.6</v>
      </c>
      <c r="E390" s="62"/>
      <c r="F390" s="41"/>
      <c r="G390" s="36">
        <v>0.25</v>
      </c>
      <c r="H390" s="10">
        <v>20</v>
      </c>
      <c r="I390" s="11">
        <v>1</v>
      </c>
      <c r="J390" s="13">
        <f>ROUND(2.3/G390+1,0)</f>
        <v>10</v>
      </c>
      <c r="K390" s="45">
        <f>D390</f>
        <v>2.6</v>
      </c>
      <c r="L390" s="37" t="str">
        <f>IF(O390&lt;12,"0",0.049*H390)</f>
        <v>0</v>
      </c>
      <c r="M390" s="17">
        <v>0</v>
      </c>
      <c r="N390" s="11">
        <f>M390*2*H390/1000</f>
        <v>0</v>
      </c>
      <c r="O390" s="16">
        <f>(D390)-N390</f>
        <v>2.6</v>
      </c>
      <c r="P390" s="16">
        <f>(I390*J390*O390)+L390</f>
        <v>26</v>
      </c>
      <c r="Q390" s="18" t="str">
        <f t="shared" si="36"/>
        <v/>
      </c>
      <c r="R390" s="18" t="str">
        <f t="shared" si="37"/>
        <v/>
      </c>
      <c r="S390" s="18" t="str">
        <f t="shared" si="38"/>
        <v/>
      </c>
      <c r="T390" s="18" t="str">
        <f t="shared" si="39"/>
        <v/>
      </c>
      <c r="U390" s="18">
        <f t="shared" si="40"/>
        <v>26</v>
      </c>
      <c r="V390" s="18" t="str">
        <f t="shared" si="41"/>
        <v/>
      </c>
      <c r="W390" s="14"/>
    </row>
    <row r="391" spans="1:23" x14ac:dyDescent="0.25">
      <c r="A391" s="6"/>
      <c r="B391" s="33" t="s">
        <v>204</v>
      </c>
      <c r="C391" s="19"/>
      <c r="D391" s="51"/>
      <c r="E391" s="51"/>
      <c r="F391" s="41"/>
      <c r="G391" s="36"/>
      <c r="H391" s="10"/>
      <c r="I391" s="11"/>
      <c r="J391" s="13"/>
      <c r="K391" s="45"/>
      <c r="L391" s="37"/>
      <c r="M391" s="17"/>
      <c r="N391" s="11"/>
      <c r="O391" s="16"/>
      <c r="P391" s="16"/>
      <c r="Q391" s="18" t="str">
        <f t="shared" si="36"/>
        <v/>
      </c>
      <c r="R391" s="18" t="str">
        <f t="shared" si="37"/>
        <v/>
      </c>
      <c r="S391" s="18" t="str">
        <f t="shared" si="38"/>
        <v/>
      </c>
      <c r="T391" s="18" t="str">
        <f t="shared" si="39"/>
        <v/>
      </c>
      <c r="U391" s="18" t="str">
        <f t="shared" si="40"/>
        <v/>
      </c>
      <c r="V391" s="18" t="str">
        <f t="shared" si="41"/>
        <v/>
      </c>
      <c r="W391" s="14"/>
    </row>
    <row r="392" spans="1:23" x14ac:dyDescent="0.25">
      <c r="A392" s="6"/>
      <c r="B392" s="33"/>
      <c r="C392" s="19"/>
      <c r="D392" s="51"/>
      <c r="E392" s="51"/>
      <c r="F392" s="41"/>
      <c r="G392" s="36"/>
      <c r="H392" s="10"/>
      <c r="I392" s="11"/>
      <c r="J392" s="13"/>
      <c r="K392" s="45"/>
      <c r="L392" s="37"/>
      <c r="M392" s="17"/>
      <c r="N392" s="11"/>
      <c r="O392" s="16"/>
      <c r="P392" s="16"/>
      <c r="Q392" s="18" t="str">
        <f t="shared" si="36"/>
        <v/>
      </c>
      <c r="R392" s="18" t="str">
        <f t="shared" si="37"/>
        <v/>
      </c>
      <c r="S392" s="18" t="str">
        <f t="shared" si="38"/>
        <v/>
      </c>
      <c r="T392" s="18" t="str">
        <f t="shared" si="39"/>
        <v/>
      </c>
      <c r="U392" s="18" t="str">
        <f t="shared" si="40"/>
        <v/>
      </c>
      <c r="V392" s="18" t="str">
        <f t="shared" si="41"/>
        <v/>
      </c>
      <c r="W392" s="14"/>
    </row>
    <row r="393" spans="1:23" ht="15" customHeight="1" x14ac:dyDescent="0.25">
      <c r="A393" s="6">
        <v>75</v>
      </c>
      <c r="B393" s="33" t="s">
        <v>33</v>
      </c>
      <c r="C393" s="44"/>
      <c r="D393" s="62">
        <f>1.25+0.3+1.25</f>
        <v>2.8</v>
      </c>
      <c r="E393" s="62"/>
      <c r="F393" s="41"/>
      <c r="G393" s="36">
        <v>0.25</v>
      </c>
      <c r="H393" s="10">
        <v>25</v>
      </c>
      <c r="I393" s="11">
        <v>1</v>
      </c>
      <c r="J393" s="13">
        <f>ROUND(3.1/G393+1,0)</f>
        <v>13</v>
      </c>
      <c r="K393" s="45">
        <f>D393</f>
        <v>2.8</v>
      </c>
      <c r="L393" s="37" t="str">
        <f>IF(O393&lt;12,"0",0.049*H393)</f>
        <v>0</v>
      </c>
      <c r="M393" s="17">
        <v>0</v>
      </c>
      <c r="N393" s="11">
        <f>M393*2*H393/1000</f>
        <v>0</v>
      </c>
      <c r="O393" s="16">
        <f>(D393)-N393</f>
        <v>2.8</v>
      </c>
      <c r="P393" s="16">
        <f>(I393*J393*O393)+L393</f>
        <v>36.4</v>
      </c>
      <c r="Q393" s="18" t="str">
        <f t="shared" si="36"/>
        <v/>
      </c>
      <c r="R393" s="18" t="str">
        <f t="shared" si="37"/>
        <v/>
      </c>
      <c r="S393" s="18" t="str">
        <f t="shared" si="38"/>
        <v/>
      </c>
      <c r="T393" s="18" t="str">
        <f t="shared" si="39"/>
        <v/>
      </c>
      <c r="U393" s="18" t="str">
        <f t="shared" si="40"/>
        <v/>
      </c>
      <c r="V393" s="18">
        <f t="shared" si="41"/>
        <v>36.4</v>
      </c>
      <c r="W393" s="14"/>
    </row>
    <row r="394" spans="1:23" x14ac:dyDescent="0.25">
      <c r="A394" s="6"/>
      <c r="B394" s="33" t="s">
        <v>181</v>
      </c>
      <c r="C394" s="19"/>
      <c r="D394" s="51"/>
      <c r="E394" s="51"/>
      <c r="F394" s="41"/>
      <c r="G394" s="36"/>
      <c r="H394" s="10"/>
      <c r="I394" s="11"/>
      <c r="J394" s="13"/>
      <c r="K394" s="45"/>
      <c r="L394" s="37"/>
      <c r="M394" s="17"/>
      <c r="N394" s="11"/>
      <c r="O394" s="16"/>
      <c r="P394" s="16"/>
      <c r="Q394" s="18" t="str">
        <f t="shared" si="36"/>
        <v/>
      </c>
      <c r="R394" s="18" t="str">
        <f t="shared" si="37"/>
        <v/>
      </c>
      <c r="S394" s="18" t="str">
        <f t="shared" si="38"/>
        <v/>
      </c>
      <c r="T394" s="18" t="str">
        <f t="shared" si="39"/>
        <v/>
      </c>
      <c r="U394" s="18" t="str">
        <f t="shared" si="40"/>
        <v/>
      </c>
      <c r="V394" s="18" t="str">
        <f t="shared" si="41"/>
        <v/>
      </c>
      <c r="W394" s="14"/>
    </row>
    <row r="395" spans="1:23" x14ac:dyDescent="0.25">
      <c r="A395" s="6"/>
      <c r="B395" s="33"/>
      <c r="C395" s="19"/>
      <c r="D395" s="51"/>
      <c r="E395" s="51"/>
      <c r="F395" s="41"/>
      <c r="G395" s="36"/>
      <c r="H395" s="10"/>
      <c r="I395" s="11"/>
      <c r="J395" s="13"/>
      <c r="K395" s="45"/>
      <c r="L395" s="37"/>
      <c r="M395" s="17"/>
      <c r="N395" s="11"/>
      <c r="O395" s="16"/>
      <c r="P395" s="16"/>
      <c r="Q395" s="18" t="str">
        <f t="shared" si="36"/>
        <v/>
      </c>
      <c r="R395" s="18" t="str">
        <f t="shared" si="37"/>
        <v/>
      </c>
      <c r="S395" s="18" t="str">
        <f t="shared" si="38"/>
        <v/>
      </c>
      <c r="T395" s="18" t="str">
        <f t="shared" si="39"/>
        <v/>
      </c>
      <c r="U395" s="18" t="str">
        <f t="shared" si="40"/>
        <v/>
      </c>
      <c r="V395" s="18" t="str">
        <f t="shared" si="41"/>
        <v/>
      </c>
      <c r="W395" s="14"/>
    </row>
    <row r="396" spans="1:23" ht="15" customHeight="1" x14ac:dyDescent="0.25">
      <c r="A396" s="6">
        <v>76</v>
      </c>
      <c r="B396" s="33" t="s">
        <v>34</v>
      </c>
      <c r="C396" s="44"/>
      <c r="D396" s="62">
        <f>1.25+0.6+1.25</f>
        <v>3.1</v>
      </c>
      <c r="E396" s="62"/>
      <c r="F396" s="41"/>
      <c r="G396" s="36">
        <v>0.25</v>
      </c>
      <c r="H396" s="10">
        <v>25</v>
      </c>
      <c r="I396" s="11">
        <v>1</v>
      </c>
      <c r="J396" s="13">
        <f>ROUND(2.8/G396+1,0)</f>
        <v>12</v>
      </c>
      <c r="K396" s="45">
        <f>D396</f>
        <v>3.1</v>
      </c>
      <c r="L396" s="37" t="str">
        <f>IF(O396&lt;12,"0",0.049*H396)</f>
        <v>0</v>
      </c>
      <c r="M396" s="17">
        <v>0</v>
      </c>
      <c r="N396" s="11">
        <f>M396*2*H396/1000</f>
        <v>0</v>
      </c>
      <c r="O396" s="16">
        <f>(D396)-N396</f>
        <v>3.1</v>
      </c>
      <c r="P396" s="16">
        <f>(I396*J396*O396)+L396</f>
        <v>37.200000000000003</v>
      </c>
      <c r="Q396" s="18" t="str">
        <f t="shared" si="36"/>
        <v/>
      </c>
      <c r="R396" s="18" t="str">
        <f t="shared" si="37"/>
        <v/>
      </c>
      <c r="S396" s="18" t="str">
        <f t="shared" si="38"/>
        <v/>
      </c>
      <c r="T396" s="18" t="str">
        <f t="shared" si="39"/>
        <v/>
      </c>
      <c r="U396" s="18" t="str">
        <f t="shared" si="40"/>
        <v/>
      </c>
      <c r="V396" s="18">
        <f t="shared" si="41"/>
        <v>37.200000000000003</v>
      </c>
      <c r="W396" s="14"/>
    </row>
    <row r="397" spans="1:23" x14ac:dyDescent="0.25">
      <c r="A397" s="6"/>
      <c r="B397" s="33" t="s">
        <v>205</v>
      </c>
      <c r="C397" s="19"/>
      <c r="D397" s="51"/>
      <c r="E397" s="51"/>
      <c r="F397" s="41"/>
      <c r="G397" s="36"/>
      <c r="H397" s="10"/>
      <c r="I397" s="11"/>
      <c r="J397" s="13"/>
      <c r="K397" s="45"/>
      <c r="L397" s="37"/>
      <c r="M397" s="17"/>
      <c r="N397" s="11"/>
      <c r="O397" s="16"/>
      <c r="P397" s="16"/>
      <c r="Q397" s="18" t="str">
        <f t="shared" si="36"/>
        <v/>
      </c>
      <c r="R397" s="18" t="str">
        <f t="shared" si="37"/>
        <v/>
      </c>
      <c r="S397" s="18" t="str">
        <f t="shared" si="38"/>
        <v/>
      </c>
      <c r="T397" s="18" t="str">
        <f t="shared" si="39"/>
        <v/>
      </c>
      <c r="U397" s="18" t="str">
        <f t="shared" si="40"/>
        <v/>
      </c>
      <c r="V397" s="18" t="str">
        <f t="shared" si="41"/>
        <v/>
      </c>
      <c r="W397" s="14"/>
    </row>
    <row r="398" spans="1:23" x14ac:dyDescent="0.25">
      <c r="A398" s="6"/>
      <c r="B398" s="33"/>
      <c r="C398" s="19"/>
      <c r="D398" s="51"/>
      <c r="E398" s="51"/>
      <c r="F398" s="41"/>
      <c r="G398" s="36"/>
      <c r="H398" s="10"/>
      <c r="I398" s="11"/>
      <c r="J398" s="13"/>
      <c r="K398" s="45"/>
      <c r="L398" s="37"/>
      <c r="M398" s="17"/>
      <c r="N398" s="11"/>
      <c r="O398" s="16"/>
      <c r="P398" s="16"/>
      <c r="Q398" s="18" t="str">
        <f t="shared" si="36"/>
        <v/>
      </c>
      <c r="R398" s="18" t="str">
        <f t="shared" si="37"/>
        <v/>
      </c>
      <c r="S398" s="18" t="str">
        <f t="shared" si="38"/>
        <v/>
      </c>
      <c r="T398" s="18" t="str">
        <f t="shared" si="39"/>
        <v/>
      </c>
      <c r="U398" s="18" t="str">
        <f t="shared" si="40"/>
        <v/>
      </c>
      <c r="V398" s="18" t="str">
        <f t="shared" si="41"/>
        <v/>
      </c>
      <c r="W398" s="14"/>
    </row>
    <row r="399" spans="1:23" ht="15" customHeight="1" x14ac:dyDescent="0.25">
      <c r="A399" s="6">
        <v>77</v>
      </c>
      <c r="B399" s="33" t="s">
        <v>33</v>
      </c>
      <c r="C399" s="44"/>
      <c r="D399" s="62">
        <f>0.75-0.05+0.3+1.25</f>
        <v>2.25</v>
      </c>
      <c r="E399" s="62"/>
      <c r="F399" s="41"/>
      <c r="G399" s="36">
        <v>0.25</v>
      </c>
      <c r="H399" s="10">
        <v>25</v>
      </c>
      <c r="I399" s="11">
        <v>1</v>
      </c>
      <c r="J399" s="13">
        <f>ROUND(2.6/G399+1,0)</f>
        <v>11</v>
      </c>
      <c r="K399" s="45">
        <f>D399</f>
        <v>2.25</v>
      </c>
      <c r="L399" s="37" t="str">
        <f>IF(O399&lt;12,"0",0.049*H399)</f>
        <v>0</v>
      </c>
      <c r="M399" s="17">
        <v>0</v>
      </c>
      <c r="N399" s="11">
        <f>M399*2*H399/1000</f>
        <v>0</v>
      </c>
      <c r="O399" s="16">
        <f>(D399)-N399</f>
        <v>2.25</v>
      </c>
      <c r="P399" s="16">
        <f>(I399*J399*O399)+L399</f>
        <v>24.75</v>
      </c>
      <c r="Q399" s="18" t="str">
        <f t="shared" si="36"/>
        <v/>
      </c>
      <c r="R399" s="18" t="str">
        <f t="shared" si="37"/>
        <v/>
      </c>
      <c r="S399" s="18" t="str">
        <f t="shared" si="38"/>
        <v/>
      </c>
      <c r="T399" s="18" t="str">
        <f t="shared" si="39"/>
        <v/>
      </c>
      <c r="U399" s="18" t="str">
        <f t="shared" si="40"/>
        <v/>
      </c>
      <c r="V399" s="18">
        <f t="shared" si="41"/>
        <v>24.75</v>
      </c>
      <c r="W399" s="14"/>
    </row>
    <row r="400" spans="1:23" x14ac:dyDescent="0.25">
      <c r="A400" s="6"/>
      <c r="B400" s="33" t="s">
        <v>206</v>
      </c>
      <c r="C400" s="19"/>
      <c r="D400" s="51"/>
      <c r="E400" s="51"/>
      <c r="F400" s="41"/>
      <c r="G400" s="36"/>
      <c r="H400" s="10"/>
      <c r="I400" s="11"/>
      <c r="J400" s="13"/>
      <c r="K400" s="45"/>
      <c r="L400" s="37"/>
      <c r="M400" s="17"/>
      <c r="N400" s="11"/>
      <c r="O400" s="16"/>
      <c r="P400" s="16"/>
      <c r="Q400" s="18" t="str">
        <f t="shared" si="36"/>
        <v/>
      </c>
      <c r="R400" s="18" t="str">
        <f t="shared" si="37"/>
        <v/>
      </c>
      <c r="S400" s="18" t="str">
        <f t="shared" si="38"/>
        <v/>
      </c>
      <c r="T400" s="18" t="str">
        <f t="shared" si="39"/>
        <v/>
      </c>
      <c r="U400" s="18" t="str">
        <f t="shared" si="40"/>
        <v/>
      </c>
      <c r="V400" s="18" t="str">
        <f t="shared" si="41"/>
        <v/>
      </c>
      <c r="W400" s="14"/>
    </row>
    <row r="401" spans="1:23" x14ac:dyDescent="0.25">
      <c r="A401" s="6"/>
      <c r="B401" s="33"/>
      <c r="C401" s="19"/>
      <c r="D401" s="51"/>
      <c r="E401" s="51"/>
      <c r="F401" s="41"/>
      <c r="G401" s="36"/>
      <c r="H401" s="10"/>
      <c r="I401" s="11"/>
      <c r="J401" s="13"/>
      <c r="K401" s="45"/>
      <c r="L401" s="37"/>
      <c r="M401" s="17"/>
      <c r="N401" s="11"/>
      <c r="O401" s="16"/>
      <c r="P401" s="16"/>
      <c r="Q401" s="18" t="str">
        <f t="shared" si="36"/>
        <v/>
      </c>
      <c r="R401" s="18" t="str">
        <f t="shared" si="37"/>
        <v/>
      </c>
      <c r="S401" s="18" t="str">
        <f t="shared" si="38"/>
        <v/>
      </c>
      <c r="T401" s="18" t="str">
        <f t="shared" si="39"/>
        <v/>
      </c>
      <c r="U401" s="18" t="str">
        <f t="shared" si="40"/>
        <v/>
      </c>
      <c r="V401" s="18" t="str">
        <f t="shared" si="41"/>
        <v/>
      </c>
      <c r="W401" s="14"/>
    </row>
    <row r="402" spans="1:23" ht="15" customHeight="1" x14ac:dyDescent="0.25">
      <c r="A402" s="6">
        <v>78</v>
      </c>
      <c r="B402" s="33" t="s">
        <v>34</v>
      </c>
      <c r="C402" s="44"/>
      <c r="D402" s="62">
        <f>1+0.6+1</f>
        <v>2.6</v>
      </c>
      <c r="E402" s="62"/>
      <c r="F402" s="41"/>
      <c r="G402" s="36">
        <v>0.25</v>
      </c>
      <c r="H402" s="10">
        <v>20</v>
      </c>
      <c r="I402" s="11">
        <v>1</v>
      </c>
      <c r="J402" s="13">
        <f>ROUND(2.25/G402+1,0)</f>
        <v>10</v>
      </c>
      <c r="K402" s="45">
        <f>D402</f>
        <v>2.6</v>
      </c>
      <c r="L402" s="37" t="str">
        <f>IF(O402&lt;12,"0",0.049*H402)</f>
        <v>0</v>
      </c>
      <c r="M402" s="17">
        <v>0</v>
      </c>
      <c r="N402" s="11">
        <f>M402*2*H402/1000</f>
        <v>0</v>
      </c>
      <c r="O402" s="16">
        <f>(D402)-N402</f>
        <v>2.6</v>
      </c>
      <c r="P402" s="16">
        <f>(I402*J402*O402)+L402</f>
        <v>26</v>
      </c>
      <c r="Q402" s="18" t="str">
        <f t="shared" si="36"/>
        <v/>
      </c>
      <c r="R402" s="18" t="str">
        <f t="shared" si="37"/>
        <v/>
      </c>
      <c r="S402" s="18" t="str">
        <f t="shared" si="38"/>
        <v/>
      </c>
      <c r="T402" s="18" t="str">
        <f t="shared" si="39"/>
        <v/>
      </c>
      <c r="U402" s="18">
        <f t="shared" si="40"/>
        <v>26</v>
      </c>
      <c r="V402" s="18" t="str">
        <f t="shared" si="41"/>
        <v/>
      </c>
      <c r="W402" s="14"/>
    </row>
    <row r="403" spans="1:23" x14ac:dyDescent="0.25">
      <c r="A403" s="6"/>
      <c r="B403" s="33" t="s">
        <v>206</v>
      </c>
      <c r="C403" s="19"/>
      <c r="D403" s="51"/>
      <c r="E403" s="51"/>
      <c r="F403" s="41"/>
      <c r="G403" s="36"/>
      <c r="H403" s="10"/>
      <c r="I403" s="11"/>
      <c r="J403" s="13"/>
      <c r="K403" s="45"/>
      <c r="L403" s="37"/>
      <c r="M403" s="17"/>
      <c r="N403" s="11"/>
      <c r="O403" s="16"/>
      <c r="P403" s="16"/>
      <c r="Q403" s="18" t="str">
        <f t="shared" si="36"/>
        <v/>
      </c>
      <c r="R403" s="18" t="str">
        <f t="shared" si="37"/>
        <v/>
      </c>
      <c r="S403" s="18" t="str">
        <f t="shared" si="38"/>
        <v/>
      </c>
      <c r="T403" s="18" t="str">
        <f t="shared" si="39"/>
        <v/>
      </c>
      <c r="U403" s="18" t="str">
        <f t="shared" si="40"/>
        <v/>
      </c>
      <c r="V403" s="18" t="str">
        <f t="shared" si="41"/>
        <v/>
      </c>
      <c r="W403" s="14"/>
    </row>
    <row r="404" spans="1:23" x14ac:dyDescent="0.25">
      <c r="A404" s="6"/>
      <c r="B404" s="33"/>
      <c r="C404" s="19"/>
      <c r="D404" s="51"/>
      <c r="E404" s="51"/>
      <c r="F404" s="41"/>
      <c r="G404" s="36"/>
      <c r="H404" s="10"/>
      <c r="I404" s="11"/>
      <c r="J404" s="13"/>
      <c r="K404" s="45"/>
      <c r="L404" s="37"/>
      <c r="M404" s="17"/>
      <c r="N404" s="11"/>
      <c r="O404" s="16"/>
      <c r="P404" s="16"/>
      <c r="Q404" s="18" t="str">
        <f t="shared" si="36"/>
        <v/>
      </c>
      <c r="R404" s="18" t="str">
        <f t="shared" si="37"/>
        <v/>
      </c>
      <c r="S404" s="18" t="str">
        <f t="shared" si="38"/>
        <v/>
      </c>
      <c r="T404" s="18" t="str">
        <f t="shared" si="39"/>
        <v/>
      </c>
      <c r="U404" s="18" t="str">
        <f t="shared" si="40"/>
        <v/>
      </c>
      <c r="V404" s="18" t="str">
        <f t="shared" si="41"/>
        <v/>
      </c>
      <c r="W404" s="14"/>
    </row>
    <row r="405" spans="1:23" ht="15" customHeight="1" x14ac:dyDescent="0.25">
      <c r="A405" s="6">
        <v>79</v>
      </c>
      <c r="B405" s="33" t="s">
        <v>33</v>
      </c>
      <c r="C405" s="44"/>
      <c r="D405" s="62">
        <f>0.75-0.05+0.3+1.25</f>
        <v>2.25</v>
      </c>
      <c r="E405" s="62"/>
      <c r="F405" s="41"/>
      <c r="G405" s="36">
        <v>0.25</v>
      </c>
      <c r="H405" s="10">
        <v>25</v>
      </c>
      <c r="I405" s="11">
        <v>1</v>
      </c>
      <c r="J405" s="13">
        <f>ROUND(3.1/G405+1,0)</f>
        <v>13</v>
      </c>
      <c r="K405" s="45">
        <f>D405</f>
        <v>2.25</v>
      </c>
      <c r="L405" s="37" t="str">
        <f>IF(O405&lt;12,"0",0.049*H405)</f>
        <v>0</v>
      </c>
      <c r="M405" s="17">
        <v>0</v>
      </c>
      <c r="N405" s="11">
        <f>M405*2*H405/1000</f>
        <v>0</v>
      </c>
      <c r="O405" s="16">
        <f>(D405)-N405</f>
        <v>2.25</v>
      </c>
      <c r="P405" s="16">
        <f>(I405*J405*O405)+L405</f>
        <v>29.25</v>
      </c>
      <c r="Q405" s="18" t="str">
        <f t="shared" si="36"/>
        <v/>
      </c>
      <c r="R405" s="18" t="str">
        <f t="shared" si="37"/>
        <v/>
      </c>
      <c r="S405" s="18" t="str">
        <f t="shared" si="38"/>
        <v/>
      </c>
      <c r="T405" s="18" t="str">
        <f t="shared" si="39"/>
        <v/>
      </c>
      <c r="U405" s="18" t="str">
        <f t="shared" si="40"/>
        <v/>
      </c>
      <c r="V405" s="18">
        <f t="shared" si="41"/>
        <v>29.25</v>
      </c>
      <c r="W405" s="14"/>
    </row>
    <row r="406" spans="1:23" x14ac:dyDescent="0.25">
      <c r="A406" s="6"/>
      <c r="B406" s="33" t="s">
        <v>207</v>
      </c>
      <c r="C406" s="19"/>
      <c r="D406" s="51"/>
      <c r="E406" s="51"/>
      <c r="F406" s="41"/>
      <c r="G406" s="36"/>
      <c r="H406" s="10"/>
      <c r="I406" s="11"/>
      <c r="J406" s="13"/>
      <c r="K406" s="45"/>
      <c r="L406" s="37"/>
      <c r="M406" s="17"/>
      <c r="N406" s="11"/>
      <c r="O406" s="16"/>
      <c r="P406" s="16"/>
      <c r="Q406" s="18" t="str">
        <f t="shared" si="36"/>
        <v/>
      </c>
      <c r="R406" s="18" t="str">
        <f t="shared" si="37"/>
        <v/>
      </c>
      <c r="S406" s="18" t="str">
        <f t="shared" si="38"/>
        <v/>
      </c>
      <c r="T406" s="18" t="str">
        <f t="shared" si="39"/>
        <v/>
      </c>
      <c r="U406" s="18" t="str">
        <f t="shared" si="40"/>
        <v/>
      </c>
      <c r="V406" s="18" t="str">
        <f t="shared" si="41"/>
        <v/>
      </c>
      <c r="W406" s="14"/>
    </row>
    <row r="407" spans="1:23" x14ac:dyDescent="0.25">
      <c r="A407" s="6"/>
      <c r="B407" s="33"/>
      <c r="C407" s="19"/>
      <c r="D407" s="51"/>
      <c r="E407" s="51"/>
      <c r="F407" s="41"/>
      <c r="G407" s="36"/>
      <c r="H407" s="10"/>
      <c r="I407" s="11"/>
      <c r="J407" s="13"/>
      <c r="K407" s="45"/>
      <c r="L407" s="37"/>
      <c r="M407" s="17"/>
      <c r="N407" s="11"/>
      <c r="O407" s="16"/>
      <c r="P407" s="16"/>
      <c r="Q407" s="18" t="str">
        <f t="shared" si="36"/>
        <v/>
      </c>
      <c r="R407" s="18" t="str">
        <f t="shared" si="37"/>
        <v/>
      </c>
      <c r="S407" s="18" t="str">
        <f t="shared" si="38"/>
        <v/>
      </c>
      <c r="T407" s="18" t="str">
        <f t="shared" si="39"/>
        <v/>
      </c>
      <c r="U407" s="18" t="str">
        <f t="shared" si="40"/>
        <v/>
      </c>
      <c r="V407" s="18" t="str">
        <f t="shared" si="41"/>
        <v/>
      </c>
      <c r="W407" s="14"/>
    </row>
    <row r="408" spans="1:23" ht="15" customHeight="1" x14ac:dyDescent="0.25">
      <c r="A408" s="6">
        <v>80</v>
      </c>
      <c r="B408" s="33" t="s">
        <v>34</v>
      </c>
      <c r="C408" s="44"/>
      <c r="D408" s="62">
        <f>1.25+0.6+1.25</f>
        <v>3.1</v>
      </c>
      <c r="E408" s="62"/>
      <c r="F408" s="41"/>
      <c r="G408" s="36">
        <v>0.25</v>
      </c>
      <c r="H408" s="10">
        <v>25</v>
      </c>
      <c r="I408" s="11">
        <v>1</v>
      </c>
      <c r="J408" s="13">
        <f>ROUND(2.25/G408+1,0)</f>
        <v>10</v>
      </c>
      <c r="K408" s="45">
        <f>D408</f>
        <v>3.1</v>
      </c>
      <c r="L408" s="37" t="str">
        <f>IF(O408&lt;12,"0",0.049*H408)</f>
        <v>0</v>
      </c>
      <c r="M408" s="17">
        <v>0</v>
      </c>
      <c r="N408" s="11">
        <f>M408*2*H408/1000</f>
        <v>0</v>
      </c>
      <c r="O408" s="16">
        <f>(D408)-N408</f>
        <v>3.1</v>
      </c>
      <c r="P408" s="16">
        <f>(I408*J408*O408)+L408</f>
        <v>31</v>
      </c>
      <c r="Q408" s="18" t="str">
        <f t="shared" si="36"/>
        <v/>
      </c>
      <c r="R408" s="18" t="str">
        <f t="shared" si="37"/>
        <v/>
      </c>
      <c r="S408" s="18" t="str">
        <f t="shared" si="38"/>
        <v/>
      </c>
      <c r="T408" s="18" t="str">
        <f t="shared" si="39"/>
        <v/>
      </c>
      <c r="U408" s="18" t="str">
        <f t="shared" si="40"/>
        <v/>
      </c>
      <c r="V408" s="18">
        <f t="shared" si="41"/>
        <v>31</v>
      </c>
      <c r="W408" s="14"/>
    </row>
    <row r="409" spans="1:23" x14ac:dyDescent="0.25">
      <c r="A409" s="6"/>
      <c r="B409" s="33" t="s">
        <v>207</v>
      </c>
      <c r="C409" s="19"/>
      <c r="D409" s="51"/>
      <c r="E409" s="51"/>
      <c r="F409" s="41"/>
      <c r="G409" s="36"/>
      <c r="H409" s="10"/>
      <c r="I409" s="11"/>
      <c r="J409" s="13"/>
      <c r="K409" s="45"/>
      <c r="L409" s="37"/>
      <c r="M409" s="17"/>
      <c r="N409" s="11"/>
      <c r="O409" s="16"/>
      <c r="P409" s="16"/>
      <c r="Q409" s="18" t="str">
        <f t="shared" si="36"/>
        <v/>
      </c>
      <c r="R409" s="18" t="str">
        <f t="shared" si="37"/>
        <v/>
      </c>
      <c r="S409" s="18" t="str">
        <f t="shared" si="38"/>
        <v/>
      </c>
      <c r="T409" s="18" t="str">
        <f t="shared" si="39"/>
        <v/>
      </c>
      <c r="U409" s="18" t="str">
        <f t="shared" si="40"/>
        <v/>
      </c>
      <c r="V409" s="18" t="str">
        <f t="shared" si="41"/>
        <v/>
      </c>
      <c r="W409" s="14"/>
    </row>
    <row r="410" spans="1:23" x14ac:dyDescent="0.25">
      <c r="A410" s="6"/>
      <c r="B410" s="33"/>
      <c r="C410" s="19"/>
      <c r="D410" s="51"/>
      <c r="E410" s="51"/>
      <c r="F410" s="41"/>
      <c r="G410" s="36"/>
      <c r="H410" s="10"/>
      <c r="I410" s="11"/>
      <c r="J410" s="13"/>
      <c r="K410" s="45"/>
      <c r="L410" s="37"/>
      <c r="M410" s="17"/>
      <c r="N410" s="11"/>
      <c r="O410" s="16"/>
      <c r="P410" s="16"/>
      <c r="Q410" s="18" t="str">
        <f t="shared" si="36"/>
        <v/>
      </c>
      <c r="R410" s="18" t="str">
        <f t="shared" si="37"/>
        <v/>
      </c>
      <c r="S410" s="18" t="str">
        <f t="shared" si="38"/>
        <v/>
      </c>
      <c r="T410" s="18" t="str">
        <f t="shared" si="39"/>
        <v/>
      </c>
      <c r="U410" s="18" t="str">
        <f t="shared" si="40"/>
        <v/>
      </c>
      <c r="V410" s="18" t="str">
        <f t="shared" si="41"/>
        <v/>
      </c>
      <c r="W410" s="14"/>
    </row>
    <row r="411" spans="1:23" ht="15" customHeight="1" x14ac:dyDescent="0.25">
      <c r="A411" s="6">
        <v>81</v>
      </c>
      <c r="B411" s="33" t="s">
        <v>33</v>
      </c>
      <c r="C411" s="44"/>
      <c r="D411" s="62">
        <f>1+1.535+1</f>
        <v>3.5350000000000001</v>
      </c>
      <c r="E411" s="62"/>
      <c r="F411" s="41"/>
      <c r="G411" s="36">
        <v>0.25</v>
      </c>
      <c r="H411" s="10">
        <v>20</v>
      </c>
      <c r="I411" s="11">
        <v>1</v>
      </c>
      <c r="J411" s="13">
        <f>ROUND(4.045/G411+1,0)</f>
        <v>17</v>
      </c>
      <c r="K411" s="45">
        <f>D411</f>
        <v>3.5350000000000001</v>
      </c>
      <c r="L411" s="37" t="str">
        <f>IF(O411&lt;12,"0",0.049*H411)</f>
        <v>0</v>
      </c>
      <c r="M411" s="17">
        <v>0</v>
      </c>
      <c r="N411" s="11">
        <f>M411*2*H411/1000</f>
        <v>0</v>
      </c>
      <c r="O411" s="16">
        <f>(D411)-N411</f>
        <v>3.5350000000000001</v>
      </c>
      <c r="P411" s="16">
        <f>(I411*J411*O411)+L411</f>
        <v>60.094999999999999</v>
      </c>
      <c r="Q411" s="18" t="str">
        <f t="shared" si="36"/>
        <v/>
      </c>
      <c r="R411" s="18" t="str">
        <f t="shared" si="37"/>
        <v/>
      </c>
      <c r="S411" s="18" t="str">
        <f t="shared" si="38"/>
        <v/>
      </c>
      <c r="T411" s="18" t="str">
        <f t="shared" si="39"/>
        <v/>
      </c>
      <c r="U411" s="18">
        <f t="shared" si="40"/>
        <v>60.094999999999999</v>
      </c>
      <c r="V411" s="18" t="str">
        <f t="shared" si="41"/>
        <v/>
      </c>
      <c r="W411" s="14"/>
    </row>
    <row r="412" spans="1:23" x14ac:dyDescent="0.25">
      <c r="A412" s="6"/>
      <c r="B412" s="33" t="s">
        <v>208</v>
      </c>
      <c r="C412" s="19"/>
      <c r="D412" s="51"/>
      <c r="E412" s="51"/>
      <c r="F412" s="41"/>
      <c r="G412" s="36"/>
      <c r="H412" s="10"/>
      <c r="I412" s="11"/>
      <c r="J412" s="13"/>
      <c r="K412" s="45"/>
      <c r="L412" s="37"/>
      <c r="M412" s="17"/>
      <c r="N412" s="11"/>
      <c r="O412" s="16"/>
      <c r="P412" s="16"/>
      <c r="Q412" s="18" t="str">
        <f t="shared" si="36"/>
        <v/>
      </c>
      <c r="R412" s="18" t="str">
        <f t="shared" si="37"/>
        <v/>
      </c>
      <c r="S412" s="18" t="str">
        <f t="shared" si="38"/>
        <v/>
      </c>
      <c r="T412" s="18" t="str">
        <f t="shared" si="39"/>
        <v/>
      </c>
      <c r="U412" s="18" t="str">
        <f t="shared" si="40"/>
        <v/>
      </c>
      <c r="V412" s="18" t="str">
        <f t="shared" si="41"/>
        <v/>
      </c>
      <c r="W412" s="14"/>
    </row>
    <row r="413" spans="1:23" x14ac:dyDescent="0.25">
      <c r="A413" s="6"/>
      <c r="B413" s="33"/>
      <c r="C413" s="19"/>
      <c r="D413" s="51"/>
      <c r="E413" s="51"/>
      <c r="F413" s="41"/>
      <c r="G413" s="36"/>
      <c r="H413" s="10"/>
      <c r="I413" s="11"/>
      <c r="J413" s="13"/>
      <c r="K413" s="45"/>
      <c r="L413" s="37"/>
      <c r="M413" s="17"/>
      <c r="N413" s="11"/>
      <c r="O413" s="16"/>
      <c r="P413" s="16"/>
      <c r="Q413" s="18" t="str">
        <f t="shared" si="36"/>
        <v/>
      </c>
      <c r="R413" s="18" t="str">
        <f t="shared" si="37"/>
        <v/>
      </c>
      <c r="S413" s="18" t="str">
        <f t="shared" si="38"/>
        <v/>
      </c>
      <c r="T413" s="18" t="str">
        <f t="shared" si="39"/>
        <v/>
      </c>
      <c r="U413" s="18" t="str">
        <f t="shared" si="40"/>
        <v/>
      </c>
      <c r="V413" s="18" t="str">
        <f t="shared" si="41"/>
        <v/>
      </c>
      <c r="W413" s="14"/>
    </row>
    <row r="414" spans="1:23" ht="15" customHeight="1" x14ac:dyDescent="0.25">
      <c r="A414" s="6">
        <v>82</v>
      </c>
      <c r="B414" s="33" t="s">
        <v>34</v>
      </c>
      <c r="C414" s="44"/>
      <c r="D414" s="62">
        <f>1+0.65+1.975-0.115-0.165+0.75-0.05</f>
        <v>4.0449999999999999</v>
      </c>
      <c r="E414" s="62"/>
      <c r="F414" s="41"/>
      <c r="G414" s="36">
        <v>0.25</v>
      </c>
      <c r="H414" s="10">
        <v>20</v>
      </c>
      <c r="I414" s="11">
        <v>1</v>
      </c>
      <c r="J414" s="13">
        <f>ROUND(3.535/G414+1,0)</f>
        <v>15</v>
      </c>
      <c r="K414" s="45">
        <f>D414</f>
        <v>4.0449999999999999</v>
      </c>
      <c r="L414" s="37" t="str">
        <f>IF(O414&lt;12,"0",0.049*H414)</f>
        <v>0</v>
      </c>
      <c r="M414" s="17">
        <v>0</v>
      </c>
      <c r="N414" s="11">
        <f>M414*2*H414/1000</f>
        <v>0</v>
      </c>
      <c r="O414" s="16">
        <f>(D414)-N414</f>
        <v>4.0449999999999999</v>
      </c>
      <c r="P414" s="16">
        <f>(I414*J414*O414)+L414</f>
        <v>60.674999999999997</v>
      </c>
      <c r="Q414" s="18" t="str">
        <f t="shared" si="36"/>
        <v/>
      </c>
      <c r="R414" s="18" t="str">
        <f t="shared" si="37"/>
        <v/>
      </c>
      <c r="S414" s="18" t="str">
        <f t="shared" si="38"/>
        <v/>
      </c>
      <c r="T414" s="18" t="str">
        <f t="shared" si="39"/>
        <v/>
      </c>
      <c r="U414" s="18">
        <f t="shared" si="40"/>
        <v>60.674999999999997</v>
      </c>
      <c r="V414" s="18" t="str">
        <f t="shared" si="41"/>
        <v/>
      </c>
      <c r="W414" s="14"/>
    </row>
    <row r="415" spans="1:23" x14ac:dyDescent="0.25">
      <c r="A415" s="6"/>
      <c r="B415" s="33" t="s">
        <v>208</v>
      </c>
      <c r="C415" s="19"/>
      <c r="D415" s="51"/>
      <c r="E415" s="51"/>
      <c r="F415" s="41"/>
      <c r="G415" s="36"/>
      <c r="H415" s="10"/>
      <c r="I415" s="11"/>
      <c r="J415" s="13"/>
      <c r="K415" s="45"/>
      <c r="L415" s="37"/>
      <c r="M415" s="17"/>
      <c r="N415" s="11"/>
      <c r="O415" s="16"/>
      <c r="P415" s="16"/>
      <c r="Q415" s="18" t="str">
        <f t="shared" si="36"/>
        <v/>
      </c>
      <c r="R415" s="18" t="str">
        <f t="shared" si="37"/>
        <v/>
      </c>
      <c r="S415" s="18" t="str">
        <f t="shared" si="38"/>
        <v/>
      </c>
      <c r="T415" s="18" t="str">
        <f t="shared" si="39"/>
        <v/>
      </c>
      <c r="U415" s="18" t="str">
        <f t="shared" si="40"/>
        <v/>
      </c>
      <c r="V415" s="18" t="str">
        <f t="shared" si="41"/>
        <v/>
      </c>
      <c r="W415" s="14"/>
    </row>
    <row r="416" spans="1:23" x14ac:dyDescent="0.25">
      <c r="A416" s="6"/>
      <c r="B416" s="33"/>
      <c r="C416" s="19"/>
      <c r="D416" s="52"/>
      <c r="E416" s="52"/>
      <c r="F416" s="41"/>
      <c r="G416" s="36"/>
      <c r="H416" s="10"/>
      <c r="I416" s="11"/>
      <c r="J416" s="13"/>
      <c r="K416" s="45"/>
      <c r="L416" s="37"/>
      <c r="M416" s="17"/>
      <c r="N416" s="11"/>
      <c r="O416" s="16"/>
      <c r="P416" s="16"/>
      <c r="Q416" s="18" t="str">
        <f t="shared" si="36"/>
        <v/>
      </c>
      <c r="R416" s="18" t="str">
        <f t="shared" si="37"/>
        <v/>
      </c>
      <c r="S416" s="18" t="str">
        <f t="shared" si="38"/>
        <v/>
      </c>
      <c r="T416" s="18" t="str">
        <f t="shared" si="39"/>
        <v/>
      </c>
      <c r="U416" s="18" t="str">
        <f t="shared" si="40"/>
        <v/>
      </c>
      <c r="V416" s="18" t="str">
        <f t="shared" si="41"/>
        <v/>
      </c>
      <c r="W416" s="14"/>
    </row>
    <row r="417" spans="1:23" ht="15" customHeight="1" x14ac:dyDescent="0.25">
      <c r="A417" s="6">
        <v>83</v>
      </c>
      <c r="B417" s="33" t="s">
        <v>33</v>
      </c>
      <c r="C417" s="44"/>
      <c r="D417" s="62">
        <f>0.6+0.715+0.6</f>
        <v>1.915</v>
      </c>
      <c r="E417" s="62"/>
      <c r="F417" s="41"/>
      <c r="G417" s="36">
        <v>0.25</v>
      </c>
      <c r="H417" s="10">
        <v>12</v>
      </c>
      <c r="I417" s="11">
        <v>1</v>
      </c>
      <c r="J417" s="13">
        <f>ROUND(D420/G417+1,0)</f>
        <v>7</v>
      </c>
      <c r="K417" s="45">
        <f>D417</f>
        <v>1.915</v>
      </c>
      <c r="L417" s="37" t="str">
        <f>IF(O417&lt;12,"0",0.049*H417)</f>
        <v>0</v>
      </c>
      <c r="M417" s="17">
        <v>0</v>
      </c>
      <c r="N417" s="11">
        <f>M417*2*H417/1000</f>
        <v>0</v>
      </c>
      <c r="O417" s="16">
        <f>(D417)-N417</f>
        <v>1.915</v>
      </c>
      <c r="P417" s="16">
        <f>(I417*J417*O417)+L417</f>
        <v>13.405000000000001</v>
      </c>
      <c r="Q417" s="18" t="str">
        <f t="shared" si="36"/>
        <v/>
      </c>
      <c r="R417" s="18" t="str">
        <f t="shared" si="37"/>
        <v/>
      </c>
      <c r="S417" s="18">
        <f t="shared" si="38"/>
        <v>13.405000000000001</v>
      </c>
      <c r="T417" s="18" t="str">
        <f t="shared" si="39"/>
        <v/>
      </c>
      <c r="U417" s="18" t="str">
        <f t="shared" si="40"/>
        <v/>
      </c>
      <c r="V417" s="18" t="str">
        <f t="shared" si="41"/>
        <v/>
      </c>
      <c r="W417" s="14"/>
    </row>
    <row r="418" spans="1:23" x14ac:dyDescent="0.25">
      <c r="A418" s="6"/>
      <c r="B418" s="33" t="s">
        <v>209</v>
      </c>
      <c r="C418" s="19"/>
      <c r="D418" s="52"/>
      <c r="E418" s="52"/>
      <c r="F418" s="41"/>
      <c r="G418" s="36"/>
      <c r="H418" s="10"/>
      <c r="I418" s="11"/>
      <c r="J418" s="13"/>
      <c r="K418" s="45"/>
      <c r="L418" s="37"/>
      <c r="M418" s="17"/>
      <c r="N418" s="11"/>
      <c r="O418" s="16"/>
      <c r="P418" s="16"/>
      <c r="Q418" s="18" t="str">
        <f t="shared" si="36"/>
        <v/>
      </c>
      <c r="R418" s="18" t="str">
        <f t="shared" si="37"/>
        <v/>
      </c>
      <c r="S418" s="18" t="str">
        <f t="shared" si="38"/>
        <v/>
      </c>
      <c r="T418" s="18" t="str">
        <f t="shared" si="39"/>
        <v/>
      </c>
      <c r="U418" s="18" t="str">
        <f t="shared" si="40"/>
        <v/>
      </c>
      <c r="V418" s="18" t="str">
        <f t="shared" si="41"/>
        <v/>
      </c>
      <c r="W418" s="14"/>
    </row>
    <row r="419" spans="1:23" x14ac:dyDescent="0.25">
      <c r="A419" s="6"/>
      <c r="B419" s="33"/>
      <c r="C419" s="19"/>
      <c r="D419" s="52"/>
      <c r="E419" s="52"/>
      <c r="F419" s="41"/>
      <c r="G419" s="36"/>
      <c r="H419" s="10"/>
      <c r="I419" s="11"/>
      <c r="J419" s="13"/>
      <c r="K419" s="45"/>
      <c r="L419" s="37"/>
      <c r="M419" s="17"/>
      <c r="N419" s="11"/>
      <c r="O419" s="16"/>
      <c r="P419" s="16"/>
      <c r="Q419" s="18" t="str">
        <f t="shared" si="36"/>
        <v/>
      </c>
      <c r="R419" s="18" t="str">
        <f t="shared" si="37"/>
        <v/>
      </c>
      <c r="S419" s="18" t="str">
        <f t="shared" si="38"/>
        <v/>
      </c>
      <c r="T419" s="18" t="str">
        <f t="shared" si="39"/>
        <v/>
      </c>
      <c r="U419" s="18" t="str">
        <f t="shared" si="40"/>
        <v/>
      </c>
      <c r="V419" s="18" t="str">
        <f t="shared" si="41"/>
        <v/>
      </c>
      <c r="W419" s="14"/>
    </row>
    <row r="420" spans="1:23" ht="15" customHeight="1" x14ac:dyDescent="0.25">
      <c r="A420" s="6">
        <v>84</v>
      </c>
      <c r="B420" s="33" t="s">
        <v>34</v>
      </c>
      <c r="C420" s="44"/>
      <c r="D420" s="62">
        <f>0.75-0.05+0.3+0.6</f>
        <v>1.6</v>
      </c>
      <c r="E420" s="62"/>
      <c r="F420" s="41"/>
      <c r="G420" s="36">
        <v>0.25</v>
      </c>
      <c r="H420" s="10">
        <v>12</v>
      </c>
      <c r="I420" s="11">
        <v>1</v>
      </c>
      <c r="J420" s="13">
        <f>ROUND(D417/G420+1,0)</f>
        <v>9</v>
      </c>
      <c r="K420" s="45">
        <f>D420</f>
        <v>1.6</v>
      </c>
      <c r="L420" s="37" t="str">
        <f>IF(O420&lt;12,"0",0.049*H420)</f>
        <v>0</v>
      </c>
      <c r="M420" s="17">
        <v>0</v>
      </c>
      <c r="N420" s="11">
        <f>M420*2*H420/1000</f>
        <v>0</v>
      </c>
      <c r="O420" s="16">
        <f>(D420)-N420</f>
        <v>1.6</v>
      </c>
      <c r="P420" s="16">
        <f>(I420*J420*O420)+L420</f>
        <v>14.4</v>
      </c>
      <c r="Q420" s="18" t="str">
        <f t="shared" si="36"/>
        <v/>
      </c>
      <c r="R420" s="18" t="str">
        <f t="shared" si="37"/>
        <v/>
      </c>
      <c r="S420" s="18">
        <f t="shared" si="38"/>
        <v>14.4</v>
      </c>
      <c r="T420" s="18" t="str">
        <f t="shared" si="39"/>
        <v/>
      </c>
      <c r="U420" s="18" t="str">
        <f t="shared" si="40"/>
        <v/>
      </c>
      <c r="V420" s="18" t="str">
        <f t="shared" si="41"/>
        <v/>
      </c>
      <c r="W420" s="14"/>
    </row>
    <row r="421" spans="1:23" x14ac:dyDescent="0.25">
      <c r="A421" s="6"/>
      <c r="B421" s="33" t="s">
        <v>209</v>
      </c>
      <c r="C421" s="19"/>
      <c r="D421" s="52"/>
      <c r="E421" s="52"/>
      <c r="F421" s="41"/>
      <c r="G421" s="36"/>
      <c r="H421" s="10"/>
      <c r="I421" s="11"/>
      <c r="J421" s="13"/>
      <c r="K421" s="45"/>
      <c r="L421" s="37"/>
      <c r="M421" s="17"/>
      <c r="N421" s="11"/>
      <c r="O421" s="16"/>
      <c r="P421" s="16"/>
      <c r="Q421" s="18" t="str">
        <f t="shared" si="36"/>
        <v/>
      </c>
      <c r="R421" s="18" t="str">
        <f t="shared" si="37"/>
        <v/>
      </c>
      <c r="S421" s="18" t="str">
        <f t="shared" si="38"/>
        <v/>
      </c>
      <c r="T421" s="18" t="str">
        <f t="shared" si="39"/>
        <v/>
      </c>
      <c r="U421" s="18" t="str">
        <f t="shared" si="40"/>
        <v/>
      </c>
      <c r="V421" s="18" t="str">
        <f t="shared" si="41"/>
        <v/>
      </c>
      <c r="W421" s="14"/>
    </row>
    <row r="422" spans="1:23" x14ac:dyDescent="0.25">
      <c r="A422" s="6"/>
      <c r="B422" s="33"/>
      <c r="C422" s="19"/>
      <c r="D422" s="52"/>
      <c r="E422" s="52"/>
      <c r="F422" s="41"/>
      <c r="G422" s="36"/>
      <c r="H422" s="10"/>
      <c r="I422" s="11"/>
      <c r="J422" s="13"/>
      <c r="K422" s="45"/>
      <c r="L422" s="37"/>
      <c r="M422" s="17"/>
      <c r="N422" s="11"/>
      <c r="O422" s="16"/>
      <c r="P422" s="16"/>
      <c r="Q422" s="18" t="str">
        <f t="shared" si="36"/>
        <v/>
      </c>
      <c r="R422" s="18" t="str">
        <f t="shared" si="37"/>
        <v/>
      </c>
      <c r="S422" s="18" t="str">
        <f t="shared" si="38"/>
        <v/>
      </c>
      <c r="T422" s="18" t="str">
        <f t="shared" si="39"/>
        <v/>
      </c>
      <c r="U422" s="18" t="str">
        <f t="shared" si="40"/>
        <v/>
      </c>
      <c r="V422" s="18" t="str">
        <f t="shared" si="41"/>
        <v/>
      </c>
      <c r="W422" s="14"/>
    </row>
    <row r="423" spans="1:23" ht="15" customHeight="1" x14ac:dyDescent="0.25">
      <c r="A423" s="6">
        <v>85</v>
      </c>
      <c r="B423" s="33" t="s">
        <v>33</v>
      </c>
      <c r="C423" s="44"/>
      <c r="D423" s="62">
        <f>0.6+0.715+0.6</f>
        <v>1.915</v>
      </c>
      <c r="E423" s="62"/>
      <c r="F423" s="41"/>
      <c r="G423" s="36">
        <v>0.25</v>
      </c>
      <c r="H423" s="10">
        <v>12</v>
      </c>
      <c r="I423" s="11">
        <v>1</v>
      </c>
      <c r="J423" s="13">
        <f>ROUND(D426/G423+1,0)</f>
        <v>7</v>
      </c>
      <c r="K423" s="45">
        <f>D423</f>
        <v>1.915</v>
      </c>
      <c r="L423" s="37" t="str">
        <f>IF(O423&lt;12,"0",0.049*H423)</f>
        <v>0</v>
      </c>
      <c r="M423" s="17">
        <v>0</v>
      </c>
      <c r="N423" s="11">
        <f>M423*2*H423/1000</f>
        <v>0</v>
      </c>
      <c r="O423" s="16">
        <f>(D423)-N423</f>
        <v>1.915</v>
      </c>
      <c r="P423" s="16">
        <f>(I423*J423*O423)+L423</f>
        <v>13.405000000000001</v>
      </c>
      <c r="Q423" s="18" t="str">
        <f t="shared" si="36"/>
        <v/>
      </c>
      <c r="R423" s="18" t="str">
        <f t="shared" si="37"/>
        <v/>
      </c>
      <c r="S423" s="18">
        <f t="shared" si="38"/>
        <v>13.405000000000001</v>
      </c>
      <c r="T423" s="18" t="str">
        <f t="shared" si="39"/>
        <v/>
      </c>
      <c r="U423" s="18" t="str">
        <f t="shared" si="40"/>
        <v/>
      </c>
      <c r="V423" s="18" t="str">
        <f t="shared" si="41"/>
        <v/>
      </c>
      <c r="W423" s="14"/>
    </row>
    <row r="424" spans="1:23" x14ac:dyDescent="0.25">
      <c r="A424" s="6"/>
      <c r="B424" s="33" t="s">
        <v>210</v>
      </c>
      <c r="C424" s="19"/>
      <c r="D424" s="52"/>
      <c r="E424" s="52"/>
      <c r="F424" s="41"/>
      <c r="G424" s="36"/>
      <c r="H424" s="10"/>
      <c r="I424" s="11"/>
      <c r="J424" s="13"/>
      <c r="K424" s="45"/>
      <c r="L424" s="37"/>
      <c r="M424" s="17"/>
      <c r="N424" s="11"/>
      <c r="O424" s="16"/>
      <c r="P424" s="16"/>
      <c r="Q424" s="18" t="str">
        <f t="shared" si="36"/>
        <v/>
      </c>
      <c r="R424" s="18" t="str">
        <f t="shared" si="37"/>
        <v/>
      </c>
      <c r="S424" s="18" t="str">
        <f t="shared" si="38"/>
        <v/>
      </c>
      <c r="T424" s="18" t="str">
        <f t="shared" si="39"/>
        <v/>
      </c>
      <c r="U424" s="18" t="str">
        <f t="shared" si="40"/>
        <v/>
      </c>
      <c r="V424" s="18" t="str">
        <f t="shared" si="41"/>
        <v/>
      </c>
      <c r="W424" s="14"/>
    </row>
    <row r="425" spans="1:23" x14ac:dyDescent="0.25">
      <c r="A425" s="6"/>
      <c r="B425" s="33"/>
      <c r="C425" s="19"/>
      <c r="D425" s="52"/>
      <c r="E425" s="52"/>
      <c r="F425" s="41"/>
      <c r="G425" s="36"/>
      <c r="H425" s="10"/>
      <c r="I425" s="11"/>
      <c r="J425" s="13"/>
      <c r="K425" s="45"/>
      <c r="L425" s="37"/>
      <c r="M425" s="17"/>
      <c r="N425" s="11"/>
      <c r="O425" s="16"/>
      <c r="P425" s="16"/>
      <c r="Q425" s="18" t="str">
        <f t="shared" si="36"/>
        <v/>
      </c>
      <c r="R425" s="18" t="str">
        <f t="shared" si="37"/>
        <v/>
      </c>
      <c r="S425" s="18" t="str">
        <f t="shared" si="38"/>
        <v/>
      </c>
      <c r="T425" s="18" t="str">
        <f t="shared" si="39"/>
        <v/>
      </c>
      <c r="U425" s="18" t="str">
        <f t="shared" si="40"/>
        <v/>
      </c>
      <c r="V425" s="18" t="str">
        <f t="shared" si="41"/>
        <v/>
      </c>
      <c r="W425" s="14"/>
    </row>
    <row r="426" spans="1:23" ht="15" customHeight="1" x14ac:dyDescent="0.25">
      <c r="A426" s="6">
        <v>86</v>
      </c>
      <c r="B426" s="33" t="s">
        <v>34</v>
      </c>
      <c r="C426" s="44"/>
      <c r="D426" s="62">
        <f>0.75-0.05+0.3+0.6</f>
        <v>1.6</v>
      </c>
      <c r="E426" s="62"/>
      <c r="F426" s="41"/>
      <c r="G426" s="36">
        <v>0.25</v>
      </c>
      <c r="H426" s="10">
        <v>12</v>
      </c>
      <c r="I426" s="11">
        <v>1</v>
      </c>
      <c r="J426" s="13">
        <f>ROUND(D423/G426+1,0)</f>
        <v>9</v>
      </c>
      <c r="K426" s="45">
        <f>D426</f>
        <v>1.6</v>
      </c>
      <c r="L426" s="37" t="str">
        <f>IF(O426&lt;12,"0",0.049*H426)</f>
        <v>0</v>
      </c>
      <c r="M426" s="17">
        <v>0</v>
      </c>
      <c r="N426" s="11">
        <f>M426*2*H426/1000</f>
        <v>0</v>
      </c>
      <c r="O426" s="16">
        <f>(D426)-N426</f>
        <v>1.6</v>
      </c>
      <c r="P426" s="16">
        <f>(I426*J426*O426)+L426</f>
        <v>14.4</v>
      </c>
      <c r="Q426" s="18" t="str">
        <f t="shared" si="36"/>
        <v/>
      </c>
      <c r="R426" s="18" t="str">
        <f t="shared" si="37"/>
        <v/>
      </c>
      <c r="S426" s="18">
        <f t="shared" si="38"/>
        <v>14.4</v>
      </c>
      <c r="T426" s="18" t="str">
        <f t="shared" si="39"/>
        <v/>
      </c>
      <c r="U426" s="18" t="str">
        <f t="shared" si="40"/>
        <v/>
      </c>
      <c r="V426" s="18" t="str">
        <f t="shared" si="41"/>
        <v/>
      </c>
      <c r="W426" s="14"/>
    </row>
    <row r="427" spans="1:23" x14ac:dyDescent="0.25">
      <c r="A427" s="6"/>
      <c r="B427" s="33" t="s">
        <v>210</v>
      </c>
      <c r="C427" s="19"/>
      <c r="D427" s="52"/>
      <c r="E427" s="52"/>
      <c r="F427" s="41"/>
      <c r="G427" s="36"/>
      <c r="H427" s="10"/>
      <c r="I427" s="11"/>
      <c r="J427" s="13"/>
      <c r="K427" s="45"/>
      <c r="L427" s="37"/>
      <c r="M427" s="17"/>
      <c r="N427" s="11"/>
      <c r="O427" s="16"/>
      <c r="P427" s="16"/>
      <c r="Q427" s="18" t="str">
        <f t="shared" si="36"/>
        <v/>
      </c>
      <c r="R427" s="18" t="str">
        <f t="shared" si="37"/>
        <v/>
      </c>
      <c r="S427" s="18" t="str">
        <f t="shared" si="38"/>
        <v/>
      </c>
      <c r="T427" s="18" t="str">
        <f t="shared" si="39"/>
        <v/>
      </c>
      <c r="U427" s="18" t="str">
        <f t="shared" si="40"/>
        <v/>
      </c>
      <c r="V427" s="18" t="str">
        <f t="shared" si="41"/>
        <v/>
      </c>
      <c r="W427" s="14"/>
    </row>
    <row r="428" spans="1:23" x14ac:dyDescent="0.25">
      <c r="A428" s="6"/>
      <c r="B428" s="33"/>
      <c r="C428" s="19"/>
      <c r="D428" s="39"/>
      <c r="E428" s="39"/>
      <c r="F428" s="41"/>
      <c r="G428" s="36"/>
      <c r="H428" s="10"/>
      <c r="I428" s="11"/>
      <c r="J428" s="13"/>
      <c r="K428" s="45"/>
      <c r="L428" s="37"/>
      <c r="M428" s="17"/>
      <c r="N428" s="11"/>
      <c r="O428" s="16"/>
      <c r="P428" s="16"/>
      <c r="Q428" s="18" t="str">
        <f t="shared" si="36"/>
        <v/>
      </c>
      <c r="R428" s="18" t="str">
        <f t="shared" si="37"/>
        <v/>
      </c>
      <c r="S428" s="18" t="str">
        <f t="shared" si="38"/>
        <v/>
      </c>
      <c r="T428" s="18" t="str">
        <f t="shared" si="39"/>
        <v/>
      </c>
      <c r="U428" s="18" t="str">
        <f t="shared" si="40"/>
        <v/>
      </c>
      <c r="V428" s="18" t="str">
        <f t="shared" si="41"/>
        <v/>
      </c>
      <c r="W428" s="14"/>
    </row>
    <row r="429" spans="1:23" ht="15" customHeight="1" x14ac:dyDescent="0.25">
      <c r="A429" s="6">
        <v>87</v>
      </c>
      <c r="B429" s="33" t="s">
        <v>33</v>
      </c>
      <c r="C429" s="44"/>
      <c r="D429" s="62">
        <f>1+0.3+1</f>
        <v>2.2999999999999998</v>
      </c>
      <c r="E429" s="62"/>
      <c r="F429" s="41"/>
      <c r="G429" s="36">
        <v>0.25</v>
      </c>
      <c r="H429" s="10">
        <v>25</v>
      </c>
      <c r="I429" s="11">
        <v>1</v>
      </c>
      <c r="J429" s="13">
        <f>ROUND(D432/G429+1,0)</f>
        <v>10</v>
      </c>
      <c r="K429" s="45">
        <f>D429</f>
        <v>2.2999999999999998</v>
      </c>
      <c r="L429" s="37" t="str">
        <f>IF(O429&lt;12,"0",0.049*H429)</f>
        <v>0</v>
      </c>
      <c r="M429" s="17">
        <v>0</v>
      </c>
      <c r="N429" s="11">
        <f>M429*2*H429/1000</f>
        <v>0</v>
      </c>
      <c r="O429" s="16">
        <f>(D429)-N429</f>
        <v>2.2999999999999998</v>
      </c>
      <c r="P429" s="16">
        <f>(I429*J429*O429)+L429</f>
        <v>23</v>
      </c>
      <c r="Q429" s="18" t="str">
        <f t="shared" si="36"/>
        <v/>
      </c>
      <c r="R429" s="18" t="str">
        <f t="shared" si="37"/>
        <v/>
      </c>
      <c r="S429" s="18" t="str">
        <f t="shared" si="38"/>
        <v/>
      </c>
      <c r="T429" s="18" t="str">
        <f t="shared" si="39"/>
        <v/>
      </c>
      <c r="U429" s="18" t="str">
        <f t="shared" si="40"/>
        <v/>
      </c>
      <c r="V429" s="18">
        <f t="shared" si="41"/>
        <v>23</v>
      </c>
      <c r="W429" s="14"/>
    </row>
    <row r="430" spans="1:23" x14ac:dyDescent="0.25">
      <c r="A430" s="6"/>
      <c r="B430" s="33" t="s">
        <v>211</v>
      </c>
      <c r="C430" s="19"/>
      <c r="D430" s="52"/>
      <c r="E430" s="52"/>
      <c r="F430" s="41"/>
      <c r="G430" s="36"/>
      <c r="H430" s="10"/>
      <c r="I430" s="11"/>
      <c r="J430" s="13"/>
      <c r="K430" s="45"/>
      <c r="L430" s="37"/>
      <c r="M430" s="17"/>
      <c r="N430" s="11"/>
      <c r="O430" s="16"/>
      <c r="P430" s="16"/>
      <c r="Q430" s="18" t="str">
        <f t="shared" si="36"/>
        <v/>
      </c>
      <c r="R430" s="18" t="str">
        <f t="shared" si="37"/>
        <v/>
      </c>
      <c r="S430" s="18" t="str">
        <f t="shared" si="38"/>
        <v/>
      </c>
      <c r="T430" s="18" t="str">
        <f t="shared" si="39"/>
        <v/>
      </c>
      <c r="U430" s="18" t="str">
        <f t="shared" si="40"/>
        <v/>
      </c>
      <c r="V430" s="18" t="str">
        <f t="shared" si="41"/>
        <v/>
      </c>
      <c r="W430" s="14"/>
    </row>
    <row r="431" spans="1:23" x14ac:dyDescent="0.25">
      <c r="A431" s="6"/>
      <c r="B431" s="33"/>
      <c r="C431" s="19"/>
      <c r="D431" s="52"/>
      <c r="E431" s="52"/>
      <c r="F431" s="41"/>
      <c r="G431" s="36"/>
      <c r="H431" s="10"/>
      <c r="I431" s="11"/>
      <c r="J431" s="13"/>
      <c r="K431" s="45"/>
      <c r="L431" s="37"/>
      <c r="M431" s="17"/>
      <c r="N431" s="11"/>
      <c r="O431" s="16"/>
      <c r="P431" s="16"/>
      <c r="Q431" s="18" t="str">
        <f t="shared" si="36"/>
        <v/>
      </c>
      <c r="R431" s="18" t="str">
        <f t="shared" si="37"/>
        <v/>
      </c>
      <c r="S431" s="18" t="str">
        <f t="shared" si="38"/>
        <v/>
      </c>
      <c r="T431" s="18" t="str">
        <f t="shared" si="39"/>
        <v/>
      </c>
      <c r="U431" s="18" t="str">
        <f t="shared" si="40"/>
        <v/>
      </c>
      <c r="V431" s="18" t="str">
        <f t="shared" si="41"/>
        <v/>
      </c>
      <c r="W431" s="14"/>
    </row>
    <row r="432" spans="1:23" ht="15" customHeight="1" x14ac:dyDescent="0.25">
      <c r="A432" s="6">
        <v>88</v>
      </c>
      <c r="B432" s="33" t="s">
        <v>34</v>
      </c>
      <c r="C432" s="44"/>
      <c r="D432" s="62">
        <f>0.8+0.6+0.8</f>
        <v>2.2000000000000002</v>
      </c>
      <c r="E432" s="62"/>
      <c r="F432" s="41"/>
      <c r="G432" s="36">
        <v>0.25</v>
      </c>
      <c r="H432" s="10">
        <v>16</v>
      </c>
      <c r="I432" s="11">
        <v>1</v>
      </c>
      <c r="J432" s="13">
        <f>ROUND(D429/G432+1,0)</f>
        <v>10</v>
      </c>
      <c r="K432" s="45">
        <f>D432</f>
        <v>2.2000000000000002</v>
      </c>
      <c r="L432" s="37" t="str">
        <f>IF(O432&lt;12,"0",0.049*H432)</f>
        <v>0</v>
      </c>
      <c r="M432" s="17">
        <v>0</v>
      </c>
      <c r="N432" s="11">
        <f>M432*2*H432/1000</f>
        <v>0</v>
      </c>
      <c r="O432" s="16">
        <f>(D432)-N432</f>
        <v>2.2000000000000002</v>
      </c>
      <c r="P432" s="16">
        <f>(I432*J432*O432)+L432</f>
        <v>22</v>
      </c>
      <c r="Q432" s="18" t="str">
        <f t="shared" si="36"/>
        <v/>
      </c>
      <c r="R432" s="18" t="str">
        <f t="shared" si="37"/>
        <v/>
      </c>
      <c r="S432" s="18" t="str">
        <f t="shared" si="38"/>
        <v/>
      </c>
      <c r="T432" s="18">
        <f t="shared" si="39"/>
        <v>22</v>
      </c>
      <c r="U432" s="18" t="str">
        <f t="shared" si="40"/>
        <v/>
      </c>
      <c r="V432" s="18" t="str">
        <f t="shared" si="41"/>
        <v/>
      </c>
      <c r="W432" s="14"/>
    </row>
    <row r="433" spans="1:23" x14ac:dyDescent="0.25">
      <c r="A433" s="6"/>
      <c r="B433" s="33" t="s">
        <v>211</v>
      </c>
      <c r="C433" s="19"/>
      <c r="D433" s="52"/>
      <c r="E433" s="52"/>
      <c r="F433" s="41"/>
      <c r="G433" s="36"/>
      <c r="H433" s="10"/>
      <c r="I433" s="11"/>
      <c r="J433" s="13"/>
      <c r="K433" s="45"/>
      <c r="L433" s="37"/>
      <c r="M433" s="17"/>
      <c r="N433" s="11"/>
      <c r="O433" s="16"/>
      <c r="P433" s="16"/>
      <c r="Q433" s="18" t="str">
        <f t="shared" si="36"/>
        <v/>
      </c>
      <c r="R433" s="18" t="str">
        <f t="shared" si="37"/>
        <v/>
      </c>
      <c r="S433" s="18" t="str">
        <f t="shared" si="38"/>
        <v/>
      </c>
      <c r="T433" s="18" t="str">
        <f t="shared" si="39"/>
        <v/>
      </c>
      <c r="U433" s="18" t="str">
        <f t="shared" si="40"/>
        <v/>
      </c>
      <c r="V433" s="18" t="str">
        <f t="shared" si="41"/>
        <v/>
      </c>
      <c r="W433" s="14"/>
    </row>
    <row r="434" spans="1:23" x14ac:dyDescent="0.25">
      <c r="A434" s="6"/>
      <c r="B434" s="33"/>
      <c r="C434" s="19"/>
      <c r="D434" s="52"/>
      <c r="E434" s="52"/>
      <c r="F434" s="41"/>
      <c r="G434" s="36"/>
      <c r="H434" s="10"/>
      <c r="I434" s="11"/>
      <c r="J434" s="13"/>
      <c r="K434" s="45"/>
      <c r="L434" s="37"/>
      <c r="M434" s="17"/>
      <c r="N434" s="11"/>
      <c r="O434" s="16"/>
      <c r="P434" s="16"/>
      <c r="Q434" s="18" t="str">
        <f t="shared" si="36"/>
        <v/>
      </c>
      <c r="R434" s="18" t="str">
        <f t="shared" si="37"/>
        <v/>
      </c>
      <c r="S434" s="18" t="str">
        <f t="shared" si="38"/>
        <v/>
      </c>
      <c r="T434" s="18" t="str">
        <f t="shared" si="39"/>
        <v/>
      </c>
      <c r="U434" s="18" t="str">
        <f t="shared" si="40"/>
        <v/>
      </c>
      <c r="V434" s="18" t="str">
        <f t="shared" si="41"/>
        <v/>
      </c>
      <c r="W434" s="14"/>
    </row>
    <row r="435" spans="1:23" ht="15" customHeight="1" x14ac:dyDescent="0.25">
      <c r="A435" s="6">
        <v>89</v>
      </c>
      <c r="B435" s="33" t="s">
        <v>33</v>
      </c>
      <c r="C435" s="44"/>
      <c r="D435" s="62">
        <f>1+0.3+1</f>
        <v>2.2999999999999998</v>
      </c>
      <c r="E435" s="62"/>
      <c r="F435" s="41"/>
      <c r="G435" s="36">
        <v>0.25</v>
      </c>
      <c r="H435" s="10">
        <v>25</v>
      </c>
      <c r="I435" s="11">
        <v>1</v>
      </c>
      <c r="J435" s="13">
        <f>ROUND(D438/G435+1,0)</f>
        <v>10</v>
      </c>
      <c r="K435" s="45">
        <f>D435</f>
        <v>2.2999999999999998</v>
      </c>
      <c r="L435" s="37" t="str">
        <f>IF(O435&lt;12,"0",0.049*H435)</f>
        <v>0</v>
      </c>
      <c r="M435" s="17">
        <v>0</v>
      </c>
      <c r="N435" s="11">
        <f>M435*2*H435/1000</f>
        <v>0</v>
      </c>
      <c r="O435" s="16">
        <f>(D435)-N435</f>
        <v>2.2999999999999998</v>
      </c>
      <c r="P435" s="16">
        <f>(I435*J435*O435)+L435</f>
        <v>23</v>
      </c>
      <c r="Q435" s="18" t="str">
        <f t="shared" si="36"/>
        <v/>
      </c>
      <c r="R435" s="18" t="str">
        <f t="shared" si="37"/>
        <v/>
      </c>
      <c r="S435" s="18" t="str">
        <f t="shared" si="38"/>
        <v/>
      </c>
      <c r="T435" s="18" t="str">
        <f t="shared" si="39"/>
        <v/>
      </c>
      <c r="U435" s="18" t="str">
        <f t="shared" si="40"/>
        <v/>
      </c>
      <c r="V435" s="18">
        <f t="shared" si="41"/>
        <v>23</v>
      </c>
      <c r="W435" s="14"/>
    </row>
    <row r="436" spans="1:23" x14ac:dyDescent="0.25">
      <c r="A436" s="6"/>
      <c r="B436" s="33" t="s">
        <v>212</v>
      </c>
      <c r="C436" s="19"/>
      <c r="D436" s="52"/>
      <c r="E436" s="52"/>
      <c r="F436" s="41"/>
      <c r="G436" s="36"/>
      <c r="H436" s="10"/>
      <c r="I436" s="11"/>
      <c r="J436" s="13"/>
      <c r="K436" s="45"/>
      <c r="L436" s="37"/>
      <c r="M436" s="17"/>
      <c r="N436" s="11"/>
      <c r="O436" s="16"/>
      <c r="P436" s="16"/>
      <c r="Q436" s="18" t="str">
        <f t="shared" si="36"/>
        <v/>
      </c>
      <c r="R436" s="18" t="str">
        <f t="shared" si="37"/>
        <v/>
      </c>
      <c r="S436" s="18" t="str">
        <f t="shared" si="38"/>
        <v/>
      </c>
      <c r="T436" s="18" t="str">
        <f t="shared" si="39"/>
        <v/>
      </c>
      <c r="U436" s="18" t="str">
        <f t="shared" si="40"/>
        <v/>
      </c>
      <c r="V436" s="18" t="str">
        <f t="shared" si="41"/>
        <v/>
      </c>
      <c r="W436" s="14"/>
    </row>
    <row r="437" spans="1:23" x14ac:dyDescent="0.25">
      <c r="A437" s="6"/>
      <c r="B437" s="33"/>
      <c r="C437" s="19"/>
      <c r="D437" s="52"/>
      <c r="E437" s="52"/>
      <c r="F437" s="41"/>
      <c r="G437" s="36"/>
      <c r="H437" s="10"/>
      <c r="I437" s="11"/>
      <c r="J437" s="13"/>
      <c r="K437" s="45"/>
      <c r="L437" s="37"/>
      <c r="M437" s="17"/>
      <c r="N437" s="11"/>
      <c r="O437" s="16"/>
      <c r="P437" s="16"/>
      <c r="Q437" s="18" t="str">
        <f t="shared" si="36"/>
        <v/>
      </c>
      <c r="R437" s="18" t="str">
        <f t="shared" si="37"/>
        <v/>
      </c>
      <c r="S437" s="18" t="str">
        <f t="shared" si="38"/>
        <v/>
      </c>
      <c r="T437" s="18" t="str">
        <f t="shared" si="39"/>
        <v/>
      </c>
      <c r="U437" s="18" t="str">
        <f t="shared" si="40"/>
        <v/>
      </c>
      <c r="V437" s="18" t="str">
        <f t="shared" si="41"/>
        <v/>
      </c>
      <c r="W437" s="14"/>
    </row>
    <row r="438" spans="1:23" ht="15" customHeight="1" x14ac:dyDescent="0.25">
      <c r="A438" s="6">
        <v>90</v>
      </c>
      <c r="B438" s="33" t="s">
        <v>34</v>
      </c>
      <c r="C438" s="44"/>
      <c r="D438" s="62">
        <f>0.8+0.6+0.8</f>
        <v>2.2000000000000002</v>
      </c>
      <c r="E438" s="62"/>
      <c r="F438" s="41"/>
      <c r="G438" s="36">
        <v>0.25</v>
      </c>
      <c r="H438" s="10">
        <v>16</v>
      </c>
      <c r="I438" s="11">
        <v>1</v>
      </c>
      <c r="J438" s="13">
        <f>ROUND(D435/G438+1,0)</f>
        <v>10</v>
      </c>
      <c r="K438" s="45">
        <f>D438</f>
        <v>2.2000000000000002</v>
      </c>
      <c r="L438" s="37" t="str">
        <f>IF(O438&lt;12,"0",0.049*H438)</f>
        <v>0</v>
      </c>
      <c r="M438" s="17">
        <v>0</v>
      </c>
      <c r="N438" s="11">
        <f>M438*2*H438/1000</f>
        <v>0</v>
      </c>
      <c r="O438" s="16">
        <f>(D438)-N438</f>
        <v>2.2000000000000002</v>
      </c>
      <c r="P438" s="16">
        <f>(I438*J438*O438)+L438</f>
        <v>22</v>
      </c>
      <c r="Q438" s="18" t="str">
        <f t="shared" si="36"/>
        <v/>
      </c>
      <c r="R438" s="18" t="str">
        <f t="shared" si="37"/>
        <v/>
      </c>
      <c r="S438" s="18" t="str">
        <f t="shared" si="38"/>
        <v/>
      </c>
      <c r="T438" s="18">
        <f t="shared" si="39"/>
        <v>22</v>
      </c>
      <c r="U438" s="18" t="str">
        <f t="shared" si="40"/>
        <v/>
      </c>
      <c r="V438" s="18" t="str">
        <f t="shared" si="41"/>
        <v/>
      </c>
      <c r="W438" s="14"/>
    </row>
    <row r="439" spans="1:23" x14ac:dyDescent="0.25">
      <c r="A439" s="6"/>
      <c r="B439" s="33" t="s">
        <v>212</v>
      </c>
      <c r="C439" s="19"/>
      <c r="D439" s="52"/>
      <c r="E439" s="52"/>
      <c r="F439" s="41"/>
      <c r="G439" s="36"/>
      <c r="H439" s="10"/>
      <c r="I439" s="11"/>
      <c r="J439" s="13"/>
      <c r="K439" s="45"/>
      <c r="L439" s="37"/>
      <c r="M439" s="17"/>
      <c r="N439" s="11"/>
      <c r="O439" s="16"/>
      <c r="P439" s="16"/>
      <c r="Q439" s="18" t="str">
        <f t="shared" si="36"/>
        <v/>
      </c>
      <c r="R439" s="18" t="str">
        <f t="shared" si="37"/>
        <v/>
      </c>
      <c r="S439" s="18" t="str">
        <f t="shared" si="38"/>
        <v/>
      </c>
      <c r="T439" s="18" t="str">
        <f t="shared" si="39"/>
        <v/>
      </c>
      <c r="U439" s="18" t="str">
        <f t="shared" si="40"/>
        <v/>
      </c>
      <c r="V439" s="18" t="str">
        <f t="shared" si="41"/>
        <v/>
      </c>
      <c r="W439" s="14"/>
    </row>
    <row r="440" spans="1:23" x14ac:dyDescent="0.25">
      <c r="A440" s="6"/>
      <c r="B440" s="33"/>
      <c r="C440" s="19"/>
      <c r="D440" s="52"/>
      <c r="E440" s="52"/>
      <c r="F440" s="41"/>
      <c r="G440" s="36"/>
      <c r="H440" s="10"/>
      <c r="I440" s="11"/>
      <c r="J440" s="13"/>
      <c r="K440" s="45"/>
      <c r="L440" s="37"/>
      <c r="M440" s="17"/>
      <c r="N440" s="11"/>
      <c r="O440" s="16"/>
      <c r="P440" s="16"/>
      <c r="Q440" s="18" t="str">
        <f t="shared" si="36"/>
        <v/>
      </c>
      <c r="R440" s="18" t="str">
        <f t="shared" si="37"/>
        <v/>
      </c>
      <c r="S440" s="18" t="str">
        <f t="shared" si="38"/>
        <v/>
      </c>
      <c r="T440" s="18" t="str">
        <f t="shared" si="39"/>
        <v/>
      </c>
      <c r="U440" s="18" t="str">
        <f t="shared" si="40"/>
        <v/>
      </c>
      <c r="V440" s="18" t="str">
        <f t="shared" si="41"/>
        <v/>
      </c>
      <c r="W440" s="14"/>
    </row>
    <row r="441" spans="1:23" ht="15" customHeight="1" x14ac:dyDescent="0.25">
      <c r="A441" s="6">
        <v>91</v>
      </c>
      <c r="B441" s="33" t="s">
        <v>33</v>
      </c>
      <c r="C441" s="44"/>
      <c r="D441" s="62">
        <f>1.25+0.75+1.25</f>
        <v>3.25</v>
      </c>
      <c r="E441" s="62"/>
      <c r="F441" s="41"/>
      <c r="G441" s="36">
        <v>0.25</v>
      </c>
      <c r="H441" s="10">
        <v>25</v>
      </c>
      <c r="I441" s="11">
        <v>1</v>
      </c>
      <c r="J441" s="13">
        <f>ROUND(D444/G441+1,0)</f>
        <v>12</v>
      </c>
      <c r="K441" s="45">
        <f>D441</f>
        <v>3.25</v>
      </c>
      <c r="L441" s="37" t="str">
        <f>IF(O441&lt;12,"0",0.049*H441)</f>
        <v>0</v>
      </c>
      <c r="M441" s="17">
        <v>0</v>
      </c>
      <c r="N441" s="11">
        <f>M441*2*H441/1000</f>
        <v>0</v>
      </c>
      <c r="O441" s="16">
        <f>(D441)-N441</f>
        <v>3.25</v>
      </c>
      <c r="P441" s="16">
        <f>(I441*J441*O441)+L441</f>
        <v>39</v>
      </c>
      <c r="Q441" s="18" t="str">
        <f t="shared" si="36"/>
        <v/>
      </c>
      <c r="R441" s="18" t="str">
        <f t="shared" si="37"/>
        <v/>
      </c>
      <c r="S441" s="18" t="str">
        <f t="shared" si="38"/>
        <v/>
      </c>
      <c r="T441" s="18" t="str">
        <f t="shared" si="39"/>
        <v/>
      </c>
      <c r="U441" s="18" t="str">
        <f t="shared" si="40"/>
        <v/>
      </c>
      <c r="V441" s="18">
        <f t="shared" si="41"/>
        <v>39</v>
      </c>
      <c r="W441" s="14"/>
    </row>
    <row r="442" spans="1:23" x14ac:dyDescent="0.25">
      <c r="A442" s="6"/>
      <c r="B442" s="33" t="s">
        <v>213</v>
      </c>
      <c r="C442" s="19"/>
      <c r="D442" s="52"/>
      <c r="E442" s="52"/>
      <c r="F442" s="41"/>
      <c r="G442" s="36"/>
      <c r="H442" s="10"/>
      <c r="I442" s="11"/>
      <c r="J442" s="13"/>
      <c r="K442" s="45"/>
      <c r="L442" s="37"/>
      <c r="M442" s="17"/>
      <c r="N442" s="11"/>
      <c r="O442" s="16"/>
      <c r="P442" s="16"/>
      <c r="Q442" s="18" t="str">
        <f t="shared" si="36"/>
        <v/>
      </c>
      <c r="R442" s="18" t="str">
        <f t="shared" si="37"/>
        <v/>
      </c>
      <c r="S442" s="18" t="str">
        <f t="shared" si="38"/>
        <v/>
      </c>
      <c r="T442" s="18" t="str">
        <f t="shared" si="39"/>
        <v/>
      </c>
      <c r="U442" s="18" t="str">
        <f t="shared" si="40"/>
        <v/>
      </c>
      <c r="V442" s="18" t="str">
        <f t="shared" si="41"/>
        <v/>
      </c>
      <c r="W442" s="14"/>
    </row>
    <row r="443" spans="1:23" x14ac:dyDescent="0.25">
      <c r="A443" s="6"/>
      <c r="B443" s="33"/>
      <c r="C443" s="19"/>
      <c r="D443" s="52"/>
      <c r="E443" s="52"/>
      <c r="F443" s="41"/>
      <c r="G443" s="36"/>
      <c r="H443" s="10"/>
      <c r="I443" s="11"/>
      <c r="J443" s="13"/>
      <c r="K443" s="45"/>
      <c r="L443" s="37"/>
      <c r="M443" s="17"/>
      <c r="N443" s="11"/>
      <c r="O443" s="16"/>
      <c r="P443" s="16"/>
      <c r="Q443" s="18" t="str">
        <f t="shared" si="36"/>
        <v/>
      </c>
      <c r="R443" s="18" t="str">
        <f t="shared" si="37"/>
        <v/>
      </c>
      <c r="S443" s="18" t="str">
        <f t="shared" si="38"/>
        <v/>
      </c>
      <c r="T443" s="18" t="str">
        <f t="shared" si="39"/>
        <v/>
      </c>
      <c r="U443" s="18" t="str">
        <f t="shared" si="40"/>
        <v/>
      </c>
      <c r="V443" s="18" t="str">
        <f t="shared" si="41"/>
        <v/>
      </c>
      <c r="W443" s="14"/>
    </row>
    <row r="444" spans="1:23" ht="15" customHeight="1" x14ac:dyDescent="0.25">
      <c r="A444" s="6">
        <v>92</v>
      </c>
      <c r="B444" s="33" t="s">
        <v>34</v>
      </c>
      <c r="C444" s="44"/>
      <c r="D444" s="62">
        <f>1.25+0.3+1.25</f>
        <v>2.8</v>
      </c>
      <c r="E444" s="62"/>
      <c r="F444" s="41"/>
      <c r="G444" s="36">
        <v>0.25</v>
      </c>
      <c r="H444" s="10">
        <v>25</v>
      </c>
      <c r="I444" s="11">
        <v>1</v>
      </c>
      <c r="J444" s="13">
        <f>ROUND(D441/G444+1,0)</f>
        <v>14</v>
      </c>
      <c r="K444" s="45">
        <f>D444</f>
        <v>2.8</v>
      </c>
      <c r="L444" s="37" t="str">
        <f>IF(O444&lt;12,"0",0.049*H444)</f>
        <v>0</v>
      </c>
      <c r="M444" s="17">
        <v>0</v>
      </c>
      <c r="N444" s="11">
        <f>M444*2*H444/1000</f>
        <v>0</v>
      </c>
      <c r="O444" s="16">
        <f>(D444)-N444</f>
        <v>2.8</v>
      </c>
      <c r="P444" s="16">
        <f>(I444*J444*O444)+L444</f>
        <v>39.199999999999996</v>
      </c>
      <c r="Q444" s="18" t="str">
        <f t="shared" si="36"/>
        <v/>
      </c>
      <c r="R444" s="18" t="str">
        <f t="shared" si="37"/>
        <v/>
      </c>
      <c r="S444" s="18" t="str">
        <f t="shared" si="38"/>
        <v/>
      </c>
      <c r="T444" s="18" t="str">
        <f t="shared" si="39"/>
        <v/>
      </c>
      <c r="U444" s="18" t="str">
        <f t="shared" si="40"/>
        <v/>
      </c>
      <c r="V444" s="18">
        <f t="shared" si="41"/>
        <v>39.199999999999996</v>
      </c>
      <c r="W444" s="14"/>
    </row>
    <row r="445" spans="1:23" x14ac:dyDescent="0.25">
      <c r="A445" s="6"/>
      <c r="B445" s="33" t="s">
        <v>211</v>
      </c>
      <c r="C445" s="19"/>
      <c r="D445" s="52"/>
      <c r="E445" s="52"/>
      <c r="F445" s="41"/>
      <c r="G445" s="36"/>
      <c r="H445" s="10"/>
      <c r="I445" s="11"/>
      <c r="J445" s="13"/>
      <c r="K445" s="45"/>
      <c r="L445" s="37"/>
      <c r="M445" s="17"/>
      <c r="N445" s="11"/>
      <c r="O445" s="16"/>
      <c r="P445" s="16"/>
      <c r="Q445" s="18" t="str">
        <f t="shared" si="36"/>
        <v/>
      </c>
      <c r="R445" s="18" t="str">
        <f t="shared" si="37"/>
        <v/>
      </c>
      <c r="S445" s="18" t="str">
        <f t="shared" si="38"/>
        <v/>
      </c>
      <c r="T445" s="18" t="str">
        <f t="shared" si="39"/>
        <v/>
      </c>
      <c r="U445" s="18" t="str">
        <f t="shared" si="40"/>
        <v/>
      </c>
      <c r="V445" s="18" t="str">
        <f t="shared" si="41"/>
        <v/>
      </c>
      <c r="W445" s="14"/>
    </row>
    <row r="446" spans="1:23" x14ac:dyDescent="0.25">
      <c r="A446" s="6"/>
      <c r="B446" s="33"/>
      <c r="C446" s="19"/>
      <c r="D446" s="52"/>
      <c r="E446" s="52"/>
      <c r="F446" s="41"/>
      <c r="G446" s="36"/>
      <c r="H446" s="10"/>
      <c r="I446" s="11"/>
      <c r="J446" s="13"/>
      <c r="K446" s="45"/>
      <c r="L446" s="37"/>
      <c r="M446" s="17"/>
      <c r="N446" s="11"/>
      <c r="O446" s="16"/>
      <c r="P446" s="16"/>
      <c r="Q446" s="18" t="str">
        <f t="shared" si="36"/>
        <v/>
      </c>
      <c r="R446" s="18" t="str">
        <f t="shared" si="37"/>
        <v/>
      </c>
      <c r="S446" s="18" t="str">
        <f t="shared" si="38"/>
        <v/>
      </c>
      <c r="T446" s="18" t="str">
        <f t="shared" si="39"/>
        <v/>
      </c>
      <c r="U446" s="18" t="str">
        <f t="shared" si="40"/>
        <v/>
      </c>
      <c r="V446" s="18" t="str">
        <f t="shared" si="41"/>
        <v/>
      </c>
      <c r="W446" s="14"/>
    </row>
    <row r="447" spans="1:23" ht="15" customHeight="1" x14ac:dyDescent="0.25">
      <c r="A447" s="6">
        <v>91</v>
      </c>
      <c r="B447" s="33" t="s">
        <v>33</v>
      </c>
      <c r="C447" s="44"/>
      <c r="D447" s="62">
        <f>1.25+0.75+1.25</f>
        <v>3.25</v>
      </c>
      <c r="E447" s="62"/>
      <c r="F447" s="41"/>
      <c r="G447" s="36">
        <v>0.25</v>
      </c>
      <c r="H447" s="10">
        <v>25</v>
      </c>
      <c r="I447" s="11">
        <v>1</v>
      </c>
      <c r="J447" s="13">
        <f>ROUND(D450/G447+1,0)</f>
        <v>12</v>
      </c>
      <c r="K447" s="45">
        <f>D447</f>
        <v>3.25</v>
      </c>
      <c r="L447" s="37" t="str">
        <f>IF(O447&lt;12,"0",0.049*H447)</f>
        <v>0</v>
      </c>
      <c r="M447" s="17">
        <v>0</v>
      </c>
      <c r="N447" s="11">
        <f>M447*2*H447/1000</f>
        <v>0</v>
      </c>
      <c r="O447" s="16">
        <f>(D447)-N447</f>
        <v>3.25</v>
      </c>
      <c r="P447" s="16">
        <f>(I447*J447*O447)+L447</f>
        <v>39</v>
      </c>
      <c r="Q447" s="18" t="str">
        <f t="shared" si="36"/>
        <v/>
      </c>
      <c r="R447" s="18" t="str">
        <f t="shared" si="37"/>
        <v/>
      </c>
      <c r="S447" s="18" t="str">
        <f t="shared" si="38"/>
        <v/>
      </c>
      <c r="T447" s="18" t="str">
        <f t="shared" si="39"/>
        <v/>
      </c>
      <c r="U447" s="18" t="str">
        <f t="shared" si="40"/>
        <v/>
      </c>
      <c r="V447" s="18">
        <f t="shared" si="41"/>
        <v>39</v>
      </c>
      <c r="W447" s="14"/>
    </row>
    <row r="448" spans="1:23" x14ac:dyDescent="0.25">
      <c r="A448" s="6"/>
      <c r="B448" s="33" t="s">
        <v>214</v>
      </c>
      <c r="C448" s="19"/>
      <c r="D448" s="52"/>
      <c r="E448" s="52"/>
      <c r="F448" s="41"/>
      <c r="G448" s="36"/>
      <c r="H448" s="10"/>
      <c r="I448" s="11"/>
      <c r="J448" s="13"/>
      <c r="K448" s="45"/>
      <c r="L448" s="37"/>
      <c r="M448" s="17"/>
      <c r="N448" s="11"/>
      <c r="O448" s="16"/>
      <c r="P448" s="16"/>
      <c r="Q448" s="18" t="str">
        <f t="shared" ref="Q448:Q511" si="42">IF($H448=8,$P448,"")</f>
        <v/>
      </c>
      <c r="R448" s="18" t="str">
        <f t="shared" ref="R448:R511" si="43">IF($H448=10,$P448,"")</f>
        <v/>
      </c>
      <c r="S448" s="18" t="str">
        <f t="shared" ref="S448:S511" si="44">IF($H448=12,$P448,"")</f>
        <v/>
      </c>
      <c r="T448" s="18" t="str">
        <f t="shared" ref="T448:T511" si="45">IF($H448=16,$P448,"")</f>
        <v/>
      </c>
      <c r="U448" s="18" t="str">
        <f t="shared" ref="U448:U511" si="46">IF($H448=20,$P448,"")</f>
        <v/>
      </c>
      <c r="V448" s="18" t="str">
        <f t="shared" ref="V448:V511" si="47">IF($H448=25,$P448,"")</f>
        <v/>
      </c>
      <c r="W448" s="14"/>
    </row>
    <row r="449" spans="1:23" x14ac:dyDescent="0.25">
      <c r="A449" s="6"/>
      <c r="B449" s="33"/>
      <c r="C449" s="19"/>
      <c r="D449" s="52"/>
      <c r="E449" s="52"/>
      <c r="F449" s="41"/>
      <c r="G449" s="36"/>
      <c r="H449" s="10"/>
      <c r="I449" s="11"/>
      <c r="J449" s="13"/>
      <c r="K449" s="45"/>
      <c r="L449" s="37"/>
      <c r="M449" s="17"/>
      <c r="N449" s="11"/>
      <c r="O449" s="16"/>
      <c r="P449" s="16"/>
      <c r="Q449" s="18" t="str">
        <f t="shared" si="42"/>
        <v/>
      </c>
      <c r="R449" s="18" t="str">
        <f t="shared" si="43"/>
        <v/>
      </c>
      <c r="S449" s="18" t="str">
        <f t="shared" si="44"/>
        <v/>
      </c>
      <c r="T449" s="18" t="str">
        <f t="shared" si="45"/>
        <v/>
      </c>
      <c r="U449" s="18" t="str">
        <f t="shared" si="46"/>
        <v/>
      </c>
      <c r="V449" s="18" t="str">
        <f t="shared" si="47"/>
        <v/>
      </c>
      <c r="W449" s="14"/>
    </row>
    <row r="450" spans="1:23" ht="15" customHeight="1" x14ac:dyDescent="0.25">
      <c r="A450" s="6">
        <v>92</v>
      </c>
      <c r="B450" s="33" t="s">
        <v>34</v>
      </c>
      <c r="C450" s="44"/>
      <c r="D450" s="62">
        <f>1.25+0.3+1.25</f>
        <v>2.8</v>
      </c>
      <c r="E450" s="62"/>
      <c r="F450" s="41"/>
      <c r="G450" s="36">
        <v>0.25</v>
      </c>
      <c r="H450" s="10">
        <v>20</v>
      </c>
      <c r="I450" s="11">
        <v>1</v>
      </c>
      <c r="J450" s="13">
        <f>ROUND(D447/G450+1,0)</f>
        <v>14</v>
      </c>
      <c r="K450" s="45">
        <f>D450</f>
        <v>2.8</v>
      </c>
      <c r="L450" s="37" t="str">
        <f>IF(O450&lt;12,"0",0.049*H450)</f>
        <v>0</v>
      </c>
      <c r="M450" s="17">
        <v>0</v>
      </c>
      <c r="N450" s="11">
        <f>M450*2*H450/1000</f>
        <v>0</v>
      </c>
      <c r="O450" s="16">
        <f>(D450)-N450</f>
        <v>2.8</v>
      </c>
      <c r="P450" s="16">
        <f>(I450*J450*O450)+L450</f>
        <v>39.199999999999996</v>
      </c>
      <c r="Q450" s="18" t="str">
        <f t="shared" si="42"/>
        <v/>
      </c>
      <c r="R450" s="18" t="str">
        <f t="shared" si="43"/>
        <v/>
      </c>
      <c r="S450" s="18" t="str">
        <f t="shared" si="44"/>
        <v/>
      </c>
      <c r="T450" s="18" t="str">
        <f t="shared" si="45"/>
        <v/>
      </c>
      <c r="U450" s="18">
        <f t="shared" si="46"/>
        <v>39.199999999999996</v>
      </c>
      <c r="V450" s="18" t="str">
        <f t="shared" si="47"/>
        <v/>
      </c>
      <c r="W450" s="14"/>
    </row>
    <row r="451" spans="1:23" x14ac:dyDescent="0.25">
      <c r="A451" s="6"/>
      <c r="B451" s="33" t="s">
        <v>214</v>
      </c>
      <c r="C451" s="19"/>
      <c r="D451" s="52"/>
      <c r="E451" s="52"/>
      <c r="F451" s="41"/>
      <c r="G451" s="36"/>
      <c r="H451" s="10"/>
      <c r="I451" s="11"/>
      <c r="J451" s="13"/>
      <c r="K451" s="45"/>
      <c r="L451" s="37"/>
      <c r="M451" s="17"/>
      <c r="N451" s="11"/>
      <c r="O451" s="16"/>
      <c r="P451" s="16"/>
      <c r="Q451" s="18" t="str">
        <f t="shared" si="42"/>
        <v/>
      </c>
      <c r="R451" s="18" t="str">
        <f t="shared" si="43"/>
        <v/>
      </c>
      <c r="S451" s="18" t="str">
        <f t="shared" si="44"/>
        <v/>
      </c>
      <c r="T451" s="18" t="str">
        <f t="shared" si="45"/>
        <v/>
      </c>
      <c r="U451" s="18" t="str">
        <f t="shared" si="46"/>
        <v/>
      </c>
      <c r="V451" s="18" t="str">
        <f t="shared" si="47"/>
        <v/>
      </c>
      <c r="W451" s="14"/>
    </row>
    <row r="452" spans="1:23" x14ac:dyDescent="0.25">
      <c r="A452" s="6"/>
      <c r="B452" s="33"/>
      <c r="C452" s="19"/>
      <c r="D452" s="52"/>
      <c r="E452" s="52"/>
      <c r="F452" s="41"/>
      <c r="G452" s="36"/>
      <c r="H452" s="10"/>
      <c r="I452" s="11"/>
      <c r="J452" s="13"/>
      <c r="K452" s="45"/>
      <c r="L452" s="37"/>
      <c r="M452" s="17"/>
      <c r="N452" s="11"/>
      <c r="O452" s="16"/>
      <c r="P452" s="16"/>
      <c r="Q452" s="18" t="str">
        <f t="shared" si="42"/>
        <v/>
      </c>
      <c r="R452" s="18" t="str">
        <f t="shared" si="43"/>
        <v/>
      </c>
      <c r="S452" s="18" t="str">
        <f t="shared" si="44"/>
        <v/>
      </c>
      <c r="T452" s="18" t="str">
        <f t="shared" si="45"/>
        <v/>
      </c>
      <c r="U452" s="18" t="str">
        <f t="shared" si="46"/>
        <v/>
      </c>
      <c r="V452" s="18" t="str">
        <f t="shared" si="47"/>
        <v/>
      </c>
      <c r="W452" s="14"/>
    </row>
    <row r="453" spans="1:23" ht="15" customHeight="1" x14ac:dyDescent="0.25">
      <c r="A453" s="6">
        <v>93</v>
      </c>
      <c r="B453" s="33" t="s">
        <v>34</v>
      </c>
      <c r="C453" s="44"/>
      <c r="D453" s="62">
        <f>1.25+0.3+1.25</f>
        <v>2.8</v>
      </c>
      <c r="E453" s="62"/>
      <c r="F453" s="41"/>
      <c r="G453" s="36">
        <v>0.25</v>
      </c>
      <c r="H453" s="10">
        <v>20</v>
      </c>
      <c r="I453" s="11">
        <v>1</v>
      </c>
      <c r="J453" s="13">
        <f>ROUND(D450/G453+1,0)</f>
        <v>12</v>
      </c>
      <c r="K453" s="45">
        <f>D453</f>
        <v>2.8</v>
      </c>
      <c r="L453" s="37" t="str">
        <f>IF(O453&lt;12,"0",0.049*H453)</f>
        <v>0</v>
      </c>
      <c r="M453" s="17">
        <v>0</v>
      </c>
      <c r="N453" s="11">
        <f>M453*2*H453/1000</f>
        <v>0</v>
      </c>
      <c r="O453" s="16">
        <f>(D453)-N453</f>
        <v>2.8</v>
      </c>
      <c r="P453" s="16">
        <f>(I453*J453*O453)+L453</f>
        <v>33.599999999999994</v>
      </c>
      <c r="Q453" s="18" t="str">
        <f t="shared" si="42"/>
        <v/>
      </c>
      <c r="R453" s="18" t="str">
        <f t="shared" si="43"/>
        <v/>
      </c>
      <c r="S453" s="18" t="str">
        <f t="shared" si="44"/>
        <v/>
      </c>
      <c r="T453" s="18" t="str">
        <f t="shared" si="45"/>
        <v/>
      </c>
      <c r="U453" s="18">
        <f t="shared" si="46"/>
        <v>33.599999999999994</v>
      </c>
      <c r="V453" s="18" t="str">
        <f t="shared" si="47"/>
        <v/>
      </c>
      <c r="W453" s="14"/>
    </row>
    <row r="454" spans="1:23" x14ac:dyDescent="0.25">
      <c r="A454" s="6"/>
      <c r="B454" s="33" t="s">
        <v>214</v>
      </c>
      <c r="C454" s="19"/>
      <c r="D454" s="52"/>
      <c r="E454" s="52"/>
      <c r="F454" s="41"/>
      <c r="G454" s="36"/>
      <c r="H454" s="10"/>
      <c r="I454" s="11"/>
      <c r="J454" s="13"/>
      <c r="K454" s="45"/>
      <c r="L454" s="37"/>
      <c r="M454" s="17"/>
      <c r="N454" s="11"/>
      <c r="O454" s="16"/>
      <c r="P454" s="16"/>
      <c r="Q454" s="18" t="str">
        <f t="shared" si="42"/>
        <v/>
      </c>
      <c r="R454" s="18" t="str">
        <f t="shared" si="43"/>
        <v/>
      </c>
      <c r="S454" s="18" t="str">
        <f t="shared" si="44"/>
        <v/>
      </c>
      <c r="T454" s="18" t="str">
        <f t="shared" si="45"/>
        <v/>
      </c>
      <c r="U454" s="18" t="str">
        <f t="shared" si="46"/>
        <v/>
      </c>
      <c r="V454" s="18" t="str">
        <f t="shared" si="47"/>
        <v/>
      </c>
      <c r="W454" s="14"/>
    </row>
    <row r="455" spans="1:23" x14ac:dyDescent="0.25">
      <c r="A455" s="6"/>
      <c r="B455" s="33"/>
      <c r="C455" s="19"/>
      <c r="D455" s="52"/>
      <c r="E455" s="52"/>
      <c r="F455" s="41"/>
      <c r="G455" s="36"/>
      <c r="H455" s="10"/>
      <c r="I455" s="11"/>
      <c r="J455" s="13"/>
      <c r="K455" s="45"/>
      <c r="L455" s="37"/>
      <c r="M455" s="17"/>
      <c r="N455" s="11"/>
      <c r="O455" s="16"/>
      <c r="P455" s="16"/>
      <c r="Q455" s="18" t="str">
        <f t="shared" si="42"/>
        <v/>
      </c>
      <c r="R455" s="18" t="str">
        <f t="shared" si="43"/>
        <v/>
      </c>
      <c r="S455" s="18" t="str">
        <f t="shared" si="44"/>
        <v/>
      </c>
      <c r="T455" s="18" t="str">
        <f t="shared" si="45"/>
        <v/>
      </c>
      <c r="U455" s="18" t="str">
        <f t="shared" si="46"/>
        <v/>
      </c>
      <c r="V455" s="18" t="str">
        <f t="shared" si="47"/>
        <v/>
      </c>
      <c r="W455" s="14"/>
    </row>
    <row r="456" spans="1:23" ht="15" customHeight="1" x14ac:dyDescent="0.25">
      <c r="A456" s="6">
        <v>94</v>
      </c>
      <c r="B456" s="33" t="s">
        <v>33</v>
      </c>
      <c r="C456" s="44"/>
      <c r="D456" s="62">
        <f>1.25+0.3+1.25</f>
        <v>2.8</v>
      </c>
      <c r="E456" s="62"/>
      <c r="F456" s="41"/>
      <c r="G456" s="36">
        <v>0.25</v>
      </c>
      <c r="H456" s="10">
        <v>25</v>
      </c>
      <c r="I456" s="11">
        <v>1</v>
      </c>
      <c r="J456" s="13">
        <f>ROUND(D459/G456+1,0)</f>
        <v>13</v>
      </c>
      <c r="K456" s="45">
        <f>D456</f>
        <v>2.8</v>
      </c>
      <c r="L456" s="37" t="str">
        <f>IF(O456&lt;12,"0",0.049*H456)</f>
        <v>0</v>
      </c>
      <c r="M456" s="17">
        <v>0</v>
      </c>
      <c r="N456" s="11">
        <f>M456*2*H456/1000</f>
        <v>0</v>
      </c>
      <c r="O456" s="16">
        <f>(D456)-N456</f>
        <v>2.8</v>
      </c>
      <c r="P456" s="16">
        <f>(I456*J456*O456)+L456</f>
        <v>36.4</v>
      </c>
      <c r="Q456" s="18" t="str">
        <f t="shared" si="42"/>
        <v/>
      </c>
      <c r="R456" s="18" t="str">
        <f t="shared" si="43"/>
        <v/>
      </c>
      <c r="S456" s="18" t="str">
        <f t="shared" si="44"/>
        <v/>
      </c>
      <c r="T456" s="18" t="str">
        <f t="shared" si="45"/>
        <v/>
      </c>
      <c r="U456" s="18" t="str">
        <f t="shared" si="46"/>
        <v/>
      </c>
      <c r="V456" s="18">
        <f t="shared" si="47"/>
        <v>36.4</v>
      </c>
      <c r="W456" s="14"/>
    </row>
    <row r="457" spans="1:23" x14ac:dyDescent="0.25">
      <c r="A457" s="6"/>
      <c r="B457" s="33" t="s">
        <v>215</v>
      </c>
      <c r="C457" s="19"/>
      <c r="D457" s="52"/>
      <c r="E457" s="52"/>
      <c r="F457" s="41"/>
      <c r="G457" s="36"/>
      <c r="H457" s="10"/>
      <c r="I457" s="11"/>
      <c r="J457" s="13"/>
      <c r="K457" s="45"/>
      <c r="L457" s="37"/>
      <c r="M457" s="17"/>
      <c r="N457" s="11"/>
      <c r="O457" s="16"/>
      <c r="P457" s="16"/>
      <c r="Q457" s="18" t="str">
        <f t="shared" si="42"/>
        <v/>
      </c>
      <c r="R457" s="18" t="str">
        <f t="shared" si="43"/>
        <v/>
      </c>
      <c r="S457" s="18" t="str">
        <f t="shared" si="44"/>
        <v/>
      </c>
      <c r="T457" s="18" t="str">
        <f t="shared" si="45"/>
        <v/>
      </c>
      <c r="U457" s="18" t="str">
        <f t="shared" si="46"/>
        <v/>
      </c>
      <c r="V457" s="18" t="str">
        <f t="shared" si="47"/>
        <v/>
      </c>
      <c r="W457" s="14"/>
    </row>
    <row r="458" spans="1:23" x14ac:dyDescent="0.25">
      <c r="A458" s="6"/>
      <c r="B458" s="33"/>
      <c r="C458" s="19"/>
      <c r="D458" s="52"/>
      <c r="E458" s="52"/>
      <c r="F458" s="41"/>
      <c r="G458" s="36"/>
      <c r="H458" s="10"/>
      <c r="I458" s="11"/>
      <c r="J458" s="13"/>
      <c r="K458" s="45"/>
      <c r="L458" s="37"/>
      <c r="M458" s="17"/>
      <c r="N458" s="11"/>
      <c r="O458" s="16"/>
      <c r="P458" s="16"/>
      <c r="Q458" s="18" t="str">
        <f t="shared" si="42"/>
        <v/>
      </c>
      <c r="R458" s="18" t="str">
        <f t="shared" si="43"/>
        <v/>
      </c>
      <c r="S458" s="18" t="str">
        <f t="shared" si="44"/>
        <v/>
      </c>
      <c r="T458" s="18" t="str">
        <f t="shared" si="45"/>
        <v/>
      </c>
      <c r="U458" s="18" t="str">
        <f t="shared" si="46"/>
        <v/>
      </c>
      <c r="V458" s="18" t="str">
        <f t="shared" si="47"/>
        <v/>
      </c>
      <c r="W458" s="14"/>
    </row>
    <row r="459" spans="1:23" ht="15" customHeight="1" x14ac:dyDescent="0.25">
      <c r="A459" s="6">
        <v>95</v>
      </c>
      <c r="B459" s="33" t="s">
        <v>34</v>
      </c>
      <c r="C459" s="44"/>
      <c r="D459" s="62">
        <f>1.25+0.6+1.25</f>
        <v>3.1</v>
      </c>
      <c r="E459" s="62"/>
      <c r="F459" s="41"/>
      <c r="G459" s="36">
        <v>0.25</v>
      </c>
      <c r="H459" s="10">
        <v>25</v>
      </c>
      <c r="I459" s="11">
        <v>1</v>
      </c>
      <c r="J459" s="13">
        <f>ROUND(D456/G459+1,0)</f>
        <v>12</v>
      </c>
      <c r="K459" s="45">
        <f>D459</f>
        <v>3.1</v>
      </c>
      <c r="L459" s="37" t="str">
        <f>IF(O459&lt;12,"0",0.049*H459)</f>
        <v>0</v>
      </c>
      <c r="M459" s="17">
        <v>0</v>
      </c>
      <c r="N459" s="11">
        <f>M459*2*H459/1000</f>
        <v>0</v>
      </c>
      <c r="O459" s="16">
        <f>(D459)-N459</f>
        <v>3.1</v>
      </c>
      <c r="P459" s="16">
        <f>(I459*J459*O459)+L459</f>
        <v>37.200000000000003</v>
      </c>
      <c r="Q459" s="18" t="str">
        <f t="shared" si="42"/>
        <v/>
      </c>
      <c r="R459" s="18" t="str">
        <f t="shared" si="43"/>
        <v/>
      </c>
      <c r="S459" s="18" t="str">
        <f t="shared" si="44"/>
        <v/>
      </c>
      <c r="T459" s="18" t="str">
        <f t="shared" si="45"/>
        <v/>
      </c>
      <c r="U459" s="18" t="str">
        <f t="shared" si="46"/>
        <v/>
      </c>
      <c r="V459" s="18">
        <f t="shared" si="47"/>
        <v>37.200000000000003</v>
      </c>
      <c r="W459" s="14"/>
    </row>
    <row r="460" spans="1:23" x14ac:dyDescent="0.25">
      <c r="A460" s="6"/>
      <c r="B460" s="33" t="s">
        <v>215</v>
      </c>
      <c r="C460" s="19"/>
      <c r="D460" s="52"/>
      <c r="E460" s="52"/>
      <c r="F460" s="41"/>
      <c r="G460" s="36"/>
      <c r="H460" s="10"/>
      <c r="I460" s="11"/>
      <c r="J460" s="13"/>
      <c r="K460" s="45"/>
      <c r="L460" s="37"/>
      <c r="M460" s="17"/>
      <c r="N460" s="11"/>
      <c r="O460" s="16"/>
      <c r="P460" s="16"/>
      <c r="Q460" s="18" t="str">
        <f t="shared" si="42"/>
        <v/>
      </c>
      <c r="R460" s="18" t="str">
        <f t="shared" si="43"/>
        <v/>
      </c>
      <c r="S460" s="18" t="str">
        <f t="shared" si="44"/>
        <v/>
      </c>
      <c r="T460" s="18" t="str">
        <f t="shared" si="45"/>
        <v/>
      </c>
      <c r="U460" s="18" t="str">
        <f t="shared" si="46"/>
        <v/>
      </c>
      <c r="V460" s="18" t="str">
        <f t="shared" si="47"/>
        <v/>
      </c>
      <c r="W460" s="14"/>
    </row>
    <row r="461" spans="1:23" x14ac:dyDescent="0.25">
      <c r="A461" s="6"/>
      <c r="B461" s="33"/>
      <c r="C461" s="19"/>
      <c r="D461" s="52"/>
      <c r="E461" s="52"/>
      <c r="F461" s="41"/>
      <c r="G461" s="36"/>
      <c r="H461" s="10"/>
      <c r="I461" s="11"/>
      <c r="J461" s="13"/>
      <c r="K461" s="45"/>
      <c r="L461" s="37"/>
      <c r="M461" s="17"/>
      <c r="N461" s="11"/>
      <c r="O461" s="16"/>
      <c r="P461" s="16"/>
      <c r="Q461" s="18" t="str">
        <f t="shared" si="42"/>
        <v/>
      </c>
      <c r="R461" s="18" t="str">
        <f t="shared" si="43"/>
        <v/>
      </c>
      <c r="S461" s="18" t="str">
        <f t="shared" si="44"/>
        <v/>
      </c>
      <c r="T461" s="18" t="str">
        <f t="shared" si="45"/>
        <v/>
      </c>
      <c r="U461" s="18" t="str">
        <f t="shared" si="46"/>
        <v/>
      </c>
      <c r="V461" s="18" t="str">
        <f t="shared" si="47"/>
        <v/>
      </c>
      <c r="W461" s="14"/>
    </row>
    <row r="462" spans="1:23" ht="15" customHeight="1" x14ac:dyDescent="0.25">
      <c r="A462" s="6">
        <v>96</v>
      </c>
      <c r="B462" s="33" t="s">
        <v>33</v>
      </c>
      <c r="C462" s="44"/>
      <c r="D462" s="62">
        <f>1+0.75+1</f>
        <v>2.75</v>
      </c>
      <c r="E462" s="62"/>
      <c r="F462" s="41"/>
      <c r="G462" s="36">
        <v>0.25</v>
      </c>
      <c r="H462" s="10">
        <v>20</v>
      </c>
      <c r="I462" s="11">
        <v>1</v>
      </c>
      <c r="J462" s="13">
        <f>ROUND(D465/G462+1,0)</f>
        <v>8</v>
      </c>
      <c r="K462" s="45">
        <f>D462</f>
        <v>2.75</v>
      </c>
      <c r="L462" s="37" t="str">
        <f>IF(O462&lt;12,"0",0.049*H462)</f>
        <v>0</v>
      </c>
      <c r="M462" s="17">
        <v>0</v>
      </c>
      <c r="N462" s="11">
        <f>M462*2*H462/1000</f>
        <v>0</v>
      </c>
      <c r="O462" s="16">
        <f>(D462)-N462</f>
        <v>2.75</v>
      </c>
      <c r="P462" s="16">
        <f>(I462*J462*O462)+L462</f>
        <v>22</v>
      </c>
      <c r="Q462" s="18" t="str">
        <f t="shared" si="42"/>
        <v/>
      </c>
      <c r="R462" s="18" t="str">
        <f t="shared" si="43"/>
        <v/>
      </c>
      <c r="S462" s="18" t="str">
        <f t="shared" si="44"/>
        <v/>
      </c>
      <c r="T462" s="18" t="str">
        <f t="shared" si="45"/>
        <v/>
      </c>
      <c r="U462" s="18">
        <f t="shared" si="46"/>
        <v>22</v>
      </c>
      <c r="V462" s="18" t="str">
        <f t="shared" si="47"/>
        <v/>
      </c>
      <c r="W462" s="14"/>
    </row>
    <row r="463" spans="1:23" x14ac:dyDescent="0.25">
      <c r="A463" s="6"/>
      <c r="B463" s="33" t="s">
        <v>216</v>
      </c>
      <c r="C463" s="19"/>
      <c r="D463" s="52"/>
      <c r="E463" s="52"/>
      <c r="F463" s="41"/>
      <c r="G463" s="36"/>
      <c r="H463" s="10"/>
      <c r="I463" s="11"/>
      <c r="J463" s="13"/>
      <c r="K463" s="45"/>
      <c r="L463" s="37"/>
      <c r="M463" s="17"/>
      <c r="N463" s="11"/>
      <c r="O463" s="16"/>
      <c r="P463" s="16"/>
      <c r="Q463" s="18" t="str">
        <f t="shared" si="42"/>
        <v/>
      </c>
      <c r="R463" s="18" t="str">
        <f t="shared" si="43"/>
        <v/>
      </c>
      <c r="S463" s="18" t="str">
        <f t="shared" si="44"/>
        <v/>
      </c>
      <c r="T463" s="18" t="str">
        <f t="shared" si="45"/>
        <v/>
      </c>
      <c r="U463" s="18" t="str">
        <f t="shared" si="46"/>
        <v/>
      </c>
      <c r="V463" s="18" t="str">
        <f t="shared" si="47"/>
        <v/>
      </c>
      <c r="W463" s="14"/>
    </row>
    <row r="464" spans="1:23" x14ac:dyDescent="0.25">
      <c r="A464" s="6"/>
      <c r="B464" s="33"/>
      <c r="C464" s="19"/>
      <c r="D464" s="52"/>
      <c r="E464" s="52"/>
      <c r="F464" s="41"/>
      <c r="G464" s="36"/>
      <c r="H464" s="10"/>
      <c r="I464" s="11"/>
      <c r="J464" s="13"/>
      <c r="K464" s="45"/>
      <c r="L464" s="37"/>
      <c r="M464" s="17"/>
      <c r="N464" s="11"/>
      <c r="O464" s="16"/>
      <c r="P464" s="16"/>
      <c r="Q464" s="18" t="str">
        <f t="shared" si="42"/>
        <v/>
      </c>
      <c r="R464" s="18" t="str">
        <f t="shared" si="43"/>
        <v/>
      </c>
      <c r="S464" s="18" t="str">
        <f t="shared" si="44"/>
        <v/>
      </c>
      <c r="T464" s="18" t="str">
        <f t="shared" si="45"/>
        <v/>
      </c>
      <c r="U464" s="18" t="str">
        <f t="shared" si="46"/>
        <v/>
      </c>
      <c r="V464" s="18" t="str">
        <f t="shared" si="47"/>
        <v/>
      </c>
      <c r="W464" s="14"/>
    </row>
    <row r="465" spans="1:23" ht="15" customHeight="1" x14ac:dyDescent="0.25">
      <c r="A465" s="6">
        <v>97</v>
      </c>
      <c r="B465" s="33" t="s">
        <v>34</v>
      </c>
      <c r="C465" s="44"/>
      <c r="D465" s="62">
        <v>1.85</v>
      </c>
      <c r="E465" s="62"/>
      <c r="F465" s="41"/>
      <c r="G465" s="36">
        <v>0.25</v>
      </c>
      <c r="H465" s="10">
        <v>20</v>
      </c>
      <c r="I465" s="11">
        <v>1</v>
      </c>
      <c r="J465" s="13">
        <f>ROUND(D462/G465+1,0)</f>
        <v>12</v>
      </c>
      <c r="K465" s="45">
        <f>D465</f>
        <v>1.85</v>
      </c>
      <c r="L465" s="37" t="str">
        <f>IF(O465&lt;12,"0",0.049*H465)</f>
        <v>0</v>
      </c>
      <c r="M465" s="17">
        <v>0</v>
      </c>
      <c r="N465" s="11">
        <f>M465*2*H465/1000</f>
        <v>0</v>
      </c>
      <c r="O465" s="16">
        <f>(D465)-N465</f>
        <v>1.85</v>
      </c>
      <c r="P465" s="16">
        <f>(I465*J465*O465)+L465</f>
        <v>22.200000000000003</v>
      </c>
      <c r="Q465" s="18" t="str">
        <f t="shared" si="42"/>
        <v/>
      </c>
      <c r="R465" s="18" t="str">
        <f t="shared" si="43"/>
        <v/>
      </c>
      <c r="S465" s="18" t="str">
        <f t="shared" si="44"/>
        <v/>
      </c>
      <c r="T465" s="18" t="str">
        <f t="shared" si="45"/>
        <v/>
      </c>
      <c r="U465" s="18">
        <f t="shared" si="46"/>
        <v>22.200000000000003</v>
      </c>
      <c r="V465" s="18" t="str">
        <f t="shared" si="47"/>
        <v/>
      </c>
      <c r="W465" s="14"/>
    </row>
    <row r="466" spans="1:23" x14ac:dyDescent="0.25">
      <c r="A466" s="6"/>
      <c r="B466" s="33" t="s">
        <v>216</v>
      </c>
      <c r="C466" s="19"/>
      <c r="D466" s="52"/>
      <c r="E466" s="52"/>
      <c r="F466" s="41"/>
      <c r="G466" s="36"/>
      <c r="H466" s="10"/>
      <c r="I466" s="11"/>
      <c r="J466" s="13"/>
      <c r="K466" s="45"/>
      <c r="L466" s="37"/>
      <c r="M466" s="17"/>
      <c r="N466" s="11"/>
      <c r="O466" s="16"/>
      <c r="P466" s="16"/>
      <c r="Q466" s="18" t="str">
        <f t="shared" si="42"/>
        <v/>
      </c>
      <c r="R466" s="18" t="str">
        <f t="shared" si="43"/>
        <v/>
      </c>
      <c r="S466" s="18" t="str">
        <f t="shared" si="44"/>
        <v/>
      </c>
      <c r="T466" s="18" t="str">
        <f t="shared" si="45"/>
        <v/>
      </c>
      <c r="U466" s="18" t="str">
        <f t="shared" si="46"/>
        <v/>
      </c>
      <c r="V466" s="18" t="str">
        <f t="shared" si="47"/>
        <v/>
      </c>
      <c r="W466" s="14"/>
    </row>
    <row r="467" spans="1:23" x14ac:dyDescent="0.25">
      <c r="A467" s="6"/>
      <c r="B467" s="33"/>
      <c r="C467" s="19"/>
      <c r="D467" s="52"/>
      <c r="E467" s="52"/>
      <c r="F467" s="41"/>
      <c r="G467" s="36"/>
      <c r="H467" s="10"/>
      <c r="I467" s="11"/>
      <c r="J467" s="13"/>
      <c r="K467" s="45"/>
      <c r="L467" s="37"/>
      <c r="M467" s="17"/>
      <c r="N467" s="11"/>
      <c r="O467" s="16"/>
      <c r="P467" s="16"/>
      <c r="Q467" s="18" t="str">
        <f t="shared" si="42"/>
        <v/>
      </c>
      <c r="R467" s="18" t="str">
        <f t="shared" si="43"/>
        <v/>
      </c>
      <c r="S467" s="18" t="str">
        <f t="shared" si="44"/>
        <v/>
      </c>
      <c r="T467" s="18" t="str">
        <f t="shared" si="45"/>
        <v/>
      </c>
      <c r="U467" s="18" t="str">
        <f t="shared" si="46"/>
        <v/>
      </c>
      <c r="V467" s="18" t="str">
        <f t="shared" si="47"/>
        <v/>
      </c>
      <c r="W467" s="14"/>
    </row>
    <row r="468" spans="1:23" ht="15" customHeight="1" x14ac:dyDescent="0.25">
      <c r="A468" s="6">
        <v>98</v>
      </c>
      <c r="B468" s="33" t="s">
        <v>34</v>
      </c>
      <c r="C468" s="44"/>
      <c r="D468" s="62">
        <v>1.85</v>
      </c>
      <c r="E468" s="62"/>
      <c r="F468" s="41"/>
      <c r="G468" s="36">
        <v>0.25</v>
      </c>
      <c r="H468" s="10">
        <v>20</v>
      </c>
      <c r="I468" s="11">
        <v>1</v>
      </c>
      <c r="J468" s="13">
        <f>ROUND(D465/G468+1,0)</f>
        <v>8</v>
      </c>
      <c r="K468" s="45">
        <f>D468</f>
        <v>1.85</v>
      </c>
      <c r="L468" s="37" t="str">
        <f>IF(O468&lt;12,"0",0.049*H468)</f>
        <v>0</v>
      </c>
      <c r="M468" s="17">
        <v>0</v>
      </c>
      <c r="N468" s="11">
        <f>M468*2*H468/1000</f>
        <v>0</v>
      </c>
      <c r="O468" s="16">
        <f>(D468)-N468</f>
        <v>1.85</v>
      </c>
      <c r="P468" s="16">
        <f>(I468*J468*O468)+L468</f>
        <v>14.8</v>
      </c>
      <c r="Q468" s="18" t="str">
        <f t="shared" si="42"/>
        <v/>
      </c>
      <c r="R468" s="18" t="str">
        <f t="shared" si="43"/>
        <v/>
      </c>
      <c r="S468" s="18" t="str">
        <f t="shared" si="44"/>
        <v/>
      </c>
      <c r="T468" s="18" t="str">
        <f t="shared" si="45"/>
        <v/>
      </c>
      <c r="U468" s="18">
        <f t="shared" si="46"/>
        <v>14.8</v>
      </c>
      <c r="V468" s="18" t="str">
        <f t="shared" si="47"/>
        <v/>
      </c>
      <c r="W468" s="14"/>
    </row>
    <row r="469" spans="1:23" x14ac:dyDescent="0.25">
      <c r="A469" s="6"/>
      <c r="B469" s="33" t="s">
        <v>216</v>
      </c>
      <c r="C469" s="19"/>
      <c r="D469" s="52"/>
      <c r="E469" s="52"/>
      <c r="F469" s="41"/>
      <c r="G469" s="36"/>
      <c r="H469" s="10"/>
      <c r="I469" s="11"/>
      <c r="J469" s="13"/>
      <c r="K469" s="45"/>
      <c r="L469" s="37"/>
      <c r="M469" s="17"/>
      <c r="N469" s="11"/>
      <c r="O469" s="16"/>
      <c r="P469" s="16"/>
      <c r="Q469" s="18" t="str">
        <f t="shared" si="42"/>
        <v/>
      </c>
      <c r="R469" s="18" t="str">
        <f t="shared" si="43"/>
        <v/>
      </c>
      <c r="S469" s="18" t="str">
        <f t="shared" si="44"/>
        <v/>
      </c>
      <c r="T469" s="18" t="str">
        <f t="shared" si="45"/>
        <v/>
      </c>
      <c r="U469" s="18" t="str">
        <f t="shared" si="46"/>
        <v/>
      </c>
      <c r="V469" s="18" t="str">
        <f t="shared" si="47"/>
        <v/>
      </c>
      <c r="W469" s="14"/>
    </row>
    <row r="470" spans="1:23" x14ac:dyDescent="0.25">
      <c r="A470" s="6"/>
      <c r="B470" s="33"/>
      <c r="C470" s="19"/>
      <c r="D470" s="52"/>
      <c r="E470" s="52"/>
      <c r="F470" s="41"/>
      <c r="G470" s="36"/>
      <c r="H470" s="10"/>
      <c r="I470" s="11"/>
      <c r="J470" s="13"/>
      <c r="K470" s="45"/>
      <c r="L470" s="37"/>
      <c r="M470" s="17"/>
      <c r="N470" s="11"/>
      <c r="O470" s="16"/>
      <c r="P470" s="16"/>
      <c r="Q470" s="18" t="str">
        <f t="shared" si="42"/>
        <v/>
      </c>
      <c r="R470" s="18" t="str">
        <f t="shared" si="43"/>
        <v/>
      </c>
      <c r="S470" s="18" t="str">
        <f t="shared" si="44"/>
        <v/>
      </c>
      <c r="T470" s="18" t="str">
        <f t="shared" si="45"/>
        <v/>
      </c>
      <c r="U470" s="18" t="str">
        <f t="shared" si="46"/>
        <v/>
      </c>
      <c r="V470" s="18" t="str">
        <f t="shared" si="47"/>
        <v/>
      </c>
      <c r="W470" s="14"/>
    </row>
    <row r="471" spans="1:23" ht="15" customHeight="1" x14ac:dyDescent="0.25">
      <c r="A471" s="6">
        <v>99</v>
      </c>
      <c r="B471" s="33" t="s">
        <v>33</v>
      </c>
      <c r="C471" s="44"/>
      <c r="D471" s="62">
        <f>1.25+0.75+1.25</f>
        <v>3.25</v>
      </c>
      <c r="E471" s="62"/>
      <c r="F471" s="41"/>
      <c r="G471" s="36">
        <v>0.25</v>
      </c>
      <c r="H471" s="10">
        <v>25</v>
      </c>
      <c r="I471" s="11">
        <v>1</v>
      </c>
      <c r="J471" s="13">
        <f>ROUND(D474/G471+1,0)</f>
        <v>10</v>
      </c>
      <c r="K471" s="45">
        <f>D471</f>
        <v>3.25</v>
      </c>
      <c r="L471" s="37" t="str">
        <f>IF(O471&lt;12,"0",0.049*H471)</f>
        <v>0</v>
      </c>
      <c r="M471" s="17">
        <v>0</v>
      </c>
      <c r="N471" s="11">
        <f>M471*2*H471/1000</f>
        <v>0</v>
      </c>
      <c r="O471" s="16">
        <f>(D471)-N471</f>
        <v>3.25</v>
      </c>
      <c r="P471" s="16">
        <f>(I471*J471*O471)+L471</f>
        <v>32.5</v>
      </c>
      <c r="Q471" s="18" t="str">
        <f t="shared" si="42"/>
        <v/>
      </c>
      <c r="R471" s="18" t="str">
        <f t="shared" si="43"/>
        <v/>
      </c>
      <c r="S471" s="18" t="str">
        <f t="shared" si="44"/>
        <v/>
      </c>
      <c r="T471" s="18" t="str">
        <f t="shared" si="45"/>
        <v/>
      </c>
      <c r="U471" s="18" t="str">
        <f t="shared" si="46"/>
        <v/>
      </c>
      <c r="V471" s="18">
        <f t="shared" si="47"/>
        <v>32.5</v>
      </c>
      <c r="W471" s="14"/>
    </row>
    <row r="472" spans="1:23" x14ac:dyDescent="0.25">
      <c r="A472" s="6"/>
      <c r="B472" s="33" t="s">
        <v>217</v>
      </c>
      <c r="C472" s="19"/>
      <c r="D472" s="52"/>
      <c r="E472" s="52"/>
      <c r="F472" s="41"/>
      <c r="G472" s="36"/>
      <c r="H472" s="10"/>
      <c r="I472" s="11"/>
      <c r="J472" s="13"/>
      <c r="K472" s="45"/>
      <c r="L472" s="37"/>
      <c r="M472" s="17"/>
      <c r="N472" s="11"/>
      <c r="O472" s="16"/>
      <c r="P472" s="16"/>
      <c r="Q472" s="18" t="str">
        <f t="shared" si="42"/>
        <v/>
      </c>
      <c r="R472" s="18" t="str">
        <f t="shared" si="43"/>
        <v/>
      </c>
      <c r="S472" s="18" t="str">
        <f t="shared" si="44"/>
        <v/>
      </c>
      <c r="T472" s="18" t="str">
        <f t="shared" si="45"/>
        <v/>
      </c>
      <c r="U472" s="18" t="str">
        <f t="shared" si="46"/>
        <v/>
      </c>
      <c r="V472" s="18" t="str">
        <f t="shared" si="47"/>
        <v/>
      </c>
      <c r="W472" s="14"/>
    </row>
    <row r="473" spans="1:23" x14ac:dyDescent="0.25">
      <c r="A473" s="6"/>
      <c r="B473" s="33"/>
      <c r="C473" s="19"/>
      <c r="D473" s="52"/>
      <c r="E473" s="52"/>
      <c r="F473" s="41"/>
      <c r="G473" s="36"/>
      <c r="H473" s="10"/>
      <c r="I473" s="11"/>
      <c r="J473" s="13"/>
      <c r="K473" s="45"/>
      <c r="L473" s="37"/>
      <c r="M473" s="17"/>
      <c r="N473" s="11"/>
      <c r="O473" s="16"/>
      <c r="P473" s="16"/>
      <c r="Q473" s="18" t="str">
        <f t="shared" si="42"/>
        <v/>
      </c>
      <c r="R473" s="18" t="str">
        <f t="shared" si="43"/>
        <v/>
      </c>
      <c r="S473" s="18" t="str">
        <f t="shared" si="44"/>
        <v/>
      </c>
      <c r="T473" s="18" t="str">
        <f t="shared" si="45"/>
        <v/>
      </c>
      <c r="U473" s="18" t="str">
        <f t="shared" si="46"/>
        <v/>
      </c>
      <c r="V473" s="18" t="str">
        <f t="shared" si="47"/>
        <v/>
      </c>
      <c r="W473" s="14"/>
    </row>
    <row r="474" spans="1:23" ht="15" customHeight="1" x14ac:dyDescent="0.25">
      <c r="A474" s="6">
        <v>100</v>
      </c>
      <c r="B474" s="33" t="s">
        <v>34</v>
      </c>
      <c r="C474" s="44"/>
      <c r="D474" s="62">
        <f>1+0.3+1</f>
        <v>2.2999999999999998</v>
      </c>
      <c r="E474" s="62"/>
      <c r="F474" s="41"/>
      <c r="G474" s="36">
        <v>0.25</v>
      </c>
      <c r="H474" s="10">
        <v>20</v>
      </c>
      <c r="I474" s="11">
        <v>1</v>
      </c>
      <c r="J474" s="13">
        <f>ROUND(D471/G474+1,0)</f>
        <v>14</v>
      </c>
      <c r="K474" s="45">
        <f>D474</f>
        <v>2.2999999999999998</v>
      </c>
      <c r="L474" s="37" t="str">
        <f>IF(O474&lt;12,"0",0.049*H474)</f>
        <v>0</v>
      </c>
      <c r="M474" s="17">
        <v>0</v>
      </c>
      <c r="N474" s="11">
        <f>M474*2*H474/1000</f>
        <v>0</v>
      </c>
      <c r="O474" s="16">
        <f>(D474)-N474</f>
        <v>2.2999999999999998</v>
      </c>
      <c r="P474" s="16">
        <f>(I474*J474*O474)+L474</f>
        <v>32.199999999999996</v>
      </c>
      <c r="Q474" s="18" t="str">
        <f t="shared" si="42"/>
        <v/>
      </c>
      <c r="R474" s="18" t="str">
        <f t="shared" si="43"/>
        <v/>
      </c>
      <c r="S474" s="18" t="str">
        <f t="shared" si="44"/>
        <v/>
      </c>
      <c r="T474" s="18" t="str">
        <f t="shared" si="45"/>
        <v/>
      </c>
      <c r="U474" s="18">
        <f t="shared" si="46"/>
        <v>32.199999999999996</v>
      </c>
      <c r="V474" s="18" t="str">
        <f t="shared" si="47"/>
        <v/>
      </c>
      <c r="W474" s="14"/>
    </row>
    <row r="475" spans="1:23" x14ac:dyDescent="0.25">
      <c r="A475" s="6"/>
      <c r="B475" s="33" t="s">
        <v>217</v>
      </c>
      <c r="C475" s="19"/>
      <c r="D475" s="52"/>
      <c r="E475" s="52"/>
      <c r="F475" s="41"/>
      <c r="G475" s="36"/>
      <c r="H475" s="10"/>
      <c r="I475" s="11"/>
      <c r="J475" s="13"/>
      <c r="K475" s="45"/>
      <c r="L475" s="37"/>
      <c r="M475" s="17"/>
      <c r="N475" s="11"/>
      <c r="O475" s="16"/>
      <c r="P475" s="16"/>
      <c r="Q475" s="18" t="str">
        <f t="shared" si="42"/>
        <v/>
      </c>
      <c r="R475" s="18" t="str">
        <f t="shared" si="43"/>
        <v/>
      </c>
      <c r="S475" s="18" t="str">
        <f t="shared" si="44"/>
        <v/>
      </c>
      <c r="T475" s="18" t="str">
        <f t="shared" si="45"/>
        <v/>
      </c>
      <c r="U475" s="18" t="str">
        <f t="shared" si="46"/>
        <v/>
      </c>
      <c r="V475" s="18" t="str">
        <f t="shared" si="47"/>
        <v/>
      </c>
      <c r="W475" s="14"/>
    </row>
    <row r="476" spans="1:23" x14ac:dyDescent="0.25">
      <c r="A476" s="6"/>
      <c r="B476" s="33"/>
      <c r="C476" s="19"/>
      <c r="D476" s="52"/>
      <c r="E476" s="52"/>
      <c r="F476" s="41"/>
      <c r="G476" s="36"/>
      <c r="H476" s="10"/>
      <c r="I476" s="11"/>
      <c r="J476" s="13"/>
      <c r="K476" s="45"/>
      <c r="L476" s="37"/>
      <c r="M476" s="17"/>
      <c r="N476" s="11"/>
      <c r="O476" s="16"/>
      <c r="P476" s="16"/>
      <c r="Q476" s="18" t="str">
        <f t="shared" si="42"/>
        <v/>
      </c>
      <c r="R476" s="18" t="str">
        <f t="shared" si="43"/>
        <v/>
      </c>
      <c r="S476" s="18" t="str">
        <f t="shared" si="44"/>
        <v/>
      </c>
      <c r="T476" s="18" t="str">
        <f t="shared" si="45"/>
        <v/>
      </c>
      <c r="U476" s="18" t="str">
        <f t="shared" si="46"/>
        <v/>
      </c>
      <c r="V476" s="18" t="str">
        <f t="shared" si="47"/>
        <v/>
      </c>
      <c r="W476" s="14"/>
    </row>
    <row r="477" spans="1:23" ht="15" customHeight="1" x14ac:dyDescent="0.25">
      <c r="A477" s="6">
        <v>101</v>
      </c>
      <c r="B477" s="33" t="s">
        <v>33</v>
      </c>
      <c r="C477" s="44"/>
      <c r="D477" s="62">
        <f>1+0.75+1</f>
        <v>2.75</v>
      </c>
      <c r="E477" s="62"/>
      <c r="F477" s="41"/>
      <c r="G477" s="36">
        <v>0.25</v>
      </c>
      <c r="H477" s="10">
        <v>20</v>
      </c>
      <c r="I477" s="11">
        <v>1</v>
      </c>
      <c r="J477" s="13">
        <f>ROUND(D480/G477+1,0)</f>
        <v>10</v>
      </c>
      <c r="K477" s="45">
        <f>D477</f>
        <v>2.75</v>
      </c>
      <c r="L477" s="37" t="str">
        <f>IF(O477&lt;12,"0",0.049*H477)</f>
        <v>0</v>
      </c>
      <c r="M477" s="17">
        <v>0</v>
      </c>
      <c r="N477" s="11">
        <f>M477*2*H477/1000</f>
        <v>0</v>
      </c>
      <c r="O477" s="16">
        <f>(D477)-N477</f>
        <v>2.75</v>
      </c>
      <c r="P477" s="16">
        <f>(I477*J477*O477)+L477</f>
        <v>27.5</v>
      </c>
      <c r="Q477" s="18" t="str">
        <f t="shared" si="42"/>
        <v/>
      </c>
      <c r="R477" s="18" t="str">
        <f t="shared" si="43"/>
        <v/>
      </c>
      <c r="S477" s="18" t="str">
        <f t="shared" si="44"/>
        <v/>
      </c>
      <c r="T477" s="18" t="str">
        <f t="shared" si="45"/>
        <v/>
      </c>
      <c r="U477" s="18">
        <f t="shared" si="46"/>
        <v>27.5</v>
      </c>
      <c r="V477" s="18" t="str">
        <f t="shared" si="47"/>
        <v/>
      </c>
      <c r="W477" s="14"/>
    </row>
    <row r="478" spans="1:23" x14ac:dyDescent="0.25">
      <c r="A478" s="6"/>
      <c r="B478" s="33" t="s">
        <v>218</v>
      </c>
      <c r="C478" s="19"/>
      <c r="D478" s="52"/>
      <c r="E478" s="52"/>
      <c r="F478" s="41"/>
      <c r="G478" s="36"/>
      <c r="H478" s="10"/>
      <c r="I478" s="11"/>
      <c r="J478" s="13"/>
      <c r="K478" s="45"/>
      <c r="L478" s="37"/>
      <c r="M478" s="17"/>
      <c r="N478" s="11"/>
      <c r="O478" s="16"/>
      <c r="P478" s="16"/>
      <c r="Q478" s="18" t="str">
        <f t="shared" si="42"/>
        <v/>
      </c>
      <c r="R478" s="18" t="str">
        <f t="shared" si="43"/>
        <v/>
      </c>
      <c r="S478" s="18" t="str">
        <f t="shared" si="44"/>
        <v/>
      </c>
      <c r="T478" s="18" t="str">
        <f t="shared" si="45"/>
        <v/>
      </c>
      <c r="U478" s="18" t="str">
        <f t="shared" si="46"/>
        <v/>
      </c>
      <c r="V478" s="18" t="str">
        <f t="shared" si="47"/>
        <v/>
      </c>
      <c r="W478" s="14"/>
    </row>
    <row r="479" spans="1:23" x14ac:dyDescent="0.25">
      <c r="A479" s="6"/>
      <c r="B479" s="33"/>
      <c r="C479" s="19"/>
      <c r="D479" s="52"/>
      <c r="E479" s="52"/>
      <c r="F479" s="41"/>
      <c r="G479" s="36"/>
      <c r="H479" s="10"/>
      <c r="I479" s="11"/>
      <c r="J479" s="13"/>
      <c r="K479" s="45"/>
      <c r="L479" s="37"/>
      <c r="M479" s="17"/>
      <c r="N479" s="11"/>
      <c r="O479" s="16"/>
      <c r="P479" s="16"/>
      <c r="Q479" s="18" t="str">
        <f t="shared" si="42"/>
        <v/>
      </c>
      <c r="R479" s="18" t="str">
        <f t="shared" si="43"/>
        <v/>
      </c>
      <c r="S479" s="18" t="str">
        <f t="shared" si="44"/>
        <v/>
      </c>
      <c r="T479" s="18" t="str">
        <f t="shared" si="45"/>
        <v/>
      </c>
      <c r="U479" s="18" t="str">
        <f t="shared" si="46"/>
        <v/>
      </c>
      <c r="V479" s="18" t="str">
        <f t="shared" si="47"/>
        <v/>
      </c>
      <c r="W479" s="14"/>
    </row>
    <row r="480" spans="1:23" ht="15" customHeight="1" x14ac:dyDescent="0.25">
      <c r="A480" s="6">
        <v>102</v>
      </c>
      <c r="B480" s="33" t="s">
        <v>34</v>
      </c>
      <c r="C480" s="44"/>
      <c r="D480" s="62">
        <f>1+0.3+1</f>
        <v>2.2999999999999998</v>
      </c>
      <c r="E480" s="62"/>
      <c r="F480" s="41"/>
      <c r="G480" s="36">
        <v>0.25</v>
      </c>
      <c r="H480" s="10">
        <v>20</v>
      </c>
      <c r="I480" s="11">
        <v>1</v>
      </c>
      <c r="J480" s="13">
        <f>ROUND(D477/G480+1,0)</f>
        <v>12</v>
      </c>
      <c r="K480" s="45">
        <f>D480</f>
        <v>2.2999999999999998</v>
      </c>
      <c r="L480" s="37" t="str">
        <f>IF(O480&lt;12,"0",0.049*H480)</f>
        <v>0</v>
      </c>
      <c r="M480" s="17">
        <v>0</v>
      </c>
      <c r="N480" s="11">
        <f>M480*2*H480/1000</f>
        <v>0</v>
      </c>
      <c r="O480" s="16">
        <f>(D480)-N480</f>
        <v>2.2999999999999998</v>
      </c>
      <c r="P480" s="16">
        <f>(I480*J480*O480)+L480</f>
        <v>27.599999999999998</v>
      </c>
      <c r="Q480" s="18" t="str">
        <f t="shared" si="42"/>
        <v/>
      </c>
      <c r="R480" s="18" t="str">
        <f t="shared" si="43"/>
        <v/>
      </c>
      <c r="S480" s="18" t="str">
        <f t="shared" si="44"/>
        <v/>
      </c>
      <c r="T480" s="18" t="str">
        <f t="shared" si="45"/>
        <v/>
      </c>
      <c r="U480" s="18">
        <f t="shared" si="46"/>
        <v>27.599999999999998</v>
      </c>
      <c r="V480" s="18" t="str">
        <f t="shared" si="47"/>
        <v/>
      </c>
      <c r="W480" s="14"/>
    </row>
    <row r="481" spans="1:23" x14ac:dyDescent="0.25">
      <c r="A481" s="6"/>
      <c r="B481" s="33" t="s">
        <v>218</v>
      </c>
      <c r="C481" s="19"/>
      <c r="D481" s="52"/>
      <c r="E481" s="52"/>
      <c r="F481" s="41"/>
      <c r="G481" s="36"/>
      <c r="H481" s="10"/>
      <c r="I481" s="11"/>
      <c r="J481" s="13"/>
      <c r="K481" s="45"/>
      <c r="L481" s="37"/>
      <c r="M481" s="17"/>
      <c r="N481" s="11"/>
      <c r="O481" s="16"/>
      <c r="P481" s="16"/>
      <c r="Q481" s="18" t="str">
        <f t="shared" si="42"/>
        <v/>
      </c>
      <c r="R481" s="18" t="str">
        <f t="shared" si="43"/>
        <v/>
      </c>
      <c r="S481" s="18" t="str">
        <f t="shared" si="44"/>
        <v/>
      </c>
      <c r="T481" s="18" t="str">
        <f t="shared" si="45"/>
        <v/>
      </c>
      <c r="U481" s="18" t="str">
        <f t="shared" si="46"/>
        <v/>
      </c>
      <c r="V481" s="18" t="str">
        <f t="shared" si="47"/>
        <v/>
      </c>
      <c r="W481" s="14"/>
    </row>
    <row r="482" spans="1:23" x14ac:dyDescent="0.25">
      <c r="A482" s="6"/>
      <c r="B482" s="33"/>
      <c r="C482" s="19"/>
      <c r="D482" s="52"/>
      <c r="E482" s="52"/>
      <c r="F482" s="41"/>
      <c r="G482" s="36"/>
      <c r="H482" s="10"/>
      <c r="I482" s="11"/>
      <c r="J482" s="13"/>
      <c r="K482" s="45"/>
      <c r="L482" s="37"/>
      <c r="M482" s="17"/>
      <c r="N482" s="11"/>
      <c r="O482" s="16"/>
      <c r="P482" s="16"/>
      <c r="Q482" s="18" t="str">
        <f t="shared" si="42"/>
        <v/>
      </c>
      <c r="R482" s="18" t="str">
        <f t="shared" si="43"/>
        <v/>
      </c>
      <c r="S482" s="18" t="str">
        <f t="shared" si="44"/>
        <v/>
      </c>
      <c r="T482" s="18" t="str">
        <f t="shared" si="45"/>
        <v/>
      </c>
      <c r="U482" s="18" t="str">
        <f t="shared" si="46"/>
        <v/>
      </c>
      <c r="V482" s="18" t="str">
        <f t="shared" si="47"/>
        <v/>
      </c>
      <c r="W482" s="14"/>
    </row>
    <row r="483" spans="1:23" ht="15" customHeight="1" x14ac:dyDescent="0.25">
      <c r="A483" s="6">
        <v>103</v>
      </c>
      <c r="B483" s="33" t="s">
        <v>34</v>
      </c>
      <c r="C483" s="44"/>
      <c r="D483" s="62">
        <f>1+0.3+1</f>
        <v>2.2999999999999998</v>
      </c>
      <c r="E483" s="62"/>
      <c r="F483" s="41"/>
      <c r="G483" s="36">
        <v>0.25</v>
      </c>
      <c r="H483" s="10">
        <v>20</v>
      </c>
      <c r="I483" s="11">
        <v>1</v>
      </c>
      <c r="J483" s="13">
        <f>ROUND(D477/G483+1,0)</f>
        <v>12</v>
      </c>
      <c r="K483" s="45">
        <f>D483</f>
        <v>2.2999999999999998</v>
      </c>
      <c r="L483" s="37" t="str">
        <f>IF(O483&lt;12,"0",0.049*H483)</f>
        <v>0</v>
      </c>
      <c r="M483" s="17">
        <v>0</v>
      </c>
      <c r="N483" s="11">
        <f>M483*2*H483/1000</f>
        <v>0</v>
      </c>
      <c r="O483" s="16">
        <f>(D483)-N483</f>
        <v>2.2999999999999998</v>
      </c>
      <c r="P483" s="16">
        <f>(I483*J483*O483)+L483</f>
        <v>27.599999999999998</v>
      </c>
      <c r="Q483" s="18" t="str">
        <f t="shared" si="42"/>
        <v/>
      </c>
      <c r="R483" s="18" t="str">
        <f t="shared" si="43"/>
        <v/>
      </c>
      <c r="S483" s="18" t="str">
        <f t="shared" si="44"/>
        <v/>
      </c>
      <c r="T483" s="18" t="str">
        <f t="shared" si="45"/>
        <v/>
      </c>
      <c r="U483" s="18">
        <f t="shared" si="46"/>
        <v>27.599999999999998</v>
      </c>
      <c r="V483" s="18" t="str">
        <f t="shared" si="47"/>
        <v/>
      </c>
      <c r="W483" s="14"/>
    </row>
    <row r="484" spans="1:23" x14ac:dyDescent="0.25">
      <c r="A484" s="6"/>
      <c r="B484" s="33" t="s">
        <v>218</v>
      </c>
      <c r="C484" s="19"/>
      <c r="D484" s="52"/>
      <c r="E484" s="52"/>
      <c r="F484" s="41"/>
      <c r="G484" s="36"/>
      <c r="H484" s="10"/>
      <c r="I484" s="11"/>
      <c r="J484" s="13"/>
      <c r="K484" s="45"/>
      <c r="L484" s="37"/>
      <c r="M484" s="17"/>
      <c r="N484" s="11"/>
      <c r="O484" s="16"/>
      <c r="P484" s="16"/>
      <c r="Q484" s="18" t="str">
        <f t="shared" si="42"/>
        <v/>
      </c>
      <c r="R484" s="18" t="str">
        <f t="shared" si="43"/>
        <v/>
      </c>
      <c r="S484" s="18" t="str">
        <f t="shared" si="44"/>
        <v/>
      </c>
      <c r="T484" s="18" t="str">
        <f t="shared" si="45"/>
        <v/>
      </c>
      <c r="U484" s="18" t="str">
        <f t="shared" si="46"/>
        <v/>
      </c>
      <c r="V484" s="18" t="str">
        <f t="shared" si="47"/>
        <v/>
      </c>
      <c r="W484" s="14"/>
    </row>
    <row r="485" spans="1:23" x14ac:dyDescent="0.25">
      <c r="A485" s="6"/>
      <c r="B485" s="33"/>
      <c r="C485" s="19"/>
      <c r="D485" s="52"/>
      <c r="E485" s="52"/>
      <c r="F485" s="41"/>
      <c r="G485" s="36"/>
      <c r="H485" s="10"/>
      <c r="I485" s="11"/>
      <c r="J485" s="13"/>
      <c r="K485" s="45"/>
      <c r="L485" s="37"/>
      <c r="M485" s="17"/>
      <c r="N485" s="11"/>
      <c r="O485" s="16"/>
      <c r="P485" s="16"/>
      <c r="Q485" s="18" t="str">
        <f t="shared" si="42"/>
        <v/>
      </c>
      <c r="R485" s="18" t="str">
        <f t="shared" si="43"/>
        <v/>
      </c>
      <c r="S485" s="18" t="str">
        <f t="shared" si="44"/>
        <v/>
      </c>
      <c r="T485" s="18" t="str">
        <f t="shared" si="45"/>
        <v/>
      </c>
      <c r="U485" s="18" t="str">
        <f t="shared" si="46"/>
        <v/>
      </c>
      <c r="V485" s="18" t="str">
        <f t="shared" si="47"/>
        <v/>
      </c>
      <c r="W485" s="14"/>
    </row>
    <row r="486" spans="1:23" ht="15" customHeight="1" x14ac:dyDescent="0.25">
      <c r="A486" s="6">
        <v>104</v>
      </c>
      <c r="B486" s="33" t="s">
        <v>33</v>
      </c>
      <c r="C486" s="44"/>
      <c r="D486" s="62">
        <f>1+0.3+1</f>
        <v>2.2999999999999998</v>
      </c>
      <c r="E486" s="62"/>
      <c r="F486" s="41"/>
      <c r="G486" s="36">
        <v>0.25</v>
      </c>
      <c r="H486" s="10">
        <v>20</v>
      </c>
      <c r="I486" s="11">
        <v>1</v>
      </c>
      <c r="J486" s="13">
        <f>ROUND(D489/G486+1,0)</f>
        <v>13</v>
      </c>
      <c r="K486" s="45">
        <f>D486</f>
        <v>2.2999999999999998</v>
      </c>
      <c r="L486" s="37" t="str">
        <f>IF(O486&lt;12,"0",0.049*H486)</f>
        <v>0</v>
      </c>
      <c r="M486" s="17">
        <v>0</v>
      </c>
      <c r="N486" s="11">
        <f>M486*2*H486/1000</f>
        <v>0</v>
      </c>
      <c r="O486" s="16">
        <f>(D486)-N486</f>
        <v>2.2999999999999998</v>
      </c>
      <c r="P486" s="16">
        <f>(I486*J486*O486)+L486</f>
        <v>29.9</v>
      </c>
      <c r="Q486" s="18" t="str">
        <f t="shared" si="42"/>
        <v/>
      </c>
      <c r="R486" s="18" t="str">
        <f t="shared" si="43"/>
        <v/>
      </c>
      <c r="S486" s="18" t="str">
        <f t="shared" si="44"/>
        <v/>
      </c>
      <c r="T486" s="18" t="str">
        <f t="shared" si="45"/>
        <v/>
      </c>
      <c r="U486" s="18">
        <f t="shared" si="46"/>
        <v>29.9</v>
      </c>
      <c r="V486" s="18" t="str">
        <f t="shared" si="47"/>
        <v/>
      </c>
      <c r="W486" s="14"/>
    </row>
    <row r="487" spans="1:23" x14ac:dyDescent="0.25">
      <c r="A487" s="6"/>
      <c r="B487" s="33" t="s">
        <v>219</v>
      </c>
      <c r="C487" s="19"/>
      <c r="D487" s="52"/>
      <c r="E487" s="52"/>
      <c r="F487" s="41"/>
      <c r="G487" s="36"/>
      <c r="H487" s="10"/>
      <c r="I487" s="11"/>
      <c r="J487" s="13"/>
      <c r="K487" s="45"/>
      <c r="L487" s="37"/>
      <c r="M487" s="17"/>
      <c r="N487" s="11"/>
      <c r="O487" s="16"/>
      <c r="P487" s="16"/>
      <c r="Q487" s="18" t="str">
        <f t="shared" si="42"/>
        <v/>
      </c>
      <c r="R487" s="18" t="str">
        <f t="shared" si="43"/>
        <v/>
      </c>
      <c r="S487" s="18" t="str">
        <f t="shared" si="44"/>
        <v/>
      </c>
      <c r="T487" s="18" t="str">
        <f t="shared" si="45"/>
        <v/>
      </c>
      <c r="U487" s="18" t="str">
        <f t="shared" si="46"/>
        <v/>
      </c>
      <c r="V487" s="18" t="str">
        <f t="shared" si="47"/>
        <v/>
      </c>
      <c r="W487" s="14"/>
    </row>
    <row r="488" spans="1:23" x14ac:dyDescent="0.25">
      <c r="A488" s="6"/>
      <c r="B488" s="33"/>
      <c r="C488" s="19"/>
      <c r="D488" s="52"/>
      <c r="E488" s="52"/>
      <c r="F488" s="41"/>
      <c r="G488" s="36"/>
      <c r="H488" s="10"/>
      <c r="I488" s="11"/>
      <c r="J488" s="13"/>
      <c r="K488" s="45"/>
      <c r="L488" s="37"/>
      <c r="M488" s="17"/>
      <c r="N488" s="11"/>
      <c r="O488" s="16"/>
      <c r="P488" s="16"/>
      <c r="Q488" s="18" t="str">
        <f t="shared" si="42"/>
        <v/>
      </c>
      <c r="R488" s="18" t="str">
        <f t="shared" si="43"/>
        <v/>
      </c>
      <c r="S488" s="18" t="str">
        <f t="shared" si="44"/>
        <v/>
      </c>
      <c r="T488" s="18" t="str">
        <f t="shared" si="45"/>
        <v/>
      </c>
      <c r="U488" s="18" t="str">
        <f t="shared" si="46"/>
        <v/>
      </c>
      <c r="V488" s="18" t="str">
        <f t="shared" si="47"/>
        <v/>
      </c>
      <c r="W488" s="14"/>
    </row>
    <row r="489" spans="1:23" ht="15" customHeight="1" x14ac:dyDescent="0.25">
      <c r="A489" s="6">
        <v>105</v>
      </c>
      <c r="B489" s="33" t="s">
        <v>34</v>
      </c>
      <c r="C489" s="44"/>
      <c r="D489" s="62">
        <f>1.25+0.6+1.25</f>
        <v>3.1</v>
      </c>
      <c r="E489" s="62"/>
      <c r="F489" s="41"/>
      <c r="G489" s="36">
        <v>0.25</v>
      </c>
      <c r="H489" s="10">
        <v>20</v>
      </c>
      <c r="I489" s="11">
        <v>1</v>
      </c>
      <c r="J489" s="13">
        <f>ROUND(D486/G489+1,0)</f>
        <v>10</v>
      </c>
      <c r="K489" s="45">
        <f>D489</f>
        <v>3.1</v>
      </c>
      <c r="L489" s="37" t="str">
        <f>IF(O489&lt;12,"0",0.049*H489)</f>
        <v>0</v>
      </c>
      <c r="M489" s="17">
        <v>0</v>
      </c>
      <c r="N489" s="11">
        <f>M489*2*H489/1000</f>
        <v>0</v>
      </c>
      <c r="O489" s="16">
        <f>(D489)-N489</f>
        <v>3.1</v>
      </c>
      <c r="P489" s="16">
        <f>(I489*J489*O489)+L489</f>
        <v>31</v>
      </c>
      <c r="Q489" s="18" t="str">
        <f t="shared" si="42"/>
        <v/>
      </c>
      <c r="R489" s="18" t="str">
        <f t="shared" si="43"/>
        <v/>
      </c>
      <c r="S489" s="18" t="str">
        <f t="shared" si="44"/>
        <v/>
      </c>
      <c r="T489" s="18" t="str">
        <f t="shared" si="45"/>
        <v/>
      </c>
      <c r="U489" s="18">
        <f t="shared" si="46"/>
        <v>31</v>
      </c>
      <c r="V489" s="18" t="str">
        <f t="shared" si="47"/>
        <v/>
      </c>
      <c r="W489" s="14"/>
    </row>
    <row r="490" spans="1:23" x14ac:dyDescent="0.25">
      <c r="A490" s="6"/>
      <c r="B490" s="33" t="s">
        <v>219</v>
      </c>
      <c r="C490" s="19"/>
      <c r="D490" s="52"/>
      <c r="E490" s="52"/>
      <c r="F490" s="41"/>
      <c r="G490" s="36"/>
      <c r="H490" s="10"/>
      <c r="I490" s="11"/>
      <c r="J490" s="13"/>
      <c r="K490" s="45"/>
      <c r="L490" s="37"/>
      <c r="M490" s="17"/>
      <c r="N490" s="11"/>
      <c r="O490" s="16"/>
      <c r="P490" s="16"/>
      <c r="Q490" s="18" t="str">
        <f t="shared" si="42"/>
        <v/>
      </c>
      <c r="R490" s="18" t="str">
        <f t="shared" si="43"/>
        <v/>
      </c>
      <c r="S490" s="18" t="str">
        <f t="shared" si="44"/>
        <v/>
      </c>
      <c r="T490" s="18" t="str">
        <f t="shared" si="45"/>
        <v/>
      </c>
      <c r="U490" s="18" t="str">
        <f t="shared" si="46"/>
        <v/>
      </c>
      <c r="V490" s="18" t="str">
        <f t="shared" si="47"/>
        <v/>
      </c>
      <c r="W490" s="14"/>
    </row>
    <row r="491" spans="1:23" x14ac:dyDescent="0.25">
      <c r="A491" s="6"/>
      <c r="B491" s="33"/>
      <c r="C491" s="19"/>
      <c r="D491" s="52"/>
      <c r="E491" s="52"/>
      <c r="F491" s="41"/>
      <c r="G491" s="36"/>
      <c r="H491" s="10"/>
      <c r="I491" s="11"/>
      <c r="J491" s="13"/>
      <c r="K491" s="45"/>
      <c r="L491" s="37"/>
      <c r="M491" s="17"/>
      <c r="N491" s="11"/>
      <c r="O491" s="16"/>
      <c r="P491" s="16"/>
      <c r="Q491" s="18" t="str">
        <f t="shared" si="42"/>
        <v/>
      </c>
      <c r="R491" s="18" t="str">
        <f t="shared" si="43"/>
        <v/>
      </c>
      <c r="S491" s="18" t="str">
        <f t="shared" si="44"/>
        <v/>
      </c>
      <c r="T491" s="18" t="str">
        <f t="shared" si="45"/>
        <v/>
      </c>
      <c r="U491" s="18" t="str">
        <f t="shared" si="46"/>
        <v/>
      </c>
      <c r="V491" s="18" t="str">
        <f t="shared" si="47"/>
        <v/>
      </c>
      <c r="W491" s="14"/>
    </row>
    <row r="492" spans="1:23" ht="15" customHeight="1" x14ac:dyDescent="0.25">
      <c r="A492" s="6">
        <v>106</v>
      </c>
      <c r="B492" s="33" t="s">
        <v>33</v>
      </c>
      <c r="C492" s="44"/>
      <c r="D492" s="62">
        <f>0.6+0.715+0.6</f>
        <v>1.915</v>
      </c>
      <c r="E492" s="62"/>
      <c r="F492" s="41"/>
      <c r="G492" s="36">
        <v>0.25</v>
      </c>
      <c r="H492" s="10">
        <v>12</v>
      </c>
      <c r="I492" s="11">
        <v>1</v>
      </c>
      <c r="J492" s="13">
        <f>ROUND(D495/G492+1,0)</f>
        <v>9</v>
      </c>
      <c r="K492" s="45">
        <f>D492</f>
        <v>1.915</v>
      </c>
      <c r="L492" s="37" t="str">
        <f>IF(O492&lt;12,"0",0.049*H492)</f>
        <v>0</v>
      </c>
      <c r="M492" s="17">
        <v>0</v>
      </c>
      <c r="N492" s="11">
        <f>M492*2*H492/1000</f>
        <v>0</v>
      </c>
      <c r="O492" s="16">
        <f>(D492)-N492</f>
        <v>1.915</v>
      </c>
      <c r="P492" s="16">
        <f>(I492*J492*O492)+L492</f>
        <v>17.234999999999999</v>
      </c>
      <c r="Q492" s="18" t="str">
        <f t="shared" si="42"/>
        <v/>
      </c>
      <c r="R492" s="18" t="str">
        <f t="shared" si="43"/>
        <v/>
      </c>
      <c r="S492" s="18">
        <f t="shared" si="44"/>
        <v>17.234999999999999</v>
      </c>
      <c r="T492" s="18" t="str">
        <f t="shared" si="45"/>
        <v/>
      </c>
      <c r="U492" s="18" t="str">
        <f t="shared" si="46"/>
        <v/>
      </c>
      <c r="V492" s="18" t="str">
        <f t="shared" si="47"/>
        <v/>
      </c>
      <c r="W492" s="14"/>
    </row>
    <row r="493" spans="1:23" x14ac:dyDescent="0.25">
      <c r="A493" s="6"/>
      <c r="B493" s="33" t="s">
        <v>220</v>
      </c>
      <c r="C493" s="19"/>
      <c r="D493" s="52"/>
      <c r="E493" s="52"/>
      <c r="F493" s="41"/>
      <c r="G493" s="36"/>
      <c r="H493" s="10"/>
      <c r="I493" s="11"/>
      <c r="J493" s="13"/>
      <c r="K493" s="45"/>
      <c r="L493" s="37"/>
      <c r="M493" s="17"/>
      <c r="N493" s="11"/>
      <c r="O493" s="16"/>
      <c r="P493" s="16"/>
      <c r="Q493" s="18" t="str">
        <f t="shared" si="42"/>
        <v/>
      </c>
      <c r="R493" s="18" t="str">
        <f t="shared" si="43"/>
        <v/>
      </c>
      <c r="S493" s="18" t="str">
        <f t="shared" si="44"/>
        <v/>
      </c>
      <c r="T493" s="18" t="str">
        <f t="shared" si="45"/>
        <v/>
      </c>
      <c r="U493" s="18" t="str">
        <f t="shared" si="46"/>
        <v/>
      </c>
      <c r="V493" s="18" t="str">
        <f t="shared" si="47"/>
        <v/>
      </c>
      <c r="W493" s="14"/>
    </row>
    <row r="494" spans="1:23" x14ac:dyDescent="0.25">
      <c r="A494" s="6"/>
      <c r="B494" s="33"/>
      <c r="C494" s="19"/>
      <c r="D494" s="52"/>
      <c r="E494" s="52"/>
      <c r="F494" s="41"/>
      <c r="G494" s="36"/>
      <c r="H494" s="10"/>
      <c r="I494" s="11"/>
      <c r="J494" s="13"/>
      <c r="K494" s="45"/>
      <c r="L494" s="37"/>
      <c r="M494" s="17"/>
      <c r="N494" s="11"/>
      <c r="O494" s="16"/>
      <c r="P494" s="16"/>
      <c r="Q494" s="18" t="str">
        <f t="shared" si="42"/>
        <v/>
      </c>
      <c r="R494" s="18" t="str">
        <f t="shared" si="43"/>
        <v/>
      </c>
      <c r="S494" s="18" t="str">
        <f t="shared" si="44"/>
        <v/>
      </c>
      <c r="T494" s="18" t="str">
        <f t="shared" si="45"/>
        <v/>
      </c>
      <c r="U494" s="18" t="str">
        <f t="shared" si="46"/>
        <v/>
      </c>
      <c r="V494" s="18" t="str">
        <f t="shared" si="47"/>
        <v/>
      </c>
      <c r="W494" s="14"/>
    </row>
    <row r="495" spans="1:23" ht="15" customHeight="1" x14ac:dyDescent="0.25">
      <c r="A495" s="6">
        <v>107</v>
      </c>
      <c r="B495" s="33" t="s">
        <v>34</v>
      </c>
      <c r="C495" s="44"/>
      <c r="D495" s="62">
        <f>1+0.3+0.75-0.05</f>
        <v>1.9999999999999998</v>
      </c>
      <c r="E495" s="62"/>
      <c r="F495" s="41"/>
      <c r="G495" s="36">
        <v>0.25</v>
      </c>
      <c r="H495" s="10">
        <v>20</v>
      </c>
      <c r="I495" s="11">
        <v>1</v>
      </c>
      <c r="J495" s="13">
        <f>ROUND(D492/G495+1,0)</f>
        <v>9</v>
      </c>
      <c r="K495" s="45">
        <f>D495</f>
        <v>1.9999999999999998</v>
      </c>
      <c r="L495" s="37" t="str">
        <f>IF(O495&lt;12,"0",0.049*H495)</f>
        <v>0</v>
      </c>
      <c r="M495" s="17">
        <v>0</v>
      </c>
      <c r="N495" s="11">
        <f>M495*2*H495/1000</f>
        <v>0</v>
      </c>
      <c r="O495" s="16">
        <f>(D495)-N495</f>
        <v>1.9999999999999998</v>
      </c>
      <c r="P495" s="16">
        <f>(I495*J495*O495)+L495</f>
        <v>17.999999999999996</v>
      </c>
      <c r="Q495" s="18" t="str">
        <f t="shared" si="42"/>
        <v/>
      </c>
      <c r="R495" s="18" t="str">
        <f t="shared" si="43"/>
        <v/>
      </c>
      <c r="S495" s="18" t="str">
        <f t="shared" si="44"/>
        <v/>
      </c>
      <c r="T495" s="18" t="str">
        <f t="shared" si="45"/>
        <v/>
      </c>
      <c r="U495" s="18">
        <f t="shared" si="46"/>
        <v>17.999999999999996</v>
      </c>
      <c r="V495" s="18" t="str">
        <f t="shared" si="47"/>
        <v/>
      </c>
      <c r="W495" s="14"/>
    </row>
    <row r="496" spans="1:23" x14ac:dyDescent="0.25">
      <c r="A496" s="6"/>
      <c r="B496" s="33" t="s">
        <v>220</v>
      </c>
      <c r="C496" s="19"/>
      <c r="D496" s="52"/>
      <c r="E496" s="52"/>
      <c r="F496" s="41"/>
      <c r="G496" s="36"/>
      <c r="H496" s="10"/>
      <c r="I496" s="11"/>
      <c r="J496" s="13"/>
      <c r="K496" s="45"/>
      <c r="L496" s="37"/>
      <c r="M496" s="17"/>
      <c r="N496" s="11"/>
      <c r="O496" s="16"/>
      <c r="P496" s="16"/>
      <c r="Q496" s="18" t="str">
        <f t="shared" si="42"/>
        <v/>
      </c>
      <c r="R496" s="18" t="str">
        <f t="shared" si="43"/>
        <v/>
      </c>
      <c r="S496" s="18" t="str">
        <f t="shared" si="44"/>
        <v/>
      </c>
      <c r="T496" s="18" t="str">
        <f t="shared" si="45"/>
        <v/>
      </c>
      <c r="U496" s="18" t="str">
        <f t="shared" si="46"/>
        <v/>
      </c>
      <c r="V496" s="18" t="str">
        <f t="shared" si="47"/>
        <v/>
      </c>
      <c r="W496" s="14"/>
    </row>
    <row r="497" spans="1:23" x14ac:dyDescent="0.25">
      <c r="A497" s="6"/>
      <c r="B497" s="33"/>
      <c r="C497" s="19"/>
      <c r="D497" s="52"/>
      <c r="E497" s="52"/>
      <c r="F497" s="41"/>
      <c r="G497" s="36"/>
      <c r="H497" s="10"/>
      <c r="I497" s="11"/>
      <c r="J497" s="13"/>
      <c r="K497" s="45"/>
      <c r="L497" s="37"/>
      <c r="M497" s="17"/>
      <c r="N497" s="11"/>
      <c r="O497" s="16"/>
      <c r="P497" s="16"/>
      <c r="Q497" s="18" t="str">
        <f t="shared" si="42"/>
        <v/>
      </c>
      <c r="R497" s="18" t="str">
        <f t="shared" si="43"/>
        <v/>
      </c>
      <c r="S497" s="18" t="str">
        <f t="shared" si="44"/>
        <v/>
      </c>
      <c r="T497" s="18" t="str">
        <f t="shared" si="45"/>
        <v/>
      </c>
      <c r="U497" s="18" t="str">
        <f t="shared" si="46"/>
        <v/>
      </c>
      <c r="V497" s="18" t="str">
        <f t="shared" si="47"/>
        <v/>
      </c>
      <c r="W497" s="14"/>
    </row>
    <row r="498" spans="1:23" ht="15" customHeight="1" x14ac:dyDescent="0.25">
      <c r="A498" s="6">
        <v>108</v>
      </c>
      <c r="B498" s="33" t="s">
        <v>33</v>
      </c>
      <c r="C498" s="44"/>
      <c r="D498" s="62">
        <f>0.75-0.05+0.115+0.47+0.515+1.17+1.935+0.055+1</f>
        <v>5.9599999999999991</v>
      </c>
      <c r="E498" s="62"/>
      <c r="F498" s="41"/>
      <c r="G498" s="36">
        <v>0.25</v>
      </c>
      <c r="H498" s="10">
        <v>25</v>
      </c>
      <c r="I498" s="11">
        <v>1</v>
      </c>
      <c r="J498" s="13">
        <f>ROUND(2.6/G498+1,0)</f>
        <v>11</v>
      </c>
      <c r="K498" s="45">
        <f>D498</f>
        <v>5.9599999999999991</v>
      </c>
      <c r="L498" s="37" t="str">
        <f>IF(O498&lt;12,"0",0.049*H498)</f>
        <v>0</v>
      </c>
      <c r="M498" s="17">
        <v>0</v>
      </c>
      <c r="N498" s="11">
        <f>M498*2*H498/1000</f>
        <v>0</v>
      </c>
      <c r="O498" s="16">
        <f>(D498)-N498</f>
        <v>5.9599999999999991</v>
      </c>
      <c r="P498" s="16">
        <f>(I498*J498*O498)+L498</f>
        <v>65.559999999999988</v>
      </c>
      <c r="Q498" s="18" t="str">
        <f t="shared" si="42"/>
        <v/>
      </c>
      <c r="R498" s="18" t="str">
        <f t="shared" si="43"/>
        <v/>
      </c>
      <c r="S498" s="18" t="str">
        <f t="shared" si="44"/>
        <v/>
      </c>
      <c r="T498" s="18" t="str">
        <f t="shared" si="45"/>
        <v/>
      </c>
      <c r="U498" s="18" t="str">
        <f t="shared" si="46"/>
        <v/>
      </c>
      <c r="V498" s="18">
        <f t="shared" si="47"/>
        <v>65.559999999999988</v>
      </c>
      <c r="W498" s="14"/>
    </row>
    <row r="499" spans="1:23" x14ac:dyDescent="0.25">
      <c r="A499" s="6"/>
      <c r="B499" s="33" t="s">
        <v>221</v>
      </c>
      <c r="C499" s="19"/>
      <c r="D499" s="52"/>
      <c r="E499" s="52"/>
      <c r="F499" s="41"/>
      <c r="G499" s="36"/>
      <c r="H499" s="10"/>
      <c r="I499" s="11"/>
      <c r="J499" s="13"/>
      <c r="K499" s="45"/>
      <c r="L499" s="37"/>
      <c r="M499" s="17"/>
      <c r="N499" s="11"/>
      <c r="O499" s="16"/>
      <c r="P499" s="16"/>
      <c r="Q499" s="18" t="str">
        <f t="shared" si="42"/>
        <v/>
      </c>
      <c r="R499" s="18" t="str">
        <f t="shared" si="43"/>
        <v/>
      </c>
      <c r="S499" s="18" t="str">
        <f t="shared" si="44"/>
        <v/>
      </c>
      <c r="T499" s="18" t="str">
        <f t="shared" si="45"/>
        <v/>
      </c>
      <c r="U499" s="18" t="str">
        <f t="shared" si="46"/>
        <v/>
      </c>
      <c r="V499" s="18" t="str">
        <f t="shared" si="47"/>
        <v/>
      </c>
      <c r="W499" s="14"/>
    </row>
    <row r="500" spans="1:23" x14ac:dyDescent="0.25">
      <c r="A500" s="6"/>
      <c r="B500" s="33"/>
      <c r="C500" s="19"/>
      <c r="D500" s="52"/>
      <c r="E500" s="52"/>
      <c r="F500" s="41"/>
      <c r="G500" s="36"/>
      <c r="H500" s="10"/>
      <c r="I500" s="11"/>
      <c r="J500" s="13"/>
      <c r="K500" s="45"/>
      <c r="L500" s="37"/>
      <c r="M500" s="17"/>
      <c r="N500" s="11"/>
      <c r="O500" s="16"/>
      <c r="P500" s="16"/>
      <c r="Q500" s="18" t="str">
        <f t="shared" si="42"/>
        <v/>
      </c>
      <c r="R500" s="18" t="str">
        <f t="shared" si="43"/>
        <v/>
      </c>
      <c r="S500" s="18" t="str">
        <f t="shared" si="44"/>
        <v/>
      </c>
      <c r="T500" s="18" t="str">
        <f t="shared" si="45"/>
        <v/>
      </c>
      <c r="U500" s="18" t="str">
        <f t="shared" si="46"/>
        <v/>
      </c>
      <c r="V500" s="18" t="str">
        <f t="shared" si="47"/>
        <v/>
      </c>
      <c r="W500" s="14"/>
    </row>
    <row r="501" spans="1:23" ht="15" customHeight="1" x14ac:dyDescent="0.25">
      <c r="A501" s="6">
        <v>109</v>
      </c>
      <c r="B501" s="33" t="s">
        <v>33</v>
      </c>
      <c r="C501" s="44"/>
      <c r="D501" s="62">
        <f>0.75-0.05+0.115+0.47+0.515+1.17+1.935+0.055+1</f>
        <v>5.9599999999999991</v>
      </c>
      <c r="E501" s="62"/>
      <c r="F501" s="41"/>
      <c r="G501" s="36">
        <v>0.25</v>
      </c>
      <c r="H501" s="10">
        <v>25</v>
      </c>
      <c r="I501" s="11">
        <v>1</v>
      </c>
      <c r="J501" s="13">
        <f>ROUND(2.6/G501+1,0)</f>
        <v>11</v>
      </c>
      <c r="K501" s="45">
        <f>D501</f>
        <v>5.9599999999999991</v>
      </c>
      <c r="L501" s="37" t="str">
        <f>IF(O501&lt;12,"0",0.049*H501)</f>
        <v>0</v>
      </c>
      <c r="M501" s="17">
        <v>0</v>
      </c>
      <c r="N501" s="11">
        <f>M501*2*H501/1000</f>
        <v>0</v>
      </c>
      <c r="O501" s="16">
        <f>(D501)-N501</f>
        <v>5.9599999999999991</v>
      </c>
      <c r="P501" s="16">
        <f>(I501*J501*O501)+L501</f>
        <v>65.559999999999988</v>
      </c>
      <c r="Q501" s="18" t="str">
        <f t="shared" si="42"/>
        <v/>
      </c>
      <c r="R501" s="18" t="str">
        <f t="shared" si="43"/>
        <v/>
      </c>
      <c r="S501" s="18" t="str">
        <f t="shared" si="44"/>
        <v/>
      </c>
      <c r="T501" s="18" t="str">
        <f t="shared" si="45"/>
        <v/>
      </c>
      <c r="U501" s="18" t="str">
        <f t="shared" si="46"/>
        <v/>
      </c>
      <c r="V501" s="18">
        <f t="shared" si="47"/>
        <v>65.559999999999988</v>
      </c>
      <c r="W501" s="14"/>
    </row>
    <row r="502" spans="1:23" x14ac:dyDescent="0.25">
      <c r="A502" s="6"/>
      <c r="B502" s="33" t="s">
        <v>221</v>
      </c>
      <c r="C502" s="19"/>
      <c r="D502" s="52"/>
      <c r="E502" s="52"/>
      <c r="F502" s="41"/>
      <c r="G502" s="36"/>
      <c r="H502" s="10"/>
      <c r="I502" s="11"/>
      <c r="J502" s="13"/>
      <c r="K502" s="45"/>
      <c r="L502" s="37"/>
      <c r="M502" s="17"/>
      <c r="N502" s="11"/>
      <c r="O502" s="16"/>
      <c r="P502" s="16"/>
      <c r="Q502" s="18" t="str">
        <f t="shared" si="42"/>
        <v/>
      </c>
      <c r="R502" s="18" t="str">
        <f t="shared" si="43"/>
        <v/>
      </c>
      <c r="S502" s="18" t="str">
        <f t="shared" si="44"/>
        <v/>
      </c>
      <c r="T502" s="18" t="str">
        <f t="shared" si="45"/>
        <v/>
      </c>
      <c r="U502" s="18" t="str">
        <f t="shared" si="46"/>
        <v/>
      </c>
      <c r="V502" s="18" t="str">
        <f t="shared" si="47"/>
        <v/>
      </c>
      <c r="W502" s="14"/>
    </row>
    <row r="503" spans="1:23" x14ac:dyDescent="0.25">
      <c r="A503" s="6"/>
      <c r="B503" s="33"/>
      <c r="C503" s="19"/>
      <c r="D503" s="52"/>
      <c r="E503" s="52"/>
      <c r="F503" s="41"/>
      <c r="G503" s="36"/>
      <c r="H503" s="10"/>
      <c r="I503" s="11"/>
      <c r="J503" s="13"/>
      <c r="K503" s="45"/>
      <c r="L503" s="37"/>
      <c r="M503" s="17"/>
      <c r="N503" s="11"/>
      <c r="O503" s="16"/>
      <c r="P503" s="16"/>
      <c r="Q503" s="18" t="str">
        <f t="shared" si="42"/>
        <v/>
      </c>
      <c r="R503" s="18" t="str">
        <f t="shared" si="43"/>
        <v/>
      </c>
      <c r="S503" s="18" t="str">
        <f t="shared" si="44"/>
        <v/>
      </c>
      <c r="T503" s="18" t="str">
        <f t="shared" si="45"/>
        <v/>
      </c>
      <c r="U503" s="18" t="str">
        <f t="shared" si="46"/>
        <v/>
      </c>
      <c r="V503" s="18" t="str">
        <f t="shared" si="47"/>
        <v/>
      </c>
      <c r="W503" s="14"/>
    </row>
    <row r="504" spans="1:23" ht="15" customHeight="1" x14ac:dyDescent="0.25">
      <c r="A504" s="6">
        <v>110</v>
      </c>
      <c r="B504" s="33" t="s">
        <v>34</v>
      </c>
      <c r="C504" s="44"/>
      <c r="D504" s="62">
        <f>0.75-0.05+0.65+1.25</f>
        <v>2.6</v>
      </c>
      <c r="E504" s="62"/>
      <c r="F504" s="41"/>
      <c r="G504" s="36">
        <v>0.25</v>
      </c>
      <c r="H504" s="10">
        <v>20</v>
      </c>
      <c r="I504" s="11">
        <v>1</v>
      </c>
      <c r="J504" s="13">
        <f>ROUND(5.96/G504+1,0)</f>
        <v>25</v>
      </c>
      <c r="K504" s="45">
        <f>D504</f>
        <v>2.6</v>
      </c>
      <c r="L504" s="37" t="str">
        <f>IF(O504&lt;12,"0",0.049*H504)</f>
        <v>0</v>
      </c>
      <c r="M504" s="17">
        <v>0</v>
      </c>
      <c r="N504" s="11">
        <f>M504*2*H504/1000</f>
        <v>0</v>
      </c>
      <c r="O504" s="16">
        <f>(D504)-N504</f>
        <v>2.6</v>
      </c>
      <c r="P504" s="16">
        <f>(I504*J504*O504)+L504</f>
        <v>65</v>
      </c>
      <c r="Q504" s="18" t="str">
        <f t="shared" si="42"/>
        <v/>
      </c>
      <c r="R504" s="18" t="str">
        <f t="shared" si="43"/>
        <v/>
      </c>
      <c r="S504" s="18" t="str">
        <f t="shared" si="44"/>
        <v/>
      </c>
      <c r="T504" s="18" t="str">
        <f t="shared" si="45"/>
        <v/>
      </c>
      <c r="U504" s="18">
        <f t="shared" si="46"/>
        <v>65</v>
      </c>
      <c r="V504" s="18" t="str">
        <f t="shared" si="47"/>
        <v/>
      </c>
      <c r="W504" s="14"/>
    </row>
    <row r="505" spans="1:23" x14ac:dyDescent="0.25">
      <c r="A505" s="6"/>
      <c r="B505" s="33" t="s">
        <v>221</v>
      </c>
      <c r="C505" s="19"/>
      <c r="D505" s="52"/>
      <c r="E505" s="52"/>
      <c r="F505" s="41"/>
      <c r="G505" s="36"/>
      <c r="H505" s="10"/>
      <c r="I505" s="11"/>
      <c r="J505" s="13"/>
      <c r="K505" s="45"/>
      <c r="L505" s="37"/>
      <c r="M505" s="17"/>
      <c r="N505" s="11"/>
      <c r="O505" s="16"/>
      <c r="P505" s="16"/>
      <c r="Q505" s="18" t="str">
        <f t="shared" si="42"/>
        <v/>
      </c>
      <c r="R505" s="18" t="str">
        <f t="shared" si="43"/>
        <v/>
      </c>
      <c r="S505" s="18" t="str">
        <f t="shared" si="44"/>
        <v/>
      </c>
      <c r="T505" s="18" t="str">
        <f t="shared" si="45"/>
        <v/>
      </c>
      <c r="U505" s="18" t="str">
        <f t="shared" si="46"/>
        <v/>
      </c>
      <c r="V505" s="18" t="str">
        <f t="shared" si="47"/>
        <v/>
      </c>
      <c r="W505" s="14"/>
    </row>
    <row r="506" spans="1:23" x14ac:dyDescent="0.25">
      <c r="A506" s="6"/>
      <c r="B506" s="33"/>
      <c r="C506" s="19"/>
      <c r="D506" s="52"/>
      <c r="E506" s="52"/>
      <c r="F506" s="41"/>
      <c r="G506" s="36"/>
      <c r="H506" s="10"/>
      <c r="I506" s="11"/>
      <c r="J506" s="13"/>
      <c r="K506" s="45"/>
      <c r="L506" s="37"/>
      <c r="M506" s="17"/>
      <c r="N506" s="11"/>
      <c r="O506" s="16"/>
      <c r="P506" s="16"/>
      <c r="Q506" s="18" t="str">
        <f t="shared" si="42"/>
        <v/>
      </c>
      <c r="R506" s="18" t="str">
        <f t="shared" si="43"/>
        <v/>
      </c>
      <c r="S506" s="18" t="str">
        <f t="shared" si="44"/>
        <v/>
      </c>
      <c r="T506" s="18" t="str">
        <f t="shared" si="45"/>
        <v/>
      </c>
      <c r="U506" s="18" t="str">
        <f t="shared" si="46"/>
        <v/>
      </c>
      <c r="V506" s="18" t="str">
        <f t="shared" si="47"/>
        <v/>
      </c>
      <c r="W506" s="14"/>
    </row>
    <row r="507" spans="1:23" ht="15" customHeight="1" x14ac:dyDescent="0.25">
      <c r="A507" s="6">
        <v>111</v>
      </c>
      <c r="B507" s="33" t="s">
        <v>33</v>
      </c>
      <c r="C507" s="44"/>
      <c r="D507" s="62">
        <f>0.75-0.05+0.115+0.47+0.515+1.17+1.935+0.055+1</f>
        <v>5.9599999999999991</v>
      </c>
      <c r="E507" s="62"/>
      <c r="F507" s="41"/>
      <c r="G507" s="36">
        <v>0.25</v>
      </c>
      <c r="H507" s="10">
        <v>20</v>
      </c>
      <c r="I507" s="11">
        <v>1</v>
      </c>
      <c r="J507" s="13">
        <f>ROUND(2.35/G507+1,0)</f>
        <v>10</v>
      </c>
      <c r="K507" s="45">
        <f>D507</f>
        <v>5.9599999999999991</v>
      </c>
      <c r="L507" s="37" t="str">
        <f>IF(O507&lt;12,"0",0.049*H507)</f>
        <v>0</v>
      </c>
      <c r="M507" s="17">
        <v>0</v>
      </c>
      <c r="N507" s="11">
        <f>M507*2*H507/1000</f>
        <v>0</v>
      </c>
      <c r="O507" s="16">
        <f>(D507)-N507</f>
        <v>5.9599999999999991</v>
      </c>
      <c r="P507" s="16">
        <f>(I507*J507*O507)+L507</f>
        <v>59.599999999999994</v>
      </c>
      <c r="Q507" s="18" t="str">
        <f t="shared" si="42"/>
        <v/>
      </c>
      <c r="R507" s="18" t="str">
        <f t="shared" si="43"/>
        <v/>
      </c>
      <c r="S507" s="18" t="str">
        <f t="shared" si="44"/>
        <v/>
      </c>
      <c r="T507" s="18" t="str">
        <f t="shared" si="45"/>
        <v/>
      </c>
      <c r="U507" s="18">
        <f t="shared" si="46"/>
        <v>59.599999999999994</v>
      </c>
      <c r="V507" s="18" t="str">
        <f t="shared" si="47"/>
        <v/>
      </c>
      <c r="W507" s="14"/>
    </row>
    <row r="508" spans="1:23" x14ac:dyDescent="0.25">
      <c r="A508" s="6"/>
      <c r="B508" s="33" t="s">
        <v>222</v>
      </c>
      <c r="C508" s="19"/>
      <c r="D508" s="52"/>
      <c r="E508" s="52"/>
      <c r="F508" s="41"/>
      <c r="G508" s="36"/>
      <c r="H508" s="10"/>
      <c r="I508" s="11"/>
      <c r="J508" s="13"/>
      <c r="K508" s="45"/>
      <c r="L508" s="37"/>
      <c r="M508" s="17"/>
      <c r="N508" s="11"/>
      <c r="O508" s="16"/>
      <c r="P508" s="16"/>
      <c r="Q508" s="18" t="str">
        <f t="shared" si="42"/>
        <v/>
      </c>
      <c r="R508" s="18" t="str">
        <f t="shared" si="43"/>
        <v/>
      </c>
      <c r="S508" s="18" t="str">
        <f t="shared" si="44"/>
        <v/>
      </c>
      <c r="T508" s="18" t="str">
        <f t="shared" si="45"/>
        <v/>
      </c>
      <c r="U508" s="18" t="str">
        <f t="shared" si="46"/>
        <v/>
      </c>
      <c r="V508" s="18" t="str">
        <f t="shared" si="47"/>
        <v/>
      </c>
      <c r="W508" s="14"/>
    </row>
    <row r="509" spans="1:23" x14ac:dyDescent="0.25">
      <c r="A509" s="6"/>
      <c r="B509" s="33"/>
      <c r="C509" s="19"/>
      <c r="D509" s="52"/>
      <c r="E509" s="52"/>
      <c r="F509" s="41"/>
      <c r="G509" s="36"/>
      <c r="H509" s="10"/>
      <c r="I509" s="11"/>
      <c r="J509" s="13"/>
      <c r="K509" s="45"/>
      <c r="L509" s="37"/>
      <c r="M509" s="17"/>
      <c r="N509" s="11"/>
      <c r="O509" s="16"/>
      <c r="P509" s="16"/>
      <c r="Q509" s="18" t="str">
        <f t="shared" si="42"/>
        <v/>
      </c>
      <c r="R509" s="18" t="str">
        <f t="shared" si="43"/>
        <v/>
      </c>
      <c r="S509" s="18" t="str">
        <f t="shared" si="44"/>
        <v/>
      </c>
      <c r="T509" s="18" t="str">
        <f t="shared" si="45"/>
        <v/>
      </c>
      <c r="U509" s="18" t="str">
        <f t="shared" si="46"/>
        <v/>
      </c>
      <c r="V509" s="18" t="str">
        <f t="shared" si="47"/>
        <v/>
      </c>
      <c r="W509" s="14"/>
    </row>
    <row r="510" spans="1:23" ht="15" customHeight="1" x14ac:dyDescent="0.25">
      <c r="A510" s="6">
        <v>112</v>
      </c>
      <c r="B510" s="33" t="s">
        <v>34</v>
      </c>
      <c r="C510" s="44"/>
      <c r="D510" s="62">
        <f>0.75-0.05+0.65+1</f>
        <v>2.35</v>
      </c>
      <c r="E510" s="62"/>
      <c r="F510" s="41"/>
      <c r="G510" s="36">
        <v>0.25</v>
      </c>
      <c r="H510" s="10">
        <v>20</v>
      </c>
      <c r="I510" s="11">
        <v>1</v>
      </c>
      <c r="J510" s="13">
        <f>ROUND(5.96/G510+1,0)</f>
        <v>25</v>
      </c>
      <c r="K510" s="45">
        <f>D510</f>
        <v>2.35</v>
      </c>
      <c r="L510" s="37" t="str">
        <f>IF(O510&lt;12,"0",0.049*H510)</f>
        <v>0</v>
      </c>
      <c r="M510" s="17">
        <v>0</v>
      </c>
      <c r="N510" s="11">
        <f>M510*2*H510/1000</f>
        <v>0</v>
      </c>
      <c r="O510" s="16">
        <f>(D510)-N510</f>
        <v>2.35</v>
      </c>
      <c r="P510" s="16">
        <f>(I510*J510*O510)+L510</f>
        <v>58.75</v>
      </c>
      <c r="Q510" s="18" t="str">
        <f t="shared" si="42"/>
        <v/>
      </c>
      <c r="R510" s="18" t="str">
        <f t="shared" si="43"/>
        <v/>
      </c>
      <c r="S510" s="18" t="str">
        <f t="shared" si="44"/>
        <v/>
      </c>
      <c r="T510" s="18" t="str">
        <f t="shared" si="45"/>
        <v/>
      </c>
      <c r="U510" s="18">
        <f t="shared" si="46"/>
        <v>58.75</v>
      </c>
      <c r="V510" s="18" t="str">
        <f t="shared" si="47"/>
        <v/>
      </c>
      <c r="W510" s="14"/>
    </row>
    <row r="511" spans="1:23" x14ac:dyDescent="0.25">
      <c r="A511" s="6"/>
      <c r="B511" s="33" t="s">
        <v>222</v>
      </c>
      <c r="C511" s="19"/>
      <c r="D511" s="52"/>
      <c r="E511" s="52"/>
      <c r="F511" s="41"/>
      <c r="G511" s="36"/>
      <c r="H511" s="10"/>
      <c r="I511" s="11"/>
      <c r="J511" s="13"/>
      <c r="K511" s="45"/>
      <c r="L511" s="37"/>
      <c r="M511" s="17"/>
      <c r="N511" s="11"/>
      <c r="O511" s="16"/>
      <c r="P511" s="16"/>
      <c r="Q511" s="18" t="str">
        <f t="shared" si="42"/>
        <v/>
      </c>
      <c r="R511" s="18" t="str">
        <f t="shared" si="43"/>
        <v/>
      </c>
      <c r="S511" s="18" t="str">
        <f t="shared" si="44"/>
        <v/>
      </c>
      <c r="T511" s="18" t="str">
        <f t="shared" si="45"/>
        <v/>
      </c>
      <c r="U511" s="18" t="str">
        <f t="shared" si="46"/>
        <v/>
      </c>
      <c r="V511" s="18" t="str">
        <f t="shared" si="47"/>
        <v/>
      </c>
      <c r="W511" s="14"/>
    </row>
    <row r="512" spans="1:23" x14ac:dyDescent="0.25">
      <c r="A512" s="6"/>
      <c r="B512" s="33"/>
      <c r="C512" s="19"/>
      <c r="D512" s="52"/>
      <c r="E512" s="52"/>
      <c r="F512" s="41"/>
      <c r="G512" s="36"/>
      <c r="H512" s="10"/>
      <c r="I512" s="11"/>
      <c r="J512" s="13"/>
      <c r="K512" s="45"/>
      <c r="L512" s="37"/>
      <c r="M512" s="17"/>
      <c r="N512" s="11"/>
      <c r="O512" s="16"/>
      <c r="P512" s="16"/>
      <c r="Q512" s="18" t="str">
        <f t="shared" ref="Q512:Q614" si="48">IF($H512=8,$P512,"")</f>
        <v/>
      </c>
      <c r="R512" s="18" t="str">
        <f t="shared" ref="R512:R614" si="49">IF($H512=10,$P512,"")</f>
        <v/>
      </c>
      <c r="S512" s="18" t="str">
        <f t="shared" ref="S512:S614" si="50">IF($H512=12,$P512,"")</f>
        <v/>
      </c>
      <c r="T512" s="18" t="str">
        <f t="shared" ref="T512:T614" si="51">IF($H512=16,$P512,"")</f>
        <v/>
      </c>
      <c r="U512" s="18" t="str">
        <f t="shared" ref="U512:U614" si="52">IF($H512=20,$P512,"")</f>
        <v/>
      </c>
      <c r="V512" s="18" t="str">
        <f t="shared" ref="V512:V614" si="53">IF($H512=25,$P512,"")</f>
        <v/>
      </c>
      <c r="W512" s="14"/>
    </row>
    <row r="513" spans="1:23" ht="15" customHeight="1" x14ac:dyDescent="0.25">
      <c r="A513" s="6">
        <v>113</v>
      </c>
      <c r="B513" s="33" t="s">
        <v>33</v>
      </c>
      <c r="C513" s="44"/>
      <c r="D513" s="62">
        <f>0.75-0.05+0.6+1</f>
        <v>2.2999999999999998</v>
      </c>
      <c r="E513" s="62"/>
      <c r="F513" s="41"/>
      <c r="G513" s="36">
        <v>0.25</v>
      </c>
      <c r="H513" s="10">
        <v>20</v>
      </c>
      <c r="I513" s="11">
        <v>1</v>
      </c>
      <c r="J513" s="13">
        <f>ROUND(3.1/G513+1,0)</f>
        <v>13</v>
      </c>
      <c r="K513" s="45">
        <f>D513</f>
        <v>2.2999999999999998</v>
      </c>
      <c r="L513" s="37" t="str">
        <f>IF(O513&lt;12,"0",0.049*H513)</f>
        <v>0</v>
      </c>
      <c r="M513" s="17">
        <v>0</v>
      </c>
      <c r="N513" s="11">
        <f>M513*2*H513/1000</f>
        <v>0</v>
      </c>
      <c r="O513" s="16">
        <f>(D513)-N513</f>
        <v>2.2999999999999998</v>
      </c>
      <c r="P513" s="16">
        <f>(I513*J513*O513)+L513</f>
        <v>29.9</v>
      </c>
      <c r="Q513" s="18" t="str">
        <f t="shared" si="48"/>
        <v/>
      </c>
      <c r="R513" s="18" t="str">
        <f t="shared" si="49"/>
        <v/>
      </c>
      <c r="S513" s="18" t="str">
        <f t="shared" si="50"/>
        <v/>
      </c>
      <c r="T513" s="18" t="str">
        <f t="shared" si="51"/>
        <v/>
      </c>
      <c r="U513" s="18">
        <f t="shared" si="52"/>
        <v>29.9</v>
      </c>
      <c r="V513" s="18" t="str">
        <f t="shared" si="53"/>
        <v/>
      </c>
      <c r="W513" s="14"/>
    </row>
    <row r="514" spans="1:23" x14ac:dyDescent="0.25">
      <c r="A514" s="6"/>
      <c r="B514" s="33" t="s">
        <v>223</v>
      </c>
      <c r="C514" s="19"/>
      <c r="D514" s="52"/>
      <c r="E514" s="52"/>
      <c r="F514" s="41"/>
      <c r="G514" s="36"/>
      <c r="H514" s="10"/>
      <c r="I514" s="11"/>
      <c r="J514" s="13"/>
      <c r="K514" s="45"/>
      <c r="L514" s="37"/>
      <c r="M514" s="17"/>
      <c r="N514" s="11"/>
      <c r="O514" s="16"/>
      <c r="P514" s="16"/>
      <c r="Q514" s="18" t="str">
        <f t="shared" si="48"/>
        <v/>
      </c>
      <c r="R514" s="18" t="str">
        <f t="shared" si="49"/>
        <v/>
      </c>
      <c r="S514" s="18" t="str">
        <f t="shared" si="50"/>
        <v/>
      </c>
      <c r="T514" s="18" t="str">
        <f t="shared" si="51"/>
        <v/>
      </c>
      <c r="U514" s="18" t="str">
        <f t="shared" si="52"/>
        <v/>
      </c>
      <c r="V514" s="18" t="str">
        <f t="shared" si="53"/>
        <v/>
      </c>
      <c r="W514" s="14"/>
    </row>
    <row r="515" spans="1:23" x14ac:dyDescent="0.25">
      <c r="A515" s="6"/>
      <c r="B515" s="33"/>
      <c r="C515" s="19"/>
      <c r="D515" s="52"/>
      <c r="E515" s="52"/>
      <c r="F515" s="41"/>
      <c r="G515" s="36"/>
      <c r="H515" s="10"/>
      <c r="I515" s="11"/>
      <c r="J515" s="13"/>
      <c r="K515" s="45"/>
      <c r="L515" s="37"/>
      <c r="M515" s="17"/>
      <c r="N515" s="11"/>
      <c r="O515" s="16"/>
      <c r="P515" s="16"/>
      <c r="Q515" s="18" t="str">
        <f t="shared" si="48"/>
        <v/>
      </c>
      <c r="R515" s="18" t="str">
        <f t="shared" si="49"/>
        <v/>
      </c>
      <c r="S515" s="18" t="str">
        <f t="shared" si="50"/>
        <v/>
      </c>
      <c r="T515" s="18" t="str">
        <f t="shared" si="51"/>
        <v/>
      </c>
      <c r="U515" s="18" t="str">
        <f t="shared" si="52"/>
        <v/>
      </c>
      <c r="V515" s="18" t="str">
        <f t="shared" si="53"/>
        <v/>
      </c>
      <c r="W515" s="14"/>
    </row>
    <row r="516" spans="1:23" ht="15" customHeight="1" x14ac:dyDescent="0.25">
      <c r="A516" s="6">
        <v>114</v>
      </c>
      <c r="B516" s="33" t="s">
        <v>34</v>
      </c>
      <c r="C516" s="44"/>
      <c r="D516" s="62">
        <f>1.25+0.6+1.25</f>
        <v>3.1</v>
      </c>
      <c r="E516" s="62"/>
      <c r="F516" s="41"/>
      <c r="G516" s="36">
        <v>0.25</v>
      </c>
      <c r="H516" s="10">
        <v>25</v>
      </c>
      <c r="I516" s="11">
        <v>1</v>
      </c>
      <c r="J516" s="13">
        <f>ROUND(2.3/G516+1,0)</f>
        <v>10</v>
      </c>
      <c r="K516" s="45">
        <f>D516</f>
        <v>3.1</v>
      </c>
      <c r="L516" s="37" t="str">
        <f>IF(O516&lt;12,"0",0.049*H516)</f>
        <v>0</v>
      </c>
      <c r="M516" s="17">
        <v>0</v>
      </c>
      <c r="N516" s="11">
        <f>M516*2*H516/1000</f>
        <v>0</v>
      </c>
      <c r="O516" s="16">
        <f>(D516)-N516</f>
        <v>3.1</v>
      </c>
      <c r="P516" s="16">
        <f>(I516*J516*O516)+L516</f>
        <v>31</v>
      </c>
      <c r="Q516" s="18" t="str">
        <f t="shared" si="48"/>
        <v/>
      </c>
      <c r="R516" s="18" t="str">
        <f t="shared" si="49"/>
        <v/>
      </c>
      <c r="S516" s="18" t="str">
        <f t="shared" si="50"/>
        <v/>
      </c>
      <c r="T516" s="18" t="str">
        <f t="shared" si="51"/>
        <v/>
      </c>
      <c r="U516" s="18" t="str">
        <f t="shared" si="52"/>
        <v/>
      </c>
      <c r="V516" s="18">
        <f t="shared" si="53"/>
        <v>31</v>
      </c>
      <c r="W516" s="14"/>
    </row>
    <row r="517" spans="1:23" x14ac:dyDescent="0.25">
      <c r="A517" s="6"/>
      <c r="B517" s="33" t="s">
        <v>223</v>
      </c>
      <c r="C517" s="19"/>
      <c r="D517" s="52"/>
      <c r="E517" s="52"/>
      <c r="F517" s="41"/>
      <c r="G517" s="36"/>
      <c r="H517" s="10"/>
      <c r="I517" s="11"/>
      <c r="J517" s="13"/>
      <c r="K517" s="45"/>
      <c r="L517" s="37"/>
      <c r="M517" s="17"/>
      <c r="N517" s="11"/>
      <c r="O517" s="16"/>
      <c r="P517" s="16"/>
      <c r="Q517" s="18" t="str">
        <f t="shared" si="48"/>
        <v/>
      </c>
      <c r="R517" s="18" t="str">
        <f t="shared" si="49"/>
        <v/>
      </c>
      <c r="S517" s="18" t="str">
        <f t="shared" si="50"/>
        <v/>
      </c>
      <c r="T517" s="18" t="str">
        <f t="shared" si="51"/>
        <v/>
      </c>
      <c r="U517" s="18" t="str">
        <f t="shared" si="52"/>
        <v/>
      </c>
      <c r="V517" s="18" t="str">
        <f t="shared" si="53"/>
        <v/>
      </c>
      <c r="W517" s="14"/>
    </row>
    <row r="518" spans="1:23" x14ac:dyDescent="0.25">
      <c r="A518" s="6"/>
      <c r="B518" s="33"/>
      <c r="C518" s="19"/>
      <c r="D518" s="52"/>
      <c r="E518" s="52"/>
      <c r="F518" s="41"/>
      <c r="G518" s="36"/>
      <c r="H518" s="10"/>
      <c r="I518" s="11"/>
      <c r="J518" s="13"/>
      <c r="K518" s="45"/>
      <c r="L518" s="37"/>
      <c r="M518" s="17"/>
      <c r="N518" s="11"/>
      <c r="O518" s="16"/>
      <c r="P518" s="16"/>
      <c r="Q518" s="18" t="str">
        <f t="shared" si="48"/>
        <v/>
      </c>
      <c r="R518" s="18" t="str">
        <f t="shared" si="49"/>
        <v/>
      </c>
      <c r="S518" s="18" t="str">
        <f t="shared" si="50"/>
        <v/>
      </c>
      <c r="T518" s="18" t="str">
        <f t="shared" si="51"/>
        <v/>
      </c>
      <c r="U518" s="18" t="str">
        <f t="shared" si="52"/>
        <v/>
      </c>
      <c r="V518" s="18" t="str">
        <f t="shared" si="53"/>
        <v/>
      </c>
      <c r="W518" s="14"/>
    </row>
    <row r="519" spans="1:23" ht="15" customHeight="1" x14ac:dyDescent="0.25">
      <c r="A519" s="6">
        <v>115</v>
      </c>
      <c r="B519" s="33" t="s">
        <v>33</v>
      </c>
      <c r="C519" s="44"/>
      <c r="D519" s="62">
        <f>0.75-0.05+0.715+1</f>
        <v>2.415</v>
      </c>
      <c r="E519" s="62"/>
      <c r="F519" s="41"/>
      <c r="G519" s="36">
        <v>0.25</v>
      </c>
      <c r="H519" s="10">
        <v>20</v>
      </c>
      <c r="I519" s="11">
        <v>1</v>
      </c>
      <c r="J519" s="13">
        <f>ROUND(2.3/G519+1,0)</f>
        <v>10</v>
      </c>
      <c r="K519" s="45">
        <f>D519</f>
        <v>2.415</v>
      </c>
      <c r="L519" s="37" t="str">
        <f>IF(O519&lt;12,"0",0.049*H519)</f>
        <v>0</v>
      </c>
      <c r="M519" s="17">
        <v>0</v>
      </c>
      <c r="N519" s="11">
        <f>M519*2*H519/1000</f>
        <v>0</v>
      </c>
      <c r="O519" s="16">
        <f>(D519)-N519</f>
        <v>2.415</v>
      </c>
      <c r="P519" s="16">
        <f>(I519*J519*O519)+L519</f>
        <v>24.15</v>
      </c>
      <c r="Q519" s="18" t="str">
        <f t="shared" si="48"/>
        <v/>
      </c>
      <c r="R519" s="18" t="str">
        <f t="shared" si="49"/>
        <v/>
      </c>
      <c r="S519" s="18" t="str">
        <f t="shared" si="50"/>
        <v/>
      </c>
      <c r="T519" s="18" t="str">
        <f t="shared" si="51"/>
        <v/>
      </c>
      <c r="U519" s="18">
        <f t="shared" si="52"/>
        <v>24.15</v>
      </c>
      <c r="V519" s="18" t="str">
        <f t="shared" si="53"/>
        <v/>
      </c>
      <c r="W519" s="14"/>
    </row>
    <row r="520" spans="1:23" x14ac:dyDescent="0.25">
      <c r="A520" s="6"/>
      <c r="B520" s="33" t="s">
        <v>224</v>
      </c>
      <c r="C520" s="19"/>
      <c r="D520" s="52"/>
      <c r="E520" s="52"/>
      <c r="F520" s="41"/>
      <c r="G520" s="36"/>
      <c r="H520" s="10"/>
      <c r="I520" s="11"/>
      <c r="J520" s="13"/>
      <c r="K520" s="45"/>
      <c r="L520" s="37"/>
      <c r="M520" s="17"/>
      <c r="N520" s="11"/>
      <c r="O520" s="16"/>
      <c r="P520" s="16"/>
      <c r="Q520" s="18" t="str">
        <f t="shared" si="48"/>
        <v/>
      </c>
      <c r="R520" s="18" t="str">
        <f t="shared" si="49"/>
        <v/>
      </c>
      <c r="S520" s="18" t="str">
        <f t="shared" si="50"/>
        <v/>
      </c>
      <c r="T520" s="18" t="str">
        <f t="shared" si="51"/>
        <v/>
      </c>
      <c r="U520" s="18" t="str">
        <f t="shared" si="52"/>
        <v/>
      </c>
      <c r="V520" s="18" t="str">
        <f t="shared" si="53"/>
        <v/>
      </c>
      <c r="W520" s="14"/>
    </row>
    <row r="521" spans="1:23" x14ac:dyDescent="0.25">
      <c r="A521" s="6"/>
      <c r="B521" s="33"/>
      <c r="C521" s="19"/>
      <c r="D521" s="52"/>
      <c r="E521" s="52"/>
      <c r="F521" s="41"/>
      <c r="G521" s="36"/>
      <c r="H521" s="10"/>
      <c r="I521" s="11"/>
      <c r="J521" s="13"/>
      <c r="K521" s="45"/>
      <c r="L521" s="37"/>
      <c r="M521" s="17"/>
      <c r="N521" s="11"/>
      <c r="O521" s="16"/>
      <c r="P521" s="16"/>
      <c r="Q521" s="18" t="str">
        <f t="shared" si="48"/>
        <v/>
      </c>
      <c r="R521" s="18" t="str">
        <f t="shared" si="49"/>
        <v/>
      </c>
      <c r="S521" s="18" t="str">
        <f t="shared" si="50"/>
        <v/>
      </c>
      <c r="T521" s="18" t="str">
        <f t="shared" si="51"/>
        <v/>
      </c>
      <c r="U521" s="18" t="str">
        <f t="shared" si="52"/>
        <v/>
      </c>
      <c r="V521" s="18" t="str">
        <f t="shared" si="53"/>
        <v/>
      </c>
      <c r="W521" s="14"/>
    </row>
    <row r="522" spans="1:23" ht="15" customHeight="1" x14ac:dyDescent="0.25">
      <c r="A522" s="6">
        <v>116</v>
      </c>
      <c r="B522" s="33" t="s">
        <v>34</v>
      </c>
      <c r="C522" s="44"/>
      <c r="D522" s="62">
        <f>1+0.3+1</f>
        <v>2.2999999999999998</v>
      </c>
      <c r="E522" s="62"/>
      <c r="F522" s="41"/>
      <c r="G522" s="36">
        <v>0.25</v>
      </c>
      <c r="H522" s="10">
        <v>20</v>
      </c>
      <c r="I522" s="11">
        <v>1</v>
      </c>
      <c r="J522" s="13">
        <f>ROUND(1.835/G522+1,0)</f>
        <v>8</v>
      </c>
      <c r="K522" s="45">
        <f>D522</f>
        <v>2.2999999999999998</v>
      </c>
      <c r="L522" s="37" t="str">
        <f>IF(O522&lt;12,"0",0.049*H522)</f>
        <v>0</v>
      </c>
      <c r="M522" s="17">
        <v>0</v>
      </c>
      <c r="N522" s="11">
        <f>M522*2*H522/1000</f>
        <v>0</v>
      </c>
      <c r="O522" s="16">
        <f>(D522)-N522</f>
        <v>2.2999999999999998</v>
      </c>
      <c r="P522" s="16">
        <f>(I522*J522*O522)+L522</f>
        <v>18.399999999999999</v>
      </c>
      <c r="Q522" s="18" t="str">
        <f t="shared" si="48"/>
        <v/>
      </c>
      <c r="R522" s="18" t="str">
        <f t="shared" si="49"/>
        <v/>
      </c>
      <c r="S522" s="18" t="str">
        <f t="shared" si="50"/>
        <v/>
      </c>
      <c r="T522" s="18" t="str">
        <f t="shared" si="51"/>
        <v/>
      </c>
      <c r="U522" s="18">
        <f t="shared" si="52"/>
        <v>18.399999999999999</v>
      </c>
      <c r="V522" s="18" t="str">
        <f t="shared" si="53"/>
        <v/>
      </c>
      <c r="W522" s="14"/>
    </row>
    <row r="523" spans="1:23" x14ac:dyDescent="0.25">
      <c r="A523" s="6"/>
      <c r="B523" s="33" t="s">
        <v>224</v>
      </c>
      <c r="C523" s="19"/>
      <c r="D523" s="52"/>
      <c r="E523" s="52"/>
      <c r="F523" s="41"/>
      <c r="G523" s="36"/>
      <c r="H523" s="10"/>
      <c r="I523" s="11"/>
      <c r="J523" s="13"/>
      <c r="K523" s="45"/>
      <c r="L523" s="37"/>
      <c r="M523" s="17"/>
      <c r="N523" s="11"/>
      <c r="O523" s="16"/>
      <c r="P523" s="16"/>
      <c r="Q523" s="18" t="str">
        <f t="shared" si="48"/>
        <v/>
      </c>
      <c r="R523" s="18" t="str">
        <f t="shared" si="49"/>
        <v/>
      </c>
      <c r="S523" s="18" t="str">
        <f t="shared" si="50"/>
        <v/>
      </c>
      <c r="T523" s="18" t="str">
        <f t="shared" si="51"/>
        <v/>
      </c>
      <c r="U523" s="18" t="str">
        <f t="shared" si="52"/>
        <v/>
      </c>
      <c r="V523" s="18" t="str">
        <f t="shared" si="53"/>
        <v/>
      </c>
      <c r="W523" s="14"/>
    </row>
    <row r="524" spans="1:23" x14ac:dyDescent="0.25">
      <c r="A524" s="6"/>
      <c r="B524" s="33"/>
      <c r="C524" s="19"/>
      <c r="D524" s="52"/>
      <c r="E524" s="52"/>
      <c r="F524" s="41"/>
      <c r="G524" s="36"/>
      <c r="H524" s="10"/>
      <c r="I524" s="11"/>
      <c r="J524" s="13"/>
      <c r="K524" s="45"/>
      <c r="L524" s="37"/>
      <c r="M524" s="17"/>
      <c r="N524" s="11"/>
      <c r="O524" s="16"/>
      <c r="P524" s="16"/>
      <c r="Q524" s="18" t="str">
        <f t="shared" si="48"/>
        <v/>
      </c>
      <c r="R524" s="18" t="str">
        <f t="shared" si="49"/>
        <v/>
      </c>
      <c r="S524" s="18" t="str">
        <f t="shared" si="50"/>
        <v/>
      </c>
      <c r="T524" s="18" t="str">
        <f t="shared" si="51"/>
        <v/>
      </c>
      <c r="U524" s="18" t="str">
        <f t="shared" si="52"/>
        <v/>
      </c>
      <c r="V524" s="18" t="str">
        <f t="shared" si="53"/>
        <v/>
      </c>
      <c r="W524" s="14"/>
    </row>
    <row r="525" spans="1:23" ht="15" customHeight="1" x14ac:dyDescent="0.25">
      <c r="A525" s="6">
        <v>117</v>
      </c>
      <c r="B525" s="33" t="s">
        <v>33</v>
      </c>
      <c r="C525" s="44"/>
      <c r="D525" s="62">
        <f>0.75-0.05+0.715+1</f>
        <v>2.415</v>
      </c>
      <c r="E525" s="62"/>
      <c r="F525" s="41"/>
      <c r="G525" s="36">
        <v>0.25</v>
      </c>
      <c r="H525" s="10">
        <v>20</v>
      </c>
      <c r="I525" s="11">
        <v>1</v>
      </c>
      <c r="J525" s="13">
        <f>ROUND(2.3/G525+1,0)</f>
        <v>10</v>
      </c>
      <c r="K525" s="45">
        <f>D525</f>
        <v>2.415</v>
      </c>
      <c r="L525" s="37" t="str">
        <f>IF(O525&lt;12,"0",0.049*H525)</f>
        <v>0</v>
      </c>
      <c r="M525" s="17">
        <v>0</v>
      </c>
      <c r="N525" s="11">
        <f>M525*2*H525/1000</f>
        <v>0</v>
      </c>
      <c r="O525" s="16">
        <f>(D525)-N525</f>
        <v>2.415</v>
      </c>
      <c r="P525" s="16">
        <f>(I525*J525*O525)+L525</f>
        <v>24.15</v>
      </c>
      <c r="Q525" s="18" t="str">
        <f t="shared" si="48"/>
        <v/>
      </c>
      <c r="R525" s="18" t="str">
        <f t="shared" si="49"/>
        <v/>
      </c>
      <c r="S525" s="18" t="str">
        <f t="shared" si="50"/>
        <v/>
      </c>
      <c r="T525" s="18" t="str">
        <f t="shared" si="51"/>
        <v/>
      </c>
      <c r="U525" s="18">
        <f t="shared" si="52"/>
        <v>24.15</v>
      </c>
      <c r="V525" s="18" t="str">
        <f t="shared" si="53"/>
        <v/>
      </c>
      <c r="W525" s="14"/>
    </row>
    <row r="526" spans="1:23" x14ac:dyDescent="0.25">
      <c r="A526" s="6"/>
      <c r="B526" s="33" t="s">
        <v>225</v>
      </c>
      <c r="C526" s="19"/>
      <c r="D526" s="52"/>
      <c r="E526" s="52"/>
      <c r="F526" s="41"/>
      <c r="G526" s="36"/>
      <c r="H526" s="10"/>
      <c r="I526" s="11"/>
      <c r="J526" s="13"/>
      <c r="K526" s="45"/>
      <c r="L526" s="37"/>
      <c r="M526" s="17"/>
      <c r="N526" s="11"/>
      <c r="O526" s="16"/>
      <c r="P526" s="16"/>
      <c r="Q526" s="18" t="str">
        <f t="shared" si="48"/>
        <v/>
      </c>
      <c r="R526" s="18" t="str">
        <f t="shared" si="49"/>
        <v/>
      </c>
      <c r="S526" s="18" t="str">
        <f t="shared" si="50"/>
        <v/>
      </c>
      <c r="T526" s="18" t="str">
        <f t="shared" si="51"/>
        <v/>
      </c>
      <c r="U526" s="18" t="str">
        <f t="shared" si="52"/>
        <v/>
      </c>
      <c r="V526" s="18" t="str">
        <f t="shared" si="53"/>
        <v/>
      </c>
      <c r="W526" s="14"/>
    </row>
    <row r="527" spans="1:23" x14ac:dyDescent="0.25">
      <c r="A527" s="6"/>
      <c r="B527" s="33"/>
      <c r="C527" s="19"/>
      <c r="D527" s="52"/>
      <c r="E527" s="52"/>
      <c r="F527" s="41"/>
      <c r="G527" s="36"/>
      <c r="H527" s="10"/>
      <c r="I527" s="11"/>
      <c r="J527" s="13"/>
      <c r="K527" s="45"/>
      <c r="L527" s="37"/>
      <c r="M527" s="17"/>
      <c r="N527" s="11"/>
      <c r="O527" s="16"/>
      <c r="P527" s="16"/>
      <c r="Q527" s="18" t="str">
        <f t="shared" si="48"/>
        <v/>
      </c>
      <c r="R527" s="18" t="str">
        <f t="shared" si="49"/>
        <v/>
      </c>
      <c r="S527" s="18" t="str">
        <f t="shared" si="50"/>
        <v/>
      </c>
      <c r="T527" s="18" t="str">
        <f t="shared" si="51"/>
        <v/>
      </c>
      <c r="U527" s="18" t="str">
        <f t="shared" si="52"/>
        <v/>
      </c>
      <c r="V527" s="18" t="str">
        <f t="shared" si="53"/>
        <v/>
      </c>
      <c r="W527" s="14"/>
    </row>
    <row r="528" spans="1:23" ht="15" customHeight="1" x14ac:dyDescent="0.25">
      <c r="A528" s="6">
        <v>118</v>
      </c>
      <c r="B528" s="33" t="s">
        <v>34</v>
      </c>
      <c r="C528" s="44"/>
      <c r="D528" s="62">
        <f>1+0.3+1</f>
        <v>2.2999999999999998</v>
      </c>
      <c r="E528" s="62"/>
      <c r="F528" s="41"/>
      <c r="G528" s="36">
        <v>0.25</v>
      </c>
      <c r="H528" s="10">
        <v>20</v>
      </c>
      <c r="I528" s="11">
        <v>1</v>
      </c>
      <c r="J528" s="13">
        <f>ROUND(1.835/G528+1,0)</f>
        <v>8</v>
      </c>
      <c r="K528" s="45">
        <f>D528</f>
        <v>2.2999999999999998</v>
      </c>
      <c r="L528" s="37" t="str">
        <f>IF(O528&lt;12,"0",0.049*H528)</f>
        <v>0</v>
      </c>
      <c r="M528" s="17">
        <v>0</v>
      </c>
      <c r="N528" s="11">
        <f>M528*2*H528/1000</f>
        <v>0</v>
      </c>
      <c r="O528" s="16">
        <f>(D528)-N528</f>
        <v>2.2999999999999998</v>
      </c>
      <c r="P528" s="16">
        <f>(I528*J528*O528)+L528</f>
        <v>18.399999999999999</v>
      </c>
      <c r="Q528" s="18" t="str">
        <f t="shared" si="48"/>
        <v/>
      </c>
      <c r="R528" s="18" t="str">
        <f t="shared" si="49"/>
        <v/>
      </c>
      <c r="S528" s="18" t="str">
        <f t="shared" si="50"/>
        <v/>
      </c>
      <c r="T528" s="18" t="str">
        <f t="shared" si="51"/>
        <v/>
      </c>
      <c r="U528" s="18">
        <f t="shared" si="52"/>
        <v>18.399999999999999</v>
      </c>
      <c r="V528" s="18" t="str">
        <f t="shared" si="53"/>
        <v/>
      </c>
      <c r="W528" s="14"/>
    </row>
    <row r="529" spans="1:23" x14ac:dyDescent="0.25">
      <c r="A529" s="6"/>
      <c r="B529" s="33" t="s">
        <v>225</v>
      </c>
      <c r="C529" s="19"/>
      <c r="D529" s="52"/>
      <c r="E529" s="52"/>
      <c r="F529" s="41"/>
      <c r="G529" s="36"/>
      <c r="H529" s="10"/>
      <c r="I529" s="11"/>
      <c r="J529" s="13"/>
      <c r="K529" s="45"/>
      <c r="L529" s="37"/>
      <c r="M529" s="17"/>
      <c r="N529" s="11"/>
      <c r="O529" s="16"/>
      <c r="P529" s="16"/>
      <c r="Q529" s="18" t="str">
        <f t="shared" si="48"/>
        <v/>
      </c>
      <c r="R529" s="18" t="str">
        <f t="shared" si="49"/>
        <v/>
      </c>
      <c r="S529" s="18" t="str">
        <f t="shared" si="50"/>
        <v/>
      </c>
      <c r="T529" s="18" t="str">
        <f t="shared" si="51"/>
        <v/>
      </c>
      <c r="U529" s="18" t="str">
        <f t="shared" si="52"/>
        <v/>
      </c>
      <c r="V529" s="18" t="str">
        <f t="shared" si="53"/>
        <v/>
      </c>
      <c r="W529" s="14"/>
    </row>
    <row r="530" spans="1:23" x14ac:dyDescent="0.25">
      <c r="A530" s="6"/>
      <c r="B530" s="33"/>
      <c r="C530" s="19"/>
      <c r="D530" s="52"/>
      <c r="E530" s="52"/>
      <c r="F530" s="41"/>
      <c r="G530" s="36"/>
      <c r="H530" s="10"/>
      <c r="I530" s="11"/>
      <c r="J530" s="13"/>
      <c r="K530" s="45"/>
      <c r="L530" s="37"/>
      <c r="M530" s="17"/>
      <c r="N530" s="11"/>
      <c r="O530" s="16"/>
      <c r="P530" s="16"/>
      <c r="Q530" s="18" t="str">
        <f t="shared" si="48"/>
        <v/>
      </c>
      <c r="R530" s="18" t="str">
        <f t="shared" si="49"/>
        <v/>
      </c>
      <c r="S530" s="18" t="str">
        <f t="shared" si="50"/>
        <v/>
      </c>
      <c r="T530" s="18" t="str">
        <f t="shared" si="51"/>
        <v/>
      </c>
      <c r="U530" s="18" t="str">
        <f t="shared" si="52"/>
        <v/>
      </c>
      <c r="V530" s="18" t="str">
        <f t="shared" si="53"/>
        <v/>
      </c>
      <c r="W530" s="14"/>
    </row>
    <row r="531" spans="1:23" ht="15" customHeight="1" x14ac:dyDescent="0.25">
      <c r="A531" s="6">
        <v>119</v>
      </c>
      <c r="B531" s="33" t="s">
        <v>33</v>
      </c>
      <c r="C531" s="44"/>
      <c r="D531" s="62">
        <f>0.75-0.05+0.6+1</f>
        <v>2.2999999999999998</v>
      </c>
      <c r="E531" s="62"/>
      <c r="F531" s="41"/>
      <c r="G531" s="36">
        <v>0.25</v>
      </c>
      <c r="H531" s="10">
        <v>20</v>
      </c>
      <c r="I531" s="11">
        <v>1</v>
      </c>
      <c r="J531" s="13">
        <f>ROUND(3.1/G531+1,0)</f>
        <v>13</v>
      </c>
      <c r="K531" s="45">
        <f>D531</f>
        <v>2.2999999999999998</v>
      </c>
      <c r="L531" s="37" t="str">
        <f>IF(O531&lt;12,"0",0.049*H531)</f>
        <v>0</v>
      </c>
      <c r="M531" s="17">
        <v>0</v>
      </c>
      <c r="N531" s="11">
        <f>M531*2*H531/1000</f>
        <v>0</v>
      </c>
      <c r="O531" s="16">
        <f>(D531)-N531</f>
        <v>2.2999999999999998</v>
      </c>
      <c r="P531" s="16">
        <f>(I531*J531*O531)+L531</f>
        <v>29.9</v>
      </c>
      <c r="Q531" s="18" t="str">
        <f t="shared" si="48"/>
        <v/>
      </c>
      <c r="R531" s="18" t="str">
        <f t="shared" si="49"/>
        <v/>
      </c>
      <c r="S531" s="18" t="str">
        <f t="shared" si="50"/>
        <v/>
      </c>
      <c r="T531" s="18" t="str">
        <f t="shared" si="51"/>
        <v/>
      </c>
      <c r="U531" s="18">
        <f t="shared" si="52"/>
        <v>29.9</v>
      </c>
      <c r="V531" s="18" t="str">
        <f t="shared" si="53"/>
        <v/>
      </c>
      <c r="W531" s="14"/>
    </row>
    <row r="532" spans="1:23" x14ac:dyDescent="0.25">
      <c r="A532" s="6"/>
      <c r="B532" s="33" t="s">
        <v>226</v>
      </c>
      <c r="C532" s="19"/>
      <c r="D532" s="52"/>
      <c r="E532" s="52"/>
      <c r="F532" s="41"/>
      <c r="G532" s="36"/>
      <c r="H532" s="10"/>
      <c r="I532" s="11"/>
      <c r="J532" s="13"/>
      <c r="K532" s="45"/>
      <c r="L532" s="37"/>
      <c r="M532" s="17"/>
      <c r="N532" s="11"/>
      <c r="O532" s="16"/>
      <c r="P532" s="16"/>
      <c r="Q532" s="18" t="str">
        <f t="shared" si="48"/>
        <v/>
      </c>
      <c r="R532" s="18" t="str">
        <f t="shared" si="49"/>
        <v/>
      </c>
      <c r="S532" s="18" t="str">
        <f t="shared" si="50"/>
        <v/>
      </c>
      <c r="T532" s="18" t="str">
        <f t="shared" si="51"/>
        <v/>
      </c>
      <c r="U532" s="18" t="str">
        <f t="shared" si="52"/>
        <v/>
      </c>
      <c r="V532" s="18" t="str">
        <f t="shared" si="53"/>
        <v/>
      </c>
      <c r="W532" s="14"/>
    </row>
    <row r="533" spans="1:23" x14ac:dyDescent="0.25">
      <c r="A533" s="6"/>
      <c r="B533" s="33"/>
      <c r="C533" s="19"/>
      <c r="D533" s="52"/>
      <c r="E533" s="52"/>
      <c r="F533" s="41"/>
      <c r="G533" s="36"/>
      <c r="H533" s="10"/>
      <c r="I533" s="11"/>
      <c r="J533" s="13"/>
      <c r="K533" s="45"/>
      <c r="L533" s="37"/>
      <c r="M533" s="17"/>
      <c r="N533" s="11"/>
      <c r="O533" s="16"/>
      <c r="P533" s="16"/>
      <c r="Q533" s="18" t="str">
        <f t="shared" si="48"/>
        <v/>
      </c>
      <c r="R533" s="18" t="str">
        <f t="shared" si="49"/>
        <v/>
      </c>
      <c r="S533" s="18" t="str">
        <f t="shared" si="50"/>
        <v/>
      </c>
      <c r="T533" s="18" t="str">
        <f t="shared" si="51"/>
        <v/>
      </c>
      <c r="U533" s="18" t="str">
        <f t="shared" si="52"/>
        <v/>
      </c>
      <c r="V533" s="18" t="str">
        <f t="shared" si="53"/>
        <v/>
      </c>
      <c r="W533" s="14"/>
    </row>
    <row r="534" spans="1:23" ht="15" customHeight="1" x14ac:dyDescent="0.25">
      <c r="A534" s="6">
        <v>120</v>
      </c>
      <c r="B534" s="33" t="s">
        <v>34</v>
      </c>
      <c r="C534" s="44"/>
      <c r="D534" s="62">
        <f>1.25+0.6+1.25</f>
        <v>3.1</v>
      </c>
      <c r="E534" s="62"/>
      <c r="F534" s="41"/>
      <c r="G534" s="36">
        <v>0.25</v>
      </c>
      <c r="H534" s="10">
        <v>25</v>
      </c>
      <c r="I534" s="11">
        <v>1</v>
      </c>
      <c r="J534" s="13">
        <f>ROUND(2.3/G534+1,0)</f>
        <v>10</v>
      </c>
      <c r="K534" s="45">
        <f>D534</f>
        <v>3.1</v>
      </c>
      <c r="L534" s="37" t="str">
        <f>IF(O534&lt;12,"0",0.049*H534)</f>
        <v>0</v>
      </c>
      <c r="M534" s="17">
        <v>0</v>
      </c>
      <c r="N534" s="11">
        <f>M534*2*H534/1000</f>
        <v>0</v>
      </c>
      <c r="O534" s="16">
        <f>(D534)-N534</f>
        <v>3.1</v>
      </c>
      <c r="P534" s="16">
        <f>(I534*J534*O534)+L534</f>
        <v>31</v>
      </c>
      <c r="Q534" s="18" t="str">
        <f t="shared" si="48"/>
        <v/>
      </c>
      <c r="R534" s="18" t="str">
        <f t="shared" si="49"/>
        <v/>
      </c>
      <c r="S534" s="18" t="str">
        <f t="shared" si="50"/>
        <v/>
      </c>
      <c r="T534" s="18" t="str">
        <f t="shared" si="51"/>
        <v/>
      </c>
      <c r="U534" s="18" t="str">
        <f t="shared" si="52"/>
        <v/>
      </c>
      <c r="V534" s="18">
        <f t="shared" si="53"/>
        <v>31</v>
      </c>
      <c r="W534" s="14"/>
    </row>
    <row r="535" spans="1:23" x14ac:dyDescent="0.25">
      <c r="A535" s="6"/>
      <c r="B535" s="33" t="s">
        <v>226</v>
      </c>
      <c r="C535" s="19"/>
      <c r="D535" s="52"/>
      <c r="E535" s="52"/>
      <c r="F535" s="41"/>
      <c r="G535" s="36"/>
      <c r="H535" s="10"/>
      <c r="I535" s="11"/>
      <c r="J535" s="13"/>
      <c r="K535" s="45"/>
      <c r="L535" s="37"/>
      <c r="M535" s="17"/>
      <c r="N535" s="11"/>
      <c r="O535" s="16"/>
      <c r="P535" s="16"/>
      <c r="Q535" s="18" t="str">
        <f t="shared" si="48"/>
        <v/>
      </c>
      <c r="R535" s="18" t="str">
        <f t="shared" si="49"/>
        <v/>
      </c>
      <c r="S535" s="18" t="str">
        <f t="shared" si="50"/>
        <v/>
      </c>
      <c r="T535" s="18" t="str">
        <f t="shared" si="51"/>
        <v/>
      </c>
      <c r="U535" s="18" t="str">
        <f t="shared" si="52"/>
        <v/>
      </c>
      <c r="V535" s="18" t="str">
        <f t="shared" si="53"/>
        <v/>
      </c>
      <c r="W535" s="14"/>
    </row>
    <row r="536" spans="1:23" x14ac:dyDescent="0.25">
      <c r="A536" s="6"/>
      <c r="B536" s="33"/>
      <c r="C536" s="19"/>
      <c r="D536" s="52"/>
      <c r="E536" s="52"/>
      <c r="F536" s="41"/>
      <c r="G536" s="36"/>
      <c r="H536" s="10"/>
      <c r="I536" s="11"/>
      <c r="J536" s="13"/>
      <c r="K536" s="45"/>
      <c r="L536" s="37"/>
      <c r="M536" s="17"/>
      <c r="N536" s="11"/>
      <c r="O536" s="16"/>
      <c r="P536" s="16"/>
      <c r="Q536" s="18" t="str">
        <f t="shared" si="48"/>
        <v/>
      </c>
      <c r="R536" s="18" t="str">
        <f t="shared" si="49"/>
        <v/>
      </c>
      <c r="S536" s="18" t="str">
        <f t="shared" si="50"/>
        <v/>
      </c>
      <c r="T536" s="18" t="str">
        <f t="shared" si="51"/>
        <v/>
      </c>
      <c r="U536" s="18" t="str">
        <f t="shared" si="52"/>
        <v/>
      </c>
      <c r="V536" s="18" t="str">
        <f t="shared" si="53"/>
        <v/>
      </c>
      <c r="W536" s="14"/>
    </row>
    <row r="537" spans="1:23" ht="15" customHeight="1" x14ac:dyDescent="0.25">
      <c r="A537" s="6">
        <v>121</v>
      </c>
      <c r="B537" s="33" t="s">
        <v>33</v>
      </c>
      <c r="C537" s="44"/>
      <c r="D537" s="62">
        <f>1.25+0.75+1.25</f>
        <v>3.25</v>
      </c>
      <c r="E537" s="62"/>
      <c r="F537" s="41"/>
      <c r="G537" s="36">
        <v>0.25</v>
      </c>
      <c r="H537" s="10">
        <v>25</v>
      </c>
      <c r="I537" s="11">
        <v>1</v>
      </c>
      <c r="J537" s="13">
        <f>ROUND(2.8/G537+1,0)</f>
        <v>12</v>
      </c>
      <c r="K537" s="45">
        <f>D537</f>
        <v>3.25</v>
      </c>
      <c r="L537" s="37" t="str">
        <f>IF(O537&lt;12,"0",0.049*H537)</f>
        <v>0</v>
      </c>
      <c r="M537" s="17">
        <v>0</v>
      </c>
      <c r="N537" s="11">
        <f>M537*2*H537/1000</f>
        <v>0</v>
      </c>
      <c r="O537" s="16">
        <f>(D537)-N537</f>
        <v>3.25</v>
      </c>
      <c r="P537" s="16">
        <f>(I537*J537*O537)+L537</f>
        <v>39</v>
      </c>
      <c r="Q537" s="18" t="str">
        <f t="shared" si="48"/>
        <v/>
      </c>
      <c r="R537" s="18" t="str">
        <f t="shared" si="49"/>
        <v/>
      </c>
      <c r="S537" s="18" t="str">
        <f t="shared" si="50"/>
        <v/>
      </c>
      <c r="T537" s="18" t="str">
        <f t="shared" si="51"/>
        <v/>
      </c>
      <c r="U537" s="18" t="str">
        <f t="shared" si="52"/>
        <v/>
      </c>
      <c r="V537" s="18">
        <f t="shared" si="53"/>
        <v>39</v>
      </c>
      <c r="W537" s="14"/>
    </row>
    <row r="538" spans="1:23" x14ac:dyDescent="0.25">
      <c r="A538" s="6"/>
      <c r="B538" s="33" t="s">
        <v>227</v>
      </c>
      <c r="C538" s="19"/>
      <c r="D538" s="52"/>
      <c r="E538" s="52"/>
      <c r="F538" s="41"/>
      <c r="G538" s="36"/>
      <c r="H538" s="10"/>
      <c r="I538" s="11"/>
      <c r="J538" s="13"/>
      <c r="K538" s="45"/>
      <c r="L538" s="37"/>
      <c r="M538" s="17"/>
      <c r="N538" s="11"/>
      <c r="O538" s="16"/>
      <c r="P538" s="16"/>
      <c r="Q538" s="18" t="str">
        <f t="shared" si="48"/>
        <v/>
      </c>
      <c r="R538" s="18" t="str">
        <f t="shared" si="49"/>
        <v/>
      </c>
      <c r="S538" s="18" t="str">
        <f t="shared" si="50"/>
        <v/>
      </c>
      <c r="T538" s="18" t="str">
        <f t="shared" si="51"/>
        <v/>
      </c>
      <c r="U538" s="18" t="str">
        <f t="shared" si="52"/>
        <v/>
      </c>
      <c r="V538" s="18" t="str">
        <f t="shared" si="53"/>
        <v/>
      </c>
      <c r="W538" s="14"/>
    </row>
    <row r="539" spans="1:23" x14ac:dyDescent="0.25">
      <c r="A539" s="6"/>
      <c r="B539" s="33"/>
      <c r="C539" s="19"/>
      <c r="D539" s="52"/>
      <c r="E539" s="52"/>
      <c r="F539" s="41"/>
      <c r="G539" s="36"/>
      <c r="H539" s="10"/>
      <c r="I539" s="11"/>
      <c r="J539" s="13"/>
      <c r="K539" s="45"/>
      <c r="L539" s="37"/>
      <c r="M539" s="17"/>
      <c r="N539" s="11"/>
      <c r="O539" s="16"/>
      <c r="P539" s="16"/>
      <c r="Q539" s="18" t="str">
        <f t="shared" si="48"/>
        <v/>
      </c>
      <c r="R539" s="18" t="str">
        <f t="shared" si="49"/>
        <v/>
      </c>
      <c r="S539" s="18" t="str">
        <f t="shared" si="50"/>
        <v/>
      </c>
      <c r="T539" s="18" t="str">
        <f t="shared" si="51"/>
        <v/>
      </c>
      <c r="U539" s="18" t="str">
        <f t="shared" si="52"/>
        <v/>
      </c>
      <c r="V539" s="18" t="str">
        <f t="shared" si="53"/>
        <v/>
      </c>
      <c r="W539" s="14"/>
    </row>
    <row r="540" spans="1:23" ht="15" customHeight="1" x14ac:dyDescent="0.25">
      <c r="A540" s="6">
        <v>122</v>
      </c>
      <c r="B540" s="33" t="s">
        <v>34</v>
      </c>
      <c r="C540" s="44"/>
      <c r="D540" s="62">
        <f>1+0.3+1</f>
        <v>2.2999999999999998</v>
      </c>
      <c r="E540" s="62"/>
      <c r="F540" s="41"/>
      <c r="G540" s="36">
        <v>0.25</v>
      </c>
      <c r="H540" s="10">
        <v>20</v>
      </c>
      <c r="I540" s="11">
        <v>1</v>
      </c>
      <c r="J540" s="13">
        <f>ROUND(3.25/G540+1,0)</f>
        <v>14</v>
      </c>
      <c r="K540" s="45">
        <f>D540</f>
        <v>2.2999999999999998</v>
      </c>
      <c r="L540" s="37" t="str">
        <f>IF(O540&lt;12,"0",0.049*H540)</f>
        <v>0</v>
      </c>
      <c r="M540" s="17">
        <v>0</v>
      </c>
      <c r="N540" s="11">
        <f>M540*2*H540/1000</f>
        <v>0</v>
      </c>
      <c r="O540" s="16">
        <f>(D540)-N540</f>
        <v>2.2999999999999998</v>
      </c>
      <c r="P540" s="16">
        <f>(I540*J540*O540)+L540</f>
        <v>32.199999999999996</v>
      </c>
      <c r="Q540" s="18" t="str">
        <f t="shared" si="48"/>
        <v/>
      </c>
      <c r="R540" s="18" t="str">
        <f t="shared" si="49"/>
        <v/>
      </c>
      <c r="S540" s="18" t="str">
        <f t="shared" si="50"/>
        <v/>
      </c>
      <c r="T540" s="18" t="str">
        <f t="shared" si="51"/>
        <v/>
      </c>
      <c r="U540" s="18">
        <f t="shared" si="52"/>
        <v>32.199999999999996</v>
      </c>
      <c r="V540" s="18" t="str">
        <f t="shared" si="53"/>
        <v/>
      </c>
      <c r="W540" s="14"/>
    </row>
    <row r="541" spans="1:23" x14ac:dyDescent="0.25">
      <c r="A541" s="6"/>
      <c r="B541" s="33" t="s">
        <v>227</v>
      </c>
      <c r="C541" s="19"/>
      <c r="D541" s="52"/>
      <c r="E541" s="52"/>
      <c r="F541" s="41"/>
      <c r="G541" s="36"/>
      <c r="H541" s="10"/>
      <c r="I541" s="11"/>
      <c r="J541" s="13"/>
      <c r="K541" s="45"/>
      <c r="L541" s="37"/>
      <c r="M541" s="17"/>
      <c r="N541" s="11"/>
      <c r="O541" s="16"/>
      <c r="P541" s="16"/>
      <c r="Q541" s="18" t="str">
        <f t="shared" si="48"/>
        <v/>
      </c>
      <c r="R541" s="18" t="str">
        <f t="shared" si="49"/>
        <v/>
      </c>
      <c r="S541" s="18" t="str">
        <f t="shared" si="50"/>
        <v/>
      </c>
      <c r="T541" s="18" t="str">
        <f t="shared" si="51"/>
        <v/>
      </c>
      <c r="U541" s="18" t="str">
        <f t="shared" si="52"/>
        <v/>
      </c>
      <c r="V541" s="18" t="str">
        <f t="shared" si="53"/>
        <v/>
      </c>
      <c r="W541" s="14"/>
    </row>
    <row r="542" spans="1:23" x14ac:dyDescent="0.25">
      <c r="A542" s="6"/>
      <c r="B542" s="33"/>
      <c r="C542" s="19"/>
      <c r="D542" s="52"/>
      <c r="E542" s="52"/>
      <c r="F542" s="41"/>
      <c r="G542" s="36"/>
      <c r="H542" s="10"/>
      <c r="I542" s="11"/>
      <c r="J542" s="13"/>
      <c r="K542" s="45"/>
      <c r="L542" s="37"/>
      <c r="M542" s="17"/>
      <c r="N542" s="11"/>
      <c r="O542" s="16"/>
      <c r="P542" s="16"/>
      <c r="Q542" s="18" t="str">
        <f t="shared" si="48"/>
        <v/>
      </c>
      <c r="R542" s="18" t="str">
        <f t="shared" si="49"/>
        <v/>
      </c>
      <c r="S542" s="18" t="str">
        <f t="shared" si="50"/>
        <v/>
      </c>
      <c r="T542" s="18" t="str">
        <f t="shared" si="51"/>
        <v/>
      </c>
      <c r="U542" s="18" t="str">
        <f t="shared" si="52"/>
        <v/>
      </c>
      <c r="V542" s="18" t="str">
        <f t="shared" si="53"/>
        <v/>
      </c>
      <c r="W542" s="14"/>
    </row>
    <row r="543" spans="1:23" ht="15" customHeight="1" x14ac:dyDescent="0.25">
      <c r="A543" s="6">
        <v>123</v>
      </c>
      <c r="B543" s="33" t="s">
        <v>33</v>
      </c>
      <c r="C543" s="44"/>
      <c r="D543" s="62">
        <f>1+0.75+1</f>
        <v>2.75</v>
      </c>
      <c r="E543" s="62"/>
      <c r="F543" s="41"/>
      <c r="G543" s="36">
        <v>0.25</v>
      </c>
      <c r="H543" s="10">
        <v>25</v>
      </c>
      <c r="I543" s="11">
        <v>1</v>
      </c>
      <c r="J543" s="13">
        <f>ROUND(2.8/G543+1,0)</f>
        <v>12</v>
      </c>
      <c r="K543" s="45">
        <f>D543</f>
        <v>2.75</v>
      </c>
      <c r="L543" s="37" t="str">
        <f>IF(O543&lt;12,"0",0.049*H543)</f>
        <v>0</v>
      </c>
      <c r="M543" s="17">
        <v>0</v>
      </c>
      <c r="N543" s="11">
        <f>M543*2*H543/1000</f>
        <v>0</v>
      </c>
      <c r="O543" s="16">
        <f>(D543)-N543</f>
        <v>2.75</v>
      </c>
      <c r="P543" s="16">
        <f>(I543*J543*O543)+L543</f>
        <v>33</v>
      </c>
      <c r="Q543" s="18" t="str">
        <f t="shared" si="48"/>
        <v/>
      </c>
      <c r="R543" s="18" t="str">
        <f t="shared" si="49"/>
        <v/>
      </c>
      <c r="S543" s="18" t="str">
        <f t="shared" si="50"/>
        <v/>
      </c>
      <c r="T543" s="18" t="str">
        <f t="shared" si="51"/>
        <v/>
      </c>
      <c r="U543" s="18" t="str">
        <f t="shared" si="52"/>
        <v/>
      </c>
      <c r="V543" s="18">
        <f t="shared" si="53"/>
        <v>33</v>
      </c>
      <c r="W543" s="14"/>
    </row>
    <row r="544" spans="1:23" x14ac:dyDescent="0.25">
      <c r="A544" s="6"/>
      <c r="B544" s="33" t="s">
        <v>228</v>
      </c>
      <c r="C544" s="19"/>
      <c r="D544" s="52"/>
      <c r="E544" s="52"/>
      <c r="F544" s="41"/>
      <c r="G544" s="36"/>
      <c r="H544" s="10"/>
      <c r="I544" s="11"/>
      <c r="J544" s="13"/>
      <c r="K544" s="45"/>
      <c r="L544" s="37"/>
      <c r="M544" s="17"/>
      <c r="N544" s="11"/>
      <c r="O544" s="16"/>
      <c r="P544" s="16"/>
      <c r="Q544" s="18" t="str">
        <f t="shared" si="48"/>
        <v/>
      </c>
      <c r="R544" s="18" t="str">
        <f t="shared" si="49"/>
        <v/>
      </c>
      <c r="S544" s="18" t="str">
        <f t="shared" si="50"/>
        <v/>
      </c>
      <c r="T544" s="18" t="str">
        <f t="shared" si="51"/>
        <v/>
      </c>
      <c r="U544" s="18" t="str">
        <f t="shared" si="52"/>
        <v/>
      </c>
      <c r="V544" s="18" t="str">
        <f t="shared" si="53"/>
        <v/>
      </c>
      <c r="W544" s="14"/>
    </row>
    <row r="545" spans="1:23" x14ac:dyDescent="0.25">
      <c r="A545" s="6"/>
      <c r="B545" s="33"/>
      <c r="C545" s="19"/>
      <c r="D545" s="52"/>
      <c r="E545" s="52"/>
      <c r="F545" s="41"/>
      <c r="G545" s="36"/>
      <c r="H545" s="10"/>
      <c r="I545" s="11"/>
      <c r="J545" s="13"/>
      <c r="K545" s="45"/>
      <c r="L545" s="37"/>
      <c r="M545" s="17"/>
      <c r="N545" s="11"/>
      <c r="O545" s="16"/>
      <c r="P545" s="16"/>
      <c r="Q545" s="18" t="str">
        <f t="shared" si="48"/>
        <v/>
      </c>
      <c r="R545" s="18" t="str">
        <f t="shared" si="49"/>
        <v/>
      </c>
      <c r="S545" s="18" t="str">
        <f t="shared" si="50"/>
        <v/>
      </c>
      <c r="T545" s="18" t="str">
        <f t="shared" si="51"/>
        <v/>
      </c>
      <c r="U545" s="18" t="str">
        <f t="shared" si="52"/>
        <v/>
      </c>
      <c r="V545" s="18" t="str">
        <f t="shared" si="53"/>
        <v/>
      </c>
      <c r="W545" s="14"/>
    </row>
    <row r="546" spans="1:23" ht="15" customHeight="1" x14ac:dyDescent="0.25">
      <c r="A546" s="6">
        <v>124</v>
      </c>
      <c r="B546" s="33" t="s">
        <v>33</v>
      </c>
      <c r="C546" s="44"/>
      <c r="D546" s="62">
        <f>1+0.75+1</f>
        <v>2.75</v>
      </c>
      <c r="E546" s="62"/>
      <c r="F546" s="41"/>
      <c r="G546" s="36">
        <v>0.25</v>
      </c>
      <c r="H546" s="10">
        <v>20</v>
      </c>
      <c r="I546" s="11">
        <v>1</v>
      </c>
      <c r="J546" s="13">
        <f>ROUND(2.8/G546+1,0)</f>
        <v>12</v>
      </c>
      <c r="K546" s="45">
        <f>D546</f>
        <v>2.75</v>
      </c>
      <c r="L546" s="37" t="str">
        <f>IF(O546&lt;12,"0",0.049*H546)</f>
        <v>0</v>
      </c>
      <c r="M546" s="17">
        <v>0</v>
      </c>
      <c r="N546" s="11">
        <f>M546*2*H546/1000</f>
        <v>0</v>
      </c>
      <c r="O546" s="16">
        <f>(D546)-N546</f>
        <v>2.75</v>
      </c>
      <c r="P546" s="16">
        <f>(I546*J546*O546)+L546</f>
        <v>33</v>
      </c>
      <c r="Q546" s="18" t="str">
        <f t="shared" si="48"/>
        <v/>
      </c>
      <c r="R546" s="18" t="str">
        <f t="shared" si="49"/>
        <v/>
      </c>
      <c r="S546" s="18" t="str">
        <f t="shared" si="50"/>
        <v/>
      </c>
      <c r="T546" s="18" t="str">
        <f t="shared" si="51"/>
        <v/>
      </c>
      <c r="U546" s="18">
        <f t="shared" si="52"/>
        <v>33</v>
      </c>
      <c r="V546" s="18" t="str">
        <f t="shared" si="53"/>
        <v/>
      </c>
      <c r="W546" s="14"/>
    </row>
    <row r="547" spans="1:23" x14ac:dyDescent="0.25">
      <c r="A547" s="6"/>
      <c r="B547" s="33" t="s">
        <v>228</v>
      </c>
      <c r="C547" s="19"/>
      <c r="D547" s="52"/>
      <c r="E547" s="52"/>
      <c r="F547" s="41"/>
      <c r="G547" s="36"/>
      <c r="H547" s="10"/>
      <c r="I547" s="11"/>
      <c r="J547" s="13"/>
      <c r="K547" s="45"/>
      <c r="L547" s="37"/>
      <c r="M547" s="17"/>
      <c r="N547" s="11"/>
      <c r="O547" s="16"/>
      <c r="P547" s="16"/>
      <c r="Q547" s="18" t="str">
        <f t="shared" si="48"/>
        <v/>
      </c>
      <c r="R547" s="18" t="str">
        <f t="shared" si="49"/>
        <v/>
      </c>
      <c r="S547" s="18" t="str">
        <f t="shared" si="50"/>
        <v/>
      </c>
      <c r="T547" s="18" t="str">
        <f t="shared" si="51"/>
        <v/>
      </c>
      <c r="U547" s="18" t="str">
        <f t="shared" si="52"/>
        <v/>
      </c>
      <c r="V547" s="18" t="str">
        <f t="shared" si="53"/>
        <v/>
      </c>
      <c r="W547" s="14"/>
    </row>
    <row r="548" spans="1:23" x14ac:dyDescent="0.25">
      <c r="A548" s="6"/>
      <c r="B548" s="33"/>
      <c r="C548" s="19"/>
      <c r="D548" s="52"/>
      <c r="E548" s="52"/>
      <c r="F548" s="41"/>
      <c r="G548" s="36"/>
      <c r="H548" s="10"/>
      <c r="I548" s="11"/>
      <c r="J548" s="13"/>
      <c r="K548" s="45"/>
      <c r="L548" s="37"/>
      <c r="M548" s="17"/>
      <c r="N548" s="11"/>
      <c r="O548" s="16"/>
      <c r="P548" s="16"/>
      <c r="Q548" s="18" t="str">
        <f t="shared" si="48"/>
        <v/>
      </c>
      <c r="R548" s="18" t="str">
        <f t="shared" si="49"/>
        <v/>
      </c>
      <c r="S548" s="18" t="str">
        <f t="shared" si="50"/>
        <v/>
      </c>
      <c r="T548" s="18" t="str">
        <f t="shared" si="51"/>
        <v/>
      </c>
      <c r="U548" s="18" t="str">
        <f t="shared" si="52"/>
        <v/>
      </c>
      <c r="V548" s="18" t="str">
        <f t="shared" si="53"/>
        <v/>
      </c>
      <c r="W548" s="14"/>
    </row>
    <row r="549" spans="1:23" ht="15" customHeight="1" x14ac:dyDescent="0.25">
      <c r="A549" s="6">
        <v>125</v>
      </c>
      <c r="B549" s="33" t="s">
        <v>34</v>
      </c>
      <c r="C549" s="44"/>
      <c r="D549" s="62">
        <f>1.25+0.3+1.25</f>
        <v>2.8</v>
      </c>
      <c r="E549" s="62"/>
      <c r="F549" s="41"/>
      <c r="G549" s="36">
        <v>0.25</v>
      </c>
      <c r="H549" s="10">
        <v>25</v>
      </c>
      <c r="I549" s="11">
        <v>1</v>
      </c>
      <c r="J549" s="13">
        <f>ROUND(2.75/G549+1,0)</f>
        <v>12</v>
      </c>
      <c r="K549" s="45">
        <f>D549</f>
        <v>2.8</v>
      </c>
      <c r="L549" s="37" t="str">
        <f>IF(O549&lt;12,"0",0.049*H549)</f>
        <v>0</v>
      </c>
      <c r="M549" s="17">
        <v>0</v>
      </c>
      <c r="N549" s="11">
        <f>M549*2*H549/1000</f>
        <v>0</v>
      </c>
      <c r="O549" s="16">
        <f>(D549)-N549</f>
        <v>2.8</v>
      </c>
      <c r="P549" s="16">
        <f>(I549*J549*O549)+L549</f>
        <v>33.599999999999994</v>
      </c>
      <c r="Q549" s="18" t="str">
        <f t="shared" si="48"/>
        <v/>
      </c>
      <c r="R549" s="18" t="str">
        <f t="shared" si="49"/>
        <v/>
      </c>
      <c r="S549" s="18" t="str">
        <f t="shared" si="50"/>
        <v/>
      </c>
      <c r="T549" s="18" t="str">
        <f t="shared" si="51"/>
        <v/>
      </c>
      <c r="U549" s="18" t="str">
        <f t="shared" si="52"/>
        <v/>
      </c>
      <c r="V549" s="18">
        <f t="shared" si="53"/>
        <v>33.599999999999994</v>
      </c>
      <c r="W549" s="14"/>
    </row>
    <row r="550" spans="1:23" x14ac:dyDescent="0.25">
      <c r="A550" s="6"/>
      <c r="B550" s="33" t="s">
        <v>228</v>
      </c>
      <c r="C550" s="19"/>
      <c r="D550" s="52"/>
      <c r="E550" s="52"/>
      <c r="F550" s="41"/>
      <c r="G550" s="36"/>
      <c r="H550" s="10"/>
      <c r="I550" s="11"/>
      <c r="J550" s="13"/>
      <c r="K550" s="45"/>
      <c r="L550" s="37"/>
      <c r="M550" s="17"/>
      <c r="N550" s="11"/>
      <c r="O550" s="16"/>
      <c r="P550" s="16"/>
      <c r="Q550" s="18" t="str">
        <f t="shared" si="48"/>
        <v/>
      </c>
      <c r="R550" s="18" t="str">
        <f t="shared" si="49"/>
        <v/>
      </c>
      <c r="S550" s="18" t="str">
        <f t="shared" si="50"/>
        <v/>
      </c>
      <c r="T550" s="18" t="str">
        <f t="shared" si="51"/>
        <v/>
      </c>
      <c r="U550" s="18" t="str">
        <f t="shared" si="52"/>
        <v/>
      </c>
      <c r="V550" s="18" t="str">
        <f t="shared" si="53"/>
        <v/>
      </c>
      <c r="W550" s="14"/>
    </row>
    <row r="551" spans="1:23" x14ac:dyDescent="0.25">
      <c r="A551" s="6"/>
      <c r="B551" s="33"/>
      <c r="C551" s="19"/>
      <c r="D551" s="52"/>
      <c r="E551" s="52"/>
      <c r="F551" s="41"/>
      <c r="G551" s="36"/>
      <c r="H551" s="10"/>
      <c r="I551" s="11"/>
      <c r="J551" s="13"/>
      <c r="K551" s="45"/>
      <c r="L551" s="37"/>
      <c r="M551" s="17"/>
      <c r="N551" s="11"/>
      <c r="O551" s="16"/>
      <c r="P551" s="16"/>
      <c r="Q551" s="18" t="str">
        <f t="shared" si="48"/>
        <v/>
      </c>
      <c r="R551" s="18" t="str">
        <f t="shared" si="49"/>
        <v/>
      </c>
      <c r="S551" s="18" t="str">
        <f t="shared" si="50"/>
        <v/>
      </c>
      <c r="T551" s="18" t="str">
        <f t="shared" si="51"/>
        <v/>
      </c>
      <c r="U551" s="18" t="str">
        <f t="shared" si="52"/>
        <v/>
      </c>
      <c r="V551" s="18" t="str">
        <f t="shared" si="53"/>
        <v/>
      </c>
      <c r="W551" s="14"/>
    </row>
    <row r="552" spans="1:23" ht="15" customHeight="1" x14ac:dyDescent="0.25">
      <c r="A552" s="6">
        <v>126</v>
      </c>
      <c r="B552" s="33" t="s">
        <v>34</v>
      </c>
      <c r="C552" s="44"/>
      <c r="D552" s="62">
        <f>1.25+0.3+1.25</f>
        <v>2.8</v>
      </c>
      <c r="E552" s="62"/>
      <c r="F552" s="41"/>
      <c r="G552" s="36">
        <v>0.25</v>
      </c>
      <c r="H552" s="10">
        <v>20</v>
      </c>
      <c r="I552" s="11">
        <v>1</v>
      </c>
      <c r="J552" s="13">
        <f>ROUND(2.75/G552+1,0)</f>
        <v>12</v>
      </c>
      <c r="K552" s="45">
        <f>D552</f>
        <v>2.8</v>
      </c>
      <c r="L552" s="37" t="str">
        <f>IF(O552&lt;12,"0",0.049*H552)</f>
        <v>0</v>
      </c>
      <c r="M552" s="17">
        <v>0</v>
      </c>
      <c r="N552" s="11">
        <f>M552*2*H552/1000</f>
        <v>0</v>
      </c>
      <c r="O552" s="16">
        <f>(D552)-N552</f>
        <v>2.8</v>
      </c>
      <c r="P552" s="16">
        <f>(I552*J552*O552)+L552</f>
        <v>33.599999999999994</v>
      </c>
      <c r="Q552" s="18" t="str">
        <f t="shared" si="48"/>
        <v/>
      </c>
      <c r="R552" s="18" t="str">
        <f t="shared" si="49"/>
        <v/>
      </c>
      <c r="S552" s="18" t="str">
        <f t="shared" si="50"/>
        <v/>
      </c>
      <c r="T552" s="18" t="str">
        <f t="shared" si="51"/>
        <v/>
      </c>
      <c r="U552" s="18">
        <f t="shared" si="52"/>
        <v>33.599999999999994</v>
      </c>
      <c r="V552" s="18" t="str">
        <f t="shared" si="53"/>
        <v/>
      </c>
      <c r="W552" s="14"/>
    </row>
    <row r="553" spans="1:23" x14ac:dyDescent="0.25">
      <c r="A553" s="6"/>
      <c r="B553" s="33" t="s">
        <v>228</v>
      </c>
      <c r="C553" s="19"/>
      <c r="D553" s="52"/>
      <c r="E553" s="52"/>
      <c r="F553" s="41"/>
      <c r="G553" s="36"/>
      <c r="H553" s="10"/>
      <c r="I553" s="11"/>
      <c r="J553" s="13"/>
      <c r="K553" s="45"/>
      <c r="L553" s="37"/>
      <c r="M553" s="17"/>
      <c r="N553" s="11"/>
      <c r="O553" s="16"/>
      <c r="P553" s="16"/>
      <c r="Q553" s="18" t="str">
        <f t="shared" si="48"/>
        <v/>
      </c>
      <c r="R553" s="18" t="str">
        <f t="shared" si="49"/>
        <v/>
      </c>
      <c r="S553" s="18" t="str">
        <f t="shared" si="50"/>
        <v/>
      </c>
      <c r="T553" s="18" t="str">
        <f t="shared" si="51"/>
        <v/>
      </c>
      <c r="U553" s="18" t="str">
        <f t="shared" si="52"/>
        <v/>
      </c>
      <c r="V553" s="18" t="str">
        <f t="shared" si="53"/>
        <v/>
      </c>
      <c r="W553" s="14"/>
    </row>
    <row r="554" spans="1:23" x14ac:dyDescent="0.25">
      <c r="A554" s="6"/>
      <c r="B554" s="33"/>
      <c r="C554" s="19"/>
      <c r="D554" s="52"/>
      <c r="E554" s="52"/>
      <c r="F554" s="41"/>
      <c r="G554" s="36"/>
      <c r="H554" s="10"/>
      <c r="I554" s="11"/>
      <c r="J554" s="13"/>
      <c r="K554" s="45"/>
      <c r="L554" s="37"/>
      <c r="M554" s="17"/>
      <c r="N554" s="11"/>
      <c r="O554" s="16"/>
      <c r="P554" s="16"/>
      <c r="Q554" s="18" t="str">
        <f t="shared" si="48"/>
        <v/>
      </c>
      <c r="R554" s="18" t="str">
        <f t="shared" si="49"/>
        <v/>
      </c>
      <c r="S554" s="18" t="str">
        <f t="shared" si="50"/>
        <v/>
      </c>
      <c r="T554" s="18" t="str">
        <f t="shared" si="51"/>
        <v/>
      </c>
      <c r="U554" s="18" t="str">
        <f t="shared" si="52"/>
        <v/>
      </c>
      <c r="V554" s="18" t="str">
        <f t="shared" si="53"/>
        <v/>
      </c>
      <c r="W554" s="14"/>
    </row>
    <row r="555" spans="1:23" ht="15" customHeight="1" x14ac:dyDescent="0.25">
      <c r="A555" s="6">
        <v>127</v>
      </c>
      <c r="B555" s="33" t="s">
        <v>33</v>
      </c>
      <c r="C555" s="44"/>
      <c r="D555" s="62">
        <f>1.25+0.75+1.25</f>
        <v>3.25</v>
      </c>
      <c r="E555" s="62"/>
      <c r="F555" s="41"/>
      <c r="G555" s="36">
        <v>0.25</v>
      </c>
      <c r="H555" s="10">
        <v>25</v>
      </c>
      <c r="I555" s="11">
        <v>1</v>
      </c>
      <c r="J555" s="13">
        <f>ROUND(2.3/G555+1,0)</f>
        <v>10</v>
      </c>
      <c r="K555" s="45">
        <f>D555</f>
        <v>3.25</v>
      </c>
      <c r="L555" s="37" t="str">
        <f>IF(O555&lt;12,"0",0.049*H555)</f>
        <v>0</v>
      </c>
      <c r="M555" s="17">
        <v>0</v>
      </c>
      <c r="N555" s="11">
        <f>M555*2*H555/1000</f>
        <v>0</v>
      </c>
      <c r="O555" s="16">
        <f>(D555)-N555</f>
        <v>3.25</v>
      </c>
      <c r="P555" s="16">
        <f>(I555*J555*O555)+L555</f>
        <v>32.5</v>
      </c>
      <c r="Q555" s="18" t="str">
        <f t="shared" si="48"/>
        <v/>
      </c>
      <c r="R555" s="18" t="str">
        <f t="shared" si="49"/>
        <v/>
      </c>
      <c r="S555" s="18" t="str">
        <f t="shared" si="50"/>
        <v/>
      </c>
      <c r="T555" s="18" t="str">
        <f t="shared" si="51"/>
        <v/>
      </c>
      <c r="U555" s="18" t="str">
        <f t="shared" si="52"/>
        <v/>
      </c>
      <c r="V555" s="18">
        <f t="shared" si="53"/>
        <v>32.5</v>
      </c>
      <c r="W555" s="14"/>
    </row>
    <row r="556" spans="1:23" x14ac:dyDescent="0.25">
      <c r="A556" s="6"/>
      <c r="B556" s="33" t="s">
        <v>229</v>
      </c>
      <c r="C556" s="19"/>
      <c r="D556" s="52"/>
      <c r="E556" s="52"/>
      <c r="F556" s="41"/>
      <c r="G556" s="36"/>
      <c r="H556" s="10"/>
      <c r="I556" s="11"/>
      <c r="J556" s="13"/>
      <c r="K556" s="45"/>
      <c r="L556" s="37"/>
      <c r="M556" s="17"/>
      <c r="N556" s="11"/>
      <c r="O556" s="16"/>
      <c r="P556" s="16"/>
      <c r="Q556" s="18" t="str">
        <f t="shared" si="48"/>
        <v/>
      </c>
      <c r="R556" s="18" t="str">
        <f t="shared" si="49"/>
        <v/>
      </c>
      <c r="S556" s="18" t="str">
        <f t="shared" si="50"/>
        <v/>
      </c>
      <c r="T556" s="18" t="str">
        <f t="shared" si="51"/>
        <v/>
      </c>
      <c r="U556" s="18" t="str">
        <f t="shared" si="52"/>
        <v/>
      </c>
      <c r="V556" s="18" t="str">
        <f t="shared" si="53"/>
        <v/>
      </c>
      <c r="W556" s="14"/>
    </row>
    <row r="557" spans="1:23" x14ac:dyDescent="0.25">
      <c r="A557" s="6"/>
      <c r="B557" s="33"/>
      <c r="C557" s="19"/>
      <c r="D557" s="52"/>
      <c r="E557" s="52"/>
      <c r="F557" s="41"/>
      <c r="G557" s="36"/>
      <c r="H557" s="10"/>
      <c r="I557" s="11"/>
      <c r="J557" s="13"/>
      <c r="K557" s="45"/>
      <c r="L557" s="37"/>
      <c r="M557" s="17"/>
      <c r="N557" s="11"/>
      <c r="O557" s="16"/>
      <c r="P557" s="16"/>
      <c r="Q557" s="18" t="str">
        <f t="shared" si="48"/>
        <v/>
      </c>
      <c r="R557" s="18" t="str">
        <f t="shared" si="49"/>
        <v/>
      </c>
      <c r="S557" s="18" t="str">
        <f t="shared" si="50"/>
        <v/>
      </c>
      <c r="T557" s="18" t="str">
        <f t="shared" si="51"/>
        <v/>
      </c>
      <c r="U557" s="18" t="str">
        <f t="shared" si="52"/>
        <v/>
      </c>
      <c r="V557" s="18" t="str">
        <f t="shared" si="53"/>
        <v/>
      </c>
      <c r="W557" s="14"/>
    </row>
    <row r="558" spans="1:23" ht="15" customHeight="1" x14ac:dyDescent="0.25">
      <c r="A558" s="6">
        <v>128</v>
      </c>
      <c r="B558" s="33" t="s">
        <v>34</v>
      </c>
      <c r="C558" s="44"/>
      <c r="D558" s="62">
        <f>1+0.3+1</f>
        <v>2.2999999999999998</v>
      </c>
      <c r="E558" s="62"/>
      <c r="F558" s="41"/>
      <c r="G558" s="36">
        <v>0.25</v>
      </c>
      <c r="H558" s="10">
        <v>20</v>
      </c>
      <c r="I558" s="11">
        <v>1</v>
      </c>
      <c r="J558" s="13">
        <f>ROUND(3.25/G558+1,0)</f>
        <v>14</v>
      </c>
      <c r="K558" s="45">
        <f>D558</f>
        <v>2.2999999999999998</v>
      </c>
      <c r="L558" s="37" t="str">
        <f>IF(O558&lt;12,"0",0.049*H558)</f>
        <v>0</v>
      </c>
      <c r="M558" s="17">
        <v>0</v>
      </c>
      <c r="N558" s="11">
        <f>M558*2*H558/1000</f>
        <v>0</v>
      </c>
      <c r="O558" s="16">
        <f>(D558)-N558</f>
        <v>2.2999999999999998</v>
      </c>
      <c r="P558" s="16">
        <f>(I558*J558*O558)+L558</f>
        <v>32.199999999999996</v>
      </c>
      <c r="Q558" s="18" t="str">
        <f t="shared" si="48"/>
        <v/>
      </c>
      <c r="R558" s="18" t="str">
        <f t="shared" si="49"/>
        <v/>
      </c>
      <c r="S558" s="18" t="str">
        <f t="shared" si="50"/>
        <v/>
      </c>
      <c r="T558" s="18" t="str">
        <f t="shared" si="51"/>
        <v/>
      </c>
      <c r="U558" s="18">
        <f t="shared" si="52"/>
        <v>32.199999999999996</v>
      </c>
      <c r="V558" s="18" t="str">
        <f t="shared" si="53"/>
        <v/>
      </c>
      <c r="W558" s="14"/>
    </row>
    <row r="559" spans="1:23" x14ac:dyDescent="0.25">
      <c r="A559" s="6"/>
      <c r="B559" s="33" t="s">
        <v>229</v>
      </c>
      <c r="C559" s="19"/>
      <c r="D559" s="52"/>
      <c r="E559" s="52"/>
      <c r="F559" s="41"/>
      <c r="G559" s="36"/>
      <c r="H559" s="10"/>
      <c r="I559" s="11"/>
      <c r="J559" s="13"/>
      <c r="K559" s="45"/>
      <c r="L559" s="37"/>
      <c r="M559" s="17"/>
      <c r="N559" s="11"/>
      <c r="O559" s="16"/>
      <c r="P559" s="16"/>
      <c r="Q559" s="18" t="str">
        <f t="shared" si="48"/>
        <v/>
      </c>
      <c r="R559" s="18" t="str">
        <f t="shared" si="49"/>
        <v/>
      </c>
      <c r="S559" s="18" t="str">
        <f t="shared" si="50"/>
        <v/>
      </c>
      <c r="T559" s="18" t="str">
        <f t="shared" si="51"/>
        <v/>
      </c>
      <c r="U559" s="18" t="str">
        <f t="shared" si="52"/>
        <v/>
      </c>
      <c r="V559" s="18" t="str">
        <f t="shared" si="53"/>
        <v/>
      </c>
      <c r="W559" s="14"/>
    </row>
    <row r="560" spans="1:23" x14ac:dyDescent="0.25">
      <c r="A560" s="6"/>
      <c r="B560" s="33"/>
      <c r="C560" s="19"/>
      <c r="D560" s="52"/>
      <c r="E560" s="52"/>
      <c r="F560" s="41"/>
      <c r="G560" s="36"/>
      <c r="H560" s="10"/>
      <c r="I560" s="11"/>
      <c r="J560" s="13"/>
      <c r="K560" s="45"/>
      <c r="L560" s="37"/>
      <c r="M560" s="17"/>
      <c r="N560" s="11"/>
      <c r="O560" s="16"/>
      <c r="P560" s="16"/>
      <c r="Q560" s="18" t="str">
        <f t="shared" si="48"/>
        <v/>
      </c>
      <c r="R560" s="18" t="str">
        <f t="shared" si="49"/>
        <v/>
      </c>
      <c r="S560" s="18" t="str">
        <f t="shared" si="50"/>
        <v/>
      </c>
      <c r="T560" s="18" t="str">
        <f t="shared" si="51"/>
        <v/>
      </c>
      <c r="U560" s="18" t="str">
        <f t="shared" si="52"/>
        <v/>
      </c>
      <c r="V560" s="18" t="str">
        <f t="shared" si="53"/>
        <v/>
      </c>
      <c r="W560" s="14"/>
    </row>
    <row r="561" spans="1:23" ht="15" customHeight="1" x14ac:dyDescent="0.25">
      <c r="A561" s="6">
        <v>129</v>
      </c>
      <c r="B561" s="33" t="s">
        <v>33</v>
      </c>
      <c r="C561" s="44"/>
      <c r="D561" s="62">
        <f>1.25+0.3+1.25</f>
        <v>2.8</v>
      </c>
      <c r="E561" s="62"/>
      <c r="F561" s="41"/>
      <c r="G561" s="36">
        <v>0.25</v>
      </c>
      <c r="H561" s="10">
        <v>25</v>
      </c>
      <c r="I561" s="11">
        <v>1</v>
      </c>
      <c r="J561" s="13">
        <f>ROUND(2.75/G561+1,0)</f>
        <v>12</v>
      </c>
      <c r="K561" s="45">
        <f>D561</f>
        <v>2.8</v>
      </c>
      <c r="L561" s="37" t="str">
        <f>IF(O561&lt;12,"0",0.049*H561)</f>
        <v>0</v>
      </c>
      <c r="M561" s="17">
        <v>0</v>
      </c>
      <c r="N561" s="11">
        <f>M561*2*H561/1000</f>
        <v>0</v>
      </c>
      <c r="O561" s="16">
        <f>(D561)-N561</f>
        <v>2.8</v>
      </c>
      <c r="P561" s="16">
        <f>(I561*J561*O561)+L561</f>
        <v>33.599999999999994</v>
      </c>
      <c r="Q561" s="18" t="str">
        <f t="shared" si="48"/>
        <v/>
      </c>
      <c r="R561" s="18" t="str">
        <f t="shared" si="49"/>
        <v/>
      </c>
      <c r="S561" s="18" t="str">
        <f t="shared" si="50"/>
        <v/>
      </c>
      <c r="T561" s="18" t="str">
        <f t="shared" si="51"/>
        <v/>
      </c>
      <c r="U561" s="18" t="str">
        <f t="shared" si="52"/>
        <v/>
      </c>
      <c r="V561" s="18">
        <f t="shared" si="53"/>
        <v>33.599999999999994</v>
      </c>
      <c r="W561" s="14"/>
    </row>
    <row r="562" spans="1:23" x14ac:dyDescent="0.25">
      <c r="A562" s="6"/>
      <c r="B562" s="33" t="s">
        <v>230</v>
      </c>
      <c r="C562" s="19"/>
      <c r="D562" s="52"/>
      <c r="E562" s="52"/>
      <c r="F562" s="41"/>
      <c r="G562" s="36"/>
      <c r="H562" s="10"/>
      <c r="I562" s="11"/>
      <c r="J562" s="13"/>
      <c r="K562" s="45"/>
      <c r="L562" s="37"/>
      <c r="M562" s="17"/>
      <c r="N562" s="11"/>
      <c r="O562" s="16"/>
      <c r="P562" s="16"/>
      <c r="Q562" s="18" t="str">
        <f t="shared" si="48"/>
        <v/>
      </c>
      <c r="R562" s="18" t="str">
        <f t="shared" si="49"/>
        <v/>
      </c>
      <c r="S562" s="18" t="str">
        <f t="shared" si="50"/>
        <v/>
      </c>
      <c r="T562" s="18" t="str">
        <f t="shared" si="51"/>
        <v/>
      </c>
      <c r="U562" s="18" t="str">
        <f t="shared" si="52"/>
        <v/>
      </c>
      <c r="V562" s="18" t="str">
        <f t="shared" si="53"/>
        <v/>
      </c>
      <c r="W562" s="14"/>
    </row>
    <row r="563" spans="1:23" x14ac:dyDescent="0.25">
      <c r="A563" s="6"/>
      <c r="B563" s="33"/>
      <c r="C563" s="19"/>
      <c r="D563" s="52"/>
      <c r="E563" s="52"/>
      <c r="F563" s="41"/>
      <c r="G563" s="36"/>
      <c r="H563" s="10"/>
      <c r="I563" s="11"/>
      <c r="J563" s="13"/>
      <c r="K563" s="45"/>
      <c r="L563" s="37"/>
      <c r="M563" s="17"/>
      <c r="N563" s="11"/>
      <c r="O563" s="16"/>
      <c r="P563" s="16"/>
      <c r="Q563" s="18" t="str">
        <f t="shared" si="48"/>
        <v/>
      </c>
      <c r="R563" s="18" t="str">
        <f t="shared" si="49"/>
        <v/>
      </c>
      <c r="S563" s="18" t="str">
        <f t="shared" si="50"/>
        <v/>
      </c>
      <c r="T563" s="18" t="str">
        <f t="shared" si="51"/>
        <v/>
      </c>
      <c r="U563" s="18" t="str">
        <f t="shared" si="52"/>
        <v/>
      </c>
      <c r="V563" s="18" t="str">
        <f t="shared" si="53"/>
        <v/>
      </c>
      <c r="W563" s="14"/>
    </row>
    <row r="564" spans="1:23" ht="15" customHeight="1" x14ac:dyDescent="0.25">
      <c r="A564" s="6">
        <v>130</v>
      </c>
      <c r="B564" s="33" t="s">
        <v>34</v>
      </c>
      <c r="C564" s="44"/>
      <c r="D564" s="62">
        <f>1.25+0.3+1.25</f>
        <v>2.8</v>
      </c>
      <c r="E564" s="62"/>
      <c r="F564" s="41"/>
      <c r="G564" s="36">
        <v>0.25</v>
      </c>
      <c r="H564" s="10">
        <v>25</v>
      </c>
      <c r="I564" s="11">
        <v>1</v>
      </c>
      <c r="J564" s="13">
        <f>ROUND(2.75/G564+1,0)</f>
        <v>12</v>
      </c>
      <c r="K564" s="45">
        <f>D564</f>
        <v>2.8</v>
      </c>
      <c r="L564" s="37" t="str">
        <f>IF(O564&lt;12,"0",0.049*H564)</f>
        <v>0</v>
      </c>
      <c r="M564" s="17">
        <v>0</v>
      </c>
      <c r="N564" s="11">
        <f>M564*2*H564/1000</f>
        <v>0</v>
      </c>
      <c r="O564" s="16">
        <f>(D564)-N564</f>
        <v>2.8</v>
      </c>
      <c r="P564" s="16">
        <f>(I564*J564*O564)+L564</f>
        <v>33.599999999999994</v>
      </c>
      <c r="Q564" s="18" t="str">
        <f t="shared" si="48"/>
        <v/>
      </c>
      <c r="R564" s="18" t="str">
        <f t="shared" si="49"/>
        <v/>
      </c>
      <c r="S564" s="18" t="str">
        <f t="shared" si="50"/>
        <v/>
      </c>
      <c r="T564" s="18" t="str">
        <f t="shared" si="51"/>
        <v/>
      </c>
      <c r="U564" s="18" t="str">
        <f t="shared" si="52"/>
        <v/>
      </c>
      <c r="V564" s="18">
        <f t="shared" si="53"/>
        <v>33.599999999999994</v>
      </c>
      <c r="W564" s="14"/>
    </row>
    <row r="565" spans="1:23" x14ac:dyDescent="0.25">
      <c r="A565" s="6"/>
      <c r="B565" s="33" t="s">
        <v>230</v>
      </c>
      <c r="C565" s="19"/>
      <c r="D565" s="52"/>
      <c r="E565" s="52"/>
      <c r="F565" s="41"/>
      <c r="G565" s="36"/>
      <c r="H565" s="10"/>
      <c r="I565" s="11"/>
      <c r="J565" s="13"/>
      <c r="K565" s="45"/>
      <c r="L565" s="37"/>
      <c r="M565" s="17"/>
      <c r="N565" s="11"/>
      <c r="O565" s="16"/>
      <c r="P565" s="16"/>
      <c r="Q565" s="18" t="str">
        <f t="shared" si="48"/>
        <v/>
      </c>
      <c r="R565" s="18" t="str">
        <f t="shared" si="49"/>
        <v/>
      </c>
      <c r="S565" s="18" t="str">
        <f t="shared" si="50"/>
        <v/>
      </c>
      <c r="T565" s="18" t="str">
        <f t="shared" si="51"/>
        <v/>
      </c>
      <c r="U565" s="18" t="str">
        <f t="shared" si="52"/>
        <v/>
      </c>
      <c r="V565" s="18" t="str">
        <f t="shared" si="53"/>
        <v/>
      </c>
      <c r="W565" s="14"/>
    </row>
    <row r="566" spans="1:23" x14ac:dyDescent="0.25">
      <c r="A566" s="6"/>
      <c r="B566" s="33"/>
      <c r="C566" s="19"/>
      <c r="D566" s="52"/>
      <c r="E566" s="52"/>
      <c r="F566" s="41"/>
      <c r="G566" s="36"/>
      <c r="H566" s="10"/>
      <c r="I566" s="11"/>
      <c r="J566" s="13"/>
      <c r="K566" s="45"/>
      <c r="L566" s="37"/>
      <c r="M566" s="17"/>
      <c r="N566" s="11"/>
      <c r="O566" s="16"/>
      <c r="P566" s="16"/>
      <c r="Q566" s="18" t="str">
        <f t="shared" si="48"/>
        <v/>
      </c>
      <c r="R566" s="18" t="str">
        <f t="shared" si="49"/>
        <v/>
      </c>
      <c r="S566" s="18" t="str">
        <f t="shared" si="50"/>
        <v/>
      </c>
      <c r="T566" s="18" t="str">
        <f t="shared" si="51"/>
        <v/>
      </c>
      <c r="U566" s="18" t="str">
        <f t="shared" si="52"/>
        <v/>
      </c>
      <c r="V566" s="18" t="str">
        <f t="shared" si="53"/>
        <v/>
      </c>
      <c r="W566" s="14"/>
    </row>
    <row r="567" spans="1:23" ht="15" customHeight="1" x14ac:dyDescent="0.25">
      <c r="A567" s="6">
        <v>131</v>
      </c>
      <c r="B567" s="33" t="s">
        <v>34</v>
      </c>
      <c r="C567" s="44"/>
      <c r="D567" s="62">
        <f>1.25+0.3+1.25</f>
        <v>2.8</v>
      </c>
      <c r="E567" s="62"/>
      <c r="F567" s="41"/>
      <c r="G567" s="36">
        <v>0.25</v>
      </c>
      <c r="H567" s="10">
        <v>20</v>
      </c>
      <c r="I567" s="11">
        <v>1</v>
      </c>
      <c r="J567" s="13">
        <f>ROUND(2.75/G567+1,0)</f>
        <v>12</v>
      </c>
      <c r="K567" s="45">
        <f>D567</f>
        <v>2.8</v>
      </c>
      <c r="L567" s="37" t="str">
        <f>IF(O567&lt;12,"0",0.049*H567)</f>
        <v>0</v>
      </c>
      <c r="M567" s="17">
        <v>0</v>
      </c>
      <c r="N567" s="11">
        <f>M567*2*H567/1000</f>
        <v>0</v>
      </c>
      <c r="O567" s="16">
        <f>(D567)-N567</f>
        <v>2.8</v>
      </c>
      <c r="P567" s="16">
        <f>(I567*J567*O567)+L567</f>
        <v>33.599999999999994</v>
      </c>
      <c r="Q567" s="18" t="str">
        <f t="shared" si="48"/>
        <v/>
      </c>
      <c r="R567" s="18" t="str">
        <f t="shared" si="49"/>
        <v/>
      </c>
      <c r="S567" s="18" t="str">
        <f>IF($H567=12,$P567,"")</f>
        <v/>
      </c>
      <c r="T567" s="18" t="str">
        <f t="shared" si="51"/>
        <v/>
      </c>
      <c r="U567" s="18">
        <f t="shared" si="52"/>
        <v>33.599999999999994</v>
      </c>
      <c r="V567" s="18" t="str">
        <f t="shared" si="53"/>
        <v/>
      </c>
      <c r="W567" s="14"/>
    </row>
    <row r="568" spans="1:23" x14ac:dyDescent="0.25">
      <c r="A568" s="6"/>
      <c r="B568" s="33" t="s">
        <v>230</v>
      </c>
      <c r="C568" s="19"/>
      <c r="D568" s="52"/>
      <c r="E568" s="52"/>
      <c r="F568" s="41"/>
      <c r="G568" s="36"/>
      <c r="H568" s="10"/>
      <c r="I568" s="11"/>
      <c r="J568" s="13"/>
      <c r="K568" s="45"/>
      <c r="L568" s="37"/>
      <c r="M568" s="17"/>
      <c r="N568" s="11"/>
      <c r="O568" s="16"/>
      <c r="P568" s="16"/>
      <c r="Q568" s="18" t="str">
        <f t="shared" si="48"/>
        <v/>
      </c>
      <c r="R568" s="18" t="str">
        <f t="shared" si="49"/>
        <v/>
      </c>
      <c r="S568" s="18" t="str">
        <f t="shared" si="50"/>
        <v/>
      </c>
      <c r="T568" s="18" t="str">
        <f t="shared" si="51"/>
        <v/>
      </c>
      <c r="U568" s="18" t="str">
        <f t="shared" si="52"/>
        <v/>
      </c>
      <c r="V568" s="18" t="str">
        <f t="shared" si="53"/>
        <v/>
      </c>
      <c r="W568" s="14"/>
    </row>
    <row r="569" spans="1:23" x14ac:dyDescent="0.25">
      <c r="A569" s="6"/>
      <c r="B569" s="33"/>
      <c r="C569" s="19"/>
      <c r="D569" s="52"/>
      <c r="E569" s="52"/>
      <c r="F569" s="41"/>
      <c r="G569" s="36"/>
      <c r="H569" s="10"/>
      <c r="I569" s="11"/>
      <c r="J569" s="13"/>
      <c r="K569" s="45"/>
      <c r="L569" s="37"/>
      <c r="M569" s="17"/>
      <c r="N569" s="11"/>
      <c r="O569" s="16"/>
      <c r="P569" s="16"/>
      <c r="Q569" s="18" t="str">
        <f t="shared" si="48"/>
        <v/>
      </c>
      <c r="R569" s="18" t="str">
        <f t="shared" si="49"/>
        <v/>
      </c>
      <c r="S569" s="18" t="str">
        <f t="shared" si="50"/>
        <v/>
      </c>
      <c r="T569" s="18" t="str">
        <f t="shared" si="51"/>
        <v/>
      </c>
      <c r="U569" s="18" t="str">
        <f t="shared" si="52"/>
        <v/>
      </c>
      <c r="V569" s="18" t="str">
        <f t="shared" si="53"/>
        <v/>
      </c>
      <c r="W569" s="14"/>
    </row>
    <row r="570" spans="1:23" ht="15" customHeight="1" x14ac:dyDescent="0.25">
      <c r="A570" s="6">
        <v>132</v>
      </c>
      <c r="B570" s="33" t="s">
        <v>33</v>
      </c>
      <c r="C570" s="44"/>
      <c r="D570" s="62">
        <f>1.25+0.75+1.25</f>
        <v>3.25</v>
      </c>
      <c r="E570" s="62"/>
      <c r="F570" s="41"/>
      <c r="G570" s="36">
        <v>0.25</v>
      </c>
      <c r="H570" s="10">
        <v>25</v>
      </c>
      <c r="I570" s="11">
        <v>1</v>
      </c>
      <c r="J570" s="13">
        <f>ROUND(2.3/G570+1,0)</f>
        <v>10</v>
      </c>
      <c r="K570" s="45">
        <f>D570</f>
        <v>3.25</v>
      </c>
      <c r="L570" s="37" t="str">
        <f>IF(O570&lt;12,"0",0.049*H570)</f>
        <v>0</v>
      </c>
      <c r="M570" s="17">
        <v>0</v>
      </c>
      <c r="N570" s="11">
        <f>M570*2*H570/1000</f>
        <v>0</v>
      </c>
      <c r="O570" s="16">
        <f>(D570)-N570</f>
        <v>3.25</v>
      </c>
      <c r="P570" s="16">
        <f>(I570*J570*O570)+L570</f>
        <v>32.5</v>
      </c>
      <c r="Q570" s="18" t="str">
        <f t="shared" si="48"/>
        <v/>
      </c>
      <c r="R570" s="18" t="str">
        <f t="shared" si="49"/>
        <v/>
      </c>
      <c r="S570" s="18" t="str">
        <f t="shared" si="50"/>
        <v/>
      </c>
      <c r="T570" s="18" t="str">
        <f t="shared" si="51"/>
        <v/>
      </c>
      <c r="U570" s="18" t="str">
        <f t="shared" si="52"/>
        <v/>
      </c>
      <c r="V570" s="18">
        <f t="shared" si="53"/>
        <v>32.5</v>
      </c>
      <c r="W570" s="14"/>
    </row>
    <row r="571" spans="1:23" x14ac:dyDescent="0.25">
      <c r="A571" s="6"/>
      <c r="B571" s="33" t="s">
        <v>231</v>
      </c>
      <c r="C571" s="19"/>
      <c r="D571" s="52"/>
      <c r="E571" s="52"/>
      <c r="F571" s="41"/>
      <c r="G571" s="36"/>
      <c r="H571" s="10"/>
      <c r="I571" s="11"/>
      <c r="J571" s="13"/>
      <c r="K571" s="45"/>
      <c r="L571" s="37"/>
      <c r="M571" s="17"/>
      <c r="N571" s="11"/>
      <c r="O571" s="16"/>
      <c r="P571" s="16"/>
      <c r="Q571" s="18" t="str">
        <f t="shared" si="48"/>
        <v/>
      </c>
      <c r="R571" s="18" t="str">
        <f t="shared" si="49"/>
        <v/>
      </c>
      <c r="S571" s="18" t="str">
        <f t="shared" si="50"/>
        <v/>
      </c>
      <c r="T571" s="18" t="str">
        <f t="shared" si="51"/>
        <v/>
      </c>
      <c r="U571" s="18" t="str">
        <f t="shared" si="52"/>
        <v/>
      </c>
      <c r="V571" s="18" t="str">
        <f t="shared" si="53"/>
        <v/>
      </c>
      <c r="W571" s="14"/>
    </row>
    <row r="572" spans="1:23" x14ac:dyDescent="0.25">
      <c r="A572" s="6"/>
      <c r="B572" s="33"/>
      <c r="C572" s="19"/>
      <c r="D572" s="52"/>
      <c r="E572" s="52"/>
      <c r="F572" s="41"/>
      <c r="G572" s="36"/>
      <c r="H572" s="10"/>
      <c r="I572" s="11"/>
      <c r="J572" s="13"/>
      <c r="K572" s="45"/>
      <c r="L572" s="37"/>
      <c r="M572" s="17"/>
      <c r="N572" s="11"/>
      <c r="O572" s="16"/>
      <c r="P572" s="16"/>
      <c r="Q572" s="18" t="str">
        <f t="shared" si="48"/>
        <v/>
      </c>
      <c r="R572" s="18" t="str">
        <f t="shared" si="49"/>
        <v/>
      </c>
      <c r="S572" s="18" t="str">
        <f t="shared" si="50"/>
        <v/>
      </c>
      <c r="T572" s="18" t="str">
        <f t="shared" si="51"/>
        <v/>
      </c>
      <c r="U572" s="18" t="str">
        <f t="shared" si="52"/>
        <v/>
      </c>
      <c r="V572" s="18" t="str">
        <f t="shared" si="53"/>
        <v/>
      </c>
      <c r="W572" s="14"/>
    </row>
    <row r="573" spans="1:23" ht="15" customHeight="1" x14ac:dyDescent="0.25">
      <c r="A573" s="6">
        <v>133</v>
      </c>
      <c r="B573" s="33" t="s">
        <v>34</v>
      </c>
      <c r="C573" s="44"/>
      <c r="D573" s="62">
        <f>1+0.3+1</f>
        <v>2.2999999999999998</v>
      </c>
      <c r="E573" s="62"/>
      <c r="F573" s="41"/>
      <c r="G573" s="36">
        <v>0.25</v>
      </c>
      <c r="H573" s="10">
        <v>20</v>
      </c>
      <c r="I573" s="11">
        <v>1</v>
      </c>
      <c r="J573" s="13">
        <f>ROUND(3.25/G573+1,0)</f>
        <v>14</v>
      </c>
      <c r="K573" s="45">
        <f>D573</f>
        <v>2.2999999999999998</v>
      </c>
      <c r="L573" s="37" t="str">
        <f>IF(O573&lt;12,"0",0.049*H573)</f>
        <v>0</v>
      </c>
      <c r="M573" s="17">
        <v>0</v>
      </c>
      <c r="N573" s="11">
        <f>M573*2*H573/1000</f>
        <v>0</v>
      </c>
      <c r="O573" s="16">
        <f>(D573)-N573</f>
        <v>2.2999999999999998</v>
      </c>
      <c r="P573" s="16">
        <f>(I573*J573*O573)+L573</f>
        <v>32.199999999999996</v>
      </c>
      <c r="Q573" s="18" t="str">
        <f t="shared" si="48"/>
        <v/>
      </c>
      <c r="R573" s="18" t="str">
        <f t="shared" si="49"/>
        <v/>
      </c>
      <c r="S573" s="18" t="str">
        <f t="shared" si="50"/>
        <v/>
      </c>
      <c r="T573" s="18" t="str">
        <f t="shared" si="51"/>
        <v/>
      </c>
      <c r="U573" s="18">
        <f t="shared" si="52"/>
        <v>32.199999999999996</v>
      </c>
      <c r="V573" s="18" t="str">
        <f t="shared" si="53"/>
        <v/>
      </c>
      <c r="W573" s="14"/>
    </row>
    <row r="574" spans="1:23" x14ac:dyDescent="0.25">
      <c r="A574" s="6"/>
      <c r="B574" s="33" t="s">
        <v>231</v>
      </c>
      <c r="C574" s="19"/>
      <c r="D574" s="52"/>
      <c r="E574" s="52"/>
      <c r="F574" s="41"/>
      <c r="G574" s="36"/>
      <c r="H574" s="10"/>
      <c r="I574" s="11"/>
      <c r="J574" s="13"/>
      <c r="K574" s="45"/>
      <c r="L574" s="37"/>
      <c r="M574" s="17"/>
      <c r="N574" s="11"/>
      <c r="O574" s="16"/>
      <c r="P574" s="16"/>
      <c r="Q574" s="18" t="str">
        <f t="shared" si="48"/>
        <v/>
      </c>
      <c r="R574" s="18" t="str">
        <f t="shared" si="49"/>
        <v/>
      </c>
      <c r="S574" s="18" t="str">
        <f t="shared" si="50"/>
        <v/>
      </c>
      <c r="T574" s="18" t="str">
        <f t="shared" si="51"/>
        <v/>
      </c>
      <c r="U574" s="18" t="str">
        <f t="shared" si="52"/>
        <v/>
      </c>
      <c r="V574" s="18" t="str">
        <f t="shared" si="53"/>
        <v/>
      </c>
      <c r="W574" s="14"/>
    </row>
    <row r="575" spans="1:23" x14ac:dyDescent="0.25">
      <c r="A575" s="6"/>
      <c r="B575" s="33"/>
      <c r="C575" s="19"/>
      <c r="D575" s="61"/>
      <c r="E575" s="61"/>
      <c r="F575" s="41"/>
      <c r="G575" s="36"/>
      <c r="H575" s="10"/>
      <c r="I575" s="11"/>
      <c r="J575" s="13"/>
      <c r="K575" s="45"/>
      <c r="L575" s="37"/>
      <c r="M575" s="17"/>
      <c r="N575" s="11"/>
      <c r="O575" s="16"/>
      <c r="P575" s="16"/>
      <c r="Q575" s="18" t="str">
        <f t="shared" si="48"/>
        <v/>
      </c>
      <c r="R575" s="18" t="str">
        <f t="shared" si="49"/>
        <v/>
      </c>
      <c r="S575" s="18" t="str">
        <f t="shared" si="50"/>
        <v/>
      </c>
      <c r="T575" s="18" t="str">
        <f t="shared" si="51"/>
        <v/>
      </c>
      <c r="U575" s="18" t="str">
        <f t="shared" si="52"/>
        <v/>
      </c>
      <c r="V575" s="18" t="str">
        <f t="shared" si="53"/>
        <v/>
      </c>
      <c r="W575" s="14"/>
    </row>
    <row r="576" spans="1:23" x14ac:dyDescent="0.25">
      <c r="A576" s="6">
        <v>134</v>
      </c>
      <c r="B576" s="33" t="s">
        <v>33</v>
      </c>
      <c r="C576" s="44"/>
      <c r="D576" s="62">
        <f>5.145</f>
        <v>5.1449999999999996</v>
      </c>
      <c r="E576" s="62"/>
      <c r="F576" s="41"/>
      <c r="G576" s="36">
        <v>0.25</v>
      </c>
      <c r="H576" s="10">
        <v>20</v>
      </c>
      <c r="I576" s="11">
        <v>1</v>
      </c>
      <c r="J576" s="13">
        <f>ROUND(6.165/G576+1,0)</f>
        <v>26</v>
      </c>
      <c r="K576" s="45">
        <f>D576</f>
        <v>5.1449999999999996</v>
      </c>
      <c r="L576" s="37" t="str">
        <f>IF(O576&lt;12,"0",0.049*H576)</f>
        <v>0</v>
      </c>
      <c r="M576" s="17">
        <v>0</v>
      </c>
      <c r="N576" s="11">
        <f>M576*2*H576/1000</f>
        <v>0</v>
      </c>
      <c r="O576" s="16">
        <f>(D576)-N576</f>
        <v>5.1449999999999996</v>
      </c>
      <c r="P576" s="16">
        <f>(I576*J576*O576)+L576</f>
        <v>133.76999999999998</v>
      </c>
      <c r="Q576" s="18" t="str">
        <f t="shared" si="48"/>
        <v/>
      </c>
      <c r="R576" s="18" t="str">
        <f t="shared" si="49"/>
        <v/>
      </c>
      <c r="S576" s="18" t="str">
        <f t="shared" si="50"/>
        <v/>
      </c>
      <c r="T576" s="18" t="str">
        <f t="shared" si="51"/>
        <v/>
      </c>
      <c r="U576" s="18">
        <f t="shared" si="52"/>
        <v>133.76999999999998</v>
      </c>
      <c r="V576" s="18" t="str">
        <f t="shared" si="53"/>
        <v/>
      </c>
      <c r="W576" s="14"/>
    </row>
    <row r="577" spans="1:23" x14ac:dyDescent="0.25">
      <c r="A577" s="6"/>
      <c r="B577" s="74" t="s">
        <v>236</v>
      </c>
      <c r="C577" s="19"/>
      <c r="D577" s="61"/>
      <c r="E577" s="61"/>
      <c r="F577" s="41"/>
      <c r="G577" s="36"/>
      <c r="H577" s="10"/>
      <c r="I577" s="11"/>
      <c r="J577" s="13"/>
      <c r="K577" s="45"/>
      <c r="L577" s="37"/>
      <c r="M577" s="17"/>
      <c r="N577" s="11"/>
      <c r="O577" s="16"/>
      <c r="P577" s="16"/>
      <c r="Q577" s="18" t="str">
        <f t="shared" si="48"/>
        <v/>
      </c>
      <c r="R577" s="18" t="str">
        <f t="shared" si="49"/>
        <v/>
      </c>
      <c r="S577" s="18" t="str">
        <f t="shared" si="50"/>
        <v/>
      </c>
      <c r="T577" s="18" t="str">
        <f t="shared" si="51"/>
        <v/>
      </c>
      <c r="U577" s="18" t="str">
        <f t="shared" si="52"/>
        <v/>
      </c>
      <c r="V577" s="18" t="str">
        <f t="shared" si="53"/>
        <v/>
      </c>
      <c r="W577" s="14"/>
    </row>
    <row r="578" spans="1:23" x14ac:dyDescent="0.25">
      <c r="A578" s="6"/>
      <c r="B578" s="33"/>
      <c r="C578" s="19"/>
      <c r="D578" s="61"/>
      <c r="E578" s="61"/>
      <c r="F578" s="41"/>
      <c r="G578" s="36"/>
      <c r="H578" s="10"/>
      <c r="I578" s="11"/>
      <c r="J578" s="13"/>
      <c r="K578" s="45"/>
      <c r="L578" s="37"/>
      <c r="M578" s="17"/>
      <c r="N578" s="11"/>
      <c r="O578" s="16"/>
      <c r="P578" s="16"/>
      <c r="Q578" s="18" t="str">
        <f t="shared" si="48"/>
        <v/>
      </c>
      <c r="R578" s="18" t="str">
        <f t="shared" si="49"/>
        <v/>
      </c>
      <c r="S578" s="18" t="str">
        <f t="shared" si="50"/>
        <v/>
      </c>
      <c r="T578" s="18" t="str">
        <f t="shared" si="51"/>
        <v/>
      </c>
      <c r="U578" s="18" t="str">
        <f t="shared" si="52"/>
        <v/>
      </c>
      <c r="V578" s="18" t="str">
        <f t="shared" si="53"/>
        <v/>
      </c>
      <c r="W578" s="14"/>
    </row>
    <row r="579" spans="1:23" x14ac:dyDescent="0.25">
      <c r="A579" s="6">
        <v>135</v>
      </c>
      <c r="B579" s="33" t="s">
        <v>34</v>
      </c>
      <c r="C579" s="44"/>
      <c r="D579" s="62">
        <v>6.165</v>
      </c>
      <c r="E579" s="62"/>
      <c r="F579" s="41"/>
      <c r="G579" s="36">
        <v>0.25</v>
      </c>
      <c r="H579" s="10">
        <v>20</v>
      </c>
      <c r="I579" s="11">
        <v>1</v>
      </c>
      <c r="J579" s="13">
        <f>ROUND(5.145/G579+1,0)</f>
        <v>22</v>
      </c>
      <c r="K579" s="45">
        <f>D579</f>
        <v>6.165</v>
      </c>
      <c r="L579" s="37" t="str">
        <f>IF(O579&lt;12,"0",0.049*H579)</f>
        <v>0</v>
      </c>
      <c r="M579" s="17">
        <v>0</v>
      </c>
      <c r="N579" s="11">
        <f>M579*2*H579/1000</f>
        <v>0</v>
      </c>
      <c r="O579" s="16">
        <f>(D579)-N579</f>
        <v>6.165</v>
      </c>
      <c r="P579" s="16">
        <f>(I579*J579*O579)+L579</f>
        <v>135.63</v>
      </c>
      <c r="Q579" s="18" t="str">
        <f t="shared" si="48"/>
        <v/>
      </c>
      <c r="R579" s="18" t="str">
        <f t="shared" si="49"/>
        <v/>
      </c>
      <c r="S579" s="18" t="str">
        <f t="shared" si="50"/>
        <v/>
      </c>
      <c r="T579" s="18" t="str">
        <f t="shared" si="51"/>
        <v/>
      </c>
      <c r="U579" s="18">
        <f t="shared" si="52"/>
        <v>135.63</v>
      </c>
      <c r="V579" s="18" t="str">
        <f t="shared" si="53"/>
        <v/>
      </c>
      <c r="W579" s="14"/>
    </row>
    <row r="580" spans="1:23" x14ac:dyDescent="0.25">
      <c r="A580" s="6"/>
      <c r="B580" s="74" t="s">
        <v>236</v>
      </c>
      <c r="C580" s="19"/>
      <c r="D580" s="61"/>
      <c r="E580" s="61"/>
      <c r="F580" s="41"/>
      <c r="G580" s="36"/>
      <c r="H580" s="10"/>
      <c r="I580" s="11"/>
      <c r="J580" s="13"/>
      <c r="K580" s="45"/>
      <c r="L580" s="37"/>
      <c r="M580" s="17"/>
      <c r="N580" s="11"/>
      <c r="O580" s="16"/>
      <c r="P580" s="16"/>
      <c r="Q580" s="18" t="str">
        <f t="shared" si="48"/>
        <v/>
      </c>
      <c r="R580" s="18" t="str">
        <f t="shared" si="49"/>
        <v/>
      </c>
      <c r="S580" s="18" t="str">
        <f t="shared" si="50"/>
        <v/>
      </c>
      <c r="T580" s="18" t="str">
        <f t="shared" si="51"/>
        <v/>
      </c>
      <c r="U580" s="18" t="str">
        <f t="shared" si="52"/>
        <v/>
      </c>
      <c r="V580" s="18" t="str">
        <f t="shared" si="53"/>
        <v/>
      </c>
      <c r="W580" s="14"/>
    </row>
    <row r="581" spans="1:23" x14ac:dyDescent="0.25">
      <c r="A581" s="6"/>
      <c r="B581" s="33"/>
      <c r="C581" s="19"/>
      <c r="D581" s="59"/>
      <c r="E581" s="59"/>
      <c r="F581" s="41"/>
      <c r="G581" s="36"/>
      <c r="H581" s="10"/>
      <c r="I581" s="11"/>
      <c r="J581" s="13"/>
      <c r="K581" s="45"/>
      <c r="L581" s="37"/>
      <c r="M581" s="17"/>
      <c r="N581" s="11"/>
      <c r="O581" s="16"/>
      <c r="P581" s="16"/>
      <c r="Q581" s="18" t="str">
        <f t="shared" si="48"/>
        <v/>
      </c>
      <c r="R581" s="18" t="str">
        <f t="shared" si="49"/>
        <v/>
      </c>
      <c r="S581" s="18" t="str">
        <f t="shared" si="50"/>
        <v/>
      </c>
      <c r="T581" s="18" t="str">
        <f t="shared" si="51"/>
        <v/>
      </c>
      <c r="U581" s="18" t="str">
        <f t="shared" si="52"/>
        <v/>
      </c>
      <c r="V581" s="18" t="str">
        <f t="shared" si="53"/>
        <v/>
      </c>
      <c r="W581" s="14"/>
    </row>
    <row r="582" spans="1:23" ht="15" customHeight="1" x14ac:dyDescent="0.25">
      <c r="A582" s="6">
        <v>136</v>
      </c>
      <c r="B582" s="33" t="s">
        <v>233</v>
      </c>
      <c r="C582" s="44"/>
      <c r="D582" s="62">
        <v>2.75</v>
      </c>
      <c r="E582" s="62"/>
      <c r="F582" s="41"/>
      <c r="G582" s="36"/>
      <c r="H582" s="10">
        <v>20</v>
      </c>
      <c r="I582" s="11">
        <v>1</v>
      </c>
      <c r="J582" s="13">
        <v>3</v>
      </c>
      <c r="K582" s="45">
        <f>D582</f>
        <v>2.75</v>
      </c>
      <c r="L582" s="37" t="str">
        <f>IF(O582&lt;12,"0",0.049*H582)</f>
        <v>0</v>
      </c>
      <c r="M582" s="17">
        <v>0</v>
      </c>
      <c r="N582" s="11">
        <f>M582*2*H582/1000</f>
        <v>0</v>
      </c>
      <c r="O582" s="16">
        <f>(D582)-N582</f>
        <v>2.75</v>
      </c>
      <c r="P582" s="16">
        <f>(I582*J582*O582)+L582</f>
        <v>8.25</v>
      </c>
      <c r="Q582" s="18" t="str">
        <f t="shared" si="48"/>
        <v/>
      </c>
      <c r="R582" s="18" t="str">
        <f t="shared" si="49"/>
        <v/>
      </c>
      <c r="S582" s="18" t="str">
        <f t="shared" si="50"/>
        <v/>
      </c>
      <c r="T582" s="18" t="str">
        <f t="shared" si="51"/>
        <v/>
      </c>
      <c r="U582" s="18">
        <f t="shared" si="52"/>
        <v>8.25</v>
      </c>
      <c r="V582" s="18" t="str">
        <f t="shared" si="53"/>
        <v/>
      </c>
      <c r="W582" s="14"/>
    </row>
    <row r="583" spans="1:23" x14ac:dyDescent="0.25">
      <c r="A583" s="6"/>
      <c r="B583" s="33" t="s">
        <v>199</v>
      </c>
      <c r="C583" s="19"/>
      <c r="D583" s="59"/>
      <c r="E583" s="59"/>
      <c r="F583" s="41"/>
      <c r="G583" s="36"/>
      <c r="H583" s="10"/>
      <c r="I583" s="11"/>
      <c r="J583" s="13"/>
      <c r="K583" s="45"/>
      <c r="L583" s="37"/>
      <c r="M583" s="17"/>
      <c r="N583" s="11"/>
      <c r="O583" s="16"/>
      <c r="P583" s="16"/>
      <c r="Q583" s="18" t="str">
        <f t="shared" si="48"/>
        <v/>
      </c>
      <c r="R583" s="18" t="str">
        <f t="shared" si="49"/>
        <v/>
      </c>
      <c r="S583" s="18" t="str">
        <f t="shared" si="50"/>
        <v/>
      </c>
      <c r="T583" s="18" t="str">
        <f t="shared" si="51"/>
        <v/>
      </c>
      <c r="U583" s="18" t="str">
        <f t="shared" si="52"/>
        <v/>
      </c>
      <c r="V583" s="18" t="str">
        <f t="shared" si="53"/>
        <v/>
      </c>
      <c r="W583" s="14"/>
    </row>
    <row r="584" spans="1:23" x14ac:dyDescent="0.25">
      <c r="A584" s="6"/>
      <c r="B584" s="33"/>
      <c r="C584" s="19"/>
      <c r="D584" s="59"/>
      <c r="E584" s="59"/>
      <c r="F584" s="41"/>
      <c r="G584" s="36"/>
      <c r="H584" s="10"/>
      <c r="I584" s="11"/>
      <c r="J584" s="13"/>
      <c r="K584" s="45"/>
      <c r="L584" s="37"/>
      <c r="M584" s="17"/>
      <c r="N584" s="11"/>
      <c r="O584" s="16"/>
      <c r="P584" s="16"/>
      <c r="Q584" s="18" t="str">
        <f t="shared" si="48"/>
        <v/>
      </c>
      <c r="R584" s="18" t="str">
        <f t="shared" si="49"/>
        <v/>
      </c>
      <c r="S584" s="18" t="str">
        <f t="shared" si="50"/>
        <v/>
      </c>
      <c r="T584" s="18" t="str">
        <f t="shared" si="51"/>
        <v/>
      </c>
      <c r="U584" s="18" t="str">
        <f t="shared" si="52"/>
        <v/>
      </c>
      <c r="V584" s="18" t="str">
        <f t="shared" si="53"/>
        <v/>
      </c>
      <c r="W584" s="14"/>
    </row>
    <row r="585" spans="1:23" ht="15" customHeight="1" x14ac:dyDescent="0.25">
      <c r="A585" s="6">
        <v>137</v>
      </c>
      <c r="B585" s="33" t="s">
        <v>233</v>
      </c>
      <c r="C585" s="44"/>
      <c r="D585" s="62">
        <v>2.75</v>
      </c>
      <c r="E585" s="62"/>
      <c r="F585" s="41"/>
      <c r="G585" s="36"/>
      <c r="H585" s="10">
        <v>20</v>
      </c>
      <c r="I585" s="11">
        <v>1</v>
      </c>
      <c r="J585" s="13">
        <v>3</v>
      </c>
      <c r="K585" s="45">
        <f>D585</f>
        <v>2.75</v>
      </c>
      <c r="L585" s="37" t="str">
        <f>IF(O585&lt;12,"0",0.049*H585)</f>
        <v>0</v>
      </c>
      <c r="M585" s="17">
        <v>0</v>
      </c>
      <c r="N585" s="11">
        <f>M585*2*H585/1000</f>
        <v>0</v>
      </c>
      <c r="O585" s="16">
        <f>(D585)-N585</f>
        <v>2.75</v>
      </c>
      <c r="P585" s="16">
        <f>(I585*J585*O585)+L585</f>
        <v>8.25</v>
      </c>
      <c r="Q585" s="18" t="str">
        <f t="shared" si="48"/>
        <v/>
      </c>
      <c r="R585" s="18" t="str">
        <f t="shared" si="49"/>
        <v/>
      </c>
      <c r="S585" s="18" t="str">
        <f t="shared" si="50"/>
        <v/>
      </c>
      <c r="T585" s="18" t="str">
        <f t="shared" si="51"/>
        <v/>
      </c>
      <c r="U585" s="18">
        <f t="shared" si="52"/>
        <v>8.25</v>
      </c>
      <c r="V585" s="18" t="str">
        <f t="shared" si="53"/>
        <v/>
      </c>
      <c r="W585" s="14"/>
    </row>
    <row r="586" spans="1:23" x14ac:dyDescent="0.25">
      <c r="A586" s="6"/>
      <c r="B586" s="33" t="s">
        <v>232</v>
      </c>
      <c r="C586" s="19"/>
      <c r="D586" s="59"/>
      <c r="E586" s="59"/>
      <c r="F586" s="41"/>
      <c r="G586" s="36"/>
      <c r="H586" s="10"/>
      <c r="I586" s="11"/>
      <c r="J586" s="13"/>
      <c r="K586" s="45"/>
      <c r="L586" s="37"/>
      <c r="M586" s="17"/>
      <c r="N586" s="11"/>
      <c r="O586" s="16"/>
      <c r="P586" s="16"/>
      <c r="Q586" s="18" t="str">
        <f t="shared" si="48"/>
        <v/>
      </c>
      <c r="R586" s="18" t="str">
        <f t="shared" si="49"/>
        <v/>
      </c>
      <c r="S586" s="18" t="str">
        <f t="shared" si="50"/>
        <v/>
      </c>
      <c r="T586" s="18" t="str">
        <f t="shared" si="51"/>
        <v/>
      </c>
      <c r="U586" s="18" t="str">
        <f t="shared" si="52"/>
        <v/>
      </c>
      <c r="V586" s="18" t="str">
        <f t="shared" si="53"/>
        <v/>
      </c>
      <c r="W586" s="14"/>
    </row>
    <row r="587" spans="1:23" x14ac:dyDescent="0.25">
      <c r="A587" s="6"/>
      <c r="B587" s="33"/>
      <c r="C587" s="19"/>
      <c r="D587" s="59"/>
      <c r="E587" s="59"/>
      <c r="F587" s="41"/>
      <c r="G587" s="36"/>
      <c r="H587" s="10"/>
      <c r="I587" s="11"/>
      <c r="J587" s="13"/>
      <c r="K587" s="45"/>
      <c r="L587" s="37"/>
      <c r="M587" s="17"/>
      <c r="N587" s="11"/>
      <c r="O587" s="16"/>
      <c r="P587" s="16"/>
      <c r="Q587" s="18" t="str">
        <f t="shared" si="48"/>
        <v/>
      </c>
      <c r="R587" s="18" t="str">
        <f t="shared" si="49"/>
        <v/>
      </c>
      <c r="S587" s="18" t="str">
        <f t="shared" si="50"/>
        <v/>
      </c>
      <c r="T587" s="18" t="str">
        <f t="shared" si="51"/>
        <v/>
      </c>
      <c r="U587" s="18" t="str">
        <f t="shared" si="52"/>
        <v/>
      </c>
      <c r="V587" s="18" t="str">
        <f t="shared" si="53"/>
        <v/>
      </c>
      <c r="W587" s="14"/>
    </row>
    <row r="588" spans="1:23" ht="15" customHeight="1" x14ac:dyDescent="0.25">
      <c r="A588" s="6">
        <v>138</v>
      </c>
      <c r="B588" s="33" t="s">
        <v>233</v>
      </c>
      <c r="C588" s="44"/>
      <c r="D588" s="62">
        <v>2.75</v>
      </c>
      <c r="E588" s="62"/>
      <c r="F588" s="41"/>
      <c r="G588" s="36"/>
      <c r="H588" s="10">
        <v>20</v>
      </c>
      <c r="I588" s="11">
        <v>1</v>
      </c>
      <c r="J588" s="13">
        <v>3</v>
      </c>
      <c r="K588" s="45">
        <f>D588</f>
        <v>2.75</v>
      </c>
      <c r="L588" s="37" t="str">
        <f>IF(O588&lt;12,"0",0.049*H588)</f>
        <v>0</v>
      </c>
      <c r="M588" s="17">
        <v>0</v>
      </c>
      <c r="N588" s="11">
        <f>M588*2*H588/1000</f>
        <v>0</v>
      </c>
      <c r="O588" s="16">
        <f>(D588)-N588</f>
        <v>2.75</v>
      </c>
      <c r="P588" s="16">
        <f>(I588*J588*O588)+L588</f>
        <v>8.25</v>
      </c>
      <c r="Q588" s="18" t="str">
        <f t="shared" si="48"/>
        <v/>
      </c>
      <c r="R588" s="18" t="str">
        <f t="shared" si="49"/>
        <v/>
      </c>
      <c r="S588" s="18" t="str">
        <f t="shared" si="50"/>
        <v/>
      </c>
      <c r="T588" s="18" t="str">
        <f t="shared" si="51"/>
        <v/>
      </c>
      <c r="U588" s="18">
        <f t="shared" si="52"/>
        <v>8.25</v>
      </c>
      <c r="V588" s="18" t="str">
        <f t="shared" si="53"/>
        <v/>
      </c>
      <c r="W588" s="14"/>
    </row>
    <row r="589" spans="1:23" x14ac:dyDescent="0.25">
      <c r="A589" s="6"/>
      <c r="B589" s="33" t="s">
        <v>196</v>
      </c>
      <c r="C589" s="19"/>
      <c r="D589" s="59"/>
      <c r="E589" s="59"/>
      <c r="F589" s="41"/>
      <c r="G589" s="36"/>
      <c r="H589" s="10"/>
      <c r="I589" s="11"/>
      <c r="J589" s="13"/>
      <c r="K589" s="45"/>
      <c r="L589" s="37"/>
      <c r="M589" s="17"/>
      <c r="N589" s="11"/>
      <c r="O589" s="16"/>
      <c r="P589" s="16"/>
      <c r="Q589" s="18" t="str">
        <f t="shared" si="48"/>
        <v/>
      </c>
      <c r="R589" s="18" t="str">
        <f t="shared" si="49"/>
        <v/>
      </c>
      <c r="S589" s="18" t="str">
        <f t="shared" si="50"/>
        <v/>
      </c>
      <c r="T589" s="18" t="str">
        <f t="shared" si="51"/>
        <v/>
      </c>
      <c r="U589" s="18" t="str">
        <f t="shared" si="52"/>
        <v/>
      </c>
      <c r="V589" s="18" t="str">
        <f t="shared" si="53"/>
        <v/>
      </c>
      <c r="W589" s="14"/>
    </row>
    <row r="590" spans="1:23" x14ac:dyDescent="0.25">
      <c r="A590" s="6"/>
      <c r="B590" s="33"/>
      <c r="C590" s="19"/>
      <c r="D590" s="59"/>
      <c r="E590" s="59"/>
      <c r="F590" s="41"/>
      <c r="G590" s="36"/>
      <c r="H590" s="10"/>
      <c r="I590" s="11"/>
      <c r="J590" s="13"/>
      <c r="K590" s="45"/>
      <c r="L590" s="37"/>
      <c r="M590" s="17"/>
      <c r="N590" s="11"/>
      <c r="O590" s="16"/>
      <c r="P590" s="16"/>
      <c r="Q590" s="18" t="str">
        <f t="shared" si="48"/>
        <v/>
      </c>
      <c r="R590" s="18" t="str">
        <f t="shared" si="49"/>
        <v/>
      </c>
      <c r="S590" s="18" t="str">
        <f t="shared" si="50"/>
        <v/>
      </c>
      <c r="T590" s="18" t="str">
        <f t="shared" si="51"/>
        <v/>
      </c>
      <c r="U590" s="18" t="str">
        <f t="shared" si="52"/>
        <v/>
      </c>
      <c r="V590" s="18" t="str">
        <f t="shared" si="53"/>
        <v/>
      </c>
      <c r="W590" s="14"/>
    </row>
    <row r="591" spans="1:23" ht="15" customHeight="1" x14ac:dyDescent="0.25">
      <c r="A591" s="6">
        <v>139</v>
      </c>
      <c r="B591" s="33" t="s">
        <v>233</v>
      </c>
      <c r="C591" s="44"/>
      <c r="D591" s="62">
        <v>2.8</v>
      </c>
      <c r="E591" s="62"/>
      <c r="F591" s="41"/>
      <c r="G591" s="36"/>
      <c r="H591" s="10">
        <v>20</v>
      </c>
      <c r="I591" s="11">
        <v>1</v>
      </c>
      <c r="J591" s="13">
        <v>3</v>
      </c>
      <c r="K591" s="45">
        <f>D591</f>
        <v>2.8</v>
      </c>
      <c r="L591" s="37" t="str">
        <f>IF(O591&lt;12,"0",0.049*H591)</f>
        <v>0</v>
      </c>
      <c r="M591" s="17">
        <v>0</v>
      </c>
      <c r="N591" s="11">
        <f>M591*2*H591/1000</f>
        <v>0</v>
      </c>
      <c r="O591" s="16">
        <f>(D591)-N591</f>
        <v>2.8</v>
      </c>
      <c r="P591" s="16">
        <f>(I591*J591*O591)+L591</f>
        <v>8.3999999999999986</v>
      </c>
      <c r="Q591" s="18" t="str">
        <f t="shared" si="48"/>
        <v/>
      </c>
      <c r="R591" s="18" t="str">
        <f t="shared" si="49"/>
        <v/>
      </c>
      <c r="S591" s="18" t="str">
        <f t="shared" si="50"/>
        <v/>
      </c>
      <c r="T591" s="18" t="str">
        <f t="shared" si="51"/>
        <v/>
      </c>
      <c r="U591" s="18">
        <f t="shared" si="52"/>
        <v>8.3999999999999986</v>
      </c>
      <c r="V591" s="18" t="str">
        <f t="shared" si="53"/>
        <v/>
      </c>
      <c r="W591" s="14"/>
    </row>
    <row r="592" spans="1:23" x14ac:dyDescent="0.25">
      <c r="A592" s="6"/>
      <c r="B592" s="33" t="s">
        <v>196</v>
      </c>
      <c r="C592" s="19"/>
      <c r="D592" s="59"/>
      <c r="E592" s="59"/>
      <c r="F592" s="41"/>
      <c r="G592" s="36"/>
      <c r="H592" s="10"/>
      <c r="I592" s="11"/>
      <c r="J592" s="13"/>
      <c r="K592" s="45"/>
      <c r="L592" s="37"/>
      <c r="M592" s="17"/>
      <c r="N592" s="11"/>
      <c r="O592" s="16"/>
      <c r="P592" s="16"/>
      <c r="Q592" s="18" t="str">
        <f t="shared" si="48"/>
        <v/>
      </c>
      <c r="R592" s="18" t="str">
        <f t="shared" si="49"/>
        <v/>
      </c>
      <c r="S592" s="18" t="str">
        <f t="shared" si="50"/>
        <v/>
      </c>
      <c r="T592" s="18" t="str">
        <f t="shared" si="51"/>
        <v/>
      </c>
      <c r="U592" s="18" t="str">
        <f t="shared" si="52"/>
        <v/>
      </c>
      <c r="V592" s="18" t="str">
        <f t="shared" si="53"/>
        <v/>
      </c>
      <c r="W592" s="14"/>
    </row>
    <row r="593" spans="1:23" x14ac:dyDescent="0.25">
      <c r="A593" s="6"/>
      <c r="B593" s="33"/>
      <c r="C593" s="19"/>
      <c r="D593" s="59"/>
      <c r="E593" s="59"/>
      <c r="F593" s="41"/>
      <c r="G593" s="36"/>
      <c r="H593" s="10"/>
      <c r="I593" s="11"/>
      <c r="J593" s="13"/>
      <c r="K593" s="45"/>
      <c r="L593" s="37"/>
      <c r="M593" s="17"/>
      <c r="N593" s="11"/>
      <c r="O593" s="16"/>
      <c r="P593" s="16"/>
      <c r="Q593" s="18" t="str">
        <f t="shared" si="48"/>
        <v/>
      </c>
      <c r="R593" s="18" t="str">
        <f t="shared" si="49"/>
        <v/>
      </c>
      <c r="S593" s="18" t="str">
        <f t="shared" si="50"/>
        <v/>
      </c>
      <c r="T593" s="18" t="str">
        <f t="shared" si="51"/>
        <v/>
      </c>
      <c r="U593" s="18" t="str">
        <f t="shared" si="52"/>
        <v/>
      </c>
      <c r="V593" s="18" t="str">
        <f t="shared" si="53"/>
        <v/>
      </c>
      <c r="W593" s="14"/>
    </row>
    <row r="594" spans="1:23" ht="15" customHeight="1" x14ac:dyDescent="0.25">
      <c r="A594" s="6">
        <v>140</v>
      </c>
      <c r="B594" s="33" t="s">
        <v>233</v>
      </c>
      <c r="C594" s="44"/>
      <c r="D594" s="62">
        <v>2.75</v>
      </c>
      <c r="E594" s="62"/>
      <c r="F594" s="41"/>
      <c r="G594" s="36"/>
      <c r="H594" s="10">
        <v>20</v>
      </c>
      <c r="I594" s="11">
        <v>1</v>
      </c>
      <c r="J594" s="13">
        <v>3</v>
      </c>
      <c r="K594" s="45">
        <f>D594</f>
        <v>2.75</v>
      </c>
      <c r="L594" s="37" t="str">
        <f>IF(O594&lt;12,"0",0.049*H594)</f>
        <v>0</v>
      </c>
      <c r="M594" s="17">
        <v>0</v>
      </c>
      <c r="N594" s="11">
        <f>M594*2*H594/1000</f>
        <v>0</v>
      </c>
      <c r="O594" s="16">
        <f>(D594)-N594</f>
        <v>2.75</v>
      </c>
      <c r="P594" s="16">
        <f>(I594*J594*O594)+L594</f>
        <v>8.25</v>
      </c>
      <c r="Q594" s="18" t="str">
        <f t="shared" si="48"/>
        <v/>
      </c>
      <c r="R594" s="18" t="str">
        <f t="shared" si="49"/>
        <v/>
      </c>
      <c r="S594" s="18" t="str">
        <f t="shared" si="50"/>
        <v/>
      </c>
      <c r="T594" s="18" t="str">
        <f t="shared" si="51"/>
        <v/>
      </c>
      <c r="U594" s="18">
        <f t="shared" si="52"/>
        <v>8.25</v>
      </c>
      <c r="V594" s="18" t="str">
        <f t="shared" si="53"/>
        <v/>
      </c>
      <c r="W594" s="14"/>
    </row>
    <row r="595" spans="1:23" x14ac:dyDescent="0.25">
      <c r="A595" s="6"/>
      <c r="B595" s="33" t="s">
        <v>216</v>
      </c>
      <c r="C595" s="19"/>
      <c r="D595" s="59"/>
      <c r="E595" s="59"/>
      <c r="F595" s="41"/>
      <c r="G595" s="36"/>
      <c r="H595" s="10"/>
      <c r="I595" s="11"/>
      <c r="J595" s="13"/>
      <c r="K595" s="45"/>
      <c r="L595" s="37"/>
      <c r="M595" s="17"/>
      <c r="N595" s="11"/>
      <c r="O595" s="16"/>
      <c r="P595" s="16"/>
      <c r="Q595" s="18" t="str">
        <f t="shared" si="48"/>
        <v/>
      </c>
      <c r="R595" s="18" t="str">
        <f t="shared" si="49"/>
        <v/>
      </c>
      <c r="S595" s="18" t="str">
        <f t="shared" si="50"/>
        <v/>
      </c>
      <c r="T595" s="18" t="str">
        <f t="shared" si="51"/>
        <v/>
      </c>
      <c r="U595" s="18" t="str">
        <f t="shared" si="52"/>
        <v/>
      </c>
      <c r="V595" s="18" t="str">
        <f t="shared" si="53"/>
        <v/>
      </c>
      <c r="W595" s="14"/>
    </row>
    <row r="596" spans="1:23" x14ac:dyDescent="0.25">
      <c r="A596" s="6"/>
      <c r="B596" s="33"/>
      <c r="C596" s="19"/>
      <c r="D596" s="59"/>
      <c r="E596" s="59"/>
      <c r="F596" s="41"/>
      <c r="G596" s="36"/>
      <c r="H596" s="10"/>
      <c r="I596" s="11"/>
      <c r="J596" s="13"/>
      <c r="K596" s="45"/>
      <c r="L596" s="37"/>
      <c r="M596" s="17"/>
      <c r="N596" s="11"/>
      <c r="O596" s="16"/>
      <c r="P596" s="16"/>
      <c r="Q596" s="18" t="str">
        <f t="shared" si="48"/>
        <v/>
      </c>
      <c r="R596" s="18" t="str">
        <f t="shared" si="49"/>
        <v/>
      </c>
      <c r="S596" s="18" t="str">
        <f t="shared" si="50"/>
        <v/>
      </c>
      <c r="T596" s="18" t="str">
        <f t="shared" si="51"/>
        <v/>
      </c>
      <c r="U596" s="18" t="str">
        <f t="shared" si="52"/>
        <v/>
      </c>
      <c r="V596" s="18" t="str">
        <f t="shared" si="53"/>
        <v/>
      </c>
      <c r="W596" s="14"/>
    </row>
    <row r="597" spans="1:23" ht="15" customHeight="1" x14ac:dyDescent="0.25">
      <c r="A597" s="6">
        <v>141</v>
      </c>
      <c r="B597" s="33" t="s">
        <v>233</v>
      </c>
      <c r="C597" s="44"/>
      <c r="D597" s="62">
        <v>2.75</v>
      </c>
      <c r="E597" s="62"/>
      <c r="F597" s="41"/>
      <c r="G597" s="36"/>
      <c r="H597" s="10">
        <v>20</v>
      </c>
      <c r="I597" s="11">
        <v>1</v>
      </c>
      <c r="J597" s="13">
        <v>3</v>
      </c>
      <c r="K597" s="45">
        <f>D597</f>
        <v>2.75</v>
      </c>
      <c r="L597" s="37" t="str">
        <f>IF(O597&lt;12,"0",0.049*H597)</f>
        <v>0</v>
      </c>
      <c r="M597" s="17">
        <v>0</v>
      </c>
      <c r="N597" s="11">
        <f>M597*2*H597/1000</f>
        <v>0</v>
      </c>
      <c r="O597" s="16">
        <f>(D597)-N597</f>
        <v>2.75</v>
      </c>
      <c r="P597" s="16">
        <f>(I597*J597*O597)+L597</f>
        <v>8.25</v>
      </c>
      <c r="Q597" s="18" t="str">
        <f t="shared" si="48"/>
        <v/>
      </c>
      <c r="R597" s="18" t="str">
        <f t="shared" si="49"/>
        <v/>
      </c>
      <c r="S597" s="18" t="str">
        <f t="shared" si="50"/>
        <v/>
      </c>
      <c r="T597" s="18" t="str">
        <f t="shared" si="51"/>
        <v/>
      </c>
      <c r="U597" s="18">
        <f t="shared" si="52"/>
        <v>8.25</v>
      </c>
      <c r="V597" s="18" t="str">
        <f t="shared" si="53"/>
        <v/>
      </c>
      <c r="W597" s="14"/>
    </row>
    <row r="598" spans="1:23" x14ac:dyDescent="0.25">
      <c r="A598" s="6"/>
      <c r="B598" s="33" t="s">
        <v>218</v>
      </c>
      <c r="C598" s="19"/>
      <c r="D598" s="59"/>
      <c r="E598" s="59"/>
      <c r="F598" s="41"/>
      <c r="G598" s="36"/>
      <c r="H598" s="10"/>
      <c r="I598" s="11"/>
      <c r="J598" s="13"/>
      <c r="K598" s="45"/>
      <c r="L598" s="37"/>
      <c r="M598" s="17"/>
      <c r="N598" s="11"/>
      <c r="O598" s="16"/>
      <c r="P598" s="16"/>
      <c r="Q598" s="18" t="str">
        <f t="shared" si="48"/>
        <v/>
      </c>
      <c r="R598" s="18" t="str">
        <f t="shared" si="49"/>
        <v/>
      </c>
      <c r="S598" s="18" t="str">
        <f t="shared" si="50"/>
        <v/>
      </c>
      <c r="T598" s="18" t="str">
        <f t="shared" si="51"/>
        <v/>
      </c>
      <c r="U598" s="18" t="str">
        <f t="shared" si="52"/>
        <v/>
      </c>
      <c r="V598" s="18" t="str">
        <f t="shared" si="53"/>
        <v/>
      </c>
      <c r="W598" s="14"/>
    </row>
    <row r="599" spans="1:23" x14ac:dyDescent="0.25">
      <c r="A599" s="6"/>
      <c r="B599" s="33"/>
      <c r="C599" s="19"/>
      <c r="D599" s="59"/>
      <c r="E599" s="59"/>
      <c r="F599" s="41"/>
      <c r="G599" s="36"/>
      <c r="H599" s="10"/>
      <c r="I599" s="11"/>
      <c r="J599" s="13"/>
      <c r="K599" s="45"/>
      <c r="L599" s="37"/>
      <c r="M599" s="17"/>
      <c r="N599" s="11"/>
      <c r="O599" s="16"/>
      <c r="P599" s="16"/>
      <c r="Q599" s="18" t="str">
        <f t="shared" si="48"/>
        <v/>
      </c>
      <c r="R599" s="18" t="str">
        <f t="shared" si="49"/>
        <v/>
      </c>
      <c r="S599" s="18" t="str">
        <f t="shared" si="50"/>
        <v/>
      </c>
      <c r="T599" s="18" t="str">
        <f t="shared" si="51"/>
        <v/>
      </c>
      <c r="U599" s="18" t="str">
        <f t="shared" si="52"/>
        <v/>
      </c>
      <c r="V599" s="18" t="str">
        <f t="shared" si="53"/>
        <v/>
      </c>
      <c r="W599" s="14"/>
    </row>
    <row r="600" spans="1:23" ht="15" customHeight="1" x14ac:dyDescent="0.25">
      <c r="A600" s="6">
        <v>142</v>
      </c>
      <c r="B600" s="33" t="s">
        <v>233</v>
      </c>
      <c r="C600" s="44"/>
      <c r="D600" s="62">
        <v>3.25</v>
      </c>
      <c r="E600" s="62"/>
      <c r="F600" s="41"/>
      <c r="G600" s="36"/>
      <c r="H600" s="10">
        <v>20</v>
      </c>
      <c r="I600" s="11">
        <v>1</v>
      </c>
      <c r="J600" s="13">
        <v>3</v>
      </c>
      <c r="K600" s="45">
        <f>D600</f>
        <v>3.25</v>
      </c>
      <c r="L600" s="37" t="str">
        <f>IF(O600&lt;12,"0",0.049*H600)</f>
        <v>0</v>
      </c>
      <c r="M600" s="17">
        <v>0</v>
      </c>
      <c r="N600" s="11">
        <f>M600*2*H600/1000</f>
        <v>0</v>
      </c>
      <c r="O600" s="16">
        <f>(D600)-N600</f>
        <v>3.25</v>
      </c>
      <c r="P600" s="16">
        <f>(I600*J600*O600)+L600</f>
        <v>9.75</v>
      </c>
      <c r="Q600" s="18" t="str">
        <f t="shared" si="48"/>
        <v/>
      </c>
      <c r="R600" s="18" t="str">
        <f t="shared" si="49"/>
        <v/>
      </c>
      <c r="S600" s="18" t="str">
        <f t="shared" si="50"/>
        <v/>
      </c>
      <c r="T600" s="18" t="str">
        <f t="shared" si="51"/>
        <v/>
      </c>
      <c r="U600" s="18">
        <f t="shared" si="52"/>
        <v>9.75</v>
      </c>
      <c r="V600" s="18" t="str">
        <f t="shared" si="53"/>
        <v/>
      </c>
      <c r="W600" s="14"/>
    </row>
    <row r="601" spans="1:23" x14ac:dyDescent="0.25">
      <c r="A601" s="6"/>
      <c r="B601" s="33" t="s">
        <v>234</v>
      </c>
      <c r="C601" s="19"/>
      <c r="D601" s="59"/>
      <c r="E601" s="59"/>
      <c r="F601" s="41"/>
      <c r="G601" s="36"/>
      <c r="H601" s="10"/>
      <c r="I601" s="11"/>
      <c r="J601" s="13"/>
      <c r="K601" s="45"/>
      <c r="L601" s="37"/>
      <c r="M601" s="17"/>
      <c r="N601" s="11"/>
      <c r="O601" s="16"/>
      <c r="P601" s="16"/>
      <c r="Q601" s="18" t="str">
        <f t="shared" si="48"/>
        <v/>
      </c>
      <c r="R601" s="18" t="str">
        <f t="shared" si="49"/>
        <v/>
      </c>
      <c r="S601" s="18" t="str">
        <f t="shared" si="50"/>
        <v/>
      </c>
      <c r="T601" s="18" t="str">
        <f t="shared" si="51"/>
        <v/>
      </c>
      <c r="U601" s="18" t="str">
        <f t="shared" si="52"/>
        <v/>
      </c>
      <c r="V601" s="18" t="str">
        <f t="shared" si="53"/>
        <v/>
      </c>
      <c r="W601" s="14"/>
    </row>
    <row r="602" spans="1:23" x14ac:dyDescent="0.25">
      <c r="A602" s="6"/>
      <c r="B602" s="33"/>
      <c r="C602" s="19"/>
      <c r="D602" s="59"/>
      <c r="E602" s="59"/>
      <c r="F602" s="41"/>
      <c r="G602" s="36"/>
      <c r="H602" s="10"/>
      <c r="I602" s="11"/>
      <c r="J602" s="13"/>
      <c r="K602" s="45"/>
      <c r="L602" s="37"/>
      <c r="M602" s="17"/>
      <c r="N602" s="11"/>
      <c r="O602" s="16"/>
      <c r="P602" s="16"/>
      <c r="Q602" s="18" t="str">
        <f t="shared" si="48"/>
        <v/>
      </c>
      <c r="R602" s="18" t="str">
        <f t="shared" si="49"/>
        <v/>
      </c>
      <c r="S602" s="18" t="str">
        <f t="shared" si="50"/>
        <v/>
      </c>
      <c r="T602" s="18" t="str">
        <f t="shared" si="51"/>
        <v/>
      </c>
      <c r="U602" s="18" t="str">
        <f t="shared" si="52"/>
        <v/>
      </c>
      <c r="V602" s="18" t="str">
        <f t="shared" si="53"/>
        <v/>
      </c>
      <c r="W602" s="14"/>
    </row>
    <row r="603" spans="1:23" ht="15" customHeight="1" x14ac:dyDescent="0.25">
      <c r="A603" s="6">
        <v>143</v>
      </c>
      <c r="B603" s="33" t="s">
        <v>233</v>
      </c>
      <c r="C603" s="44"/>
      <c r="D603" s="62">
        <v>2.75</v>
      </c>
      <c r="E603" s="62"/>
      <c r="F603" s="41"/>
      <c r="G603" s="36"/>
      <c r="H603" s="10">
        <v>20</v>
      </c>
      <c r="I603" s="11">
        <v>1</v>
      </c>
      <c r="J603" s="13">
        <v>3</v>
      </c>
      <c r="K603" s="45">
        <f>D603</f>
        <v>2.75</v>
      </c>
      <c r="L603" s="37" t="str">
        <f>IF(O603&lt;12,"0",0.049*H603)</f>
        <v>0</v>
      </c>
      <c r="M603" s="17">
        <v>0</v>
      </c>
      <c r="N603" s="11">
        <f>M603*2*H603/1000</f>
        <v>0</v>
      </c>
      <c r="O603" s="16">
        <f>(D603)-N603</f>
        <v>2.75</v>
      </c>
      <c r="P603" s="16">
        <f>(I603*J603*O603)+L603</f>
        <v>8.25</v>
      </c>
      <c r="Q603" s="18" t="str">
        <f t="shared" si="48"/>
        <v/>
      </c>
      <c r="R603" s="18" t="str">
        <f t="shared" si="49"/>
        <v/>
      </c>
      <c r="S603" s="18" t="str">
        <f t="shared" si="50"/>
        <v/>
      </c>
      <c r="T603" s="18" t="str">
        <f t="shared" si="51"/>
        <v/>
      </c>
      <c r="U603" s="18">
        <f t="shared" si="52"/>
        <v>8.25</v>
      </c>
      <c r="V603" s="18" t="str">
        <f t="shared" si="53"/>
        <v/>
      </c>
      <c r="W603" s="14"/>
    </row>
    <row r="604" spans="1:23" x14ac:dyDescent="0.25">
      <c r="A604" s="6"/>
      <c r="B604" s="33" t="s">
        <v>235</v>
      </c>
      <c r="C604" s="19"/>
      <c r="D604" s="59"/>
      <c r="E604" s="59"/>
      <c r="F604" s="41"/>
      <c r="G604" s="36"/>
      <c r="H604" s="10"/>
      <c r="I604" s="11"/>
      <c r="J604" s="13"/>
      <c r="K604" s="45"/>
      <c r="L604" s="37"/>
      <c r="M604" s="17"/>
      <c r="N604" s="11"/>
      <c r="O604" s="16"/>
      <c r="P604" s="16"/>
      <c r="Q604" s="18" t="str">
        <f t="shared" si="48"/>
        <v/>
      </c>
      <c r="R604" s="18" t="str">
        <f t="shared" si="49"/>
        <v/>
      </c>
      <c r="S604" s="18" t="str">
        <f t="shared" si="50"/>
        <v/>
      </c>
      <c r="T604" s="18" t="str">
        <f t="shared" si="51"/>
        <v/>
      </c>
      <c r="U604" s="18" t="str">
        <f t="shared" si="52"/>
        <v/>
      </c>
      <c r="V604" s="18" t="str">
        <f t="shared" si="53"/>
        <v/>
      </c>
      <c r="W604" s="14"/>
    </row>
    <row r="605" spans="1:23" x14ac:dyDescent="0.25">
      <c r="A605" s="6"/>
      <c r="B605" s="33"/>
      <c r="C605" s="19"/>
      <c r="D605" s="59"/>
      <c r="E605" s="59"/>
      <c r="F605" s="41"/>
      <c r="G605" s="36"/>
      <c r="H605" s="10"/>
      <c r="I605" s="11"/>
      <c r="J605" s="13"/>
      <c r="K605" s="45"/>
      <c r="L605" s="37"/>
      <c r="M605" s="17"/>
      <c r="N605" s="11"/>
      <c r="O605" s="16"/>
      <c r="P605" s="16"/>
      <c r="Q605" s="18" t="str">
        <f t="shared" si="48"/>
        <v/>
      </c>
      <c r="R605" s="18" t="str">
        <f t="shared" si="49"/>
        <v/>
      </c>
      <c r="S605" s="18" t="str">
        <f t="shared" si="50"/>
        <v/>
      </c>
      <c r="T605" s="18" t="str">
        <f t="shared" si="51"/>
        <v/>
      </c>
      <c r="U605" s="18" t="str">
        <f t="shared" si="52"/>
        <v/>
      </c>
      <c r="V605" s="18" t="str">
        <f t="shared" si="53"/>
        <v/>
      </c>
      <c r="W605" s="14"/>
    </row>
    <row r="606" spans="1:23" ht="15" customHeight="1" x14ac:dyDescent="0.25">
      <c r="A606" s="6">
        <v>144</v>
      </c>
      <c r="B606" s="33" t="s">
        <v>233</v>
      </c>
      <c r="C606" s="44"/>
      <c r="D606" s="62">
        <v>2.75</v>
      </c>
      <c r="E606" s="62"/>
      <c r="F606" s="41"/>
      <c r="G606" s="36"/>
      <c r="H606" s="10">
        <v>20</v>
      </c>
      <c r="I606" s="11">
        <v>1</v>
      </c>
      <c r="J606" s="13">
        <v>3</v>
      </c>
      <c r="K606" s="45">
        <f>D606</f>
        <v>2.75</v>
      </c>
      <c r="L606" s="37" t="str">
        <f>IF(O606&lt;12,"0",0.049*H606)</f>
        <v>0</v>
      </c>
      <c r="M606" s="17">
        <v>0</v>
      </c>
      <c r="N606" s="11">
        <f>M606*2*H606/1000</f>
        <v>0</v>
      </c>
      <c r="O606" s="16">
        <f>(D606)-N606</f>
        <v>2.75</v>
      </c>
      <c r="P606" s="16">
        <f>(I606*J606*O606)+L606</f>
        <v>8.25</v>
      </c>
      <c r="Q606" s="18" t="str">
        <f t="shared" si="48"/>
        <v/>
      </c>
      <c r="R606" s="18" t="str">
        <f t="shared" si="49"/>
        <v/>
      </c>
      <c r="S606" s="18" t="str">
        <f t="shared" si="50"/>
        <v/>
      </c>
      <c r="T606" s="18" t="str">
        <f t="shared" si="51"/>
        <v/>
      </c>
      <c r="U606" s="18">
        <f t="shared" si="52"/>
        <v>8.25</v>
      </c>
      <c r="V606" s="18" t="str">
        <f t="shared" si="53"/>
        <v/>
      </c>
      <c r="W606" s="14"/>
    </row>
    <row r="607" spans="1:23" x14ac:dyDescent="0.25">
      <c r="A607" s="6"/>
      <c r="B607" s="33" t="s">
        <v>228</v>
      </c>
      <c r="C607" s="19"/>
      <c r="D607" s="59"/>
      <c r="E607" s="59"/>
      <c r="F607" s="41"/>
      <c r="G607" s="36"/>
      <c r="H607" s="10"/>
      <c r="I607" s="11"/>
      <c r="J607" s="13"/>
      <c r="K607" s="45"/>
      <c r="L607" s="37"/>
      <c r="M607" s="17"/>
      <c r="N607" s="11"/>
      <c r="O607" s="16"/>
      <c r="P607" s="16"/>
      <c r="Q607" s="18" t="str">
        <f t="shared" si="48"/>
        <v/>
      </c>
      <c r="R607" s="18" t="str">
        <f t="shared" si="49"/>
        <v/>
      </c>
      <c r="S607" s="18" t="str">
        <f t="shared" si="50"/>
        <v/>
      </c>
      <c r="T607" s="18" t="str">
        <f t="shared" si="51"/>
        <v/>
      </c>
      <c r="U607" s="18" t="str">
        <f t="shared" si="52"/>
        <v/>
      </c>
      <c r="V607" s="18" t="str">
        <f t="shared" si="53"/>
        <v/>
      </c>
      <c r="W607" s="14"/>
    </row>
    <row r="608" spans="1:23" x14ac:dyDescent="0.25">
      <c r="A608" s="6"/>
      <c r="B608" s="33"/>
      <c r="C608" s="19"/>
      <c r="D608" s="59"/>
      <c r="E608" s="59"/>
      <c r="F608" s="41"/>
      <c r="G608" s="36"/>
      <c r="H608" s="10"/>
      <c r="I608" s="11"/>
      <c r="J608" s="13"/>
      <c r="K608" s="45"/>
      <c r="L608" s="37"/>
      <c r="M608" s="17"/>
      <c r="N608" s="11"/>
      <c r="O608" s="16"/>
      <c r="P608" s="16"/>
      <c r="Q608" s="18" t="str">
        <f t="shared" si="48"/>
        <v/>
      </c>
      <c r="R608" s="18" t="str">
        <f t="shared" si="49"/>
        <v/>
      </c>
      <c r="S608" s="18" t="str">
        <f t="shared" si="50"/>
        <v/>
      </c>
      <c r="T608" s="18" t="str">
        <f t="shared" si="51"/>
        <v/>
      </c>
      <c r="U608" s="18" t="str">
        <f t="shared" si="52"/>
        <v/>
      </c>
      <c r="V608" s="18" t="str">
        <f t="shared" si="53"/>
        <v/>
      </c>
      <c r="W608" s="14"/>
    </row>
    <row r="609" spans="1:23" ht="15" customHeight="1" x14ac:dyDescent="0.25">
      <c r="A609" s="6">
        <v>145</v>
      </c>
      <c r="B609" s="33" t="s">
        <v>233</v>
      </c>
      <c r="C609" s="44"/>
      <c r="D609" s="62">
        <v>2.8</v>
      </c>
      <c r="E609" s="62"/>
      <c r="F609" s="41"/>
      <c r="G609" s="36"/>
      <c r="H609" s="10">
        <v>20</v>
      </c>
      <c r="I609" s="11">
        <v>1</v>
      </c>
      <c r="J609" s="13">
        <v>3</v>
      </c>
      <c r="K609" s="45">
        <f>D609</f>
        <v>2.8</v>
      </c>
      <c r="L609" s="37" t="str">
        <f>IF(O609&lt;12,"0",0.049*H609)</f>
        <v>0</v>
      </c>
      <c r="M609" s="17">
        <v>0</v>
      </c>
      <c r="N609" s="11">
        <f>M609*2*H609/1000</f>
        <v>0</v>
      </c>
      <c r="O609" s="16">
        <f>(D609)-N609</f>
        <v>2.8</v>
      </c>
      <c r="P609" s="16">
        <f>(I609*J609*O609)+L609</f>
        <v>8.3999999999999986</v>
      </c>
      <c r="Q609" s="18" t="str">
        <f t="shared" si="48"/>
        <v/>
      </c>
      <c r="R609" s="18" t="str">
        <f t="shared" si="49"/>
        <v/>
      </c>
      <c r="S609" s="18" t="str">
        <f t="shared" si="50"/>
        <v/>
      </c>
      <c r="T609" s="18" t="str">
        <f t="shared" si="51"/>
        <v/>
      </c>
      <c r="U609" s="18">
        <f t="shared" si="52"/>
        <v>8.3999999999999986</v>
      </c>
      <c r="V609" s="18" t="str">
        <f t="shared" si="53"/>
        <v/>
      </c>
      <c r="W609" s="14"/>
    </row>
    <row r="610" spans="1:23" x14ac:dyDescent="0.25">
      <c r="A610" s="6"/>
      <c r="B610" s="33" t="s">
        <v>228</v>
      </c>
      <c r="C610" s="19"/>
      <c r="D610" s="59"/>
      <c r="E610" s="59"/>
      <c r="F610" s="41"/>
      <c r="G610" s="36"/>
      <c r="H610" s="10"/>
      <c r="I610" s="11"/>
      <c r="J610" s="13"/>
      <c r="K610" s="45"/>
      <c r="L610" s="37"/>
      <c r="M610" s="17"/>
      <c r="N610" s="11"/>
      <c r="O610" s="16"/>
      <c r="P610" s="16"/>
      <c r="Q610" s="18" t="str">
        <f t="shared" si="48"/>
        <v/>
      </c>
      <c r="R610" s="18" t="str">
        <f t="shared" si="49"/>
        <v/>
      </c>
      <c r="S610" s="18" t="str">
        <f t="shared" si="50"/>
        <v/>
      </c>
      <c r="T610" s="18" t="str">
        <f t="shared" si="51"/>
        <v/>
      </c>
      <c r="U610" s="18" t="str">
        <f t="shared" si="52"/>
        <v/>
      </c>
      <c r="V610" s="18" t="str">
        <f t="shared" si="53"/>
        <v/>
      </c>
      <c r="W610" s="14"/>
    </row>
    <row r="611" spans="1:23" x14ac:dyDescent="0.25">
      <c r="A611" s="6"/>
      <c r="B611" s="33"/>
      <c r="C611" s="19"/>
      <c r="D611" s="61"/>
      <c r="E611" s="61"/>
      <c r="F611" s="41"/>
      <c r="G611" s="36"/>
      <c r="H611" s="10"/>
      <c r="I611" s="11"/>
      <c r="J611" s="13"/>
      <c r="K611" s="45"/>
      <c r="L611" s="37"/>
      <c r="M611" s="17"/>
      <c r="N611" s="11"/>
      <c r="O611" s="16"/>
      <c r="P611" s="16"/>
      <c r="Q611" s="18" t="str">
        <f t="shared" si="48"/>
        <v/>
      </c>
      <c r="R611" s="18" t="str">
        <f t="shared" si="49"/>
        <v/>
      </c>
      <c r="S611" s="18" t="str">
        <f t="shared" si="50"/>
        <v/>
      </c>
      <c r="T611" s="18" t="str">
        <f t="shared" si="51"/>
        <v/>
      </c>
      <c r="U611" s="18" t="str">
        <f t="shared" si="52"/>
        <v/>
      </c>
      <c r="V611" s="18" t="str">
        <f t="shared" si="53"/>
        <v/>
      </c>
      <c r="W611" s="14"/>
    </row>
    <row r="612" spans="1:23" ht="15" customHeight="1" x14ac:dyDescent="0.25">
      <c r="A612" s="6">
        <v>146</v>
      </c>
      <c r="B612" s="33" t="s">
        <v>233</v>
      </c>
      <c r="C612" s="44"/>
      <c r="D612" s="62">
        <v>6.165</v>
      </c>
      <c r="E612" s="62"/>
      <c r="F612" s="41"/>
      <c r="G612" s="36"/>
      <c r="H612" s="10">
        <v>20</v>
      </c>
      <c r="I612" s="11">
        <v>1</v>
      </c>
      <c r="J612" s="13">
        <v>4</v>
      </c>
      <c r="K612" s="45">
        <f>D612</f>
        <v>6.165</v>
      </c>
      <c r="L612" s="37" t="str">
        <f>IF(O612&lt;12,"0",0.049*H612)</f>
        <v>0</v>
      </c>
      <c r="M612" s="17">
        <v>0</v>
      </c>
      <c r="N612" s="11">
        <f>M612*2*H612/1000</f>
        <v>0</v>
      </c>
      <c r="O612" s="16">
        <f>(D612)-N612</f>
        <v>6.165</v>
      </c>
      <c r="P612" s="16">
        <f>(I612*J612*O612)+L612</f>
        <v>24.66</v>
      </c>
      <c r="Q612" s="18" t="str">
        <f t="shared" si="48"/>
        <v/>
      </c>
      <c r="R612" s="18" t="str">
        <f t="shared" si="49"/>
        <v/>
      </c>
      <c r="S612" s="18" t="str">
        <f t="shared" si="50"/>
        <v/>
      </c>
      <c r="T612" s="18" t="str">
        <f t="shared" si="51"/>
        <v/>
      </c>
      <c r="U612" s="18">
        <f t="shared" si="52"/>
        <v>24.66</v>
      </c>
      <c r="V612" s="18" t="str">
        <f t="shared" si="53"/>
        <v/>
      </c>
      <c r="W612" s="14"/>
    </row>
    <row r="613" spans="1:23" x14ac:dyDescent="0.25">
      <c r="A613" s="6"/>
      <c r="B613" s="74" t="s">
        <v>236</v>
      </c>
      <c r="C613" s="19"/>
      <c r="D613" s="61"/>
      <c r="E613" s="61"/>
      <c r="F613" s="41"/>
      <c r="G613" s="36"/>
      <c r="H613" s="10"/>
      <c r="I613" s="11"/>
      <c r="J613" s="13"/>
      <c r="K613" s="45"/>
      <c r="L613" s="37"/>
      <c r="M613" s="17"/>
      <c r="N613" s="11"/>
      <c r="O613" s="16"/>
      <c r="P613" s="16"/>
      <c r="Q613" s="18" t="str">
        <f t="shared" si="48"/>
        <v/>
      </c>
      <c r="R613" s="18" t="str">
        <f t="shared" si="49"/>
        <v/>
      </c>
      <c r="S613" s="18" t="str">
        <f t="shared" si="50"/>
        <v/>
      </c>
      <c r="T613" s="18" t="str">
        <f t="shared" si="51"/>
        <v/>
      </c>
      <c r="U613" s="18" t="str">
        <f t="shared" si="52"/>
        <v/>
      </c>
      <c r="V613" s="18" t="str">
        <f t="shared" si="53"/>
        <v/>
      </c>
      <c r="W613" s="14"/>
    </row>
    <row r="614" spans="1:23" x14ac:dyDescent="0.25">
      <c r="A614" s="6"/>
      <c r="B614" s="33"/>
      <c r="C614" s="19"/>
      <c r="D614" s="52"/>
      <c r="E614" s="52"/>
      <c r="F614" s="41"/>
      <c r="G614" s="36"/>
      <c r="H614" s="10"/>
      <c r="I614" s="11"/>
      <c r="J614" s="13"/>
      <c r="K614" s="45"/>
      <c r="L614" s="37"/>
      <c r="M614" s="17"/>
      <c r="N614" s="11"/>
      <c r="O614" s="16"/>
      <c r="P614" s="16"/>
      <c r="Q614" s="18" t="str">
        <f t="shared" si="48"/>
        <v/>
      </c>
      <c r="R614" s="18" t="str">
        <f t="shared" si="49"/>
        <v/>
      </c>
      <c r="S614" s="18" t="str">
        <f t="shared" si="50"/>
        <v/>
      </c>
      <c r="T614" s="18" t="str">
        <f t="shared" si="51"/>
        <v/>
      </c>
      <c r="U614" s="18" t="str">
        <f t="shared" si="52"/>
        <v/>
      </c>
      <c r="V614" s="18" t="str">
        <f t="shared" si="53"/>
        <v/>
      </c>
      <c r="W614" s="14"/>
    </row>
    <row r="615" spans="1:23" x14ac:dyDescent="0.25">
      <c r="A615" s="6"/>
      <c r="B615" s="42" t="s">
        <v>93</v>
      </c>
      <c r="C615" s="19"/>
      <c r="D615" s="53"/>
      <c r="E615" s="53"/>
      <c r="F615" s="41"/>
      <c r="G615" s="36"/>
      <c r="H615" s="10"/>
      <c r="I615" s="11"/>
      <c r="J615" s="13"/>
      <c r="K615" s="45"/>
      <c r="L615" s="37"/>
      <c r="M615" s="17"/>
      <c r="N615" s="11"/>
      <c r="O615" s="16"/>
      <c r="P615" s="16"/>
      <c r="Q615" s="18" t="str">
        <f t="shared" ref="Q615:Q780" si="54">IF($H615=8,$P615,"")</f>
        <v/>
      </c>
      <c r="R615" s="18" t="str">
        <f t="shared" ref="R615:R780" si="55">IF($H615=10,$P615,"")</f>
        <v/>
      </c>
      <c r="S615" s="18" t="str">
        <f t="shared" ref="S615:S780" si="56">IF($H615=12,$P615,"")</f>
        <v/>
      </c>
      <c r="T615" s="18" t="str">
        <f t="shared" ref="T615:T780" si="57">IF($H615=16,$P615,"")</f>
        <v/>
      </c>
      <c r="U615" s="18" t="str">
        <f t="shared" ref="U615:U780" si="58">IF($H615=20,$P615,"")</f>
        <v/>
      </c>
      <c r="V615" s="18" t="str">
        <f t="shared" ref="V615:V780" si="59">IF($H615=25,$P615,"")</f>
        <v/>
      </c>
      <c r="W615" s="14"/>
    </row>
    <row r="616" spans="1:23" ht="15" customHeight="1" x14ac:dyDescent="0.25">
      <c r="A616" s="6">
        <v>1</v>
      </c>
      <c r="B616" s="33" t="s">
        <v>94</v>
      </c>
      <c r="C616" s="44"/>
      <c r="D616" s="62">
        <v>2.4249999999999998</v>
      </c>
      <c r="E616" s="62"/>
      <c r="F616" s="41"/>
      <c r="G616" s="36">
        <v>0.25</v>
      </c>
      <c r="H616" s="10">
        <v>20</v>
      </c>
      <c r="I616" s="11">
        <v>1</v>
      </c>
      <c r="J616" s="13">
        <f>ROUND(5.6/G616+1,0)</f>
        <v>23</v>
      </c>
      <c r="K616" s="45">
        <f>D616</f>
        <v>2.4249999999999998</v>
      </c>
      <c r="L616" s="37" t="str">
        <f>IF(O616&lt;12,"0",0.049*H616)</f>
        <v>0</v>
      </c>
      <c r="M616" s="17">
        <v>0</v>
      </c>
      <c r="N616" s="11">
        <f>M616*2*H616/1000</f>
        <v>0</v>
      </c>
      <c r="O616" s="16">
        <f>(D616)-N616</f>
        <v>2.4249999999999998</v>
      </c>
      <c r="P616" s="16">
        <f>(I616*J616*O616)+L616</f>
        <v>55.774999999999999</v>
      </c>
      <c r="Q616" s="18" t="str">
        <f t="shared" si="54"/>
        <v/>
      </c>
      <c r="R616" s="18" t="str">
        <f t="shared" si="55"/>
        <v/>
      </c>
      <c r="S616" s="18" t="str">
        <f t="shared" si="56"/>
        <v/>
      </c>
      <c r="T616" s="18" t="str">
        <f t="shared" si="57"/>
        <v/>
      </c>
      <c r="U616" s="18">
        <f t="shared" si="58"/>
        <v>55.774999999999999</v>
      </c>
      <c r="V616" s="18" t="str">
        <f t="shared" si="59"/>
        <v/>
      </c>
      <c r="W616" s="14"/>
    </row>
    <row r="617" spans="1:23" x14ac:dyDescent="0.25">
      <c r="A617" s="6"/>
      <c r="B617" s="33" t="s">
        <v>140</v>
      </c>
      <c r="C617" s="19"/>
      <c r="D617" s="53"/>
      <c r="E617" s="53"/>
      <c r="F617" s="41"/>
      <c r="G617" s="36"/>
      <c r="H617" s="10"/>
      <c r="I617" s="11"/>
      <c r="J617" s="13"/>
      <c r="K617" s="45"/>
      <c r="L617" s="37"/>
      <c r="M617" s="17"/>
      <c r="N617" s="11"/>
      <c r="O617" s="16"/>
      <c r="P617" s="16"/>
      <c r="Q617" s="18" t="str">
        <f t="shared" si="54"/>
        <v/>
      </c>
      <c r="R617" s="18" t="str">
        <f t="shared" si="55"/>
        <v/>
      </c>
      <c r="S617" s="18" t="str">
        <f t="shared" si="56"/>
        <v/>
      </c>
      <c r="T617" s="18" t="str">
        <f t="shared" si="57"/>
        <v/>
      </c>
      <c r="U617" s="18" t="str">
        <f t="shared" si="58"/>
        <v/>
      </c>
      <c r="V617" s="18" t="str">
        <f t="shared" si="59"/>
        <v/>
      </c>
      <c r="W617" s="14"/>
    </row>
    <row r="618" spans="1:23" x14ac:dyDescent="0.25">
      <c r="A618" s="6"/>
      <c r="B618" s="50"/>
      <c r="C618" s="19"/>
      <c r="D618" s="53"/>
      <c r="E618" s="53"/>
      <c r="F618" s="41"/>
      <c r="G618" s="36"/>
      <c r="H618" s="10"/>
      <c r="I618" s="11"/>
      <c r="J618" s="13"/>
      <c r="K618" s="45"/>
      <c r="L618" s="37"/>
      <c r="M618" s="17"/>
      <c r="N618" s="11"/>
      <c r="O618" s="16"/>
      <c r="P618" s="16"/>
      <c r="Q618" s="18" t="str">
        <f t="shared" si="54"/>
        <v/>
      </c>
      <c r="R618" s="18" t="str">
        <f t="shared" si="55"/>
        <v/>
      </c>
      <c r="S618" s="18" t="str">
        <f t="shared" si="56"/>
        <v/>
      </c>
      <c r="T618" s="18" t="str">
        <f t="shared" si="57"/>
        <v/>
      </c>
      <c r="U618" s="18" t="str">
        <f t="shared" si="58"/>
        <v/>
      </c>
      <c r="V618" s="18" t="str">
        <f t="shared" si="59"/>
        <v/>
      </c>
      <c r="W618" s="14"/>
    </row>
    <row r="619" spans="1:23" ht="15" customHeight="1" x14ac:dyDescent="0.25">
      <c r="A619" s="6">
        <v>2</v>
      </c>
      <c r="B619" s="33" t="s">
        <v>95</v>
      </c>
      <c r="C619" s="44"/>
      <c r="D619" s="62">
        <v>3.95</v>
      </c>
      <c r="E619" s="62"/>
      <c r="F619" s="41"/>
      <c r="G619" s="36">
        <v>0.25</v>
      </c>
      <c r="H619" s="10">
        <v>16</v>
      </c>
      <c r="I619" s="11">
        <v>1</v>
      </c>
      <c r="J619" s="13">
        <f>ROUND(2.425/G619+1,0)</f>
        <v>11</v>
      </c>
      <c r="K619" s="45">
        <f>D619</f>
        <v>3.95</v>
      </c>
      <c r="L619" s="37" t="str">
        <f>IF(O619&lt;12,"0",0.049*H619)</f>
        <v>0</v>
      </c>
      <c r="M619" s="17">
        <v>0</v>
      </c>
      <c r="N619" s="11">
        <f>M619*2*H619/1000</f>
        <v>0</v>
      </c>
      <c r="O619" s="16">
        <f>(D619)-N619</f>
        <v>3.95</v>
      </c>
      <c r="P619" s="16">
        <f>(I619*J619*O619)+L619</f>
        <v>43.45</v>
      </c>
      <c r="Q619" s="18" t="str">
        <f t="shared" si="54"/>
        <v/>
      </c>
      <c r="R619" s="18" t="str">
        <f t="shared" si="55"/>
        <v/>
      </c>
      <c r="S619" s="18" t="str">
        <f t="shared" si="56"/>
        <v/>
      </c>
      <c r="T619" s="18">
        <f t="shared" si="57"/>
        <v>43.45</v>
      </c>
      <c r="U619" s="18" t="str">
        <f t="shared" si="58"/>
        <v/>
      </c>
      <c r="V619" s="18" t="str">
        <f t="shared" si="59"/>
        <v/>
      </c>
      <c r="W619" s="14"/>
    </row>
    <row r="620" spans="1:23" x14ac:dyDescent="0.25">
      <c r="A620" s="6"/>
      <c r="B620" s="33" t="s">
        <v>140</v>
      </c>
      <c r="C620" s="19"/>
      <c r="D620" s="53"/>
      <c r="E620" s="53"/>
      <c r="F620" s="41"/>
      <c r="G620" s="36"/>
      <c r="H620" s="10"/>
      <c r="I620" s="11"/>
      <c r="J620" s="13"/>
      <c r="K620" s="45"/>
      <c r="L620" s="37"/>
      <c r="M620" s="17"/>
      <c r="N620" s="11"/>
      <c r="O620" s="16"/>
      <c r="P620" s="16"/>
      <c r="Q620" s="18" t="str">
        <f t="shared" si="54"/>
        <v/>
      </c>
      <c r="R620" s="18" t="str">
        <f t="shared" si="55"/>
        <v/>
      </c>
      <c r="S620" s="18" t="str">
        <f t="shared" si="56"/>
        <v/>
      </c>
      <c r="T620" s="18" t="str">
        <f t="shared" si="57"/>
        <v/>
      </c>
      <c r="U620" s="18" t="str">
        <f t="shared" si="58"/>
        <v/>
      </c>
      <c r="V620" s="18" t="str">
        <f t="shared" si="59"/>
        <v/>
      </c>
      <c r="W620" s="14"/>
    </row>
    <row r="621" spans="1:23" x14ac:dyDescent="0.25">
      <c r="A621" s="6"/>
      <c r="B621" s="50"/>
      <c r="C621" s="19"/>
      <c r="D621" s="53"/>
      <c r="E621" s="53"/>
      <c r="F621" s="41"/>
      <c r="G621" s="36"/>
      <c r="H621" s="10"/>
      <c r="I621" s="11"/>
      <c r="J621" s="13"/>
      <c r="K621" s="45"/>
      <c r="L621" s="37"/>
      <c r="M621" s="17"/>
      <c r="N621" s="11"/>
      <c r="O621" s="16"/>
      <c r="P621" s="16"/>
      <c r="Q621" s="18" t="str">
        <f t="shared" si="54"/>
        <v/>
      </c>
      <c r="R621" s="18" t="str">
        <f t="shared" si="55"/>
        <v/>
      </c>
      <c r="S621" s="18" t="str">
        <f t="shared" si="56"/>
        <v/>
      </c>
      <c r="T621" s="18" t="str">
        <f t="shared" si="57"/>
        <v/>
      </c>
      <c r="U621" s="18" t="str">
        <f t="shared" si="58"/>
        <v/>
      </c>
      <c r="V621" s="18" t="str">
        <f t="shared" si="59"/>
        <v/>
      </c>
      <c r="W621" s="14"/>
    </row>
    <row r="622" spans="1:23" ht="15" customHeight="1" x14ac:dyDescent="0.25">
      <c r="A622" s="6">
        <v>3</v>
      </c>
      <c r="B622" s="33" t="s">
        <v>94</v>
      </c>
      <c r="C622" s="44"/>
      <c r="D622" s="62">
        <v>2.2000000000000002</v>
      </c>
      <c r="E622" s="62"/>
      <c r="F622" s="41"/>
      <c r="G622" s="36">
        <v>0.25</v>
      </c>
      <c r="H622" s="10">
        <v>10</v>
      </c>
      <c r="I622" s="11">
        <v>1</v>
      </c>
      <c r="J622" s="13">
        <f>ROUND(7.515/G622+1,0)</f>
        <v>31</v>
      </c>
      <c r="K622" s="45">
        <f>D622</f>
        <v>2.2000000000000002</v>
      </c>
      <c r="L622" s="37" t="str">
        <f>IF(O622&lt;12,"0",0.049*H622)</f>
        <v>0</v>
      </c>
      <c r="M622" s="17">
        <v>0</v>
      </c>
      <c r="N622" s="11">
        <f>M622*2*H622/1000</f>
        <v>0</v>
      </c>
      <c r="O622" s="16">
        <f>(D622)-N622</f>
        <v>2.2000000000000002</v>
      </c>
      <c r="P622" s="16">
        <f>(I622*J622*O622)+L622</f>
        <v>68.2</v>
      </c>
      <c r="Q622" s="18" t="str">
        <f t="shared" si="54"/>
        <v/>
      </c>
      <c r="R622" s="18">
        <f t="shared" si="55"/>
        <v>68.2</v>
      </c>
      <c r="S622" s="18" t="str">
        <f t="shared" si="56"/>
        <v/>
      </c>
      <c r="T622" s="18" t="str">
        <f t="shared" si="57"/>
        <v/>
      </c>
      <c r="U622" s="18" t="str">
        <f t="shared" si="58"/>
        <v/>
      </c>
      <c r="V622" s="18" t="str">
        <f t="shared" si="59"/>
        <v/>
      </c>
      <c r="W622" s="14"/>
    </row>
    <row r="623" spans="1:23" x14ac:dyDescent="0.25">
      <c r="A623" s="6"/>
      <c r="B623" s="33" t="s">
        <v>141</v>
      </c>
      <c r="C623" s="19"/>
      <c r="D623" s="53"/>
      <c r="E623" s="53"/>
      <c r="F623" s="41"/>
      <c r="G623" s="36"/>
      <c r="H623" s="10"/>
      <c r="I623" s="11"/>
      <c r="J623" s="13"/>
      <c r="K623" s="45"/>
      <c r="L623" s="37"/>
      <c r="M623" s="17"/>
      <c r="N623" s="11"/>
      <c r="O623" s="16"/>
      <c r="P623" s="16"/>
      <c r="Q623" s="18" t="str">
        <f t="shared" si="54"/>
        <v/>
      </c>
      <c r="R623" s="18" t="str">
        <f t="shared" si="55"/>
        <v/>
      </c>
      <c r="S623" s="18" t="str">
        <f t="shared" si="56"/>
        <v/>
      </c>
      <c r="T623" s="18" t="str">
        <f t="shared" si="57"/>
        <v/>
      </c>
      <c r="U623" s="18" t="str">
        <f t="shared" si="58"/>
        <v/>
      </c>
      <c r="V623" s="18" t="str">
        <f t="shared" si="59"/>
        <v/>
      </c>
      <c r="W623" s="14"/>
    </row>
    <row r="624" spans="1:23" x14ac:dyDescent="0.25">
      <c r="A624" s="6"/>
      <c r="B624" s="50"/>
      <c r="C624" s="19"/>
      <c r="D624" s="53"/>
      <c r="E624" s="53"/>
      <c r="F624" s="41"/>
      <c r="G624" s="36"/>
      <c r="H624" s="10"/>
      <c r="I624" s="11"/>
      <c r="J624" s="13"/>
      <c r="K624" s="45"/>
      <c r="L624" s="37"/>
      <c r="M624" s="17"/>
      <c r="N624" s="11"/>
      <c r="O624" s="16"/>
      <c r="P624" s="16"/>
      <c r="Q624" s="18" t="str">
        <f t="shared" si="54"/>
        <v/>
      </c>
      <c r="R624" s="18" t="str">
        <f t="shared" si="55"/>
        <v/>
      </c>
      <c r="S624" s="18" t="str">
        <f t="shared" si="56"/>
        <v/>
      </c>
      <c r="T624" s="18" t="str">
        <f t="shared" si="57"/>
        <v/>
      </c>
      <c r="U624" s="18" t="str">
        <f t="shared" si="58"/>
        <v/>
      </c>
      <c r="V624" s="18" t="str">
        <f t="shared" si="59"/>
        <v/>
      </c>
      <c r="W624" s="14"/>
    </row>
    <row r="625" spans="1:23" ht="15" customHeight="1" x14ac:dyDescent="0.25">
      <c r="A625" s="6">
        <v>4</v>
      </c>
      <c r="B625" s="33" t="s">
        <v>95</v>
      </c>
      <c r="C625" s="44"/>
      <c r="D625" s="62">
        <v>6.165</v>
      </c>
      <c r="E625" s="62"/>
      <c r="F625" s="41"/>
      <c r="G625" s="36">
        <v>0.25</v>
      </c>
      <c r="H625" s="10">
        <v>16</v>
      </c>
      <c r="I625" s="11">
        <v>1</v>
      </c>
      <c r="J625" s="13">
        <f>ROUND(2.2/G625+1,0)</f>
        <v>10</v>
      </c>
      <c r="K625" s="45">
        <f>D625</f>
        <v>6.165</v>
      </c>
      <c r="L625" s="37" t="str">
        <f>IF(O625&lt;12,"0",0.049*H625)</f>
        <v>0</v>
      </c>
      <c r="M625" s="17">
        <v>0</v>
      </c>
      <c r="N625" s="11">
        <f>M625*2*H625/1000</f>
        <v>0</v>
      </c>
      <c r="O625" s="16">
        <f>(D625)-N625</f>
        <v>6.165</v>
      </c>
      <c r="P625" s="16">
        <f>(I625*J625*O625)+L625</f>
        <v>61.65</v>
      </c>
      <c r="Q625" s="18" t="str">
        <f t="shared" si="54"/>
        <v/>
      </c>
      <c r="R625" s="18" t="str">
        <f t="shared" si="55"/>
        <v/>
      </c>
      <c r="S625" s="18" t="str">
        <f t="shared" si="56"/>
        <v/>
      </c>
      <c r="T625" s="18">
        <f t="shared" si="57"/>
        <v>61.65</v>
      </c>
      <c r="U625" s="18" t="str">
        <f t="shared" si="58"/>
        <v/>
      </c>
      <c r="V625" s="18" t="str">
        <f t="shared" si="59"/>
        <v/>
      </c>
      <c r="W625" s="14"/>
    </row>
    <row r="626" spans="1:23" x14ac:dyDescent="0.25">
      <c r="A626" s="6"/>
      <c r="B626" s="33" t="s">
        <v>141</v>
      </c>
      <c r="C626" s="19"/>
      <c r="D626" s="53"/>
      <c r="E626" s="53"/>
      <c r="F626" s="41"/>
      <c r="G626" s="36"/>
      <c r="H626" s="10"/>
      <c r="I626" s="11"/>
      <c r="J626" s="13"/>
      <c r="K626" s="45"/>
      <c r="L626" s="37"/>
      <c r="M626" s="17"/>
      <c r="N626" s="11"/>
      <c r="O626" s="16"/>
      <c r="P626" s="16"/>
      <c r="Q626" s="18" t="str">
        <f t="shared" si="54"/>
        <v/>
      </c>
      <c r="R626" s="18" t="str">
        <f t="shared" si="55"/>
        <v/>
      </c>
      <c r="S626" s="18" t="str">
        <f t="shared" si="56"/>
        <v/>
      </c>
      <c r="T626" s="18" t="str">
        <f t="shared" si="57"/>
        <v/>
      </c>
      <c r="U626" s="18" t="str">
        <f t="shared" si="58"/>
        <v/>
      </c>
      <c r="V626" s="18" t="str">
        <f t="shared" si="59"/>
        <v/>
      </c>
      <c r="W626" s="14"/>
    </row>
    <row r="627" spans="1:23" x14ac:dyDescent="0.25">
      <c r="A627" s="6"/>
      <c r="B627" s="50"/>
      <c r="C627" s="19"/>
      <c r="D627" s="53"/>
      <c r="E627" s="53"/>
      <c r="F627" s="41"/>
      <c r="G627" s="36"/>
      <c r="H627" s="10"/>
      <c r="I627" s="11"/>
      <c r="J627" s="13"/>
      <c r="K627" s="45"/>
      <c r="L627" s="37"/>
      <c r="M627" s="17"/>
      <c r="N627" s="11"/>
      <c r="O627" s="16"/>
      <c r="P627" s="16"/>
      <c r="Q627" s="18" t="str">
        <f t="shared" si="54"/>
        <v/>
      </c>
      <c r="R627" s="18" t="str">
        <f t="shared" si="55"/>
        <v/>
      </c>
      <c r="S627" s="18" t="str">
        <f t="shared" si="56"/>
        <v/>
      </c>
      <c r="T627" s="18" t="str">
        <f t="shared" si="57"/>
        <v/>
      </c>
      <c r="U627" s="18" t="str">
        <f t="shared" si="58"/>
        <v/>
      </c>
      <c r="V627" s="18" t="str">
        <f t="shared" si="59"/>
        <v/>
      </c>
      <c r="W627" s="14"/>
    </row>
    <row r="628" spans="1:23" ht="15" customHeight="1" x14ac:dyDescent="0.25">
      <c r="A628" s="6">
        <v>5</v>
      </c>
      <c r="B628" s="33" t="s">
        <v>94</v>
      </c>
      <c r="C628" s="44"/>
      <c r="D628" s="62">
        <v>4.5199999999999996</v>
      </c>
      <c r="E628" s="62"/>
      <c r="F628" s="41"/>
      <c r="G628" s="36">
        <v>0.25</v>
      </c>
      <c r="H628" s="10">
        <v>12</v>
      </c>
      <c r="I628" s="11">
        <v>1</v>
      </c>
      <c r="J628" s="13">
        <f>ROUND(3.12/G628+1,0)</f>
        <v>13</v>
      </c>
      <c r="K628" s="45">
        <f>D628</f>
        <v>4.5199999999999996</v>
      </c>
      <c r="L628" s="37" t="str">
        <f>IF(O628&lt;12,"0",0.049*H628)</f>
        <v>0</v>
      </c>
      <c r="M628" s="17">
        <v>0</v>
      </c>
      <c r="N628" s="11">
        <f>M628*2*H628/1000</f>
        <v>0</v>
      </c>
      <c r="O628" s="16">
        <f>(D628)-N628</f>
        <v>4.5199999999999996</v>
      </c>
      <c r="P628" s="16">
        <f>(I628*J628*O628)+L628</f>
        <v>58.759999999999991</v>
      </c>
      <c r="Q628" s="18" t="str">
        <f t="shared" si="54"/>
        <v/>
      </c>
      <c r="R628" s="18" t="str">
        <f t="shared" si="55"/>
        <v/>
      </c>
      <c r="S628" s="18">
        <f t="shared" si="56"/>
        <v>58.759999999999991</v>
      </c>
      <c r="T628" s="18" t="str">
        <f t="shared" si="57"/>
        <v/>
      </c>
      <c r="U628" s="18" t="str">
        <f t="shared" si="58"/>
        <v/>
      </c>
      <c r="V628" s="18" t="str">
        <f t="shared" si="59"/>
        <v/>
      </c>
      <c r="W628" s="14"/>
    </row>
    <row r="629" spans="1:23" x14ac:dyDescent="0.25">
      <c r="A629" s="6"/>
      <c r="B629" s="33" t="s">
        <v>142</v>
      </c>
      <c r="C629" s="19"/>
      <c r="D629" s="53"/>
      <c r="E629" s="53"/>
      <c r="F629" s="41"/>
      <c r="G629" s="36"/>
      <c r="H629" s="10"/>
      <c r="I629" s="11"/>
      <c r="J629" s="13"/>
      <c r="K629" s="45"/>
      <c r="L629" s="37"/>
      <c r="M629" s="17"/>
      <c r="N629" s="11"/>
      <c r="O629" s="16"/>
      <c r="P629" s="16"/>
      <c r="Q629" s="18" t="str">
        <f t="shared" si="54"/>
        <v/>
      </c>
      <c r="R629" s="18" t="str">
        <f t="shared" si="55"/>
        <v/>
      </c>
      <c r="S629" s="18" t="str">
        <f t="shared" si="56"/>
        <v/>
      </c>
      <c r="T629" s="18" t="str">
        <f t="shared" si="57"/>
        <v/>
      </c>
      <c r="U629" s="18" t="str">
        <f t="shared" si="58"/>
        <v/>
      </c>
      <c r="V629" s="18" t="str">
        <f t="shared" si="59"/>
        <v/>
      </c>
      <c r="W629" s="14"/>
    </row>
    <row r="630" spans="1:23" x14ac:dyDescent="0.25">
      <c r="A630" s="6"/>
      <c r="B630" s="50"/>
      <c r="C630" s="19"/>
      <c r="D630" s="53"/>
      <c r="E630" s="53"/>
      <c r="F630" s="41"/>
      <c r="G630" s="36"/>
      <c r="H630" s="10"/>
      <c r="I630" s="11"/>
      <c r="J630" s="13"/>
      <c r="K630" s="45"/>
      <c r="L630" s="37"/>
      <c r="M630" s="17"/>
      <c r="N630" s="11"/>
      <c r="O630" s="16"/>
      <c r="P630" s="16"/>
      <c r="Q630" s="18" t="str">
        <f t="shared" si="54"/>
        <v/>
      </c>
      <c r="R630" s="18" t="str">
        <f t="shared" si="55"/>
        <v/>
      </c>
      <c r="S630" s="18" t="str">
        <f t="shared" si="56"/>
        <v/>
      </c>
      <c r="T630" s="18" t="str">
        <f t="shared" si="57"/>
        <v/>
      </c>
      <c r="U630" s="18" t="str">
        <f t="shared" si="58"/>
        <v/>
      </c>
      <c r="V630" s="18" t="str">
        <f t="shared" si="59"/>
        <v/>
      </c>
      <c r="W630" s="14"/>
    </row>
    <row r="631" spans="1:23" ht="15" customHeight="1" x14ac:dyDescent="0.25">
      <c r="A631" s="6">
        <v>6</v>
      </c>
      <c r="B631" s="33" t="s">
        <v>94</v>
      </c>
      <c r="C631" s="44"/>
      <c r="D631" s="62">
        <v>2.2749999999999999</v>
      </c>
      <c r="E631" s="62"/>
      <c r="F631" s="41"/>
      <c r="G631" s="36">
        <v>0.25</v>
      </c>
      <c r="H631" s="10">
        <v>10</v>
      </c>
      <c r="I631" s="11">
        <v>1</v>
      </c>
      <c r="J631" s="13">
        <f>ROUND(5.355/G631+1,0)</f>
        <v>22</v>
      </c>
      <c r="K631" s="45">
        <f>D631</f>
        <v>2.2749999999999999</v>
      </c>
      <c r="L631" s="37" t="str">
        <f>IF(O631&lt;12,"0",0.049*H631)</f>
        <v>0</v>
      </c>
      <c r="M631" s="17">
        <v>0</v>
      </c>
      <c r="N631" s="11">
        <f>M631*2*H631/1000</f>
        <v>0</v>
      </c>
      <c r="O631" s="16">
        <f>(D631)-N631</f>
        <v>2.2749999999999999</v>
      </c>
      <c r="P631" s="16">
        <f>(I631*J631*O631)+L631</f>
        <v>50.05</v>
      </c>
      <c r="Q631" s="18" t="str">
        <f t="shared" si="54"/>
        <v/>
      </c>
      <c r="R631" s="18">
        <f t="shared" si="55"/>
        <v>50.05</v>
      </c>
      <c r="S631" s="18" t="str">
        <f t="shared" si="56"/>
        <v/>
      </c>
      <c r="T631" s="18" t="str">
        <f t="shared" si="57"/>
        <v/>
      </c>
      <c r="U631" s="18" t="str">
        <f t="shared" si="58"/>
        <v/>
      </c>
      <c r="V631" s="18" t="str">
        <f t="shared" si="59"/>
        <v/>
      </c>
      <c r="W631" s="14"/>
    </row>
    <row r="632" spans="1:23" x14ac:dyDescent="0.25">
      <c r="A632" s="6"/>
      <c r="B632" s="33" t="s">
        <v>143</v>
      </c>
      <c r="C632" s="19"/>
      <c r="D632" s="53"/>
      <c r="E632" s="53"/>
      <c r="F632" s="41"/>
      <c r="G632" s="36"/>
      <c r="H632" s="10"/>
      <c r="I632" s="11"/>
      <c r="J632" s="13"/>
      <c r="K632" s="45"/>
      <c r="L632" s="37"/>
      <c r="M632" s="17"/>
      <c r="N632" s="11"/>
      <c r="O632" s="16"/>
      <c r="P632" s="16"/>
      <c r="Q632" s="18" t="str">
        <f t="shared" si="54"/>
        <v/>
      </c>
      <c r="R632" s="18" t="str">
        <f t="shared" si="55"/>
        <v/>
      </c>
      <c r="S632" s="18" t="str">
        <f t="shared" si="56"/>
        <v/>
      </c>
      <c r="T632" s="18" t="str">
        <f t="shared" si="57"/>
        <v/>
      </c>
      <c r="U632" s="18" t="str">
        <f t="shared" si="58"/>
        <v/>
      </c>
      <c r="V632" s="18" t="str">
        <f t="shared" si="59"/>
        <v/>
      </c>
      <c r="W632" s="14"/>
    </row>
    <row r="633" spans="1:23" x14ac:dyDescent="0.25">
      <c r="A633" s="6"/>
      <c r="B633" s="50"/>
      <c r="C633" s="19"/>
      <c r="D633" s="53"/>
      <c r="E633" s="53"/>
      <c r="F633" s="41"/>
      <c r="G633" s="36"/>
      <c r="H633" s="10"/>
      <c r="I633" s="11"/>
      <c r="J633" s="13"/>
      <c r="K633" s="45"/>
      <c r="L633" s="37"/>
      <c r="M633" s="17"/>
      <c r="N633" s="11"/>
      <c r="O633" s="16"/>
      <c r="P633" s="16"/>
      <c r="Q633" s="18" t="str">
        <f t="shared" si="54"/>
        <v/>
      </c>
      <c r="R633" s="18" t="str">
        <f t="shared" si="55"/>
        <v/>
      </c>
      <c r="S633" s="18" t="str">
        <f t="shared" si="56"/>
        <v/>
      </c>
      <c r="T633" s="18" t="str">
        <f t="shared" si="57"/>
        <v/>
      </c>
      <c r="U633" s="18" t="str">
        <f t="shared" si="58"/>
        <v/>
      </c>
      <c r="V633" s="18" t="str">
        <f t="shared" si="59"/>
        <v/>
      </c>
      <c r="W633" s="14"/>
    </row>
    <row r="634" spans="1:23" ht="15" customHeight="1" x14ac:dyDescent="0.25">
      <c r="A634" s="6">
        <v>7</v>
      </c>
      <c r="B634" s="33" t="s">
        <v>95</v>
      </c>
      <c r="C634" s="44"/>
      <c r="D634" s="62">
        <v>5.3550000000000004</v>
      </c>
      <c r="E634" s="62"/>
      <c r="F634" s="41"/>
      <c r="G634" s="36">
        <v>0.25</v>
      </c>
      <c r="H634" s="10">
        <v>12</v>
      </c>
      <c r="I634" s="11">
        <v>1</v>
      </c>
      <c r="J634" s="13">
        <f>ROUND(2.275/G634+1,0)</f>
        <v>10</v>
      </c>
      <c r="K634" s="45">
        <f>D634</f>
        <v>5.3550000000000004</v>
      </c>
      <c r="L634" s="37" t="str">
        <f>IF(O634&lt;12,"0",0.049*H634)</f>
        <v>0</v>
      </c>
      <c r="M634" s="17">
        <v>0</v>
      </c>
      <c r="N634" s="11">
        <f>M634*2*H634/1000</f>
        <v>0</v>
      </c>
      <c r="O634" s="16">
        <f>(D634)-N634</f>
        <v>5.3550000000000004</v>
      </c>
      <c r="P634" s="16">
        <f>(I634*J634*O634)+L634</f>
        <v>53.550000000000004</v>
      </c>
      <c r="Q634" s="18" t="str">
        <f t="shared" si="54"/>
        <v/>
      </c>
      <c r="R634" s="18" t="str">
        <f t="shared" si="55"/>
        <v/>
      </c>
      <c r="S634" s="18">
        <f t="shared" si="56"/>
        <v>53.550000000000004</v>
      </c>
      <c r="T634" s="18" t="str">
        <f t="shared" si="57"/>
        <v/>
      </c>
      <c r="U634" s="18" t="str">
        <f t="shared" si="58"/>
        <v/>
      </c>
      <c r="V634" s="18" t="str">
        <f t="shared" si="59"/>
        <v/>
      </c>
      <c r="W634" s="14"/>
    </row>
    <row r="635" spans="1:23" x14ac:dyDescent="0.25">
      <c r="A635" s="6"/>
      <c r="B635" s="33" t="s">
        <v>143</v>
      </c>
      <c r="C635" s="19"/>
      <c r="D635" s="53"/>
      <c r="E635" s="53"/>
      <c r="F635" s="41"/>
      <c r="G635" s="36"/>
      <c r="H635" s="10"/>
      <c r="I635" s="11"/>
      <c r="J635" s="13"/>
      <c r="K635" s="45"/>
      <c r="L635" s="37"/>
      <c r="M635" s="17"/>
      <c r="N635" s="11"/>
      <c r="O635" s="16"/>
      <c r="P635" s="16"/>
      <c r="Q635" s="18" t="str">
        <f t="shared" si="54"/>
        <v/>
      </c>
      <c r="R635" s="18" t="str">
        <f t="shared" si="55"/>
        <v/>
      </c>
      <c r="S635" s="18" t="str">
        <f t="shared" si="56"/>
        <v/>
      </c>
      <c r="T635" s="18" t="str">
        <f t="shared" si="57"/>
        <v/>
      </c>
      <c r="U635" s="18" t="str">
        <f t="shared" si="58"/>
        <v/>
      </c>
      <c r="V635" s="18" t="str">
        <f t="shared" si="59"/>
        <v/>
      </c>
      <c r="W635" s="14"/>
    </row>
    <row r="636" spans="1:23" x14ac:dyDescent="0.25">
      <c r="A636" s="6"/>
      <c r="B636" s="50"/>
      <c r="C636" s="19"/>
      <c r="D636" s="53"/>
      <c r="E636" s="53"/>
      <c r="F636" s="41"/>
      <c r="G636" s="36"/>
      <c r="H636" s="10"/>
      <c r="I636" s="11"/>
      <c r="J636" s="13"/>
      <c r="K636" s="45"/>
      <c r="L636" s="37"/>
      <c r="M636" s="17"/>
      <c r="N636" s="11"/>
      <c r="O636" s="16"/>
      <c r="P636" s="16"/>
      <c r="Q636" s="18" t="str">
        <f t="shared" si="54"/>
        <v/>
      </c>
      <c r="R636" s="18" t="str">
        <f t="shared" si="55"/>
        <v/>
      </c>
      <c r="S636" s="18" t="str">
        <f t="shared" si="56"/>
        <v/>
      </c>
      <c r="T636" s="18" t="str">
        <f t="shared" si="57"/>
        <v/>
      </c>
      <c r="U636" s="18" t="str">
        <f t="shared" si="58"/>
        <v/>
      </c>
      <c r="V636" s="18" t="str">
        <f t="shared" si="59"/>
        <v/>
      </c>
      <c r="W636" s="14"/>
    </row>
    <row r="637" spans="1:23" ht="15" customHeight="1" x14ac:dyDescent="0.25">
      <c r="A637" s="6">
        <v>8</v>
      </c>
      <c r="B637" s="33" t="s">
        <v>94</v>
      </c>
      <c r="C637" s="44"/>
      <c r="D637" s="62">
        <v>2.4500000000000002</v>
      </c>
      <c r="E637" s="62"/>
      <c r="F637" s="41"/>
      <c r="G637" s="36">
        <v>0.25</v>
      </c>
      <c r="H637" s="10">
        <v>12</v>
      </c>
      <c r="I637" s="11">
        <v>1</v>
      </c>
      <c r="J637" s="13">
        <f>ROUND(2.33/G637+1,0)</f>
        <v>10</v>
      </c>
      <c r="K637" s="45">
        <f>D637</f>
        <v>2.4500000000000002</v>
      </c>
      <c r="L637" s="37" t="str">
        <f>IF(O637&lt;12,"0",0.049*H637)</f>
        <v>0</v>
      </c>
      <c r="M637" s="17">
        <v>0</v>
      </c>
      <c r="N637" s="11">
        <f>M637*2*H637/1000</f>
        <v>0</v>
      </c>
      <c r="O637" s="16">
        <f>(D637)-N637</f>
        <v>2.4500000000000002</v>
      </c>
      <c r="P637" s="16">
        <f>(I637*J637*O637)+L637</f>
        <v>24.5</v>
      </c>
      <c r="Q637" s="18" t="str">
        <f t="shared" si="54"/>
        <v/>
      </c>
      <c r="R637" s="18" t="str">
        <f t="shared" si="55"/>
        <v/>
      </c>
      <c r="S637" s="18">
        <f t="shared" si="56"/>
        <v>24.5</v>
      </c>
      <c r="T637" s="18" t="str">
        <f t="shared" si="57"/>
        <v/>
      </c>
      <c r="U637" s="18" t="str">
        <f t="shared" si="58"/>
        <v/>
      </c>
      <c r="V637" s="18" t="str">
        <f t="shared" si="59"/>
        <v/>
      </c>
      <c r="W637" s="14"/>
    </row>
    <row r="638" spans="1:23" x14ac:dyDescent="0.25">
      <c r="A638" s="6"/>
      <c r="B638" s="33" t="s">
        <v>144</v>
      </c>
      <c r="C638" s="19"/>
      <c r="D638" s="53"/>
      <c r="E638" s="53"/>
      <c r="F638" s="41"/>
      <c r="G638" s="36"/>
      <c r="H638" s="10"/>
      <c r="I638" s="11"/>
      <c r="J638" s="13"/>
      <c r="K638" s="45"/>
      <c r="L638" s="37"/>
      <c r="M638" s="17"/>
      <c r="N638" s="11"/>
      <c r="O638" s="16"/>
      <c r="P638" s="16"/>
      <c r="Q638" s="18" t="str">
        <f t="shared" si="54"/>
        <v/>
      </c>
      <c r="R638" s="18" t="str">
        <f t="shared" si="55"/>
        <v/>
      </c>
      <c r="S638" s="18" t="str">
        <f t="shared" si="56"/>
        <v/>
      </c>
      <c r="T638" s="18" t="str">
        <f t="shared" si="57"/>
        <v/>
      </c>
      <c r="U638" s="18" t="str">
        <f t="shared" si="58"/>
        <v/>
      </c>
      <c r="V638" s="18" t="str">
        <f t="shared" si="59"/>
        <v/>
      </c>
      <c r="W638" s="14"/>
    </row>
    <row r="639" spans="1:23" x14ac:dyDescent="0.25">
      <c r="A639" s="6"/>
      <c r="B639" s="50"/>
      <c r="C639" s="19"/>
      <c r="D639" s="53"/>
      <c r="E639" s="53"/>
      <c r="F639" s="41"/>
      <c r="G639" s="36"/>
      <c r="H639" s="10"/>
      <c r="I639" s="11"/>
      <c r="J639" s="13"/>
      <c r="K639" s="45"/>
      <c r="L639" s="37"/>
      <c r="M639" s="17"/>
      <c r="N639" s="11"/>
      <c r="O639" s="16"/>
      <c r="P639" s="16"/>
      <c r="Q639" s="18" t="str">
        <f t="shared" si="54"/>
        <v/>
      </c>
      <c r="R639" s="18" t="str">
        <f t="shared" si="55"/>
        <v/>
      </c>
      <c r="S639" s="18" t="str">
        <f t="shared" si="56"/>
        <v/>
      </c>
      <c r="T639" s="18" t="str">
        <f t="shared" si="57"/>
        <v/>
      </c>
      <c r="U639" s="18" t="str">
        <f t="shared" si="58"/>
        <v/>
      </c>
      <c r="V639" s="18" t="str">
        <f t="shared" si="59"/>
        <v/>
      </c>
      <c r="W639" s="14"/>
    </row>
    <row r="640" spans="1:23" ht="15" customHeight="1" x14ac:dyDescent="0.25">
      <c r="A640" s="6">
        <v>9</v>
      </c>
      <c r="B640" s="33" t="s">
        <v>94</v>
      </c>
      <c r="C640" s="44"/>
      <c r="D640" s="62">
        <v>4.09</v>
      </c>
      <c r="E640" s="62"/>
      <c r="F640" s="41"/>
      <c r="G640" s="36">
        <v>0.25</v>
      </c>
      <c r="H640" s="10">
        <v>12</v>
      </c>
      <c r="I640" s="11">
        <v>1</v>
      </c>
      <c r="J640" s="13">
        <f>ROUND(5.8/G640+1,0)</f>
        <v>24</v>
      </c>
      <c r="K640" s="45">
        <f>D640</f>
        <v>4.09</v>
      </c>
      <c r="L640" s="37" t="str">
        <f>IF(O640&lt;12,"0",0.049*H640)</f>
        <v>0</v>
      </c>
      <c r="M640" s="17">
        <v>0</v>
      </c>
      <c r="N640" s="11">
        <f>M640*2*H640/1000</f>
        <v>0</v>
      </c>
      <c r="O640" s="16">
        <f>(D640)-N640</f>
        <v>4.09</v>
      </c>
      <c r="P640" s="16">
        <f>(I640*J640*O640)+L640</f>
        <v>98.16</v>
      </c>
      <c r="Q640" s="18" t="str">
        <f t="shared" si="54"/>
        <v/>
      </c>
      <c r="R640" s="18" t="str">
        <f t="shared" si="55"/>
        <v/>
      </c>
      <c r="S640" s="18">
        <f t="shared" si="56"/>
        <v>98.16</v>
      </c>
      <c r="T640" s="18" t="str">
        <f t="shared" si="57"/>
        <v/>
      </c>
      <c r="U640" s="18" t="str">
        <f t="shared" si="58"/>
        <v/>
      </c>
      <c r="V640" s="18" t="str">
        <f t="shared" si="59"/>
        <v/>
      </c>
      <c r="W640" s="14"/>
    </row>
    <row r="641" spans="1:23" x14ac:dyDescent="0.25">
      <c r="A641" s="6"/>
      <c r="B641" s="33" t="s">
        <v>145</v>
      </c>
      <c r="C641" s="19"/>
      <c r="D641" s="53"/>
      <c r="E641" s="53"/>
      <c r="F641" s="41"/>
      <c r="G641" s="36"/>
      <c r="H641" s="10"/>
      <c r="I641" s="11"/>
      <c r="J641" s="13"/>
      <c r="K641" s="45"/>
      <c r="L641" s="37"/>
      <c r="M641" s="17"/>
      <c r="N641" s="11"/>
      <c r="O641" s="16"/>
      <c r="P641" s="16"/>
      <c r="Q641" s="18" t="str">
        <f t="shared" si="54"/>
        <v/>
      </c>
      <c r="R641" s="18" t="str">
        <f t="shared" si="55"/>
        <v/>
      </c>
      <c r="S641" s="18" t="str">
        <f t="shared" si="56"/>
        <v/>
      </c>
      <c r="T641" s="18" t="str">
        <f t="shared" si="57"/>
        <v/>
      </c>
      <c r="U641" s="18" t="str">
        <f t="shared" si="58"/>
        <v/>
      </c>
      <c r="V641" s="18" t="str">
        <f t="shared" si="59"/>
        <v/>
      </c>
      <c r="W641" s="14"/>
    </row>
    <row r="642" spans="1:23" x14ac:dyDescent="0.25">
      <c r="A642" s="6"/>
      <c r="B642" s="50"/>
      <c r="C642" s="19"/>
      <c r="D642" s="53"/>
      <c r="E642" s="53"/>
      <c r="F642" s="41"/>
      <c r="G642" s="36"/>
      <c r="H642" s="10"/>
      <c r="I642" s="11"/>
      <c r="J642" s="13"/>
      <c r="K642" s="45"/>
      <c r="L642" s="37"/>
      <c r="M642" s="17"/>
      <c r="N642" s="11"/>
      <c r="O642" s="16"/>
      <c r="P642" s="16"/>
      <c r="Q642" s="18" t="str">
        <f t="shared" si="54"/>
        <v/>
      </c>
      <c r="R642" s="18" t="str">
        <f t="shared" si="55"/>
        <v/>
      </c>
      <c r="S642" s="18" t="str">
        <f t="shared" si="56"/>
        <v/>
      </c>
      <c r="T642" s="18" t="str">
        <f t="shared" si="57"/>
        <v/>
      </c>
      <c r="U642" s="18" t="str">
        <f t="shared" si="58"/>
        <v/>
      </c>
      <c r="V642" s="18" t="str">
        <f t="shared" si="59"/>
        <v/>
      </c>
      <c r="W642" s="14"/>
    </row>
    <row r="643" spans="1:23" ht="15" customHeight="1" x14ac:dyDescent="0.25">
      <c r="A643" s="6">
        <v>10</v>
      </c>
      <c r="B643" s="33" t="s">
        <v>95</v>
      </c>
      <c r="C643" s="44"/>
      <c r="D643" s="62">
        <v>3.8</v>
      </c>
      <c r="E643" s="62"/>
      <c r="F643" s="41"/>
      <c r="G643" s="36">
        <v>0.25</v>
      </c>
      <c r="H643" s="10">
        <v>10</v>
      </c>
      <c r="I643" s="11">
        <v>1</v>
      </c>
      <c r="J643" s="13">
        <f>ROUND(4.09/G643+1,0)</f>
        <v>17</v>
      </c>
      <c r="K643" s="45">
        <f>D643</f>
        <v>3.8</v>
      </c>
      <c r="L643" s="37" t="str">
        <f>IF(O643&lt;12,"0",0.049*H643)</f>
        <v>0</v>
      </c>
      <c r="M643" s="17">
        <v>0</v>
      </c>
      <c r="N643" s="11">
        <f>M643*2*H643/1000</f>
        <v>0</v>
      </c>
      <c r="O643" s="16">
        <f>(D643)-N643</f>
        <v>3.8</v>
      </c>
      <c r="P643" s="16">
        <f>(I643*J643*O643)+L643</f>
        <v>64.599999999999994</v>
      </c>
      <c r="Q643" s="18" t="str">
        <f t="shared" si="54"/>
        <v/>
      </c>
      <c r="R643" s="18">
        <f t="shared" si="55"/>
        <v>64.599999999999994</v>
      </c>
      <c r="S643" s="18" t="str">
        <f t="shared" si="56"/>
        <v/>
      </c>
      <c r="T643" s="18" t="str">
        <f t="shared" si="57"/>
        <v/>
      </c>
      <c r="U643" s="18" t="str">
        <f t="shared" si="58"/>
        <v/>
      </c>
      <c r="V643" s="18" t="str">
        <f t="shared" si="59"/>
        <v/>
      </c>
      <c r="W643" s="14"/>
    </row>
    <row r="644" spans="1:23" x14ac:dyDescent="0.25">
      <c r="A644" s="6"/>
      <c r="B644" s="33" t="s">
        <v>145</v>
      </c>
      <c r="C644" s="19"/>
      <c r="D644" s="53"/>
      <c r="E644" s="53"/>
      <c r="F644" s="41"/>
      <c r="G644" s="36"/>
      <c r="H644" s="10"/>
      <c r="I644" s="11"/>
      <c r="J644" s="13"/>
      <c r="K644" s="45"/>
      <c r="L644" s="37"/>
      <c r="M644" s="17"/>
      <c r="N644" s="11"/>
      <c r="O644" s="16"/>
      <c r="P644" s="16"/>
      <c r="Q644" s="18" t="str">
        <f t="shared" si="54"/>
        <v/>
      </c>
      <c r="R644" s="18" t="str">
        <f t="shared" si="55"/>
        <v/>
      </c>
      <c r="S644" s="18" t="str">
        <f t="shared" si="56"/>
        <v/>
      </c>
      <c r="T644" s="18" t="str">
        <f t="shared" si="57"/>
        <v/>
      </c>
      <c r="U644" s="18" t="str">
        <f t="shared" si="58"/>
        <v/>
      </c>
      <c r="V644" s="18" t="str">
        <f t="shared" si="59"/>
        <v/>
      </c>
      <c r="W644" s="14"/>
    </row>
    <row r="645" spans="1:23" x14ac:dyDescent="0.25">
      <c r="A645" s="6"/>
      <c r="B645" s="50"/>
      <c r="C645" s="19"/>
      <c r="D645" s="53"/>
      <c r="E645" s="53"/>
      <c r="F645" s="41"/>
      <c r="G645" s="36"/>
      <c r="H645" s="10"/>
      <c r="I645" s="11"/>
      <c r="J645" s="13"/>
      <c r="K645" s="45"/>
      <c r="L645" s="37"/>
      <c r="M645" s="17"/>
      <c r="N645" s="11"/>
      <c r="O645" s="16"/>
      <c r="P645" s="16"/>
      <c r="Q645" s="18" t="str">
        <f t="shared" si="54"/>
        <v/>
      </c>
      <c r="R645" s="18" t="str">
        <f t="shared" si="55"/>
        <v/>
      </c>
      <c r="S645" s="18" t="str">
        <f t="shared" si="56"/>
        <v/>
      </c>
      <c r="T645" s="18" t="str">
        <f t="shared" si="57"/>
        <v/>
      </c>
      <c r="U645" s="18" t="str">
        <f t="shared" si="58"/>
        <v/>
      </c>
      <c r="V645" s="18" t="str">
        <f t="shared" si="59"/>
        <v/>
      </c>
      <c r="W645" s="14"/>
    </row>
    <row r="646" spans="1:23" ht="15" customHeight="1" x14ac:dyDescent="0.25">
      <c r="A646" s="6">
        <v>11</v>
      </c>
      <c r="B646" s="33" t="s">
        <v>94</v>
      </c>
      <c r="C646" s="44"/>
      <c r="D646" s="62">
        <v>3.8</v>
      </c>
      <c r="E646" s="62"/>
      <c r="F646" s="41"/>
      <c r="G646" s="36">
        <v>0.25</v>
      </c>
      <c r="H646" s="10">
        <v>10</v>
      </c>
      <c r="I646" s="11">
        <v>1</v>
      </c>
      <c r="J646" s="13">
        <f>ROUND(5.7/G646+1,0)</f>
        <v>24</v>
      </c>
      <c r="K646" s="45">
        <f>D646</f>
        <v>3.8</v>
      </c>
      <c r="L646" s="37" t="str">
        <f>IF(O646&lt;12,"0",0.049*H646)</f>
        <v>0</v>
      </c>
      <c r="M646" s="17">
        <v>0</v>
      </c>
      <c r="N646" s="11">
        <f>M646*2*H646/1000</f>
        <v>0</v>
      </c>
      <c r="O646" s="16">
        <f>(D646)-N646</f>
        <v>3.8</v>
      </c>
      <c r="P646" s="16">
        <f>(I646*J646*O646)+L646</f>
        <v>91.199999999999989</v>
      </c>
      <c r="Q646" s="18" t="str">
        <f t="shared" si="54"/>
        <v/>
      </c>
      <c r="R646" s="18">
        <f t="shared" si="55"/>
        <v>91.199999999999989</v>
      </c>
      <c r="S646" s="18" t="str">
        <f t="shared" si="56"/>
        <v/>
      </c>
      <c r="T646" s="18" t="str">
        <f t="shared" si="57"/>
        <v/>
      </c>
      <c r="U646" s="18" t="str">
        <f t="shared" si="58"/>
        <v/>
      </c>
      <c r="V646" s="18" t="str">
        <f t="shared" si="59"/>
        <v/>
      </c>
      <c r="W646" s="14"/>
    </row>
    <row r="647" spans="1:23" x14ac:dyDescent="0.25">
      <c r="A647" s="6"/>
      <c r="B647" s="33" t="s">
        <v>96</v>
      </c>
      <c r="C647" s="19"/>
      <c r="D647" s="53"/>
      <c r="E647" s="53"/>
      <c r="F647" s="41"/>
      <c r="G647" s="36"/>
      <c r="H647" s="10"/>
      <c r="I647" s="11"/>
      <c r="J647" s="13"/>
      <c r="K647" s="45"/>
      <c r="L647" s="37"/>
      <c r="M647" s="17"/>
      <c r="N647" s="11"/>
      <c r="O647" s="16"/>
      <c r="P647" s="16"/>
      <c r="Q647" s="18" t="str">
        <f t="shared" si="54"/>
        <v/>
      </c>
      <c r="R647" s="18" t="str">
        <f t="shared" si="55"/>
        <v/>
      </c>
      <c r="S647" s="18" t="str">
        <f t="shared" si="56"/>
        <v/>
      </c>
      <c r="T647" s="18" t="str">
        <f t="shared" si="57"/>
        <v/>
      </c>
      <c r="U647" s="18" t="str">
        <f t="shared" si="58"/>
        <v/>
      </c>
      <c r="V647" s="18" t="str">
        <f t="shared" si="59"/>
        <v/>
      </c>
      <c r="W647" s="14"/>
    </row>
    <row r="648" spans="1:23" x14ac:dyDescent="0.25">
      <c r="A648" s="6"/>
      <c r="B648" s="50"/>
      <c r="C648" s="19"/>
      <c r="D648" s="53"/>
      <c r="E648" s="53"/>
      <c r="F648" s="41"/>
      <c r="G648" s="36"/>
      <c r="H648" s="10"/>
      <c r="I648" s="11"/>
      <c r="J648" s="13"/>
      <c r="K648" s="45"/>
      <c r="L648" s="37"/>
      <c r="M648" s="17"/>
      <c r="N648" s="11"/>
      <c r="O648" s="16"/>
      <c r="P648" s="16"/>
      <c r="Q648" s="18" t="str">
        <f t="shared" si="54"/>
        <v/>
      </c>
      <c r="R648" s="18" t="str">
        <f t="shared" si="55"/>
        <v/>
      </c>
      <c r="S648" s="18" t="str">
        <f t="shared" si="56"/>
        <v/>
      </c>
      <c r="T648" s="18" t="str">
        <f t="shared" si="57"/>
        <v/>
      </c>
      <c r="U648" s="18" t="str">
        <f t="shared" si="58"/>
        <v/>
      </c>
      <c r="V648" s="18" t="str">
        <f t="shared" si="59"/>
        <v/>
      </c>
      <c r="W648" s="14"/>
    </row>
    <row r="649" spans="1:23" ht="15" customHeight="1" x14ac:dyDescent="0.25">
      <c r="A649" s="6">
        <v>12</v>
      </c>
      <c r="B649" s="33" t="s">
        <v>95</v>
      </c>
      <c r="C649" s="44"/>
      <c r="D649" s="62">
        <v>5.7</v>
      </c>
      <c r="E649" s="62"/>
      <c r="F649" s="41"/>
      <c r="G649" s="36">
        <v>0.25</v>
      </c>
      <c r="H649" s="10">
        <v>20</v>
      </c>
      <c r="I649" s="11">
        <v>1</v>
      </c>
      <c r="J649" s="13">
        <f>ROUND(5.8/G649+1,0)</f>
        <v>24</v>
      </c>
      <c r="K649" s="45">
        <f>D649</f>
        <v>5.7</v>
      </c>
      <c r="L649" s="37" t="str">
        <f>IF(O649&lt;12,"0",0.049*H649)</f>
        <v>0</v>
      </c>
      <c r="M649" s="17">
        <v>0</v>
      </c>
      <c r="N649" s="11">
        <f>M649*2*H649/1000</f>
        <v>0</v>
      </c>
      <c r="O649" s="16">
        <f>(D649)-N649</f>
        <v>5.7</v>
      </c>
      <c r="P649" s="16">
        <f>(I649*J649*O649)+L649</f>
        <v>136.80000000000001</v>
      </c>
      <c r="Q649" s="18" t="str">
        <f t="shared" si="54"/>
        <v/>
      </c>
      <c r="R649" s="18" t="str">
        <f t="shared" si="55"/>
        <v/>
      </c>
      <c r="S649" s="18" t="str">
        <f t="shared" si="56"/>
        <v/>
      </c>
      <c r="T649" s="18" t="str">
        <f t="shared" si="57"/>
        <v/>
      </c>
      <c r="U649" s="18">
        <f t="shared" si="58"/>
        <v>136.80000000000001</v>
      </c>
      <c r="V649" s="18" t="str">
        <f t="shared" si="59"/>
        <v/>
      </c>
      <c r="W649" s="14"/>
    </row>
    <row r="650" spans="1:23" x14ac:dyDescent="0.25">
      <c r="A650" s="6"/>
      <c r="B650" s="33" t="s">
        <v>96</v>
      </c>
      <c r="C650" s="19"/>
      <c r="D650" s="53"/>
      <c r="E650" s="53"/>
      <c r="F650" s="41"/>
      <c r="G650" s="36"/>
      <c r="H650" s="10"/>
      <c r="I650" s="11"/>
      <c r="J650" s="13"/>
      <c r="K650" s="45"/>
      <c r="L650" s="37"/>
      <c r="M650" s="17"/>
      <c r="N650" s="11"/>
      <c r="O650" s="16"/>
      <c r="P650" s="16"/>
      <c r="Q650" s="18" t="str">
        <f t="shared" si="54"/>
        <v/>
      </c>
      <c r="R650" s="18" t="str">
        <f t="shared" si="55"/>
        <v/>
      </c>
      <c r="S650" s="18" t="str">
        <f t="shared" si="56"/>
        <v/>
      </c>
      <c r="T650" s="18" t="str">
        <f t="shared" si="57"/>
        <v/>
      </c>
      <c r="U650" s="18" t="str">
        <f t="shared" si="58"/>
        <v/>
      </c>
      <c r="V650" s="18" t="str">
        <f t="shared" si="59"/>
        <v/>
      </c>
      <c r="W650" s="14"/>
    </row>
    <row r="651" spans="1:23" x14ac:dyDescent="0.25">
      <c r="A651" s="6"/>
      <c r="B651" s="50"/>
      <c r="C651" s="19"/>
      <c r="D651" s="53"/>
      <c r="E651" s="53"/>
      <c r="F651" s="41"/>
      <c r="G651" s="36"/>
      <c r="H651" s="10"/>
      <c r="I651" s="11"/>
      <c r="J651" s="13"/>
      <c r="K651" s="45"/>
      <c r="L651" s="37"/>
      <c r="M651" s="17"/>
      <c r="N651" s="11"/>
      <c r="O651" s="16"/>
      <c r="P651" s="16"/>
      <c r="Q651" s="18" t="str">
        <f t="shared" si="54"/>
        <v/>
      </c>
      <c r="R651" s="18" t="str">
        <f t="shared" si="55"/>
        <v/>
      </c>
      <c r="S651" s="18" t="str">
        <f t="shared" si="56"/>
        <v/>
      </c>
      <c r="T651" s="18" t="str">
        <f t="shared" si="57"/>
        <v/>
      </c>
      <c r="U651" s="18" t="str">
        <f t="shared" si="58"/>
        <v/>
      </c>
      <c r="V651" s="18" t="str">
        <f t="shared" si="59"/>
        <v/>
      </c>
      <c r="W651" s="14"/>
    </row>
    <row r="652" spans="1:23" ht="15" customHeight="1" x14ac:dyDescent="0.25">
      <c r="A652" s="6">
        <v>13</v>
      </c>
      <c r="B652" s="33" t="s">
        <v>95</v>
      </c>
      <c r="C652" s="44"/>
      <c r="D652" s="62">
        <v>5.7</v>
      </c>
      <c r="E652" s="62"/>
      <c r="F652" s="41"/>
      <c r="G652" s="36">
        <v>0.25</v>
      </c>
      <c r="H652" s="10">
        <v>16</v>
      </c>
      <c r="I652" s="11">
        <v>1</v>
      </c>
      <c r="J652" s="13">
        <f>ROUND(2.25/G652+1,0)</f>
        <v>10</v>
      </c>
      <c r="K652" s="45">
        <f>D652</f>
        <v>5.7</v>
      </c>
      <c r="L652" s="37" t="str">
        <f>IF(O652&lt;12,"0",0.049*H652)</f>
        <v>0</v>
      </c>
      <c r="M652" s="17">
        <v>0</v>
      </c>
      <c r="N652" s="11">
        <f>M652*2*H652/1000</f>
        <v>0</v>
      </c>
      <c r="O652" s="16">
        <f>(D652)-N652</f>
        <v>5.7</v>
      </c>
      <c r="P652" s="16">
        <f>(I652*J652*O652)+L652</f>
        <v>57</v>
      </c>
      <c r="Q652" s="18" t="str">
        <f t="shared" si="54"/>
        <v/>
      </c>
      <c r="R652" s="18" t="str">
        <f t="shared" si="55"/>
        <v/>
      </c>
      <c r="S652" s="18" t="str">
        <f t="shared" si="56"/>
        <v/>
      </c>
      <c r="T652" s="18">
        <f t="shared" si="57"/>
        <v>57</v>
      </c>
      <c r="U652" s="18" t="str">
        <f t="shared" si="58"/>
        <v/>
      </c>
      <c r="V652" s="18" t="str">
        <f t="shared" si="59"/>
        <v/>
      </c>
      <c r="W652" s="14"/>
    </row>
    <row r="653" spans="1:23" x14ac:dyDescent="0.25">
      <c r="A653" s="6"/>
      <c r="B653" s="33" t="s">
        <v>96</v>
      </c>
      <c r="C653" s="19"/>
      <c r="D653" s="53"/>
      <c r="E653" s="53"/>
      <c r="F653" s="41"/>
      <c r="G653" s="36"/>
      <c r="H653" s="10"/>
      <c r="I653" s="11"/>
      <c r="J653" s="13"/>
      <c r="K653" s="45"/>
      <c r="L653" s="37"/>
      <c r="M653" s="17"/>
      <c r="N653" s="11"/>
      <c r="O653" s="16"/>
      <c r="P653" s="16"/>
      <c r="Q653" s="18" t="str">
        <f t="shared" si="54"/>
        <v/>
      </c>
      <c r="R653" s="18" t="str">
        <f t="shared" si="55"/>
        <v/>
      </c>
      <c r="S653" s="18" t="str">
        <f t="shared" si="56"/>
        <v/>
      </c>
      <c r="T653" s="18" t="str">
        <f t="shared" si="57"/>
        <v/>
      </c>
      <c r="U653" s="18" t="str">
        <f t="shared" si="58"/>
        <v/>
      </c>
      <c r="V653" s="18" t="str">
        <f t="shared" si="59"/>
        <v/>
      </c>
      <c r="W653" s="14"/>
    </row>
    <row r="654" spans="1:23" x14ac:dyDescent="0.25">
      <c r="A654" s="6"/>
      <c r="B654" s="50"/>
      <c r="C654" s="19"/>
      <c r="D654" s="53"/>
      <c r="E654" s="53"/>
      <c r="F654" s="41"/>
      <c r="G654" s="36"/>
      <c r="H654" s="10"/>
      <c r="I654" s="11"/>
      <c r="J654" s="13"/>
      <c r="K654" s="45"/>
      <c r="L654" s="37"/>
      <c r="M654" s="17"/>
      <c r="N654" s="11"/>
      <c r="O654" s="16"/>
      <c r="P654" s="16"/>
      <c r="Q654" s="18" t="str">
        <f t="shared" si="54"/>
        <v/>
      </c>
      <c r="R654" s="18" t="str">
        <f t="shared" si="55"/>
        <v/>
      </c>
      <c r="S654" s="18" t="str">
        <f t="shared" si="56"/>
        <v/>
      </c>
      <c r="T654" s="18" t="str">
        <f t="shared" si="57"/>
        <v/>
      </c>
      <c r="U654" s="18" t="str">
        <f t="shared" si="58"/>
        <v/>
      </c>
      <c r="V654" s="18" t="str">
        <f t="shared" si="59"/>
        <v/>
      </c>
      <c r="W654" s="14"/>
    </row>
    <row r="655" spans="1:23" ht="15" customHeight="1" x14ac:dyDescent="0.25">
      <c r="A655" s="6">
        <v>14</v>
      </c>
      <c r="B655" s="33" t="s">
        <v>94</v>
      </c>
      <c r="C655" s="44"/>
      <c r="D655" s="62">
        <v>2.5150000000000001</v>
      </c>
      <c r="E655" s="62"/>
      <c r="F655" s="41"/>
      <c r="G655" s="36">
        <v>0.25</v>
      </c>
      <c r="H655" s="10">
        <v>12</v>
      </c>
      <c r="I655" s="11">
        <v>1</v>
      </c>
      <c r="J655" s="13">
        <f>ROUND(4.06/G655+1,0)</f>
        <v>17</v>
      </c>
      <c r="K655" s="45">
        <f>D655</f>
        <v>2.5150000000000001</v>
      </c>
      <c r="L655" s="37" t="str">
        <f>IF(O655&lt;12,"0",0.049*H655)</f>
        <v>0</v>
      </c>
      <c r="M655" s="17">
        <v>0</v>
      </c>
      <c r="N655" s="11">
        <f>M655*2*H655/1000</f>
        <v>0</v>
      </c>
      <c r="O655" s="16">
        <f>(D655)-N655</f>
        <v>2.5150000000000001</v>
      </c>
      <c r="P655" s="16">
        <f>(I655*J655*O655)+L655</f>
        <v>42.755000000000003</v>
      </c>
      <c r="Q655" s="18" t="str">
        <f t="shared" si="54"/>
        <v/>
      </c>
      <c r="R655" s="18" t="str">
        <f t="shared" si="55"/>
        <v/>
      </c>
      <c r="S655" s="18">
        <f t="shared" si="56"/>
        <v>42.755000000000003</v>
      </c>
      <c r="T655" s="18" t="str">
        <f t="shared" si="57"/>
        <v/>
      </c>
      <c r="U655" s="18" t="str">
        <f t="shared" si="58"/>
        <v/>
      </c>
      <c r="V655" s="18" t="str">
        <f t="shared" si="59"/>
        <v/>
      </c>
      <c r="W655" s="14"/>
    </row>
    <row r="656" spans="1:23" x14ac:dyDescent="0.25">
      <c r="A656" s="6"/>
      <c r="B656" s="33" t="s">
        <v>146</v>
      </c>
      <c r="C656" s="19"/>
      <c r="D656" s="53"/>
      <c r="E656" s="53"/>
      <c r="F656" s="41"/>
      <c r="G656" s="36"/>
      <c r="H656" s="10"/>
      <c r="I656" s="11"/>
      <c r="J656" s="13"/>
      <c r="K656" s="45"/>
      <c r="L656" s="37"/>
      <c r="M656" s="17"/>
      <c r="N656" s="11"/>
      <c r="O656" s="16"/>
      <c r="P656" s="16"/>
      <c r="Q656" s="18" t="str">
        <f t="shared" si="54"/>
        <v/>
      </c>
      <c r="R656" s="18" t="str">
        <f t="shared" si="55"/>
        <v/>
      </c>
      <c r="S656" s="18" t="str">
        <f t="shared" si="56"/>
        <v/>
      </c>
      <c r="T656" s="18" t="str">
        <f t="shared" si="57"/>
        <v/>
      </c>
      <c r="U656" s="18" t="str">
        <f t="shared" si="58"/>
        <v/>
      </c>
      <c r="V656" s="18" t="str">
        <f t="shared" si="59"/>
        <v/>
      </c>
      <c r="W656" s="14"/>
    </row>
    <row r="657" spans="1:23" x14ac:dyDescent="0.25">
      <c r="A657" s="6"/>
      <c r="B657" s="50"/>
      <c r="C657" s="19"/>
      <c r="D657" s="53"/>
      <c r="E657" s="53"/>
      <c r="F657" s="41"/>
      <c r="G657" s="36"/>
      <c r="H657" s="10"/>
      <c r="I657" s="11"/>
      <c r="J657" s="13"/>
      <c r="K657" s="45"/>
      <c r="L657" s="37"/>
      <c r="M657" s="17"/>
      <c r="N657" s="11"/>
      <c r="O657" s="16"/>
      <c r="P657" s="16"/>
      <c r="Q657" s="18" t="str">
        <f t="shared" si="54"/>
        <v/>
      </c>
      <c r="R657" s="18" t="str">
        <f t="shared" si="55"/>
        <v/>
      </c>
      <c r="S657" s="18" t="str">
        <f t="shared" si="56"/>
        <v/>
      </c>
      <c r="T657" s="18" t="str">
        <f t="shared" si="57"/>
        <v/>
      </c>
      <c r="U657" s="18" t="str">
        <f t="shared" si="58"/>
        <v/>
      </c>
      <c r="V657" s="18" t="str">
        <f t="shared" si="59"/>
        <v/>
      </c>
      <c r="W657" s="14"/>
    </row>
    <row r="658" spans="1:23" ht="15" customHeight="1" x14ac:dyDescent="0.25">
      <c r="A658" s="6">
        <v>15</v>
      </c>
      <c r="B658" s="33" t="s">
        <v>94</v>
      </c>
      <c r="C658" s="44"/>
      <c r="D658" s="62">
        <v>4.1900000000000004</v>
      </c>
      <c r="E658" s="62"/>
      <c r="F658" s="41"/>
      <c r="G658" s="36">
        <v>0.25</v>
      </c>
      <c r="H658" s="10">
        <v>12</v>
      </c>
      <c r="I658" s="11">
        <v>1</v>
      </c>
      <c r="J658" s="13">
        <f>ROUND(2.56/G658+1,0)</f>
        <v>11</v>
      </c>
      <c r="K658" s="45">
        <f>D658</f>
        <v>4.1900000000000004</v>
      </c>
      <c r="L658" s="37" t="str">
        <f>IF(O658&lt;12,"0",0.049*H658)</f>
        <v>0</v>
      </c>
      <c r="M658" s="17">
        <v>0</v>
      </c>
      <c r="N658" s="11">
        <f>M658*2*H658/1000</f>
        <v>0</v>
      </c>
      <c r="O658" s="16">
        <f>(D658)-N658</f>
        <v>4.1900000000000004</v>
      </c>
      <c r="P658" s="16">
        <f>(I658*J658*O658)+L658</f>
        <v>46.09</v>
      </c>
      <c r="Q658" s="18" t="str">
        <f t="shared" si="54"/>
        <v/>
      </c>
      <c r="R658" s="18" t="str">
        <f t="shared" si="55"/>
        <v/>
      </c>
      <c r="S658" s="18">
        <f t="shared" si="56"/>
        <v>46.09</v>
      </c>
      <c r="T658" s="18" t="str">
        <f t="shared" si="57"/>
        <v/>
      </c>
      <c r="U658" s="18" t="str">
        <f t="shared" si="58"/>
        <v/>
      </c>
      <c r="V658" s="18" t="str">
        <f t="shared" si="59"/>
        <v/>
      </c>
      <c r="W658" s="14"/>
    </row>
    <row r="659" spans="1:23" x14ac:dyDescent="0.25">
      <c r="A659" s="6"/>
      <c r="B659" s="33" t="s">
        <v>147</v>
      </c>
      <c r="C659" s="19"/>
      <c r="D659" s="53"/>
      <c r="E659" s="53"/>
      <c r="F659" s="41"/>
      <c r="G659" s="36"/>
      <c r="H659" s="10"/>
      <c r="I659" s="11"/>
      <c r="J659" s="13"/>
      <c r="K659" s="45"/>
      <c r="L659" s="37"/>
      <c r="M659" s="17"/>
      <c r="N659" s="11"/>
      <c r="O659" s="16"/>
      <c r="P659" s="16"/>
      <c r="Q659" s="18" t="str">
        <f t="shared" si="54"/>
        <v/>
      </c>
      <c r="R659" s="18" t="str">
        <f t="shared" si="55"/>
        <v/>
      </c>
      <c r="S659" s="18" t="str">
        <f t="shared" si="56"/>
        <v/>
      </c>
      <c r="T659" s="18" t="str">
        <f t="shared" si="57"/>
        <v/>
      </c>
      <c r="U659" s="18" t="str">
        <f t="shared" si="58"/>
        <v/>
      </c>
      <c r="V659" s="18" t="str">
        <f t="shared" si="59"/>
        <v/>
      </c>
      <c r="W659" s="14"/>
    </row>
    <row r="660" spans="1:23" x14ac:dyDescent="0.25">
      <c r="A660" s="6"/>
      <c r="B660" s="50"/>
      <c r="C660" s="19"/>
      <c r="D660" s="53"/>
      <c r="E660" s="53"/>
      <c r="F660" s="41"/>
      <c r="G660" s="36"/>
      <c r="H660" s="10"/>
      <c r="I660" s="11"/>
      <c r="J660" s="13"/>
      <c r="K660" s="45"/>
      <c r="L660" s="37"/>
      <c r="M660" s="17"/>
      <c r="N660" s="11"/>
      <c r="O660" s="16"/>
      <c r="P660" s="16"/>
      <c r="Q660" s="18" t="str">
        <f t="shared" si="54"/>
        <v/>
      </c>
      <c r="R660" s="18" t="str">
        <f t="shared" si="55"/>
        <v/>
      </c>
      <c r="S660" s="18" t="str">
        <f t="shared" si="56"/>
        <v/>
      </c>
      <c r="T660" s="18" t="str">
        <f t="shared" si="57"/>
        <v/>
      </c>
      <c r="U660" s="18" t="str">
        <f t="shared" si="58"/>
        <v/>
      </c>
      <c r="V660" s="18" t="str">
        <f t="shared" si="59"/>
        <v/>
      </c>
      <c r="W660" s="14"/>
    </row>
    <row r="661" spans="1:23" ht="15" customHeight="1" x14ac:dyDescent="0.25">
      <c r="A661" s="6">
        <v>16</v>
      </c>
      <c r="B661" s="33" t="s">
        <v>94</v>
      </c>
      <c r="C661" s="44"/>
      <c r="D661" s="62">
        <v>7.71</v>
      </c>
      <c r="E661" s="62"/>
      <c r="F661" s="41"/>
      <c r="G661" s="36">
        <v>0.25</v>
      </c>
      <c r="H661" s="10">
        <v>12</v>
      </c>
      <c r="I661" s="11">
        <v>1</v>
      </c>
      <c r="J661" s="13">
        <f>ROUND(2.635/G661+1,0)</f>
        <v>12</v>
      </c>
      <c r="K661" s="45">
        <f>D661</f>
        <v>7.71</v>
      </c>
      <c r="L661" s="37" t="str">
        <f>IF(O661&lt;12,"0",0.049*H661)</f>
        <v>0</v>
      </c>
      <c r="M661" s="17">
        <v>0</v>
      </c>
      <c r="N661" s="11">
        <f>M661*2*H661/1000</f>
        <v>0</v>
      </c>
      <c r="O661" s="16">
        <f>(D661)-N661</f>
        <v>7.71</v>
      </c>
      <c r="P661" s="16">
        <f>(I661*J661*O661)+L661</f>
        <v>92.52</v>
      </c>
      <c r="Q661" s="18" t="str">
        <f t="shared" si="54"/>
        <v/>
      </c>
      <c r="R661" s="18" t="str">
        <f t="shared" si="55"/>
        <v/>
      </c>
      <c r="S661" s="18">
        <f t="shared" si="56"/>
        <v>92.52</v>
      </c>
      <c r="T661" s="18" t="str">
        <f t="shared" si="57"/>
        <v/>
      </c>
      <c r="U661" s="18" t="str">
        <f t="shared" si="58"/>
        <v/>
      </c>
      <c r="V661" s="18" t="str">
        <f t="shared" si="59"/>
        <v/>
      </c>
      <c r="W661" s="14"/>
    </row>
    <row r="662" spans="1:23" x14ac:dyDescent="0.25">
      <c r="A662" s="6"/>
      <c r="B662" s="33" t="s">
        <v>148</v>
      </c>
      <c r="C662" s="19"/>
      <c r="D662" s="53"/>
      <c r="E662" s="53"/>
      <c r="F662" s="41"/>
      <c r="G662" s="36"/>
      <c r="H662" s="10"/>
      <c r="I662" s="11"/>
      <c r="J662" s="13"/>
      <c r="K662" s="45"/>
      <c r="L662" s="37"/>
      <c r="M662" s="17"/>
      <c r="N662" s="11"/>
      <c r="O662" s="16"/>
      <c r="P662" s="16"/>
      <c r="Q662" s="18" t="str">
        <f t="shared" si="54"/>
        <v/>
      </c>
      <c r="R662" s="18" t="str">
        <f t="shared" si="55"/>
        <v/>
      </c>
      <c r="S662" s="18" t="str">
        <f t="shared" si="56"/>
        <v/>
      </c>
      <c r="T662" s="18" t="str">
        <f t="shared" si="57"/>
        <v/>
      </c>
      <c r="U662" s="18" t="str">
        <f t="shared" si="58"/>
        <v/>
      </c>
      <c r="V662" s="18" t="str">
        <f t="shared" si="59"/>
        <v/>
      </c>
      <c r="W662" s="14"/>
    </row>
    <row r="663" spans="1:23" x14ac:dyDescent="0.25">
      <c r="A663" s="6"/>
      <c r="B663" s="50"/>
      <c r="C663" s="19"/>
      <c r="D663" s="53"/>
      <c r="E663" s="53"/>
      <c r="F663" s="41"/>
      <c r="G663" s="36"/>
      <c r="H663" s="10"/>
      <c r="I663" s="11"/>
      <c r="J663" s="13"/>
      <c r="K663" s="45"/>
      <c r="L663" s="37"/>
      <c r="M663" s="17"/>
      <c r="N663" s="11"/>
      <c r="O663" s="16"/>
      <c r="P663" s="16"/>
      <c r="Q663" s="18" t="str">
        <f t="shared" si="54"/>
        <v/>
      </c>
      <c r="R663" s="18" t="str">
        <f t="shared" si="55"/>
        <v/>
      </c>
      <c r="S663" s="18" t="str">
        <f t="shared" si="56"/>
        <v/>
      </c>
      <c r="T663" s="18" t="str">
        <f t="shared" si="57"/>
        <v/>
      </c>
      <c r="U663" s="18" t="str">
        <f t="shared" si="58"/>
        <v/>
      </c>
      <c r="V663" s="18" t="str">
        <f t="shared" si="59"/>
        <v/>
      </c>
      <c r="W663" s="14"/>
    </row>
    <row r="664" spans="1:23" ht="15" customHeight="1" x14ac:dyDescent="0.25">
      <c r="A664" s="6">
        <v>17</v>
      </c>
      <c r="B664" s="33" t="s">
        <v>94</v>
      </c>
      <c r="C664" s="44"/>
      <c r="D664" s="62">
        <v>2.7850000000000001</v>
      </c>
      <c r="E664" s="62"/>
      <c r="F664" s="41"/>
      <c r="G664" s="36">
        <v>0.25</v>
      </c>
      <c r="H664" s="10">
        <v>12</v>
      </c>
      <c r="I664" s="11">
        <v>1</v>
      </c>
      <c r="J664" s="13">
        <f>ROUND(2.615/G664+1,0)</f>
        <v>11</v>
      </c>
      <c r="K664" s="45">
        <f>D664</f>
        <v>2.7850000000000001</v>
      </c>
      <c r="L664" s="37" t="str">
        <f>IF(O664&lt;12,"0",0.049*H664)</f>
        <v>0</v>
      </c>
      <c r="M664" s="17">
        <v>0</v>
      </c>
      <c r="N664" s="11">
        <f>M664*2*H664/1000</f>
        <v>0</v>
      </c>
      <c r="O664" s="16">
        <f>(D664)-N664</f>
        <v>2.7850000000000001</v>
      </c>
      <c r="P664" s="16">
        <f>(I664*J664*O664)+L664</f>
        <v>30.635000000000002</v>
      </c>
      <c r="Q664" s="18" t="str">
        <f t="shared" si="54"/>
        <v/>
      </c>
      <c r="R664" s="18" t="str">
        <f t="shared" si="55"/>
        <v/>
      </c>
      <c r="S664" s="18">
        <f t="shared" si="56"/>
        <v>30.635000000000002</v>
      </c>
      <c r="T664" s="18" t="str">
        <f t="shared" si="57"/>
        <v/>
      </c>
      <c r="U664" s="18" t="str">
        <f t="shared" si="58"/>
        <v/>
      </c>
      <c r="V664" s="18" t="str">
        <f t="shared" si="59"/>
        <v/>
      </c>
      <c r="W664" s="14"/>
    </row>
    <row r="665" spans="1:23" x14ac:dyDescent="0.25">
      <c r="A665" s="6"/>
      <c r="B665" s="33" t="s">
        <v>149</v>
      </c>
      <c r="C665" s="19"/>
      <c r="D665" s="53"/>
      <c r="E665" s="53"/>
      <c r="F665" s="41"/>
      <c r="G665" s="36"/>
      <c r="H665" s="10"/>
      <c r="I665" s="11"/>
      <c r="J665" s="13"/>
      <c r="K665" s="45"/>
      <c r="L665" s="37"/>
      <c r="M665" s="17"/>
      <c r="N665" s="11"/>
      <c r="O665" s="16"/>
      <c r="P665" s="16"/>
      <c r="Q665" s="18" t="str">
        <f t="shared" si="54"/>
        <v/>
      </c>
      <c r="R665" s="18" t="str">
        <f t="shared" si="55"/>
        <v/>
      </c>
      <c r="S665" s="18" t="str">
        <f t="shared" si="56"/>
        <v/>
      </c>
      <c r="T665" s="18" t="str">
        <f t="shared" si="57"/>
        <v/>
      </c>
      <c r="U665" s="18" t="str">
        <f t="shared" si="58"/>
        <v/>
      </c>
      <c r="V665" s="18" t="str">
        <f t="shared" si="59"/>
        <v/>
      </c>
      <c r="W665" s="14"/>
    </row>
    <row r="666" spans="1:23" x14ac:dyDescent="0.25">
      <c r="A666" s="6"/>
      <c r="B666" s="50"/>
      <c r="C666" s="19"/>
      <c r="D666" s="53"/>
      <c r="E666" s="53"/>
      <c r="F666" s="41"/>
      <c r="G666" s="36"/>
      <c r="H666" s="10"/>
      <c r="I666" s="11"/>
      <c r="J666" s="13"/>
      <c r="K666" s="45"/>
      <c r="L666" s="37"/>
      <c r="M666" s="17"/>
      <c r="N666" s="11"/>
      <c r="O666" s="16"/>
      <c r="P666" s="16"/>
      <c r="Q666" s="18" t="str">
        <f t="shared" si="54"/>
        <v/>
      </c>
      <c r="R666" s="18" t="str">
        <f t="shared" si="55"/>
        <v/>
      </c>
      <c r="S666" s="18" t="str">
        <f t="shared" si="56"/>
        <v/>
      </c>
      <c r="T666" s="18" t="str">
        <f t="shared" si="57"/>
        <v/>
      </c>
      <c r="U666" s="18" t="str">
        <f t="shared" si="58"/>
        <v/>
      </c>
      <c r="V666" s="18" t="str">
        <f t="shared" si="59"/>
        <v/>
      </c>
      <c r="W666" s="14"/>
    </row>
    <row r="667" spans="1:23" ht="15" customHeight="1" x14ac:dyDescent="0.25">
      <c r="A667" s="6">
        <v>18</v>
      </c>
      <c r="B667" s="33" t="s">
        <v>95</v>
      </c>
      <c r="C667" s="44"/>
      <c r="D667" s="62">
        <v>2.6150000000000002</v>
      </c>
      <c r="E667" s="62"/>
      <c r="F667" s="41"/>
      <c r="G667" s="36">
        <v>0.25</v>
      </c>
      <c r="H667" s="10">
        <v>20</v>
      </c>
      <c r="I667" s="11">
        <v>1</v>
      </c>
      <c r="J667" s="13">
        <f>ROUND(2.785/G667+1,0)</f>
        <v>12</v>
      </c>
      <c r="K667" s="45">
        <f>D667</f>
        <v>2.6150000000000002</v>
      </c>
      <c r="L667" s="37" t="str">
        <f>IF(O667&lt;12,"0",0.049*H667)</f>
        <v>0</v>
      </c>
      <c r="M667" s="17">
        <v>0</v>
      </c>
      <c r="N667" s="11">
        <f>M667*2*H667/1000</f>
        <v>0</v>
      </c>
      <c r="O667" s="16">
        <f>(D667)-N667</f>
        <v>2.6150000000000002</v>
      </c>
      <c r="P667" s="16">
        <f>(I667*J667*O667)+L667</f>
        <v>31.380000000000003</v>
      </c>
      <c r="Q667" s="18" t="str">
        <f t="shared" si="54"/>
        <v/>
      </c>
      <c r="R667" s="18" t="str">
        <f t="shared" si="55"/>
        <v/>
      </c>
      <c r="S667" s="18" t="str">
        <f t="shared" si="56"/>
        <v/>
      </c>
      <c r="T667" s="18" t="str">
        <f t="shared" si="57"/>
        <v/>
      </c>
      <c r="U667" s="18">
        <f t="shared" si="58"/>
        <v>31.380000000000003</v>
      </c>
      <c r="V667" s="18" t="str">
        <f t="shared" si="59"/>
        <v/>
      </c>
      <c r="W667" s="14"/>
    </row>
    <row r="668" spans="1:23" x14ac:dyDescent="0.25">
      <c r="A668" s="6"/>
      <c r="B668" s="33" t="s">
        <v>149</v>
      </c>
      <c r="C668" s="19"/>
      <c r="D668" s="53"/>
      <c r="E668" s="53"/>
      <c r="F668" s="41"/>
      <c r="G668" s="36"/>
      <c r="H668" s="10"/>
      <c r="I668" s="11"/>
      <c r="J668" s="13"/>
      <c r="K668" s="45"/>
      <c r="L668" s="37"/>
      <c r="M668" s="17"/>
      <c r="N668" s="11"/>
      <c r="O668" s="16"/>
      <c r="P668" s="16"/>
      <c r="Q668" s="18" t="str">
        <f t="shared" si="54"/>
        <v/>
      </c>
      <c r="R668" s="18" t="str">
        <f t="shared" si="55"/>
        <v/>
      </c>
      <c r="S668" s="18" t="str">
        <f t="shared" si="56"/>
        <v/>
      </c>
      <c r="T668" s="18" t="str">
        <f t="shared" si="57"/>
        <v/>
      </c>
      <c r="U668" s="18" t="str">
        <f t="shared" si="58"/>
        <v/>
      </c>
      <c r="V668" s="18" t="str">
        <f t="shared" si="59"/>
        <v/>
      </c>
      <c r="W668" s="14"/>
    </row>
    <row r="669" spans="1:23" x14ac:dyDescent="0.25">
      <c r="A669" s="6"/>
      <c r="B669" s="50"/>
      <c r="C669" s="19"/>
      <c r="D669" s="53"/>
      <c r="E669" s="53"/>
      <c r="F669" s="41"/>
      <c r="G669" s="36"/>
      <c r="H669" s="10"/>
      <c r="I669" s="11"/>
      <c r="J669" s="13"/>
      <c r="K669" s="45"/>
      <c r="L669" s="37"/>
      <c r="M669" s="17"/>
      <c r="N669" s="11"/>
      <c r="O669" s="16"/>
      <c r="P669" s="16"/>
      <c r="Q669" s="18" t="str">
        <f t="shared" si="54"/>
        <v/>
      </c>
      <c r="R669" s="18" t="str">
        <f t="shared" si="55"/>
        <v/>
      </c>
      <c r="S669" s="18" t="str">
        <f t="shared" si="56"/>
        <v/>
      </c>
      <c r="T669" s="18" t="str">
        <f t="shared" si="57"/>
        <v/>
      </c>
      <c r="U669" s="18" t="str">
        <f t="shared" si="58"/>
        <v/>
      </c>
      <c r="V669" s="18" t="str">
        <f t="shared" si="59"/>
        <v/>
      </c>
      <c r="W669" s="14"/>
    </row>
    <row r="670" spans="1:23" ht="15" customHeight="1" x14ac:dyDescent="0.25">
      <c r="A670" s="6">
        <v>19</v>
      </c>
      <c r="B670" s="33" t="s">
        <v>94</v>
      </c>
      <c r="C670" s="44"/>
      <c r="D670" s="62">
        <v>4.12</v>
      </c>
      <c r="E670" s="62"/>
      <c r="F670" s="41"/>
      <c r="G670" s="36">
        <v>0.25</v>
      </c>
      <c r="H670" s="10">
        <v>20</v>
      </c>
      <c r="I670" s="11">
        <v>1</v>
      </c>
      <c r="J670" s="13">
        <f>ROUND(8.23/G670+1,0)</f>
        <v>34</v>
      </c>
      <c r="K670" s="45">
        <f>D670</f>
        <v>4.12</v>
      </c>
      <c r="L670" s="37" t="str">
        <f>IF(O670&lt;12,"0",0.049*H670)</f>
        <v>0</v>
      </c>
      <c r="M670" s="17">
        <v>0</v>
      </c>
      <c r="N670" s="11">
        <f>M670*2*H670/1000</f>
        <v>0</v>
      </c>
      <c r="O670" s="16">
        <f>(D670)-N670</f>
        <v>4.12</v>
      </c>
      <c r="P670" s="16">
        <f>(I670*J670*O670)+L670</f>
        <v>140.08000000000001</v>
      </c>
      <c r="Q670" s="18" t="str">
        <f t="shared" si="54"/>
        <v/>
      </c>
      <c r="R670" s="18" t="str">
        <f t="shared" si="55"/>
        <v/>
      </c>
      <c r="S670" s="18" t="str">
        <f t="shared" si="56"/>
        <v/>
      </c>
      <c r="T670" s="18" t="str">
        <f t="shared" si="57"/>
        <v/>
      </c>
      <c r="U670" s="18">
        <f t="shared" si="58"/>
        <v>140.08000000000001</v>
      </c>
      <c r="V670" s="18" t="str">
        <f t="shared" si="59"/>
        <v/>
      </c>
      <c r="W670" s="14"/>
    </row>
    <row r="671" spans="1:23" x14ac:dyDescent="0.25">
      <c r="A671" s="6"/>
      <c r="B671" s="33" t="s">
        <v>150</v>
      </c>
      <c r="C671" s="19"/>
      <c r="D671" s="53"/>
      <c r="E671" s="53"/>
      <c r="F671" s="41"/>
      <c r="G671" s="36"/>
      <c r="H671" s="10"/>
      <c r="I671" s="11"/>
      <c r="J671" s="13"/>
      <c r="K671" s="45"/>
      <c r="L671" s="37"/>
      <c r="M671" s="17"/>
      <c r="N671" s="11"/>
      <c r="O671" s="16"/>
      <c r="P671" s="16"/>
      <c r="Q671" s="18" t="str">
        <f t="shared" si="54"/>
        <v/>
      </c>
      <c r="R671" s="18" t="str">
        <f t="shared" si="55"/>
        <v/>
      </c>
      <c r="S671" s="18" t="str">
        <f t="shared" si="56"/>
        <v/>
      </c>
      <c r="T671" s="18" t="str">
        <f t="shared" si="57"/>
        <v/>
      </c>
      <c r="U671" s="18" t="str">
        <f t="shared" si="58"/>
        <v/>
      </c>
      <c r="V671" s="18" t="str">
        <f t="shared" si="59"/>
        <v/>
      </c>
      <c r="W671" s="14"/>
    </row>
    <row r="672" spans="1:23" x14ac:dyDescent="0.25">
      <c r="A672" s="6"/>
      <c r="B672" s="50"/>
      <c r="C672" s="19"/>
      <c r="D672" s="53"/>
      <c r="E672" s="53"/>
      <c r="F672" s="41"/>
      <c r="G672" s="36"/>
      <c r="H672" s="10"/>
      <c r="I672" s="11"/>
      <c r="J672" s="13"/>
      <c r="K672" s="45"/>
      <c r="L672" s="37"/>
      <c r="M672" s="17"/>
      <c r="N672" s="11"/>
      <c r="O672" s="16"/>
      <c r="P672" s="16"/>
      <c r="Q672" s="18" t="str">
        <f t="shared" si="54"/>
        <v/>
      </c>
      <c r="R672" s="18" t="str">
        <f t="shared" si="55"/>
        <v/>
      </c>
      <c r="S672" s="18" t="str">
        <f t="shared" si="56"/>
        <v/>
      </c>
      <c r="T672" s="18" t="str">
        <f t="shared" si="57"/>
        <v/>
      </c>
      <c r="U672" s="18" t="str">
        <f t="shared" si="58"/>
        <v/>
      </c>
      <c r="V672" s="18" t="str">
        <f t="shared" si="59"/>
        <v/>
      </c>
      <c r="W672" s="14"/>
    </row>
    <row r="673" spans="1:23" ht="15" customHeight="1" x14ac:dyDescent="0.25">
      <c r="A673" s="6">
        <v>20</v>
      </c>
      <c r="B673" s="33" t="s">
        <v>95</v>
      </c>
      <c r="C673" s="44"/>
      <c r="D673" s="62">
        <v>3.12</v>
      </c>
      <c r="E673" s="62"/>
      <c r="F673" s="41"/>
      <c r="G673" s="36">
        <v>0.25</v>
      </c>
      <c r="H673" s="10">
        <v>20</v>
      </c>
      <c r="I673" s="11">
        <v>1</v>
      </c>
      <c r="J673" s="13">
        <f>ROUND(3.165/G673+1,0)</f>
        <v>14</v>
      </c>
      <c r="K673" s="45">
        <f>D673</f>
        <v>3.12</v>
      </c>
      <c r="L673" s="37" t="str">
        <f>IF(O673&lt;12,"0",0.049*H673)</f>
        <v>0</v>
      </c>
      <c r="M673" s="17">
        <v>0</v>
      </c>
      <c r="N673" s="11">
        <f>M673*2*H673/1000</f>
        <v>0</v>
      </c>
      <c r="O673" s="16">
        <f>(D673)-N673</f>
        <v>3.12</v>
      </c>
      <c r="P673" s="16">
        <f>(I673*J673*O673)+L673</f>
        <v>43.68</v>
      </c>
      <c r="Q673" s="18" t="str">
        <f t="shared" si="54"/>
        <v/>
      </c>
      <c r="R673" s="18" t="str">
        <f t="shared" si="55"/>
        <v/>
      </c>
      <c r="S673" s="18" t="str">
        <f t="shared" si="56"/>
        <v/>
      </c>
      <c r="T673" s="18" t="str">
        <f t="shared" si="57"/>
        <v/>
      </c>
      <c r="U673" s="18">
        <f t="shared" si="58"/>
        <v>43.68</v>
      </c>
      <c r="V673" s="18" t="str">
        <f t="shared" si="59"/>
        <v/>
      </c>
      <c r="W673" s="14"/>
    </row>
    <row r="674" spans="1:23" x14ac:dyDescent="0.25">
      <c r="A674" s="6"/>
      <c r="B674" s="33" t="s">
        <v>151</v>
      </c>
      <c r="C674" s="19"/>
      <c r="D674" s="53"/>
      <c r="E674" s="53"/>
      <c r="F674" s="41"/>
      <c r="G674" s="36"/>
      <c r="H674" s="10"/>
      <c r="I674" s="11"/>
      <c r="J674" s="13"/>
      <c r="K674" s="45"/>
      <c r="L674" s="37"/>
      <c r="M674" s="17"/>
      <c r="N674" s="11"/>
      <c r="O674" s="16"/>
      <c r="P674" s="16"/>
      <c r="Q674" s="18" t="str">
        <f t="shared" si="54"/>
        <v/>
      </c>
      <c r="R674" s="18" t="str">
        <f t="shared" si="55"/>
        <v/>
      </c>
      <c r="S674" s="18" t="str">
        <f t="shared" si="56"/>
        <v/>
      </c>
      <c r="T674" s="18" t="str">
        <f t="shared" si="57"/>
        <v/>
      </c>
      <c r="U674" s="18" t="str">
        <f t="shared" si="58"/>
        <v/>
      </c>
      <c r="V674" s="18" t="str">
        <f t="shared" si="59"/>
        <v/>
      </c>
      <c r="W674" s="14"/>
    </row>
    <row r="675" spans="1:23" x14ac:dyDescent="0.25">
      <c r="A675" s="6"/>
      <c r="B675" s="50"/>
      <c r="C675" s="19"/>
      <c r="D675" s="53"/>
      <c r="E675" s="53"/>
      <c r="F675" s="41"/>
      <c r="G675" s="36"/>
      <c r="H675" s="10"/>
      <c r="I675" s="11"/>
      <c r="J675" s="13"/>
      <c r="K675" s="45"/>
      <c r="L675" s="37"/>
      <c r="M675" s="17"/>
      <c r="N675" s="11"/>
      <c r="O675" s="16"/>
      <c r="P675" s="16"/>
      <c r="Q675" s="18" t="str">
        <f t="shared" si="54"/>
        <v/>
      </c>
      <c r="R675" s="18" t="str">
        <f t="shared" si="55"/>
        <v/>
      </c>
      <c r="S675" s="18" t="str">
        <f t="shared" si="56"/>
        <v/>
      </c>
      <c r="T675" s="18" t="str">
        <f t="shared" si="57"/>
        <v/>
      </c>
      <c r="U675" s="18" t="str">
        <f t="shared" si="58"/>
        <v/>
      </c>
      <c r="V675" s="18" t="str">
        <f t="shared" si="59"/>
        <v/>
      </c>
      <c r="W675" s="14"/>
    </row>
    <row r="676" spans="1:23" ht="15" customHeight="1" x14ac:dyDescent="0.25">
      <c r="A676" s="6">
        <v>21</v>
      </c>
      <c r="B676" s="33" t="s">
        <v>95</v>
      </c>
      <c r="C676" s="44"/>
      <c r="D676" s="62">
        <v>2.92</v>
      </c>
      <c r="E676" s="62"/>
      <c r="F676" s="41"/>
      <c r="G676" s="36">
        <v>0.25</v>
      </c>
      <c r="H676" s="10">
        <v>16</v>
      </c>
      <c r="I676" s="11">
        <v>1</v>
      </c>
      <c r="J676" s="13">
        <f>ROUND(5.47/G676+1,0)</f>
        <v>23</v>
      </c>
      <c r="K676" s="45">
        <f>D676</f>
        <v>2.92</v>
      </c>
      <c r="L676" s="37" t="str">
        <f>IF(O676&lt;12,"0",0.049*H676)</f>
        <v>0</v>
      </c>
      <c r="M676" s="17">
        <v>0</v>
      </c>
      <c r="N676" s="11">
        <f>M676*2*H676/1000</f>
        <v>0</v>
      </c>
      <c r="O676" s="16">
        <f>(D676)-N676</f>
        <v>2.92</v>
      </c>
      <c r="P676" s="16">
        <f>(I676*J676*O676)+L676</f>
        <v>67.16</v>
      </c>
      <c r="Q676" s="18" t="str">
        <f t="shared" si="54"/>
        <v/>
      </c>
      <c r="R676" s="18" t="str">
        <f t="shared" si="55"/>
        <v/>
      </c>
      <c r="S676" s="18" t="str">
        <f t="shared" si="56"/>
        <v/>
      </c>
      <c r="T676" s="18">
        <f t="shared" si="57"/>
        <v>67.16</v>
      </c>
      <c r="U676" s="18" t="str">
        <f t="shared" si="58"/>
        <v/>
      </c>
      <c r="V676" s="18" t="str">
        <f t="shared" si="59"/>
        <v/>
      </c>
      <c r="W676" s="14"/>
    </row>
    <row r="677" spans="1:23" x14ac:dyDescent="0.25">
      <c r="A677" s="6"/>
      <c r="B677" s="33" t="s">
        <v>151</v>
      </c>
      <c r="C677" s="19"/>
      <c r="D677" s="53"/>
      <c r="E677" s="53"/>
      <c r="F677" s="41"/>
      <c r="G677" s="36"/>
      <c r="H677" s="10"/>
      <c r="I677" s="11"/>
      <c r="J677" s="13"/>
      <c r="K677" s="45"/>
      <c r="L677" s="37"/>
      <c r="M677" s="17"/>
      <c r="N677" s="11"/>
      <c r="O677" s="16"/>
      <c r="P677" s="16"/>
      <c r="Q677" s="18" t="str">
        <f t="shared" si="54"/>
        <v/>
      </c>
      <c r="R677" s="18" t="str">
        <f t="shared" si="55"/>
        <v/>
      </c>
      <c r="S677" s="18" t="str">
        <f t="shared" si="56"/>
        <v/>
      </c>
      <c r="T677" s="18" t="str">
        <f t="shared" si="57"/>
        <v/>
      </c>
      <c r="U677" s="18" t="str">
        <f t="shared" si="58"/>
        <v/>
      </c>
      <c r="V677" s="18" t="str">
        <f t="shared" si="59"/>
        <v/>
      </c>
      <c r="W677" s="14"/>
    </row>
    <row r="678" spans="1:23" x14ac:dyDescent="0.25">
      <c r="A678" s="6"/>
      <c r="B678" s="50"/>
      <c r="C678" s="19"/>
      <c r="D678" s="53"/>
      <c r="E678" s="53"/>
      <c r="F678" s="41"/>
      <c r="G678" s="36"/>
      <c r="H678" s="10"/>
      <c r="I678" s="11"/>
      <c r="J678" s="13"/>
      <c r="K678" s="45"/>
      <c r="L678" s="37"/>
      <c r="M678" s="17"/>
      <c r="N678" s="11"/>
      <c r="O678" s="16"/>
      <c r="P678" s="16"/>
      <c r="Q678" s="18" t="str">
        <f t="shared" si="54"/>
        <v/>
      </c>
      <c r="R678" s="18" t="str">
        <f t="shared" si="55"/>
        <v/>
      </c>
      <c r="S678" s="18" t="str">
        <f t="shared" si="56"/>
        <v/>
      </c>
      <c r="T678" s="18" t="str">
        <f t="shared" si="57"/>
        <v/>
      </c>
      <c r="U678" s="18" t="str">
        <f t="shared" si="58"/>
        <v/>
      </c>
      <c r="V678" s="18" t="str">
        <f t="shared" si="59"/>
        <v/>
      </c>
      <c r="W678" s="14"/>
    </row>
    <row r="679" spans="1:23" ht="15" customHeight="1" x14ac:dyDescent="0.25">
      <c r="A679" s="6">
        <v>22</v>
      </c>
      <c r="B679" s="33" t="s">
        <v>94</v>
      </c>
      <c r="C679" s="44"/>
      <c r="D679" s="62">
        <v>4.5449999999999999</v>
      </c>
      <c r="E679" s="62"/>
      <c r="F679" s="41"/>
      <c r="G679" s="36">
        <v>0.25</v>
      </c>
      <c r="H679" s="10">
        <v>16</v>
      </c>
      <c r="I679" s="11">
        <v>1</v>
      </c>
      <c r="J679" s="13">
        <f>ROUND(5/G679+1,0)</f>
        <v>21</v>
      </c>
      <c r="K679" s="45">
        <f>D679</f>
        <v>4.5449999999999999</v>
      </c>
      <c r="L679" s="37" t="str">
        <f>IF(O679&lt;12,"0",0.049*H679)</f>
        <v>0</v>
      </c>
      <c r="M679" s="17">
        <v>0</v>
      </c>
      <c r="N679" s="11">
        <f>M679*2*H679/1000</f>
        <v>0</v>
      </c>
      <c r="O679" s="16">
        <f>(D679)-N679</f>
        <v>4.5449999999999999</v>
      </c>
      <c r="P679" s="16">
        <f>(I679*J679*O679)+L679</f>
        <v>95.444999999999993</v>
      </c>
      <c r="Q679" s="18" t="str">
        <f t="shared" si="54"/>
        <v/>
      </c>
      <c r="R679" s="18" t="str">
        <f t="shared" si="55"/>
        <v/>
      </c>
      <c r="S679" s="18" t="str">
        <f t="shared" si="56"/>
        <v/>
      </c>
      <c r="T679" s="18">
        <f t="shared" si="57"/>
        <v>95.444999999999993</v>
      </c>
      <c r="U679" s="18" t="str">
        <f t="shared" si="58"/>
        <v/>
      </c>
      <c r="V679" s="18" t="str">
        <f t="shared" si="59"/>
        <v/>
      </c>
      <c r="W679" s="14"/>
    </row>
    <row r="680" spans="1:23" x14ac:dyDescent="0.25">
      <c r="A680" s="6"/>
      <c r="B680" s="33" t="s">
        <v>152</v>
      </c>
      <c r="C680" s="19"/>
      <c r="D680" s="53"/>
      <c r="E680" s="53"/>
      <c r="F680" s="41"/>
      <c r="G680" s="36"/>
      <c r="H680" s="10"/>
      <c r="I680" s="11"/>
      <c r="J680" s="13"/>
      <c r="K680" s="45"/>
      <c r="L680" s="37"/>
      <c r="M680" s="17"/>
      <c r="N680" s="11"/>
      <c r="O680" s="16"/>
      <c r="P680" s="16"/>
      <c r="Q680" s="18" t="str">
        <f t="shared" si="54"/>
        <v/>
      </c>
      <c r="R680" s="18" t="str">
        <f t="shared" si="55"/>
        <v/>
      </c>
      <c r="S680" s="18" t="str">
        <f t="shared" si="56"/>
        <v/>
      </c>
      <c r="T680" s="18" t="str">
        <f t="shared" si="57"/>
        <v/>
      </c>
      <c r="U680" s="18" t="str">
        <f t="shared" si="58"/>
        <v/>
      </c>
      <c r="V680" s="18" t="str">
        <f t="shared" si="59"/>
        <v/>
      </c>
      <c r="W680" s="14"/>
    </row>
    <row r="681" spans="1:23" x14ac:dyDescent="0.25">
      <c r="A681" s="6"/>
      <c r="B681" s="50"/>
      <c r="C681" s="19"/>
      <c r="D681" s="53"/>
      <c r="E681" s="53"/>
      <c r="F681" s="41"/>
      <c r="G681" s="36"/>
      <c r="H681" s="10"/>
      <c r="I681" s="11"/>
      <c r="J681" s="13"/>
      <c r="K681" s="45"/>
      <c r="L681" s="37"/>
      <c r="M681" s="17"/>
      <c r="N681" s="11"/>
      <c r="O681" s="16"/>
      <c r="P681" s="16"/>
      <c r="Q681" s="18" t="str">
        <f t="shared" si="54"/>
        <v/>
      </c>
      <c r="R681" s="18" t="str">
        <f t="shared" si="55"/>
        <v/>
      </c>
      <c r="S681" s="18" t="str">
        <f t="shared" si="56"/>
        <v/>
      </c>
      <c r="T681" s="18" t="str">
        <f t="shared" si="57"/>
        <v/>
      </c>
      <c r="U681" s="18" t="str">
        <f t="shared" si="58"/>
        <v/>
      </c>
      <c r="V681" s="18" t="str">
        <f t="shared" si="59"/>
        <v/>
      </c>
      <c r="W681" s="14"/>
    </row>
    <row r="682" spans="1:23" ht="15" customHeight="1" x14ac:dyDescent="0.25">
      <c r="A682" s="6">
        <v>23</v>
      </c>
      <c r="B682" s="33" t="s">
        <v>95</v>
      </c>
      <c r="C682" s="44"/>
      <c r="D682" s="62">
        <v>5</v>
      </c>
      <c r="E682" s="62"/>
      <c r="F682" s="41"/>
      <c r="G682" s="36">
        <v>0.25</v>
      </c>
      <c r="H682" s="10">
        <v>16</v>
      </c>
      <c r="I682" s="11">
        <v>1</v>
      </c>
      <c r="J682" s="13">
        <f>ROUND(4.545/G682+1,0)</f>
        <v>19</v>
      </c>
      <c r="K682" s="45">
        <f>D682</f>
        <v>5</v>
      </c>
      <c r="L682" s="37" t="str">
        <f>IF(O682&lt;12,"0",0.049*H682)</f>
        <v>0</v>
      </c>
      <c r="M682" s="17">
        <v>0</v>
      </c>
      <c r="N682" s="11">
        <f>M682*2*H682/1000</f>
        <v>0</v>
      </c>
      <c r="O682" s="16">
        <f>(D682)-N682</f>
        <v>5</v>
      </c>
      <c r="P682" s="16">
        <f>(I682*J682*O682)+L682</f>
        <v>95</v>
      </c>
      <c r="Q682" s="18" t="str">
        <f t="shared" si="54"/>
        <v/>
      </c>
      <c r="R682" s="18" t="str">
        <f t="shared" si="55"/>
        <v/>
      </c>
      <c r="S682" s="18" t="str">
        <f t="shared" si="56"/>
        <v/>
      </c>
      <c r="T682" s="18">
        <f t="shared" si="57"/>
        <v>95</v>
      </c>
      <c r="U682" s="18" t="str">
        <f t="shared" si="58"/>
        <v/>
      </c>
      <c r="V682" s="18" t="str">
        <f t="shared" si="59"/>
        <v/>
      </c>
      <c r="W682" s="14"/>
    </row>
    <row r="683" spans="1:23" x14ac:dyDescent="0.25">
      <c r="A683" s="6"/>
      <c r="B683" s="33" t="s">
        <v>152</v>
      </c>
      <c r="C683" s="19"/>
      <c r="D683" s="53"/>
      <c r="E683" s="53"/>
      <c r="F683" s="41"/>
      <c r="G683" s="36"/>
      <c r="H683" s="10"/>
      <c r="I683" s="11"/>
      <c r="J683" s="13"/>
      <c r="K683" s="45"/>
      <c r="L683" s="37"/>
      <c r="M683" s="17"/>
      <c r="N683" s="11"/>
      <c r="O683" s="16"/>
      <c r="P683" s="16"/>
      <c r="Q683" s="18" t="str">
        <f t="shared" si="54"/>
        <v/>
      </c>
      <c r="R683" s="18" t="str">
        <f t="shared" si="55"/>
        <v/>
      </c>
      <c r="S683" s="18" t="str">
        <f t="shared" si="56"/>
        <v/>
      </c>
      <c r="T683" s="18" t="str">
        <f t="shared" si="57"/>
        <v/>
      </c>
      <c r="U683" s="18" t="str">
        <f t="shared" si="58"/>
        <v/>
      </c>
      <c r="V683" s="18" t="str">
        <f t="shared" si="59"/>
        <v/>
      </c>
      <c r="W683" s="14"/>
    </row>
    <row r="684" spans="1:23" x14ac:dyDescent="0.25">
      <c r="A684" s="6"/>
      <c r="B684" s="50"/>
      <c r="C684" s="19"/>
      <c r="D684" s="53"/>
      <c r="E684" s="53"/>
      <c r="F684" s="41"/>
      <c r="G684" s="36"/>
      <c r="H684" s="10"/>
      <c r="I684" s="11"/>
      <c r="J684" s="13"/>
      <c r="K684" s="45"/>
      <c r="L684" s="37"/>
      <c r="M684" s="17"/>
      <c r="N684" s="11"/>
      <c r="O684" s="16"/>
      <c r="P684" s="16"/>
      <c r="Q684" s="18" t="str">
        <f t="shared" si="54"/>
        <v/>
      </c>
      <c r="R684" s="18" t="str">
        <f t="shared" si="55"/>
        <v/>
      </c>
      <c r="S684" s="18" t="str">
        <f t="shared" si="56"/>
        <v/>
      </c>
      <c r="T684" s="18" t="str">
        <f t="shared" si="57"/>
        <v/>
      </c>
      <c r="U684" s="18" t="str">
        <f t="shared" si="58"/>
        <v/>
      </c>
      <c r="V684" s="18" t="str">
        <f t="shared" si="59"/>
        <v/>
      </c>
      <c r="W684" s="14"/>
    </row>
    <row r="685" spans="1:23" ht="15" customHeight="1" x14ac:dyDescent="0.25">
      <c r="A685" s="6">
        <v>24</v>
      </c>
      <c r="B685" s="33" t="s">
        <v>94</v>
      </c>
      <c r="C685" s="44"/>
      <c r="D685" s="62">
        <v>5.24</v>
      </c>
      <c r="E685" s="62"/>
      <c r="F685" s="41"/>
      <c r="G685" s="36">
        <v>0.25</v>
      </c>
      <c r="H685" s="10">
        <v>16</v>
      </c>
      <c r="I685" s="11">
        <v>1</v>
      </c>
      <c r="J685" s="13">
        <f>ROUND(5.03/G685+1,0)</f>
        <v>21</v>
      </c>
      <c r="K685" s="45">
        <f>D685</f>
        <v>5.24</v>
      </c>
      <c r="L685" s="37" t="str">
        <f>IF(O685&lt;12,"0",0.049*H685)</f>
        <v>0</v>
      </c>
      <c r="M685" s="17">
        <v>0</v>
      </c>
      <c r="N685" s="11">
        <f>M685*2*H685/1000</f>
        <v>0</v>
      </c>
      <c r="O685" s="16">
        <f>(D685)-N685</f>
        <v>5.24</v>
      </c>
      <c r="P685" s="16">
        <f>(I685*J685*O685)+L685</f>
        <v>110.04</v>
      </c>
      <c r="Q685" s="18" t="str">
        <f t="shared" si="54"/>
        <v/>
      </c>
      <c r="R685" s="18" t="str">
        <f t="shared" si="55"/>
        <v/>
      </c>
      <c r="S685" s="18" t="str">
        <f t="shared" si="56"/>
        <v/>
      </c>
      <c r="T685" s="18">
        <f t="shared" si="57"/>
        <v>110.04</v>
      </c>
      <c r="U685" s="18" t="str">
        <f t="shared" si="58"/>
        <v/>
      </c>
      <c r="V685" s="18" t="str">
        <f t="shared" si="59"/>
        <v/>
      </c>
      <c r="W685" s="14"/>
    </row>
    <row r="686" spans="1:23" x14ac:dyDescent="0.25">
      <c r="A686" s="6"/>
      <c r="B686" s="33" t="s">
        <v>153</v>
      </c>
      <c r="C686" s="19"/>
      <c r="D686" s="53"/>
      <c r="E686" s="53"/>
      <c r="F686" s="41"/>
      <c r="G686" s="36"/>
      <c r="H686" s="10"/>
      <c r="I686" s="11"/>
      <c r="J686" s="13"/>
      <c r="K686" s="45"/>
      <c r="L686" s="37"/>
      <c r="M686" s="17"/>
      <c r="N686" s="11"/>
      <c r="O686" s="16"/>
      <c r="P686" s="16"/>
      <c r="Q686" s="18" t="str">
        <f t="shared" si="54"/>
        <v/>
      </c>
      <c r="R686" s="18" t="str">
        <f t="shared" si="55"/>
        <v/>
      </c>
      <c r="S686" s="18" t="str">
        <f t="shared" si="56"/>
        <v/>
      </c>
      <c r="T686" s="18" t="str">
        <f t="shared" si="57"/>
        <v/>
      </c>
      <c r="U686" s="18" t="str">
        <f t="shared" si="58"/>
        <v/>
      </c>
      <c r="V686" s="18" t="str">
        <f t="shared" si="59"/>
        <v/>
      </c>
      <c r="W686" s="14"/>
    </row>
    <row r="687" spans="1:23" x14ac:dyDescent="0.25">
      <c r="A687" s="6"/>
      <c r="B687" s="50"/>
      <c r="C687" s="19"/>
      <c r="D687" s="53"/>
      <c r="E687" s="53"/>
      <c r="F687" s="41"/>
      <c r="G687" s="36"/>
      <c r="H687" s="10"/>
      <c r="I687" s="11"/>
      <c r="J687" s="13"/>
      <c r="K687" s="45"/>
      <c r="L687" s="37"/>
      <c r="M687" s="17"/>
      <c r="N687" s="11"/>
      <c r="O687" s="16"/>
      <c r="P687" s="16"/>
      <c r="Q687" s="18" t="str">
        <f t="shared" si="54"/>
        <v/>
      </c>
      <c r="R687" s="18" t="str">
        <f t="shared" si="55"/>
        <v/>
      </c>
      <c r="S687" s="18" t="str">
        <f t="shared" si="56"/>
        <v/>
      </c>
      <c r="T687" s="18" t="str">
        <f t="shared" si="57"/>
        <v/>
      </c>
      <c r="U687" s="18" t="str">
        <f t="shared" si="58"/>
        <v/>
      </c>
      <c r="V687" s="18" t="str">
        <f t="shared" si="59"/>
        <v/>
      </c>
      <c r="W687" s="14"/>
    </row>
    <row r="688" spans="1:23" ht="15" customHeight="1" x14ac:dyDescent="0.25">
      <c r="A688" s="6">
        <v>25</v>
      </c>
      <c r="B688" s="33" t="s">
        <v>95</v>
      </c>
      <c r="C688" s="44"/>
      <c r="D688" s="62">
        <v>2.54</v>
      </c>
      <c r="E688" s="62"/>
      <c r="F688" s="41"/>
      <c r="G688" s="36">
        <v>0.25</v>
      </c>
      <c r="H688" s="10">
        <v>12</v>
      </c>
      <c r="I688" s="11">
        <v>1</v>
      </c>
      <c r="J688" s="13">
        <f>ROUND(4.305/G688+1,0)</f>
        <v>18</v>
      </c>
      <c r="K688" s="45">
        <f>D688</f>
        <v>2.54</v>
      </c>
      <c r="L688" s="37" t="str">
        <f>IF(O688&lt;12,"0",0.049*H688)</f>
        <v>0</v>
      </c>
      <c r="M688" s="17">
        <v>0</v>
      </c>
      <c r="N688" s="11">
        <f>M688*2*H688/1000</f>
        <v>0</v>
      </c>
      <c r="O688" s="16">
        <f>(D688)-N688</f>
        <v>2.54</v>
      </c>
      <c r="P688" s="16">
        <f>(I688*J688*O688)+L688</f>
        <v>45.72</v>
      </c>
      <c r="Q688" s="18" t="str">
        <f t="shared" si="54"/>
        <v/>
      </c>
      <c r="R688" s="18" t="str">
        <f t="shared" si="55"/>
        <v/>
      </c>
      <c r="S688" s="18">
        <f t="shared" si="56"/>
        <v>45.72</v>
      </c>
      <c r="T688" s="18" t="str">
        <f t="shared" si="57"/>
        <v/>
      </c>
      <c r="U688" s="18" t="str">
        <f t="shared" si="58"/>
        <v/>
      </c>
      <c r="V688" s="18" t="str">
        <f t="shared" si="59"/>
        <v/>
      </c>
      <c r="W688" s="14"/>
    </row>
    <row r="689" spans="1:23" x14ac:dyDescent="0.25">
      <c r="A689" s="6"/>
      <c r="B689" s="33" t="s">
        <v>154</v>
      </c>
      <c r="C689" s="19"/>
      <c r="D689" s="53"/>
      <c r="E689" s="53"/>
      <c r="F689" s="41"/>
      <c r="G689" s="36"/>
      <c r="H689" s="10"/>
      <c r="I689" s="11"/>
      <c r="J689" s="13"/>
      <c r="K689" s="45"/>
      <c r="L689" s="37"/>
      <c r="M689" s="17"/>
      <c r="N689" s="11"/>
      <c r="O689" s="16"/>
      <c r="P689" s="16"/>
      <c r="Q689" s="18" t="str">
        <f t="shared" si="54"/>
        <v/>
      </c>
      <c r="R689" s="18" t="str">
        <f t="shared" si="55"/>
        <v/>
      </c>
      <c r="S689" s="18" t="str">
        <f t="shared" si="56"/>
        <v/>
      </c>
      <c r="T689" s="18" t="str">
        <f t="shared" si="57"/>
        <v/>
      </c>
      <c r="U689" s="18" t="str">
        <f t="shared" si="58"/>
        <v/>
      </c>
      <c r="V689" s="18" t="str">
        <f t="shared" si="59"/>
        <v/>
      </c>
      <c r="W689" s="14"/>
    </row>
    <row r="690" spans="1:23" x14ac:dyDescent="0.25">
      <c r="A690" s="6"/>
      <c r="B690" s="50"/>
      <c r="C690" s="19"/>
      <c r="D690" s="53"/>
      <c r="E690" s="53"/>
      <c r="F690" s="41"/>
      <c r="G690" s="36"/>
      <c r="H690" s="10"/>
      <c r="I690" s="11"/>
      <c r="J690" s="13"/>
      <c r="K690" s="45"/>
      <c r="L690" s="37"/>
      <c r="M690" s="17"/>
      <c r="N690" s="11"/>
      <c r="O690" s="16"/>
      <c r="P690" s="16"/>
      <c r="Q690" s="18" t="str">
        <f t="shared" si="54"/>
        <v/>
      </c>
      <c r="R690" s="18" t="str">
        <f t="shared" si="55"/>
        <v/>
      </c>
      <c r="S690" s="18" t="str">
        <f t="shared" si="56"/>
        <v/>
      </c>
      <c r="T690" s="18" t="str">
        <f t="shared" si="57"/>
        <v/>
      </c>
      <c r="U690" s="18" t="str">
        <f t="shared" si="58"/>
        <v/>
      </c>
      <c r="V690" s="18" t="str">
        <f t="shared" si="59"/>
        <v/>
      </c>
      <c r="W690" s="14"/>
    </row>
    <row r="691" spans="1:23" ht="15" customHeight="1" x14ac:dyDescent="0.25">
      <c r="A691" s="6">
        <v>26</v>
      </c>
      <c r="B691" s="33" t="s">
        <v>95</v>
      </c>
      <c r="C691" s="44"/>
      <c r="D691" s="62">
        <v>4.375</v>
      </c>
      <c r="E691" s="62"/>
      <c r="F691" s="41"/>
      <c r="G691" s="36">
        <v>0.25</v>
      </c>
      <c r="H691" s="10">
        <v>10</v>
      </c>
      <c r="I691" s="11">
        <v>1</v>
      </c>
      <c r="J691" s="13">
        <f>ROUND(2.83/G691+1,0)</f>
        <v>12</v>
      </c>
      <c r="K691" s="45">
        <f>D691</f>
        <v>4.375</v>
      </c>
      <c r="L691" s="37" t="str">
        <f>IF(O691&lt;12,"0",0.049*H691)</f>
        <v>0</v>
      </c>
      <c r="M691" s="17">
        <v>0</v>
      </c>
      <c r="N691" s="11">
        <f>M691*2*H691/1000</f>
        <v>0</v>
      </c>
      <c r="O691" s="16">
        <f>(D691)-N691</f>
        <v>4.375</v>
      </c>
      <c r="P691" s="16">
        <f>(I691*J691*O691)+L691</f>
        <v>52.5</v>
      </c>
      <c r="Q691" s="18" t="str">
        <f t="shared" si="54"/>
        <v/>
      </c>
      <c r="R691" s="18">
        <f t="shared" si="55"/>
        <v>52.5</v>
      </c>
      <c r="S691" s="18" t="str">
        <f t="shared" si="56"/>
        <v/>
      </c>
      <c r="T691" s="18" t="str">
        <f t="shared" si="57"/>
        <v/>
      </c>
      <c r="U691" s="18" t="str">
        <f t="shared" si="58"/>
        <v/>
      </c>
      <c r="V691" s="18" t="str">
        <f t="shared" si="59"/>
        <v/>
      </c>
      <c r="W691" s="14"/>
    </row>
    <row r="692" spans="1:23" x14ac:dyDescent="0.25">
      <c r="A692" s="6"/>
      <c r="B692" s="33" t="s">
        <v>155</v>
      </c>
      <c r="C692" s="19"/>
      <c r="D692" s="53"/>
      <c r="E692" s="53"/>
      <c r="F692" s="41"/>
      <c r="G692" s="36"/>
      <c r="H692" s="10"/>
      <c r="I692" s="11"/>
      <c r="J692" s="13"/>
      <c r="K692" s="45"/>
      <c r="L692" s="37"/>
      <c r="M692" s="17"/>
      <c r="N692" s="11"/>
      <c r="O692" s="16"/>
      <c r="P692" s="16"/>
      <c r="Q692" s="18" t="str">
        <f t="shared" si="54"/>
        <v/>
      </c>
      <c r="R692" s="18" t="str">
        <f t="shared" si="55"/>
        <v/>
      </c>
      <c r="S692" s="18" t="str">
        <f t="shared" si="56"/>
        <v/>
      </c>
      <c r="T692" s="18" t="str">
        <f t="shared" si="57"/>
        <v/>
      </c>
      <c r="U692" s="18" t="str">
        <f t="shared" si="58"/>
        <v/>
      </c>
      <c r="V692" s="18" t="str">
        <f t="shared" si="59"/>
        <v/>
      </c>
      <c r="W692" s="14"/>
    </row>
    <row r="693" spans="1:23" x14ac:dyDescent="0.25">
      <c r="A693" s="6"/>
      <c r="B693" s="50"/>
      <c r="C693" s="19"/>
      <c r="D693" s="53"/>
      <c r="E693" s="53"/>
      <c r="F693" s="41"/>
      <c r="G693" s="36"/>
      <c r="H693" s="10"/>
      <c r="I693" s="11"/>
      <c r="J693" s="13"/>
      <c r="K693" s="45"/>
      <c r="L693" s="37"/>
      <c r="M693" s="17"/>
      <c r="N693" s="11"/>
      <c r="O693" s="16"/>
      <c r="P693" s="16"/>
      <c r="Q693" s="18" t="str">
        <f t="shared" si="54"/>
        <v/>
      </c>
      <c r="R693" s="18" t="str">
        <f t="shared" si="55"/>
        <v/>
      </c>
      <c r="S693" s="18" t="str">
        <f t="shared" si="56"/>
        <v/>
      </c>
      <c r="T693" s="18" t="str">
        <f t="shared" si="57"/>
        <v/>
      </c>
      <c r="U693" s="18" t="str">
        <f t="shared" si="58"/>
        <v/>
      </c>
      <c r="V693" s="18" t="str">
        <f t="shared" si="59"/>
        <v/>
      </c>
      <c r="W693" s="14"/>
    </row>
    <row r="694" spans="1:23" ht="15" customHeight="1" x14ac:dyDescent="0.25">
      <c r="A694" s="6">
        <v>27</v>
      </c>
      <c r="B694" s="33" t="s">
        <v>95</v>
      </c>
      <c r="C694" s="44"/>
      <c r="D694" s="62">
        <v>3.64</v>
      </c>
      <c r="E694" s="62"/>
      <c r="F694" s="41"/>
      <c r="G694" s="36">
        <v>0.25</v>
      </c>
      <c r="H694" s="10">
        <v>10</v>
      </c>
      <c r="I694" s="11">
        <v>1</v>
      </c>
      <c r="J694" s="13">
        <f>ROUND(15.8/G694+1,0)</f>
        <v>64</v>
      </c>
      <c r="K694" s="45">
        <f>D694</f>
        <v>3.64</v>
      </c>
      <c r="L694" s="37" t="str">
        <f>IF(O694&lt;12,"0",0.049*H694)</f>
        <v>0</v>
      </c>
      <c r="M694" s="17">
        <v>0</v>
      </c>
      <c r="N694" s="11">
        <f>M694*2*H694/1000</f>
        <v>0</v>
      </c>
      <c r="O694" s="16">
        <f>(D694)-N694</f>
        <v>3.64</v>
      </c>
      <c r="P694" s="16">
        <f>(I694*J694*O694)+L694</f>
        <v>232.96</v>
      </c>
      <c r="Q694" s="18" t="str">
        <f t="shared" si="54"/>
        <v/>
      </c>
      <c r="R694" s="18">
        <f t="shared" si="55"/>
        <v>232.96</v>
      </c>
      <c r="S694" s="18" t="str">
        <f t="shared" si="56"/>
        <v/>
      </c>
      <c r="T694" s="18" t="str">
        <f t="shared" si="57"/>
        <v/>
      </c>
      <c r="U694" s="18" t="str">
        <f t="shared" si="58"/>
        <v/>
      </c>
      <c r="V694" s="18" t="str">
        <f t="shared" si="59"/>
        <v/>
      </c>
      <c r="W694" s="14"/>
    </row>
    <row r="695" spans="1:23" x14ac:dyDescent="0.25">
      <c r="A695" s="6"/>
      <c r="B695" s="33" t="s">
        <v>156</v>
      </c>
      <c r="C695" s="19"/>
      <c r="D695" s="53"/>
      <c r="E695" s="53"/>
      <c r="F695" s="41"/>
      <c r="G695" s="36"/>
      <c r="H695" s="10"/>
      <c r="I695" s="11"/>
      <c r="J695" s="13"/>
      <c r="K695" s="45"/>
      <c r="L695" s="37"/>
      <c r="M695" s="17"/>
      <c r="N695" s="11"/>
      <c r="O695" s="16"/>
      <c r="P695" s="16"/>
      <c r="Q695" s="18" t="str">
        <f t="shared" si="54"/>
        <v/>
      </c>
      <c r="R695" s="18" t="str">
        <f t="shared" si="55"/>
        <v/>
      </c>
      <c r="S695" s="18" t="str">
        <f t="shared" si="56"/>
        <v/>
      </c>
      <c r="T695" s="18" t="str">
        <f t="shared" si="57"/>
        <v/>
      </c>
      <c r="U695" s="18" t="str">
        <f t="shared" si="58"/>
        <v/>
      </c>
      <c r="V695" s="18" t="str">
        <f t="shared" si="59"/>
        <v/>
      </c>
      <c r="W695" s="14"/>
    </row>
    <row r="696" spans="1:23" x14ac:dyDescent="0.25">
      <c r="A696" s="6"/>
      <c r="B696" s="50"/>
      <c r="C696" s="19"/>
      <c r="D696" s="53"/>
      <c r="E696" s="53"/>
      <c r="F696" s="41"/>
      <c r="G696" s="36"/>
      <c r="H696" s="10"/>
      <c r="I696" s="11"/>
      <c r="J696" s="13"/>
      <c r="K696" s="45"/>
      <c r="L696" s="37"/>
      <c r="M696" s="17"/>
      <c r="N696" s="11"/>
      <c r="O696" s="16"/>
      <c r="P696" s="16"/>
      <c r="Q696" s="18" t="str">
        <f t="shared" si="54"/>
        <v/>
      </c>
      <c r="R696" s="18" t="str">
        <f t="shared" si="55"/>
        <v/>
      </c>
      <c r="S696" s="18" t="str">
        <f t="shared" si="56"/>
        <v/>
      </c>
      <c r="T696" s="18" t="str">
        <f t="shared" si="57"/>
        <v/>
      </c>
      <c r="U696" s="18" t="str">
        <f t="shared" si="58"/>
        <v/>
      </c>
      <c r="V696" s="18" t="str">
        <f t="shared" si="59"/>
        <v/>
      </c>
      <c r="W696" s="14"/>
    </row>
    <row r="697" spans="1:23" ht="15" customHeight="1" x14ac:dyDescent="0.25">
      <c r="A697" s="6">
        <v>28</v>
      </c>
      <c r="B697" s="33" t="s">
        <v>95</v>
      </c>
      <c r="C697" s="44"/>
      <c r="D697" s="62">
        <v>2.4500000000000002</v>
      </c>
      <c r="E697" s="62"/>
      <c r="F697" s="41"/>
      <c r="G697" s="36">
        <v>0.25</v>
      </c>
      <c r="H697" s="10">
        <v>10</v>
      </c>
      <c r="I697" s="11">
        <v>1</v>
      </c>
      <c r="J697" s="13">
        <f>ROUND(2.33/G697+1,0)</f>
        <v>10</v>
      </c>
      <c r="K697" s="45">
        <f>D697</f>
        <v>2.4500000000000002</v>
      </c>
      <c r="L697" s="37" t="str">
        <f>IF(O697&lt;12,"0",0.049*H697)</f>
        <v>0</v>
      </c>
      <c r="M697" s="17">
        <v>0</v>
      </c>
      <c r="N697" s="11">
        <f>M697*2*H697/1000</f>
        <v>0</v>
      </c>
      <c r="O697" s="16">
        <f>(D697)-N697</f>
        <v>2.4500000000000002</v>
      </c>
      <c r="P697" s="16">
        <f>(I697*J697*O697)+L697</f>
        <v>24.5</v>
      </c>
      <c r="Q697" s="18" t="str">
        <f t="shared" si="54"/>
        <v/>
      </c>
      <c r="R697" s="18">
        <f t="shared" si="55"/>
        <v>24.5</v>
      </c>
      <c r="S697" s="18" t="str">
        <f t="shared" si="56"/>
        <v/>
      </c>
      <c r="T697" s="18" t="str">
        <f t="shared" si="57"/>
        <v/>
      </c>
      <c r="U697" s="18" t="str">
        <f t="shared" si="58"/>
        <v/>
      </c>
      <c r="V697" s="18" t="str">
        <f t="shared" si="59"/>
        <v/>
      </c>
      <c r="W697" s="14"/>
    </row>
    <row r="698" spans="1:23" x14ac:dyDescent="0.25">
      <c r="A698" s="6"/>
      <c r="B698" s="33" t="s">
        <v>157</v>
      </c>
      <c r="C698" s="19"/>
      <c r="D698" s="53"/>
      <c r="E698" s="53"/>
      <c r="F698" s="41"/>
      <c r="G698" s="36"/>
      <c r="H698" s="10"/>
      <c r="I698" s="11"/>
      <c r="J698" s="13"/>
      <c r="K698" s="45"/>
      <c r="L698" s="37"/>
      <c r="M698" s="17"/>
      <c r="N698" s="11"/>
      <c r="O698" s="16"/>
      <c r="P698" s="16"/>
      <c r="Q698" s="18" t="str">
        <f t="shared" si="54"/>
        <v/>
      </c>
      <c r="R698" s="18" t="str">
        <f t="shared" si="55"/>
        <v/>
      </c>
      <c r="S698" s="18" t="str">
        <f t="shared" si="56"/>
        <v/>
      </c>
      <c r="T698" s="18" t="str">
        <f t="shared" si="57"/>
        <v/>
      </c>
      <c r="U698" s="18" t="str">
        <f t="shared" si="58"/>
        <v/>
      </c>
      <c r="V698" s="18" t="str">
        <f t="shared" si="59"/>
        <v/>
      </c>
      <c r="W698" s="14"/>
    </row>
    <row r="699" spans="1:23" x14ac:dyDescent="0.25">
      <c r="A699" s="6"/>
      <c r="B699" s="50"/>
      <c r="C699" s="19"/>
      <c r="D699" s="53"/>
      <c r="E699" s="53"/>
      <c r="F699" s="41"/>
      <c r="G699" s="36"/>
      <c r="H699" s="10"/>
      <c r="I699" s="11"/>
      <c r="J699" s="13"/>
      <c r="K699" s="45"/>
      <c r="L699" s="37"/>
      <c r="M699" s="17"/>
      <c r="N699" s="11"/>
      <c r="O699" s="16"/>
      <c r="P699" s="16"/>
      <c r="Q699" s="18" t="str">
        <f t="shared" si="54"/>
        <v/>
      </c>
      <c r="R699" s="18" t="str">
        <f t="shared" si="55"/>
        <v/>
      </c>
      <c r="S699" s="18" t="str">
        <f t="shared" si="56"/>
        <v/>
      </c>
      <c r="T699" s="18" t="str">
        <f t="shared" si="57"/>
        <v/>
      </c>
      <c r="U699" s="18" t="str">
        <f t="shared" si="58"/>
        <v/>
      </c>
      <c r="V699" s="18" t="str">
        <f t="shared" si="59"/>
        <v/>
      </c>
      <c r="W699" s="14"/>
    </row>
    <row r="700" spans="1:23" ht="15" customHeight="1" x14ac:dyDescent="0.25">
      <c r="A700" s="6">
        <v>29</v>
      </c>
      <c r="B700" s="33" t="s">
        <v>95</v>
      </c>
      <c r="C700" s="44"/>
      <c r="D700" s="62">
        <v>3.8</v>
      </c>
      <c r="E700" s="62"/>
      <c r="F700" s="41"/>
      <c r="G700" s="36">
        <v>0.25</v>
      </c>
      <c r="H700" s="10">
        <v>10</v>
      </c>
      <c r="I700" s="11">
        <v>1</v>
      </c>
      <c r="J700" s="13">
        <f>ROUND(4.09/G700+1,0)</f>
        <v>17</v>
      </c>
      <c r="K700" s="45">
        <f>D700</f>
        <v>3.8</v>
      </c>
      <c r="L700" s="37" t="str">
        <f>IF(O700&lt;12,"0",0.049*H700)</f>
        <v>0</v>
      </c>
      <c r="M700" s="17">
        <v>0</v>
      </c>
      <c r="N700" s="11">
        <f>M700*2*H700/1000</f>
        <v>0</v>
      </c>
      <c r="O700" s="16">
        <f>(D700)-N700</f>
        <v>3.8</v>
      </c>
      <c r="P700" s="16">
        <f>(I700*J700*O700)+L700</f>
        <v>64.599999999999994</v>
      </c>
      <c r="Q700" s="18" t="str">
        <f t="shared" si="54"/>
        <v/>
      </c>
      <c r="R700" s="18">
        <f t="shared" si="55"/>
        <v>64.599999999999994</v>
      </c>
      <c r="S700" s="18" t="str">
        <f t="shared" si="56"/>
        <v/>
      </c>
      <c r="T700" s="18" t="str">
        <f t="shared" si="57"/>
        <v/>
      </c>
      <c r="U700" s="18" t="str">
        <f t="shared" si="58"/>
        <v/>
      </c>
      <c r="V700" s="18" t="str">
        <f t="shared" si="59"/>
        <v/>
      </c>
      <c r="W700" s="14"/>
    </row>
    <row r="701" spans="1:23" x14ac:dyDescent="0.25">
      <c r="A701" s="6"/>
      <c r="B701" s="33" t="s">
        <v>158</v>
      </c>
      <c r="C701" s="19"/>
      <c r="D701" s="53"/>
      <c r="E701" s="53"/>
      <c r="F701" s="41"/>
      <c r="G701" s="36"/>
      <c r="H701" s="10"/>
      <c r="I701" s="11"/>
      <c r="J701" s="13"/>
      <c r="K701" s="45"/>
      <c r="L701" s="37"/>
      <c r="M701" s="17"/>
      <c r="N701" s="11"/>
      <c r="O701" s="16"/>
      <c r="P701" s="16"/>
      <c r="Q701" s="18" t="str">
        <f t="shared" si="54"/>
        <v/>
      </c>
      <c r="R701" s="18" t="str">
        <f t="shared" si="55"/>
        <v/>
      </c>
      <c r="S701" s="18" t="str">
        <f t="shared" si="56"/>
        <v/>
      </c>
      <c r="T701" s="18" t="str">
        <f t="shared" si="57"/>
        <v/>
      </c>
      <c r="U701" s="18" t="str">
        <f t="shared" si="58"/>
        <v/>
      </c>
      <c r="V701" s="18" t="str">
        <f t="shared" si="59"/>
        <v/>
      </c>
      <c r="W701" s="14"/>
    </row>
    <row r="702" spans="1:23" x14ac:dyDescent="0.25">
      <c r="A702" s="6"/>
      <c r="B702" s="50"/>
      <c r="C702" s="19"/>
      <c r="D702" s="53"/>
      <c r="E702" s="53"/>
      <c r="F702" s="41"/>
      <c r="G702" s="36"/>
      <c r="H702" s="10"/>
      <c r="I702" s="11"/>
      <c r="J702" s="13"/>
      <c r="K702" s="45"/>
      <c r="L702" s="37"/>
      <c r="M702" s="17"/>
      <c r="N702" s="11"/>
      <c r="O702" s="16"/>
      <c r="P702" s="16"/>
      <c r="Q702" s="18" t="str">
        <f t="shared" si="54"/>
        <v/>
      </c>
      <c r="R702" s="18" t="str">
        <f t="shared" si="55"/>
        <v/>
      </c>
      <c r="S702" s="18" t="str">
        <f t="shared" si="56"/>
        <v/>
      </c>
      <c r="T702" s="18" t="str">
        <f t="shared" si="57"/>
        <v/>
      </c>
      <c r="U702" s="18" t="str">
        <f t="shared" si="58"/>
        <v/>
      </c>
      <c r="V702" s="18" t="str">
        <f t="shared" si="59"/>
        <v/>
      </c>
      <c r="W702" s="14"/>
    </row>
    <row r="703" spans="1:23" ht="15" customHeight="1" x14ac:dyDescent="0.25">
      <c r="A703" s="6">
        <v>30</v>
      </c>
      <c r="B703" s="33" t="s">
        <v>94</v>
      </c>
      <c r="C703" s="44"/>
      <c r="D703" s="62">
        <v>6.4</v>
      </c>
      <c r="E703" s="62"/>
      <c r="F703" s="41"/>
      <c r="G703" s="36">
        <v>0.25</v>
      </c>
      <c r="H703" s="10">
        <v>10</v>
      </c>
      <c r="I703" s="11">
        <v>1</v>
      </c>
      <c r="J703" s="13">
        <f>ROUND(5.53/G703+1,0)</f>
        <v>23</v>
      </c>
      <c r="K703" s="45">
        <f>D703</f>
        <v>6.4</v>
      </c>
      <c r="L703" s="37" t="str">
        <f>IF(O703&lt;12,"0",0.049*H703)</f>
        <v>0</v>
      </c>
      <c r="M703" s="17">
        <v>0</v>
      </c>
      <c r="N703" s="11">
        <f>M703*2*H703/1000</f>
        <v>0</v>
      </c>
      <c r="O703" s="16">
        <f>(D703)-N703</f>
        <v>6.4</v>
      </c>
      <c r="P703" s="16">
        <f>(I703*J703*O703)+L703</f>
        <v>147.20000000000002</v>
      </c>
      <c r="Q703" s="18" t="str">
        <f t="shared" si="54"/>
        <v/>
      </c>
      <c r="R703" s="18">
        <f t="shared" si="55"/>
        <v>147.20000000000002</v>
      </c>
      <c r="S703" s="18" t="str">
        <f t="shared" si="56"/>
        <v/>
      </c>
      <c r="T703" s="18" t="str">
        <f t="shared" si="57"/>
        <v/>
      </c>
      <c r="U703" s="18" t="str">
        <f t="shared" si="58"/>
        <v/>
      </c>
      <c r="V703" s="18" t="str">
        <f t="shared" si="59"/>
        <v/>
      </c>
      <c r="W703" s="14"/>
    </row>
    <row r="704" spans="1:23" x14ac:dyDescent="0.25">
      <c r="A704" s="6"/>
      <c r="B704" s="33" t="s">
        <v>159</v>
      </c>
      <c r="C704" s="19"/>
      <c r="D704" s="53"/>
      <c r="E704" s="53"/>
      <c r="F704" s="41"/>
      <c r="G704" s="36"/>
      <c r="H704" s="10"/>
      <c r="I704" s="11"/>
      <c r="J704" s="13"/>
      <c r="K704" s="45"/>
      <c r="L704" s="37"/>
      <c r="M704" s="17"/>
      <c r="N704" s="11"/>
      <c r="O704" s="16"/>
      <c r="P704" s="16"/>
      <c r="Q704" s="18" t="str">
        <f t="shared" si="54"/>
        <v/>
      </c>
      <c r="R704" s="18" t="str">
        <f t="shared" si="55"/>
        <v/>
      </c>
      <c r="S704" s="18" t="str">
        <f t="shared" si="56"/>
        <v/>
      </c>
      <c r="T704" s="18" t="str">
        <f t="shared" si="57"/>
        <v/>
      </c>
      <c r="U704" s="18" t="str">
        <f t="shared" si="58"/>
        <v/>
      </c>
      <c r="V704" s="18" t="str">
        <f t="shared" si="59"/>
        <v/>
      </c>
      <c r="W704" s="14"/>
    </row>
    <row r="705" spans="1:23" x14ac:dyDescent="0.25">
      <c r="A705" s="6"/>
      <c r="B705" s="50"/>
      <c r="C705" s="19"/>
      <c r="D705" s="53"/>
      <c r="E705" s="53"/>
      <c r="F705" s="41"/>
      <c r="G705" s="36"/>
      <c r="H705" s="10"/>
      <c r="I705" s="11"/>
      <c r="J705" s="13"/>
      <c r="K705" s="45"/>
      <c r="L705" s="37"/>
      <c r="M705" s="17"/>
      <c r="N705" s="11"/>
      <c r="O705" s="16"/>
      <c r="P705" s="16"/>
      <c r="Q705" s="18" t="str">
        <f t="shared" si="54"/>
        <v/>
      </c>
      <c r="R705" s="18" t="str">
        <f t="shared" si="55"/>
        <v/>
      </c>
      <c r="S705" s="18" t="str">
        <f t="shared" si="56"/>
        <v/>
      </c>
      <c r="T705" s="18" t="str">
        <f t="shared" si="57"/>
        <v/>
      </c>
      <c r="U705" s="18" t="str">
        <f t="shared" si="58"/>
        <v/>
      </c>
      <c r="V705" s="18" t="str">
        <f t="shared" si="59"/>
        <v/>
      </c>
      <c r="W705" s="14"/>
    </row>
    <row r="706" spans="1:23" ht="15" customHeight="1" x14ac:dyDescent="0.25">
      <c r="A706" s="6">
        <v>31</v>
      </c>
      <c r="B706" s="33" t="s">
        <v>95</v>
      </c>
      <c r="C706" s="44"/>
      <c r="D706" s="62">
        <v>5.53</v>
      </c>
      <c r="E706" s="62"/>
      <c r="F706" s="41"/>
      <c r="G706" s="36">
        <v>0.25</v>
      </c>
      <c r="H706" s="10">
        <v>16</v>
      </c>
      <c r="I706" s="11">
        <v>1</v>
      </c>
      <c r="J706" s="13">
        <f>ROUND(6.4/G706+1,0)</f>
        <v>27</v>
      </c>
      <c r="K706" s="45">
        <f>D706</f>
        <v>5.53</v>
      </c>
      <c r="L706" s="37" t="str">
        <f>IF(O706&lt;12,"0",0.049*H706)</f>
        <v>0</v>
      </c>
      <c r="M706" s="17">
        <v>0</v>
      </c>
      <c r="N706" s="11">
        <f>M706*2*H706/1000</f>
        <v>0</v>
      </c>
      <c r="O706" s="16">
        <f>(D706)-N706</f>
        <v>5.53</v>
      </c>
      <c r="P706" s="16">
        <f>(I706*J706*O706)+L706</f>
        <v>149.31</v>
      </c>
      <c r="Q706" s="18" t="str">
        <f t="shared" si="54"/>
        <v/>
      </c>
      <c r="R706" s="18" t="str">
        <f t="shared" si="55"/>
        <v/>
      </c>
      <c r="S706" s="18" t="str">
        <f t="shared" si="56"/>
        <v/>
      </c>
      <c r="T706" s="18">
        <f t="shared" si="57"/>
        <v>149.31</v>
      </c>
      <c r="U706" s="18" t="str">
        <f t="shared" si="58"/>
        <v/>
      </c>
      <c r="V706" s="18" t="str">
        <f t="shared" si="59"/>
        <v/>
      </c>
      <c r="W706" s="14"/>
    </row>
    <row r="707" spans="1:23" x14ac:dyDescent="0.25">
      <c r="A707" s="6"/>
      <c r="B707" s="33" t="s">
        <v>159</v>
      </c>
      <c r="C707" s="19"/>
      <c r="D707" s="53"/>
      <c r="E707" s="53"/>
      <c r="F707" s="41"/>
      <c r="G707" s="36"/>
      <c r="H707" s="10"/>
      <c r="I707" s="11"/>
      <c r="J707" s="13"/>
      <c r="K707" s="45"/>
      <c r="L707" s="37"/>
      <c r="M707" s="17"/>
      <c r="N707" s="11"/>
      <c r="O707" s="16"/>
      <c r="P707" s="16"/>
      <c r="Q707" s="18" t="str">
        <f t="shared" si="54"/>
        <v/>
      </c>
      <c r="R707" s="18" t="str">
        <f t="shared" si="55"/>
        <v/>
      </c>
      <c r="S707" s="18" t="str">
        <f t="shared" si="56"/>
        <v/>
      </c>
      <c r="T707" s="18" t="str">
        <f t="shared" si="57"/>
        <v/>
      </c>
      <c r="U707" s="18" t="str">
        <f t="shared" si="58"/>
        <v/>
      </c>
      <c r="V707" s="18" t="str">
        <f t="shared" si="59"/>
        <v/>
      </c>
      <c r="W707" s="14"/>
    </row>
    <row r="708" spans="1:23" x14ac:dyDescent="0.25">
      <c r="A708" s="6"/>
      <c r="B708" s="50"/>
      <c r="C708" s="19"/>
      <c r="D708" s="53"/>
      <c r="E708" s="53"/>
      <c r="F708" s="41"/>
      <c r="G708" s="36"/>
      <c r="H708" s="10"/>
      <c r="I708" s="11"/>
      <c r="J708" s="13"/>
      <c r="K708" s="45"/>
      <c r="L708" s="37"/>
      <c r="M708" s="17"/>
      <c r="N708" s="11"/>
      <c r="O708" s="16"/>
      <c r="P708" s="16"/>
      <c r="Q708" s="18" t="str">
        <f t="shared" si="54"/>
        <v/>
      </c>
      <c r="R708" s="18" t="str">
        <f t="shared" si="55"/>
        <v/>
      </c>
      <c r="S708" s="18" t="str">
        <f t="shared" si="56"/>
        <v/>
      </c>
      <c r="T708" s="18" t="str">
        <f t="shared" si="57"/>
        <v/>
      </c>
      <c r="U708" s="18" t="str">
        <f t="shared" si="58"/>
        <v/>
      </c>
      <c r="V708" s="18" t="str">
        <f t="shared" si="59"/>
        <v/>
      </c>
      <c r="W708" s="14"/>
    </row>
    <row r="709" spans="1:23" ht="15" customHeight="1" x14ac:dyDescent="0.25">
      <c r="A709" s="6">
        <v>32</v>
      </c>
      <c r="B709" s="33" t="s">
        <v>94</v>
      </c>
      <c r="C709" s="44"/>
      <c r="D709" s="62">
        <v>3.8</v>
      </c>
      <c r="E709" s="62"/>
      <c r="F709" s="41"/>
      <c r="G709" s="36">
        <v>0.25</v>
      </c>
      <c r="H709" s="10">
        <v>12</v>
      </c>
      <c r="I709" s="11">
        <v>1</v>
      </c>
      <c r="J709" s="13">
        <f>ROUND(5.7/G709+1,0)</f>
        <v>24</v>
      </c>
      <c r="K709" s="45">
        <f>D709</f>
        <v>3.8</v>
      </c>
      <c r="L709" s="37" t="str">
        <f>IF(O709&lt;12,"0",0.049*H709)</f>
        <v>0</v>
      </c>
      <c r="M709" s="17">
        <v>0</v>
      </c>
      <c r="N709" s="11">
        <f>M709*2*H709/1000</f>
        <v>0</v>
      </c>
      <c r="O709" s="16">
        <f>(D709)-N709</f>
        <v>3.8</v>
      </c>
      <c r="P709" s="16">
        <f>(I709*J709*O709)+L709</f>
        <v>91.199999999999989</v>
      </c>
      <c r="Q709" s="18" t="str">
        <f t="shared" si="54"/>
        <v/>
      </c>
      <c r="R709" s="18" t="str">
        <f t="shared" si="55"/>
        <v/>
      </c>
      <c r="S709" s="18">
        <f t="shared" si="56"/>
        <v>91.199999999999989</v>
      </c>
      <c r="T709" s="18" t="str">
        <f t="shared" si="57"/>
        <v/>
      </c>
      <c r="U709" s="18" t="str">
        <f t="shared" si="58"/>
        <v/>
      </c>
      <c r="V709" s="18" t="str">
        <f t="shared" si="59"/>
        <v/>
      </c>
      <c r="W709" s="14"/>
    </row>
    <row r="710" spans="1:23" x14ac:dyDescent="0.25">
      <c r="A710" s="6"/>
      <c r="B710" s="33" t="s">
        <v>97</v>
      </c>
      <c r="C710" s="19"/>
      <c r="D710" s="53"/>
      <c r="E710" s="53"/>
      <c r="F710" s="41"/>
      <c r="G710" s="36"/>
      <c r="H710" s="10"/>
      <c r="I710" s="11"/>
      <c r="J710" s="13"/>
      <c r="K710" s="45"/>
      <c r="L710" s="37"/>
      <c r="M710" s="17"/>
      <c r="N710" s="11"/>
      <c r="O710" s="16"/>
      <c r="P710" s="16"/>
      <c r="Q710" s="18" t="str">
        <f t="shared" si="54"/>
        <v/>
      </c>
      <c r="R710" s="18" t="str">
        <f t="shared" si="55"/>
        <v/>
      </c>
      <c r="S710" s="18" t="str">
        <f t="shared" si="56"/>
        <v/>
      </c>
      <c r="T710" s="18" t="str">
        <f t="shared" si="57"/>
        <v/>
      </c>
      <c r="U710" s="18" t="str">
        <f t="shared" si="58"/>
        <v/>
      </c>
      <c r="V710" s="18" t="str">
        <f t="shared" si="59"/>
        <v/>
      </c>
      <c r="W710" s="14"/>
    </row>
    <row r="711" spans="1:23" x14ac:dyDescent="0.25">
      <c r="A711" s="6"/>
      <c r="B711" s="50"/>
      <c r="C711" s="19"/>
      <c r="D711" s="53"/>
      <c r="E711" s="53"/>
      <c r="F711" s="41"/>
      <c r="G711" s="36"/>
      <c r="H711" s="10"/>
      <c r="I711" s="11"/>
      <c r="J711" s="13"/>
      <c r="K711" s="45"/>
      <c r="L711" s="37"/>
      <c r="M711" s="17"/>
      <c r="N711" s="11"/>
      <c r="O711" s="16"/>
      <c r="P711" s="16"/>
      <c r="Q711" s="18" t="str">
        <f t="shared" si="54"/>
        <v/>
      </c>
      <c r="R711" s="18" t="str">
        <f t="shared" si="55"/>
        <v/>
      </c>
      <c r="S711" s="18" t="str">
        <f t="shared" si="56"/>
        <v/>
      </c>
      <c r="T711" s="18" t="str">
        <f t="shared" si="57"/>
        <v/>
      </c>
      <c r="U711" s="18" t="str">
        <f t="shared" si="58"/>
        <v/>
      </c>
      <c r="V711" s="18" t="str">
        <f t="shared" si="59"/>
        <v/>
      </c>
      <c r="W711" s="14"/>
    </row>
    <row r="712" spans="1:23" ht="15" customHeight="1" x14ac:dyDescent="0.25">
      <c r="A712" s="6">
        <v>33</v>
      </c>
      <c r="B712" s="33" t="s">
        <v>95</v>
      </c>
      <c r="C712" s="44"/>
      <c r="D712" s="62">
        <v>5.7</v>
      </c>
      <c r="E712" s="62"/>
      <c r="F712" s="41"/>
      <c r="G712" s="36">
        <v>0.25</v>
      </c>
      <c r="H712" s="10">
        <v>20</v>
      </c>
      <c r="I712" s="11">
        <v>1</v>
      </c>
      <c r="J712" s="13">
        <f>ROUND(5.8/G712+1,0)</f>
        <v>24</v>
      </c>
      <c r="K712" s="45">
        <f>D712</f>
        <v>5.7</v>
      </c>
      <c r="L712" s="37" t="str">
        <f>IF(O712&lt;12,"0",0.049*H712)</f>
        <v>0</v>
      </c>
      <c r="M712" s="17">
        <v>0</v>
      </c>
      <c r="N712" s="11">
        <f>M712*2*H712/1000</f>
        <v>0</v>
      </c>
      <c r="O712" s="16">
        <f>(D712)-N712</f>
        <v>5.7</v>
      </c>
      <c r="P712" s="16">
        <f>(I712*J712*O712)+L712</f>
        <v>136.80000000000001</v>
      </c>
      <c r="Q712" s="18" t="str">
        <f t="shared" si="54"/>
        <v/>
      </c>
      <c r="R712" s="18" t="str">
        <f t="shared" si="55"/>
        <v/>
      </c>
      <c r="S712" s="18" t="str">
        <f t="shared" si="56"/>
        <v/>
      </c>
      <c r="T712" s="18" t="str">
        <f t="shared" si="57"/>
        <v/>
      </c>
      <c r="U712" s="18">
        <f t="shared" si="58"/>
        <v>136.80000000000001</v>
      </c>
      <c r="V712" s="18" t="str">
        <f t="shared" si="59"/>
        <v/>
      </c>
      <c r="W712" s="14"/>
    </row>
    <row r="713" spans="1:23" x14ac:dyDescent="0.25">
      <c r="A713" s="6"/>
      <c r="B713" s="33" t="s">
        <v>97</v>
      </c>
      <c r="C713" s="19"/>
      <c r="D713" s="53"/>
      <c r="E713" s="53"/>
      <c r="F713" s="41"/>
      <c r="G713" s="36"/>
      <c r="H713" s="10"/>
      <c r="I713" s="11"/>
      <c r="J713" s="13"/>
      <c r="K713" s="45"/>
      <c r="L713" s="37"/>
      <c r="M713" s="17"/>
      <c r="N713" s="11"/>
      <c r="O713" s="16"/>
      <c r="P713" s="16"/>
      <c r="Q713" s="18" t="str">
        <f t="shared" si="54"/>
        <v/>
      </c>
      <c r="R713" s="18" t="str">
        <f t="shared" si="55"/>
        <v/>
      </c>
      <c r="S713" s="18" t="str">
        <f t="shared" si="56"/>
        <v/>
      </c>
      <c r="T713" s="18" t="str">
        <f t="shared" si="57"/>
        <v/>
      </c>
      <c r="U713" s="18" t="str">
        <f t="shared" si="58"/>
        <v/>
      </c>
      <c r="V713" s="18" t="str">
        <f t="shared" si="59"/>
        <v/>
      </c>
      <c r="W713" s="14"/>
    </row>
    <row r="714" spans="1:23" x14ac:dyDescent="0.25">
      <c r="A714" s="6"/>
      <c r="B714" s="50"/>
      <c r="C714" s="19"/>
      <c r="D714" s="53"/>
      <c r="E714" s="53"/>
      <c r="F714" s="41"/>
      <c r="G714" s="36"/>
      <c r="H714" s="10"/>
      <c r="I714" s="11"/>
      <c r="J714" s="13"/>
      <c r="K714" s="45"/>
      <c r="L714" s="37"/>
      <c r="M714" s="17"/>
      <c r="N714" s="11"/>
      <c r="O714" s="16"/>
      <c r="P714" s="16"/>
      <c r="Q714" s="18" t="str">
        <f t="shared" si="54"/>
        <v/>
      </c>
      <c r="R714" s="18" t="str">
        <f t="shared" si="55"/>
        <v/>
      </c>
      <c r="S714" s="18" t="str">
        <f t="shared" si="56"/>
        <v/>
      </c>
      <c r="T714" s="18" t="str">
        <f t="shared" si="57"/>
        <v/>
      </c>
      <c r="U714" s="18" t="str">
        <f t="shared" si="58"/>
        <v/>
      </c>
      <c r="V714" s="18" t="str">
        <f t="shared" si="59"/>
        <v/>
      </c>
      <c r="W714" s="14"/>
    </row>
    <row r="715" spans="1:23" ht="15" customHeight="1" x14ac:dyDescent="0.25">
      <c r="A715" s="6">
        <v>34</v>
      </c>
      <c r="B715" s="33" t="s">
        <v>95</v>
      </c>
      <c r="C715" s="44"/>
      <c r="D715" s="62">
        <v>5.7</v>
      </c>
      <c r="E715" s="62"/>
      <c r="F715" s="41"/>
      <c r="G715" s="36">
        <v>0.25</v>
      </c>
      <c r="H715" s="10">
        <v>16</v>
      </c>
      <c r="I715" s="11">
        <v>1</v>
      </c>
      <c r="J715" s="13">
        <f>ROUND(2.25/G715+1,0)</f>
        <v>10</v>
      </c>
      <c r="K715" s="45">
        <f>D715</f>
        <v>5.7</v>
      </c>
      <c r="L715" s="37" t="str">
        <f>IF(O715&lt;12,"0",0.049*H715)</f>
        <v>0</v>
      </c>
      <c r="M715" s="17">
        <v>0</v>
      </c>
      <c r="N715" s="11">
        <f>M715*2*H715/1000</f>
        <v>0</v>
      </c>
      <c r="O715" s="16">
        <f>(D715)-N715</f>
        <v>5.7</v>
      </c>
      <c r="P715" s="16">
        <f>(I715*J715*O715)+L715</f>
        <v>57</v>
      </c>
      <c r="Q715" s="18" t="str">
        <f t="shared" si="54"/>
        <v/>
      </c>
      <c r="R715" s="18" t="str">
        <f t="shared" si="55"/>
        <v/>
      </c>
      <c r="S715" s="18" t="str">
        <f t="shared" si="56"/>
        <v/>
      </c>
      <c r="T715" s="18">
        <f t="shared" si="57"/>
        <v>57</v>
      </c>
      <c r="U715" s="18" t="str">
        <f t="shared" si="58"/>
        <v/>
      </c>
      <c r="V715" s="18" t="str">
        <f t="shared" si="59"/>
        <v/>
      </c>
      <c r="W715" s="14"/>
    </row>
    <row r="716" spans="1:23" x14ac:dyDescent="0.25">
      <c r="A716" s="6"/>
      <c r="B716" s="33" t="s">
        <v>97</v>
      </c>
      <c r="C716" s="19"/>
      <c r="D716" s="53"/>
      <c r="E716" s="53"/>
      <c r="F716" s="41"/>
      <c r="G716" s="36"/>
      <c r="H716" s="10"/>
      <c r="I716" s="11"/>
      <c r="J716" s="13"/>
      <c r="K716" s="45"/>
      <c r="L716" s="37"/>
      <c r="M716" s="17"/>
      <c r="N716" s="11"/>
      <c r="O716" s="16"/>
      <c r="P716" s="16"/>
      <c r="Q716" s="18" t="str">
        <f t="shared" si="54"/>
        <v/>
      </c>
      <c r="R716" s="18" t="str">
        <f t="shared" si="55"/>
        <v/>
      </c>
      <c r="S716" s="18" t="str">
        <f t="shared" si="56"/>
        <v/>
      </c>
      <c r="T716" s="18" t="str">
        <f t="shared" si="57"/>
        <v/>
      </c>
      <c r="U716" s="18" t="str">
        <f t="shared" si="58"/>
        <v/>
      </c>
      <c r="V716" s="18" t="str">
        <f t="shared" si="59"/>
        <v/>
      </c>
      <c r="W716" s="14"/>
    </row>
    <row r="717" spans="1:23" x14ac:dyDescent="0.25">
      <c r="A717" s="6"/>
      <c r="B717" s="50"/>
      <c r="C717" s="19"/>
      <c r="D717" s="53"/>
      <c r="E717" s="53"/>
      <c r="F717" s="41"/>
      <c r="G717" s="36"/>
      <c r="H717" s="10"/>
      <c r="I717" s="11"/>
      <c r="J717" s="13"/>
      <c r="K717" s="45"/>
      <c r="L717" s="37"/>
      <c r="M717" s="17"/>
      <c r="N717" s="11"/>
      <c r="O717" s="16"/>
      <c r="P717" s="16"/>
      <c r="Q717" s="18" t="str">
        <f t="shared" si="54"/>
        <v/>
      </c>
      <c r="R717" s="18" t="str">
        <f t="shared" si="55"/>
        <v/>
      </c>
      <c r="S717" s="18" t="str">
        <f t="shared" si="56"/>
        <v/>
      </c>
      <c r="T717" s="18" t="str">
        <f t="shared" si="57"/>
        <v/>
      </c>
      <c r="U717" s="18" t="str">
        <f t="shared" si="58"/>
        <v/>
      </c>
      <c r="V717" s="18" t="str">
        <f t="shared" si="59"/>
        <v/>
      </c>
      <c r="W717" s="14"/>
    </row>
    <row r="718" spans="1:23" ht="15" customHeight="1" x14ac:dyDescent="0.25">
      <c r="A718" s="6">
        <v>35</v>
      </c>
      <c r="B718" s="33" t="s">
        <v>94</v>
      </c>
      <c r="C718" s="44"/>
      <c r="D718" s="62">
        <v>5.7450000000000001</v>
      </c>
      <c r="E718" s="62"/>
      <c r="F718" s="41"/>
      <c r="G718" s="36">
        <v>0.25</v>
      </c>
      <c r="H718" s="10">
        <v>16</v>
      </c>
      <c r="I718" s="11">
        <v>1</v>
      </c>
      <c r="J718" s="13">
        <f>ROUND(3.46/G718+1,0)</f>
        <v>15</v>
      </c>
      <c r="K718" s="45">
        <f>D718</f>
        <v>5.7450000000000001</v>
      </c>
      <c r="L718" s="37" t="str">
        <f>IF(O718&lt;12,"0",0.049*H718)</f>
        <v>0</v>
      </c>
      <c r="M718" s="17">
        <v>0</v>
      </c>
      <c r="N718" s="11">
        <f>M718*2*H718/1000</f>
        <v>0</v>
      </c>
      <c r="O718" s="16">
        <f>(D718)-N718</f>
        <v>5.7450000000000001</v>
      </c>
      <c r="P718" s="16">
        <f>(I718*J718*O718)+L718</f>
        <v>86.174999999999997</v>
      </c>
      <c r="Q718" s="18" t="str">
        <f t="shared" si="54"/>
        <v/>
      </c>
      <c r="R718" s="18" t="str">
        <f t="shared" si="55"/>
        <v/>
      </c>
      <c r="S718" s="18" t="str">
        <f t="shared" si="56"/>
        <v/>
      </c>
      <c r="T718" s="18">
        <f t="shared" si="57"/>
        <v>86.174999999999997</v>
      </c>
      <c r="U718" s="18" t="str">
        <f t="shared" si="58"/>
        <v/>
      </c>
      <c r="V718" s="18" t="str">
        <f t="shared" si="59"/>
        <v/>
      </c>
      <c r="W718" s="14"/>
    </row>
    <row r="719" spans="1:23" x14ac:dyDescent="0.25">
      <c r="A719" s="6"/>
      <c r="B719" s="33" t="s">
        <v>160</v>
      </c>
      <c r="C719" s="19"/>
      <c r="D719" s="53"/>
      <c r="E719" s="53"/>
      <c r="F719" s="41"/>
      <c r="G719" s="36"/>
      <c r="H719" s="10"/>
      <c r="I719" s="11"/>
      <c r="J719" s="13"/>
      <c r="K719" s="45"/>
      <c r="L719" s="37"/>
      <c r="M719" s="17"/>
      <c r="N719" s="11"/>
      <c r="O719" s="16"/>
      <c r="P719" s="16"/>
      <c r="Q719" s="18" t="str">
        <f t="shared" si="54"/>
        <v/>
      </c>
      <c r="R719" s="18" t="str">
        <f t="shared" si="55"/>
        <v/>
      </c>
      <c r="S719" s="18" t="str">
        <f t="shared" si="56"/>
        <v/>
      </c>
      <c r="T719" s="18" t="str">
        <f t="shared" si="57"/>
        <v/>
      </c>
      <c r="U719" s="18" t="str">
        <f t="shared" si="58"/>
        <v/>
      </c>
      <c r="V719" s="18" t="str">
        <f t="shared" si="59"/>
        <v/>
      </c>
      <c r="W719" s="14"/>
    </row>
    <row r="720" spans="1:23" x14ac:dyDescent="0.25">
      <c r="A720" s="6"/>
      <c r="B720" s="50"/>
      <c r="C720" s="19"/>
      <c r="D720" s="53"/>
      <c r="E720" s="53"/>
      <c r="F720" s="41"/>
      <c r="G720" s="36"/>
      <c r="H720" s="10"/>
      <c r="I720" s="11"/>
      <c r="J720" s="13"/>
      <c r="K720" s="45"/>
      <c r="L720" s="37"/>
      <c r="M720" s="17"/>
      <c r="N720" s="11"/>
      <c r="O720" s="16"/>
      <c r="P720" s="16"/>
      <c r="Q720" s="18" t="str">
        <f t="shared" si="54"/>
        <v/>
      </c>
      <c r="R720" s="18" t="str">
        <f t="shared" si="55"/>
        <v/>
      </c>
      <c r="S720" s="18" t="str">
        <f t="shared" si="56"/>
        <v/>
      </c>
      <c r="T720" s="18" t="str">
        <f t="shared" si="57"/>
        <v/>
      </c>
      <c r="U720" s="18" t="str">
        <f t="shared" si="58"/>
        <v/>
      </c>
      <c r="V720" s="18" t="str">
        <f t="shared" si="59"/>
        <v/>
      </c>
      <c r="W720" s="14"/>
    </row>
    <row r="721" spans="1:23" ht="15" customHeight="1" x14ac:dyDescent="0.25">
      <c r="A721" s="6">
        <v>36</v>
      </c>
      <c r="B721" s="33" t="s">
        <v>95</v>
      </c>
      <c r="C721" s="44"/>
      <c r="D721" s="62">
        <v>2.5</v>
      </c>
      <c r="E721" s="62"/>
      <c r="F721" s="41"/>
      <c r="G721" s="36">
        <v>0.25</v>
      </c>
      <c r="H721" s="10">
        <v>20</v>
      </c>
      <c r="I721" s="11">
        <v>1</v>
      </c>
      <c r="J721" s="13">
        <f>ROUND(3.165/G721+1,0)</f>
        <v>14</v>
      </c>
      <c r="K721" s="45">
        <f>D721</f>
        <v>2.5</v>
      </c>
      <c r="L721" s="37" t="str">
        <f>IF(O721&lt;12,"0",0.049*H721)</f>
        <v>0</v>
      </c>
      <c r="M721" s="17">
        <v>0</v>
      </c>
      <c r="N721" s="11">
        <f>M721*2*H721/1000</f>
        <v>0</v>
      </c>
      <c r="O721" s="16">
        <f>(D721)-N721</f>
        <v>2.5</v>
      </c>
      <c r="P721" s="16">
        <f>(I721*J721*O721)+L721</f>
        <v>35</v>
      </c>
      <c r="Q721" s="18" t="str">
        <f t="shared" si="54"/>
        <v/>
      </c>
      <c r="R721" s="18" t="str">
        <f t="shared" si="55"/>
        <v/>
      </c>
      <c r="S721" s="18" t="str">
        <f t="shared" si="56"/>
        <v/>
      </c>
      <c r="T721" s="18" t="str">
        <f t="shared" si="57"/>
        <v/>
      </c>
      <c r="U721" s="18">
        <f t="shared" si="58"/>
        <v>35</v>
      </c>
      <c r="V721" s="18" t="str">
        <f t="shared" si="59"/>
        <v/>
      </c>
      <c r="W721" s="14"/>
    </row>
    <row r="722" spans="1:23" x14ac:dyDescent="0.25">
      <c r="A722" s="6"/>
      <c r="B722" s="33" t="s">
        <v>161</v>
      </c>
      <c r="C722" s="19"/>
      <c r="D722" s="53"/>
      <c r="E722" s="53"/>
      <c r="F722" s="41"/>
      <c r="G722" s="36"/>
      <c r="H722" s="10"/>
      <c r="I722" s="11"/>
      <c r="J722" s="13"/>
      <c r="K722" s="45"/>
      <c r="L722" s="37"/>
      <c r="M722" s="17"/>
      <c r="N722" s="11"/>
      <c r="O722" s="16"/>
      <c r="P722" s="16"/>
      <c r="Q722" s="18" t="str">
        <f t="shared" si="54"/>
        <v/>
      </c>
      <c r="R722" s="18" t="str">
        <f t="shared" si="55"/>
        <v/>
      </c>
      <c r="S722" s="18" t="str">
        <f t="shared" si="56"/>
        <v/>
      </c>
      <c r="T722" s="18" t="str">
        <f t="shared" si="57"/>
        <v/>
      </c>
      <c r="U722" s="18" t="str">
        <f t="shared" si="58"/>
        <v/>
      </c>
      <c r="V722" s="18" t="str">
        <f t="shared" si="59"/>
        <v/>
      </c>
      <c r="W722" s="14"/>
    </row>
    <row r="723" spans="1:23" x14ac:dyDescent="0.25">
      <c r="A723" s="6"/>
      <c r="B723" s="50"/>
      <c r="C723" s="19"/>
      <c r="D723" s="53"/>
      <c r="E723" s="53"/>
      <c r="F723" s="41"/>
      <c r="G723" s="36"/>
      <c r="H723" s="10"/>
      <c r="I723" s="11"/>
      <c r="J723" s="13"/>
      <c r="K723" s="45"/>
      <c r="L723" s="37"/>
      <c r="M723" s="17"/>
      <c r="N723" s="11"/>
      <c r="O723" s="16"/>
      <c r="P723" s="16"/>
      <c r="Q723" s="18" t="str">
        <f t="shared" si="54"/>
        <v/>
      </c>
      <c r="R723" s="18" t="str">
        <f t="shared" si="55"/>
        <v/>
      </c>
      <c r="S723" s="18" t="str">
        <f t="shared" si="56"/>
        <v/>
      </c>
      <c r="T723" s="18" t="str">
        <f t="shared" si="57"/>
        <v/>
      </c>
      <c r="U723" s="18" t="str">
        <f t="shared" si="58"/>
        <v/>
      </c>
      <c r="V723" s="18" t="str">
        <f t="shared" si="59"/>
        <v/>
      </c>
      <c r="W723" s="14"/>
    </row>
    <row r="724" spans="1:23" ht="15" customHeight="1" x14ac:dyDescent="0.25">
      <c r="A724" s="6">
        <v>37</v>
      </c>
      <c r="B724" s="33" t="s">
        <v>95</v>
      </c>
      <c r="C724" s="44"/>
      <c r="D724" s="62">
        <v>3.46</v>
      </c>
      <c r="E724" s="62"/>
      <c r="F724" s="41"/>
      <c r="G724" s="36">
        <v>0.25</v>
      </c>
      <c r="H724" s="10">
        <v>20</v>
      </c>
      <c r="I724" s="11">
        <v>1</v>
      </c>
      <c r="J724" s="13">
        <f>ROUND(5.745/G724+1,0)</f>
        <v>24</v>
      </c>
      <c r="K724" s="45">
        <f>D724</f>
        <v>3.46</v>
      </c>
      <c r="L724" s="37" t="str">
        <f>IF(O724&lt;12,"0",0.049*H724)</f>
        <v>0</v>
      </c>
      <c r="M724" s="17">
        <v>0</v>
      </c>
      <c r="N724" s="11">
        <f>M724*2*H724/1000</f>
        <v>0</v>
      </c>
      <c r="O724" s="16">
        <f>(D724)-N724</f>
        <v>3.46</v>
      </c>
      <c r="P724" s="16">
        <f>(I724*J724*O724)+L724</f>
        <v>83.039999999999992</v>
      </c>
      <c r="Q724" s="18" t="str">
        <f t="shared" si="54"/>
        <v/>
      </c>
      <c r="R724" s="18" t="str">
        <f t="shared" si="55"/>
        <v/>
      </c>
      <c r="S724" s="18" t="str">
        <f t="shared" si="56"/>
        <v/>
      </c>
      <c r="T724" s="18" t="str">
        <f t="shared" si="57"/>
        <v/>
      </c>
      <c r="U724" s="18">
        <f t="shared" si="58"/>
        <v>83.039999999999992</v>
      </c>
      <c r="V724" s="18" t="str">
        <f t="shared" si="59"/>
        <v/>
      </c>
      <c r="W724" s="14"/>
    </row>
    <row r="725" spans="1:23" x14ac:dyDescent="0.25">
      <c r="A725" s="6"/>
      <c r="B725" s="33" t="s">
        <v>161</v>
      </c>
      <c r="C725" s="19"/>
      <c r="D725" s="53"/>
      <c r="E725" s="53"/>
      <c r="F725" s="41"/>
      <c r="G725" s="36"/>
      <c r="H725" s="10"/>
      <c r="I725" s="11"/>
      <c r="J725" s="13"/>
      <c r="K725" s="45"/>
      <c r="L725" s="37"/>
      <c r="M725" s="17"/>
      <c r="N725" s="11"/>
      <c r="O725" s="16"/>
      <c r="P725" s="16"/>
      <c r="Q725" s="18" t="str">
        <f t="shared" si="54"/>
        <v/>
      </c>
      <c r="R725" s="18" t="str">
        <f t="shared" si="55"/>
        <v/>
      </c>
      <c r="S725" s="18" t="str">
        <f t="shared" si="56"/>
        <v/>
      </c>
      <c r="T725" s="18" t="str">
        <f t="shared" si="57"/>
        <v/>
      </c>
      <c r="U725" s="18" t="str">
        <f t="shared" si="58"/>
        <v/>
      </c>
      <c r="V725" s="18" t="str">
        <f t="shared" si="59"/>
        <v/>
      </c>
      <c r="W725" s="14"/>
    </row>
    <row r="726" spans="1:23" x14ac:dyDescent="0.25">
      <c r="A726" s="6"/>
      <c r="B726" s="50"/>
      <c r="C726" s="19"/>
      <c r="D726" s="53"/>
      <c r="E726" s="53"/>
      <c r="F726" s="41"/>
      <c r="G726" s="36"/>
      <c r="H726" s="10"/>
      <c r="I726" s="11"/>
      <c r="J726" s="13"/>
      <c r="K726" s="45"/>
      <c r="L726" s="37"/>
      <c r="M726" s="17"/>
      <c r="N726" s="11"/>
      <c r="O726" s="16"/>
      <c r="P726" s="16"/>
      <c r="Q726" s="18" t="str">
        <f t="shared" si="54"/>
        <v/>
      </c>
      <c r="R726" s="18" t="str">
        <f t="shared" si="55"/>
        <v/>
      </c>
      <c r="S726" s="18" t="str">
        <f t="shared" si="56"/>
        <v/>
      </c>
      <c r="T726" s="18" t="str">
        <f t="shared" si="57"/>
        <v/>
      </c>
      <c r="U726" s="18" t="str">
        <f t="shared" si="58"/>
        <v/>
      </c>
      <c r="V726" s="18" t="str">
        <f t="shared" si="59"/>
        <v/>
      </c>
      <c r="W726" s="14"/>
    </row>
    <row r="727" spans="1:23" ht="15" customHeight="1" x14ac:dyDescent="0.25">
      <c r="A727" s="6">
        <v>38</v>
      </c>
      <c r="B727" s="33" t="s">
        <v>94</v>
      </c>
      <c r="C727" s="44"/>
      <c r="D727" s="62">
        <v>3.0449999999999999</v>
      </c>
      <c r="E727" s="62"/>
      <c r="F727" s="41"/>
      <c r="G727" s="36">
        <v>0.25</v>
      </c>
      <c r="H727" s="10">
        <v>20</v>
      </c>
      <c r="I727" s="11">
        <v>1</v>
      </c>
      <c r="J727" s="13">
        <f>ROUND(4.525/G727+1,0)</f>
        <v>19</v>
      </c>
      <c r="K727" s="45">
        <f>D727</f>
        <v>3.0449999999999999</v>
      </c>
      <c r="L727" s="37" t="str">
        <f>IF(O727&lt;12,"0",0.049*H727)</f>
        <v>0</v>
      </c>
      <c r="M727" s="17">
        <v>0</v>
      </c>
      <c r="N727" s="11">
        <f>M727*2*H727/1000</f>
        <v>0</v>
      </c>
      <c r="O727" s="16">
        <f>(D727)-N727</f>
        <v>3.0449999999999999</v>
      </c>
      <c r="P727" s="16">
        <f>(I727*J727*O727)+L727</f>
        <v>57.854999999999997</v>
      </c>
      <c r="Q727" s="18" t="str">
        <f t="shared" si="54"/>
        <v/>
      </c>
      <c r="R727" s="18" t="str">
        <f t="shared" si="55"/>
        <v/>
      </c>
      <c r="S727" s="18" t="str">
        <f t="shared" si="56"/>
        <v/>
      </c>
      <c r="T727" s="18" t="str">
        <f t="shared" si="57"/>
        <v/>
      </c>
      <c r="U727" s="18">
        <f t="shared" si="58"/>
        <v>57.854999999999997</v>
      </c>
      <c r="V727" s="18" t="str">
        <f t="shared" si="59"/>
        <v/>
      </c>
      <c r="W727" s="14"/>
    </row>
    <row r="728" spans="1:23" x14ac:dyDescent="0.25">
      <c r="A728" s="6"/>
      <c r="B728" s="33" t="s">
        <v>162</v>
      </c>
      <c r="C728" s="19"/>
      <c r="D728" s="53"/>
      <c r="E728" s="53"/>
      <c r="F728" s="41"/>
      <c r="G728" s="36"/>
      <c r="H728" s="10"/>
      <c r="I728" s="11"/>
      <c r="J728" s="13"/>
      <c r="K728" s="45"/>
      <c r="L728" s="37"/>
      <c r="M728" s="17"/>
      <c r="N728" s="11"/>
      <c r="O728" s="16"/>
      <c r="P728" s="16"/>
      <c r="Q728" s="18" t="str">
        <f t="shared" si="54"/>
        <v/>
      </c>
      <c r="R728" s="18" t="str">
        <f t="shared" si="55"/>
        <v/>
      </c>
      <c r="S728" s="18" t="str">
        <f t="shared" si="56"/>
        <v/>
      </c>
      <c r="T728" s="18" t="str">
        <f t="shared" si="57"/>
        <v/>
      </c>
      <c r="U728" s="18" t="str">
        <f t="shared" si="58"/>
        <v/>
      </c>
      <c r="V728" s="18" t="str">
        <f t="shared" si="59"/>
        <v/>
      </c>
      <c r="W728" s="14"/>
    </row>
    <row r="729" spans="1:23" x14ac:dyDescent="0.25">
      <c r="A729" s="6"/>
      <c r="B729" s="50"/>
      <c r="C729" s="19"/>
      <c r="D729" s="53"/>
      <c r="E729" s="53"/>
      <c r="F729" s="41"/>
      <c r="G729" s="36"/>
      <c r="H729" s="10"/>
      <c r="I729" s="11"/>
      <c r="J729" s="13"/>
      <c r="K729" s="45"/>
      <c r="L729" s="37"/>
      <c r="M729" s="17"/>
      <c r="N729" s="11"/>
      <c r="O729" s="16"/>
      <c r="P729" s="16"/>
      <c r="Q729" s="18" t="str">
        <f t="shared" si="54"/>
        <v/>
      </c>
      <c r="R729" s="18" t="str">
        <f t="shared" si="55"/>
        <v/>
      </c>
      <c r="S729" s="18" t="str">
        <f t="shared" si="56"/>
        <v/>
      </c>
      <c r="T729" s="18" t="str">
        <f t="shared" si="57"/>
        <v/>
      </c>
      <c r="U729" s="18" t="str">
        <f t="shared" si="58"/>
        <v/>
      </c>
      <c r="V729" s="18" t="str">
        <f t="shared" si="59"/>
        <v/>
      </c>
      <c r="W729" s="14"/>
    </row>
    <row r="730" spans="1:23" ht="15" customHeight="1" x14ac:dyDescent="0.25">
      <c r="A730" s="6">
        <v>39</v>
      </c>
      <c r="B730" s="33" t="s">
        <v>95</v>
      </c>
      <c r="C730" s="44"/>
      <c r="D730" s="62">
        <v>4.5250000000000004</v>
      </c>
      <c r="E730" s="62"/>
      <c r="F730" s="41"/>
      <c r="G730" s="36">
        <v>0.25</v>
      </c>
      <c r="H730" s="10">
        <v>16</v>
      </c>
      <c r="I730" s="11">
        <v>1</v>
      </c>
      <c r="J730" s="13">
        <f>ROUND(3.045/G730+1,0)</f>
        <v>13</v>
      </c>
      <c r="K730" s="45">
        <f>D730</f>
        <v>4.5250000000000004</v>
      </c>
      <c r="L730" s="37" t="str">
        <f>IF(O730&lt;12,"0",0.049*H730)</f>
        <v>0</v>
      </c>
      <c r="M730" s="17">
        <v>0</v>
      </c>
      <c r="N730" s="11">
        <f>M730*2*H730/1000</f>
        <v>0</v>
      </c>
      <c r="O730" s="16">
        <f>(D730)-N730</f>
        <v>4.5250000000000004</v>
      </c>
      <c r="P730" s="16">
        <f>(I730*J730*O730)+L730</f>
        <v>58.825000000000003</v>
      </c>
      <c r="Q730" s="18" t="str">
        <f t="shared" si="54"/>
        <v/>
      </c>
      <c r="R730" s="18" t="str">
        <f t="shared" si="55"/>
        <v/>
      </c>
      <c r="S730" s="18" t="str">
        <f t="shared" si="56"/>
        <v/>
      </c>
      <c r="T730" s="18">
        <f t="shared" si="57"/>
        <v>58.825000000000003</v>
      </c>
      <c r="U730" s="18" t="str">
        <f t="shared" si="58"/>
        <v/>
      </c>
      <c r="V730" s="18" t="str">
        <f t="shared" si="59"/>
        <v/>
      </c>
      <c r="W730" s="14"/>
    </row>
    <row r="731" spans="1:23" x14ac:dyDescent="0.25">
      <c r="A731" s="6"/>
      <c r="B731" s="33" t="s">
        <v>162</v>
      </c>
      <c r="C731" s="19"/>
      <c r="D731" s="53"/>
      <c r="E731" s="53"/>
      <c r="F731" s="41"/>
      <c r="G731" s="36"/>
      <c r="H731" s="10"/>
      <c r="I731" s="11"/>
      <c r="J731" s="13"/>
      <c r="K731" s="45"/>
      <c r="L731" s="37"/>
      <c r="M731" s="17"/>
      <c r="N731" s="11"/>
      <c r="O731" s="16"/>
      <c r="P731" s="16"/>
      <c r="Q731" s="18" t="str">
        <f t="shared" si="54"/>
        <v/>
      </c>
      <c r="R731" s="18" t="str">
        <f t="shared" si="55"/>
        <v/>
      </c>
      <c r="S731" s="18" t="str">
        <f t="shared" si="56"/>
        <v/>
      </c>
      <c r="T731" s="18" t="str">
        <f t="shared" si="57"/>
        <v/>
      </c>
      <c r="U731" s="18" t="str">
        <f t="shared" si="58"/>
        <v/>
      </c>
      <c r="V731" s="18" t="str">
        <f t="shared" si="59"/>
        <v/>
      </c>
      <c r="W731" s="14"/>
    </row>
    <row r="732" spans="1:23" x14ac:dyDescent="0.25">
      <c r="A732" s="6"/>
      <c r="B732" s="50"/>
      <c r="C732" s="19"/>
      <c r="D732" s="53"/>
      <c r="E732" s="53"/>
      <c r="F732" s="41"/>
      <c r="G732" s="36"/>
      <c r="H732" s="10"/>
      <c r="I732" s="11"/>
      <c r="J732" s="13"/>
      <c r="K732" s="45"/>
      <c r="L732" s="37"/>
      <c r="M732" s="17"/>
      <c r="N732" s="11"/>
      <c r="O732" s="16"/>
      <c r="P732" s="16"/>
      <c r="Q732" s="18" t="str">
        <f t="shared" si="54"/>
        <v/>
      </c>
      <c r="R732" s="18" t="str">
        <f t="shared" si="55"/>
        <v/>
      </c>
      <c r="S732" s="18" t="str">
        <f t="shared" si="56"/>
        <v/>
      </c>
      <c r="T732" s="18" t="str">
        <f t="shared" si="57"/>
        <v/>
      </c>
      <c r="U732" s="18" t="str">
        <f t="shared" si="58"/>
        <v/>
      </c>
      <c r="V732" s="18" t="str">
        <f t="shared" si="59"/>
        <v/>
      </c>
      <c r="W732" s="14"/>
    </row>
    <row r="733" spans="1:23" ht="15" customHeight="1" x14ac:dyDescent="0.25">
      <c r="A733" s="6">
        <v>40</v>
      </c>
      <c r="B733" s="33" t="s">
        <v>94</v>
      </c>
      <c r="C733" s="44"/>
      <c r="D733" s="62">
        <v>3.12</v>
      </c>
      <c r="E733" s="62"/>
      <c r="F733" s="41"/>
      <c r="G733" s="36">
        <v>0.25</v>
      </c>
      <c r="H733" s="10">
        <v>20</v>
      </c>
      <c r="I733" s="11">
        <v>1</v>
      </c>
      <c r="J733" s="13">
        <f>ROUND(3.165/G733+1,0)</f>
        <v>14</v>
      </c>
      <c r="K733" s="45">
        <f>D733</f>
        <v>3.12</v>
      </c>
      <c r="L733" s="37" t="str">
        <f>IF(O733&lt;12,"0",0.049*H733)</f>
        <v>0</v>
      </c>
      <c r="M733" s="17">
        <v>0</v>
      </c>
      <c r="N733" s="11">
        <f>M733*2*H733/1000</f>
        <v>0</v>
      </c>
      <c r="O733" s="16">
        <f>(D733)-N733</f>
        <v>3.12</v>
      </c>
      <c r="P733" s="16">
        <f>(I733*J733*O733)+L733</f>
        <v>43.68</v>
      </c>
      <c r="Q733" s="18" t="str">
        <f t="shared" si="54"/>
        <v/>
      </c>
      <c r="R733" s="18" t="str">
        <f t="shared" si="55"/>
        <v/>
      </c>
      <c r="S733" s="18" t="str">
        <f t="shared" si="56"/>
        <v/>
      </c>
      <c r="T733" s="18" t="str">
        <f t="shared" si="57"/>
        <v/>
      </c>
      <c r="U733" s="18">
        <f t="shared" si="58"/>
        <v>43.68</v>
      </c>
      <c r="V733" s="18" t="str">
        <f t="shared" si="59"/>
        <v/>
      </c>
      <c r="W733" s="14"/>
    </row>
    <row r="734" spans="1:23" x14ac:dyDescent="0.25">
      <c r="A734" s="6"/>
      <c r="B734" s="33" t="s">
        <v>163</v>
      </c>
      <c r="C734" s="19"/>
      <c r="D734" s="53"/>
      <c r="E734" s="53"/>
      <c r="F734" s="41"/>
      <c r="G734" s="36"/>
      <c r="H734" s="10"/>
      <c r="I734" s="11"/>
      <c r="J734" s="13"/>
      <c r="K734" s="45"/>
      <c r="L734" s="37"/>
      <c r="M734" s="17"/>
      <c r="N734" s="11"/>
      <c r="O734" s="16"/>
      <c r="P734" s="16"/>
      <c r="Q734" s="18" t="str">
        <f t="shared" si="54"/>
        <v/>
      </c>
      <c r="R734" s="18" t="str">
        <f t="shared" si="55"/>
        <v/>
      </c>
      <c r="S734" s="18" t="str">
        <f t="shared" si="56"/>
        <v/>
      </c>
      <c r="T734" s="18" t="str">
        <f t="shared" si="57"/>
        <v/>
      </c>
      <c r="U734" s="18" t="str">
        <f t="shared" si="58"/>
        <v/>
      </c>
      <c r="V734" s="18" t="str">
        <f t="shared" si="59"/>
        <v/>
      </c>
      <c r="W734" s="14"/>
    </row>
    <row r="735" spans="1:23" x14ac:dyDescent="0.25">
      <c r="A735" s="6"/>
      <c r="B735" s="50"/>
      <c r="C735" s="19"/>
      <c r="D735" s="53"/>
      <c r="E735" s="53"/>
      <c r="F735" s="41"/>
      <c r="G735" s="36"/>
      <c r="H735" s="10"/>
      <c r="I735" s="11"/>
      <c r="J735" s="13"/>
      <c r="K735" s="45"/>
      <c r="L735" s="37"/>
      <c r="M735" s="17"/>
      <c r="N735" s="11"/>
      <c r="O735" s="16"/>
      <c r="P735" s="16"/>
      <c r="Q735" s="18" t="str">
        <f t="shared" si="54"/>
        <v/>
      </c>
      <c r="R735" s="18" t="str">
        <f t="shared" si="55"/>
        <v/>
      </c>
      <c r="S735" s="18" t="str">
        <f t="shared" si="56"/>
        <v/>
      </c>
      <c r="T735" s="18" t="str">
        <f t="shared" si="57"/>
        <v/>
      </c>
      <c r="U735" s="18" t="str">
        <f t="shared" si="58"/>
        <v/>
      </c>
      <c r="V735" s="18" t="str">
        <f t="shared" si="59"/>
        <v/>
      </c>
      <c r="W735" s="14"/>
    </row>
    <row r="736" spans="1:23" ht="15" customHeight="1" x14ac:dyDescent="0.25">
      <c r="A736" s="6">
        <v>41</v>
      </c>
      <c r="B736" s="33" t="s">
        <v>94</v>
      </c>
      <c r="C736" s="44"/>
      <c r="D736" s="62">
        <v>2.85</v>
      </c>
      <c r="E736" s="62"/>
      <c r="F736" s="41"/>
      <c r="G736" s="36">
        <v>0.25</v>
      </c>
      <c r="H736" s="10">
        <v>16</v>
      </c>
      <c r="I736" s="11">
        <v>1</v>
      </c>
      <c r="J736" s="13">
        <f>ROUND(5.47/G736+1,0)</f>
        <v>23</v>
      </c>
      <c r="K736" s="45">
        <f>D736</f>
        <v>2.85</v>
      </c>
      <c r="L736" s="37" t="str">
        <f>IF(O736&lt;12,"0",0.049*H736)</f>
        <v>0</v>
      </c>
      <c r="M736" s="17">
        <v>0</v>
      </c>
      <c r="N736" s="11">
        <f>M736*2*H736/1000</f>
        <v>0</v>
      </c>
      <c r="O736" s="16">
        <f>(D736)-N736</f>
        <v>2.85</v>
      </c>
      <c r="P736" s="16">
        <f>(I736*J736*O736)+L736</f>
        <v>65.55</v>
      </c>
      <c r="Q736" s="18" t="str">
        <f t="shared" si="54"/>
        <v/>
      </c>
      <c r="R736" s="18" t="str">
        <f t="shared" si="55"/>
        <v/>
      </c>
      <c r="S736" s="18" t="str">
        <f t="shared" si="56"/>
        <v/>
      </c>
      <c r="T736" s="18">
        <f t="shared" si="57"/>
        <v>65.55</v>
      </c>
      <c r="U736" s="18" t="str">
        <f t="shared" si="58"/>
        <v/>
      </c>
      <c r="V736" s="18" t="str">
        <f t="shared" si="59"/>
        <v/>
      </c>
      <c r="W736" s="14"/>
    </row>
    <row r="737" spans="1:23" x14ac:dyDescent="0.25">
      <c r="A737" s="6"/>
      <c r="B737" s="33" t="s">
        <v>163</v>
      </c>
      <c r="C737" s="19"/>
      <c r="D737" s="53"/>
      <c r="E737" s="53"/>
      <c r="F737" s="41"/>
      <c r="G737" s="36"/>
      <c r="H737" s="10"/>
      <c r="I737" s="11"/>
      <c r="J737" s="13"/>
      <c r="K737" s="45"/>
      <c r="L737" s="37"/>
      <c r="M737" s="17"/>
      <c r="N737" s="11"/>
      <c r="O737" s="16"/>
      <c r="P737" s="16"/>
      <c r="Q737" s="18" t="str">
        <f t="shared" si="54"/>
        <v/>
      </c>
      <c r="R737" s="18" t="str">
        <f t="shared" si="55"/>
        <v/>
      </c>
      <c r="S737" s="18" t="str">
        <f t="shared" si="56"/>
        <v/>
      </c>
      <c r="T737" s="18" t="str">
        <f t="shared" si="57"/>
        <v/>
      </c>
      <c r="U737" s="18" t="str">
        <f t="shared" si="58"/>
        <v/>
      </c>
      <c r="V737" s="18" t="str">
        <f t="shared" si="59"/>
        <v/>
      </c>
      <c r="W737" s="14"/>
    </row>
    <row r="738" spans="1:23" x14ac:dyDescent="0.25">
      <c r="A738" s="6"/>
      <c r="B738" s="50"/>
      <c r="C738" s="19"/>
      <c r="D738" s="53"/>
      <c r="E738" s="53"/>
      <c r="F738" s="41"/>
      <c r="G738" s="36"/>
      <c r="H738" s="10"/>
      <c r="I738" s="11"/>
      <c r="J738" s="13"/>
      <c r="K738" s="45"/>
      <c r="L738" s="37"/>
      <c r="M738" s="17"/>
      <c r="N738" s="11"/>
      <c r="O738" s="16"/>
      <c r="P738" s="16"/>
      <c r="Q738" s="18" t="str">
        <f t="shared" si="54"/>
        <v/>
      </c>
      <c r="R738" s="18" t="str">
        <f t="shared" si="55"/>
        <v/>
      </c>
      <c r="S738" s="18" t="str">
        <f t="shared" si="56"/>
        <v/>
      </c>
      <c r="T738" s="18" t="str">
        <f t="shared" si="57"/>
        <v/>
      </c>
      <c r="U738" s="18" t="str">
        <f t="shared" si="58"/>
        <v/>
      </c>
      <c r="V738" s="18" t="str">
        <f t="shared" si="59"/>
        <v/>
      </c>
      <c r="W738" s="14"/>
    </row>
    <row r="739" spans="1:23" ht="15" customHeight="1" x14ac:dyDescent="0.25">
      <c r="A739" s="6">
        <v>42</v>
      </c>
      <c r="B739" s="33" t="s">
        <v>95</v>
      </c>
      <c r="C739" s="44"/>
      <c r="D739" s="62">
        <v>4.12</v>
      </c>
      <c r="E739" s="62"/>
      <c r="F739" s="41"/>
      <c r="G739" s="36">
        <v>0.25</v>
      </c>
      <c r="H739" s="10">
        <v>20</v>
      </c>
      <c r="I739" s="11">
        <v>1</v>
      </c>
      <c r="J739" s="13">
        <f>ROUND(8.16/G739+1,0)</f>
        <v>34</v>
      </c>
      <c r="K739" s="45">
        <f>D739</f>
        <v>4.12</v>
      </c>
      <c r="L739" s="37" t="str">
        <f>IF(O739&lt;12,"0",0.049*H739)</f>
        <v>0</v>
      </c>
      <c r="M739" s="17">
        <v>0</v>
      </c>
      <c r="N739" s="11">
        <f>M739*2*H739/1000</f>
        <v>0</v>
      </c>
      <c r="O739" s="16">
        <f>(D739)-N739</f>
        <v>4.12</v>
      </c>
      <c r="P739" s="16">
        <f>(I739*J739*O739)+L739</f>
        <v>140.08000000000001</v>
      </c>
      <c r="Q739" s="18" t="str">
        <f t="shared" si="54"/>
        <v/>
      </c>
      <c r="R739" s="18" t="str">
        <f t="shared" si="55"/>
        <v/>
      </c>
      <c r="S739" s="18" t="str">
        <f t="shared" si="56"/>
        <v/>
      </c>
      <c r="T739" s="18" t="str">
        <f t="shared" si="57"/>
        <v/>
      </c>
      <c r="U739" s="18">
        <f t="shared" si="58"/>
        <v>140.08000000000001</v>
      </c>
      <c r="V739" s="18" t="str">
        <f t="shared" si="59"/>
        <v/>
      </c>
      <c r="W739" s="14"/>
    </row>
    <row r="740" spans="1:23" x14ac:dyDescent="0.25">
      <c r="A740" s="6"/>
      <c r="B740" s="33" t="s">
        <v>163</v>
      </c>
      <c r="C740" s="19"/>
      <c r="D740" s="53"/>
      <c r="E740" s="53"/>
      <c r="F740" s="41"/>
      <c r="G740" s="36"/>
      <c r="H740" s="10"/>
      <c r="I740" s="11"/>
      <c r="J740" s="13"/>
      <c r="K740" s="45"/>
      <c r="L740" s="37"/>
      <c r="M740" s="17"/>
      <c r="N740" s="11"/>
      <c r="O740" s="16"/>
      <c r="P740" s="16"/>
      <c r="Q740" s="18" t="str">
        <f t="shared" si="54"/>
        <v/>
      </c>
      <c r="R740" s="18" t="str">
        <f t="shared" si="55"/>
        <v/>
      </c>
      <c r="S740" s="18" t="str">
        <f t="shared" si="56"/>
        <v/>
      </c>
      <c r="T740" s="18" t="str">
        <f t="shared" si="57"/>
        <v/>
      </c>
      <c r="U740" s="18" t="str">
        <f t="shared" si="58"/>
        <v/>
      </c>
      <c r="V740" s="18" t="str">
        <f t="shared" si="59"/>
        <v/>
      </c>
      <c r="W740" s="14"/>
    </row>
    <row r="741" spans="1:23" x14ac:dyDescent="0.25">
      <c r="A741" s="6"/>
      <c r="B741" s="50"/>
      <c r="C741" s="19"/>
      <c r="D741" s="53"/>
      <c r="E741" s="53"/>
      <c r="F741" s="41"/>
      <c r="G741" s="36"/>
      <c r="H741" s="10"/>
      <c r="I741" s="11"/>
      <c r="J741" s="13"/>
      <c r="K741" s="45"/>
      <c r="L741" s="37"/>
      <c r="M741" s="17"/>
      <c r="N741" s="11"/>
      <c r="O741" s="16"/>
      <c r="P741" s="16"/>
      <c r="Q741" s="18" t="str">
        <f t="shared" si="54"/>
        <v/>
      </c>
      <c r="R741" s="18" t="str">
        <f t="shared" si="55"/>
        <v/>
      </c>
      <c r="S741" s="18" t="str">
        <f t="shared" si="56"/>
        <v/>
      </c>
      <c r="T741" s="18" t="str">
        <f t="shared" si="57"/>
        <v/>
      </c>
      <c r="U741" s="18" t="str">
        <f t="shared" si="58"/>
        <v/>
      </c>
      <c r="V741" s="18" t="str">
        <f t="shared" si="59"/>
        <v/>
      </c>
      <c r="W741" s="14"/>
    </row>
    <row r="742" spans="1:23" ht="15" customHeight="1" x14ac:dyDescent="0.25">
      <c r="A742" s="6">
        <v>43</v>
      </c>
      <c r="B742" s="33" t="s">
        <v>95</v>
      </c>
      <c r="C742" s="44"/>
      <c r="D742" s="62">
        <v>4.1900000000000004</v>
      </c>
      <c r="E742" s="62"/>
      <c r="F742" s="41"/>
      <c r="G742" s="36">
        <v>0.25</v>
      </c>
      <c r="H742" s="10">
        <v>12</v>
      </c>
      <c r="I742" s="11">
        <v>1</v>
      </c>
      <c r="J742" s="13">
        <f>ROUND(2.56/G742+1,0)</f>
        <v>11</v>
      </c>
      <c r="K742" s="45">
        <f>D742</f>
        <v>4.1900000000000004</v>
      </c>
      <c r="L742" s="37" t="str">
        <f>IF(O742&lt;12,"0",0.049*H742)</f>
        <v>0</v>
      </c>
      <c r="M742" s="17">
        <v>0</v>
      </c>
      <c r="N742" s="11">
        <f>M742*2*H742/1000</f>
        <v>0</v>
      </c>
      <c r="O742" s="16">
        <f>(D742)-N742</f>
        <v>4.1900000000000004</v>
      </c>
      <c r="P742" s="16">
        <f>(I742*J742*O742)+L742</f>
        <v>46.09</v>
      </c>
      <c r="Q742" s="18" t="str">
        <f t="shared" si="54"/>
        <v/>
      </c>
      <c r="R742" s="18" t="str">
        <f t="shared" si="55"/>
        <v/>
      </c>
      <c r="S742" s="18">
        <f t="shared" si="56"/>
        <v>46.09</v>
      </c>
      <c r="T742" s="18" t="str">
        <f t="shared" si="57"/>
        <v/>
      </c>
      <c r="U742" s="18" t="str">
        <f t="shared" si="58"/>
        <v/>
      </c>
      <c r="V742" s="18" t="str">
        <f t="shared" si="59"/>
        <v/>
      </c>
      <c r="W742" s="14"/>
    </row>
    <row r="743" spans="1:23" x14ac:dyDescent="0.25">
      <c r="A743" s="6"/>
      <c r="B743" s="33" t="s">
        <v>163</v>
      </c>
      <c r="C743" s="19"/>
      <c r="D743" s="53"/>
      <c r="E743" s="53"/>
      <c r="F743" s="41"/>
      <c r="G743" s="36"/>
      <c r="H743" s="10"/>
      <c r="I743" s="11"/>
      <c r="J743" s="13"/>
      <c r="K743" s="45"/>
      <c r="L743" s="37"/>
      <c r="M743" s="17"/>
      <c r="N743" s="11"/>
      <c r="O743" s="16"/>
      <c r="P743" s="16"/>
      <c r="Q743" s="18" t="str">
        <f t="shared" si="54"/>
        <v/>
      </c>
      <c r="R743" s="18" t="str">
        <f t="shared" si="55"/>
        <v/>
      </c>
      <c r="S743" s="18" t="str">
        <f t="shared" si="56"/>
        <v/>
      </c>
      <c r="T743" s="18" t="str">
        <f t="shared" si="57"/>
        <v/>
      </c>
      <c r="U743" s="18" t="str">
        <f t="shared" si="58"/>
        <v/>
      </c>
      <c r="V743" s="18" t="str">
        <f t="shared" si="59"/>
        <v/>
      </c>
      <c r="W743" s="14"/>
    </row>
    <row r="744" spans="1:23" x14ac:dyDescent="0.25">
      <c r="A744" s="6"/>
      <c r="B744" s="50"/>
      <c r="C744" s="19"/>
      <c r="D744" s="53"/>
      <c r="E744" s="53"/>
      <c r="F744" s="41"/>
      <c r="G744" s="36"/>
      <c r="H744" s="10"/>
      <c r="I744" s="11"/>
      <c r="J744" s="13"/>
      <c r="K744" s="45"/>
      <c r="L744" s="37"/>
      <c r="M744" s="17"/>
      <c r="N744" s="11"/>
      <c r="O744" s="16"/>
      <c r="P744" s="16"/>
      <c r="Q744" s="18" t="str">
        <f t="shared" si="54"/>
        <v/>
      </c>
      <c r="R744" s="18" t="str">
        <f t="shared" si="55"/>
        <v/>
      </c>
      <c r="S744" s="18" t="str">
        <f t="shared" si="56"/>
        <v/>
      </c>
      <c r="T744" s="18" t="str">
        <f t="shared" si="57"/>
        <v/>
      </c>
      <c r="U744" s="18" t="str">
        <f t="shared" si="58"/>
        <v/>
      </c>
      <c r="V744" s="18" t="str">
        <f t="shared" si="59"/>
        <v/>
      </c>
      <c r="W744" s="14"/>
    </row>
    <row r="745" spans="1:23" ht="15" customHeight="1" x14ac:dyDescent="0.25">
      <c r="A745" s="6">
        <v>44</v>
      </c>
      <c r="B745" s="33" t="s">
        <v>95</v>
      </c>
      <c r="C745" s="44"/>
      <c r="D745" s="62">
        <v>7.68</v>
      </c>
      <c r="E745" s="62"/>
      <c r="F745" s="41"/>
      <c r="G745" s="36">
        <v>0.25</v>
      </c>
      <c r="H745" s="10">
        <v>12</v>
      </c>
      <c r="I745" s="11">
        <v>1</v>
      </c>
      <c r="J745" s="13">
        <f>ROUND(2.635/G745+1,0)</f>
        <v>12</v>
      </c>
      <c r="K745" s="45">
        <f>D745</f>
        <v>7.68</v>
      </c>
      <c r="L745" s="37" t="str">
        <f>IF(O745&lt;12,"0",0.049*H745)</f>
        <v>0</v>
      </c>
      <c r="M745" s="17">
        <v>0</v>
      </c>
      <c r="N745" s="11">
        <f>M745*2*H745/1000</f>
        <v>0</v>
      </c>
      <c r="O745" s="16">
        <f>(D745)-N745</f>
        <v>7.68</v>
      </c>
      <c r="P745" s="16">
        <f>(I745*J745*O745)+L745</f>
        <v>92.16</v>
      </c>
      <c r="Q745" s="18" t="str">
        <f t="shared" si="54"/>
        <v/>
      </c>
      <c r="R745" s="18" t="str">
        <f t="shared" si="55"/>
        <v/>
      </c>
      <c r="S745" s="18">
        <f t="shared" si="56"/>
        <v>92.16</v>
      </c>
      <c r="T745" s="18" t="str">
        <f t="shared" si="57"/>
        <v/>
      </c>
      <c r="U745" s="18" t="str">
        <f t="shared" si="58"/>
        <v/>
      </c>
      <c r="V745" s="18" t="str">
        <f t="shared" si="59"/>
        <v/>
      </c>
      <c r="W745" s="14"/>
    </row>
    <row r="746" spans="1:23" x14ac:dyDescent="0.25">
      <c r="A746" s="6"/>
      <c r="B746" s="33" t="s">
        <v>163</v>
      </c>
      <c r="C746" s="19"/>
      <c r="D746" s="53"/>
      <c r="E746" s="53"/>
      <c r="F746" s="41"/>
      <c r="G746" s="36"/>
      <c r="H746" s="10"/>
      <c r="I746" s="11"/>
      <c r="J746" s="13"/>
      <c r="K746" s="45"/>
      <c r="L746" s="37"/>
      <c r="M746" s="17"/>
      <c r="N746" s="11"/>
      <c r="O746" s="16"/>
      <c r="P746" s="16"/>
      <c r="Q746" s="18" t="str">
        <f t="shared" si="54"/>
        <v/>
      </c>
      <c r="R746" s="18" t="str">
        <f t="shared" si="55"/>
        <v/>
      </c>
      <c r="S746" s="18" t="str">
        <f t="shared" si="56"/>
        <v/>
      </c>
      <c r="T746" s="18" t="str">
        <f t="shared" si="57"/>
        <v/>
      </c>
      <c r="U746" s="18" t="str">
        <f t="shared" si="58"/>
        <v/>
      </c>
      <c r="V746" s="18" t="str">
        <f t="shared" si="59"/>
        <v/>
      </c>
      <c r="W746" s="14"/>
    </row>
    <row r="747" spans="1:23" x14ac:dyDescent="0.25">
      <c r="A747" s="6"/>
      <c r="B747" s="50"/>
      <c r="C747" s="19"/>
      <c r="D747" s="53"/>
      <c r="E747" s="53"/>
      <c r="F747" s="41"/>
      <c r="G747" s="36"/>
      <c r="H747" s="10"/>
      <c r="I747" s="11"/>
      <c r="J747" s="13"/>
      <c r="K747" s="45"/>
      <c r="L747" s="37"/>
      <c r="M747" s="17"/>
      <c r="N747" s="11"/>
      <c r="O747" s="16"/>
      <c r="P747" s="16"/>
      <c r="Q747" s="18" t="str">
        <f t="shared" si="54"/>
        <v/>
      </c>
      <c r="R747" s="18" t="str">
        <f t="shared" si="55"/>
        <v/>
      </c>
      <c r="S747" s="18" t="str">
        <f t="shared" si="56"/>
        <v/>
      </c>
      <c r="T747" s="18" t="str">
        <f t="shared" si="57"/>
        <v/>
      </c>
      <c r="U747" s="18" t="str">
        <f t="shared" si="58"/>
        <v/>
      </c>
      <c r="V747" s="18" t="str">
        <f t="shared" si="59"/>
        <v/>
      </c>
      <c r="W747" s="14"/>
    </row>
    <row r="748" spans="1:23" ht="15" customHeight="1" x14ac:dyDescent="0.25">
      <c r="A748" s="6">
        <v>45</v>
      </c>
      <c r="B748" s="33" t="s">
        <v>95</v>
      </c>
      <c r="C748" s="44"/>
      <c r="D748" s="62">
        <v>3.915</v>
      </c>
      <c r="E748" s="62"/>
      <c r="F748" s="41"/>
      <c r="G748" s="36">
        <v>0.25</v>
      </c>
      <c r="H748" s="10">
        <v>20</v>
      </c>
      <c r="I748" s="11">
        <v>1</v>
      </c>
      <c r="J748" s="13">
        <f>ROUND(4.5/G748+1,0)</f>
        <v>19</v>
      </c>
      <c r="K748" s="45">
        <f>D748</f>
        <v>3.915</v>
      </c>
      <c r="L748" s="37" t="str">
        <f>IF(O748&lt;12,"0",0.049*H748)</f>
        <v>0</v>
      </c>
      <c r="M748" s="17">
        <v>0</v>
      </c>
      <c r="N748" s="11">
        <f>M748*2*H748/1000</f>
        <v>0</v>
      </c>
      <c r="O748" s="16">
        <f>(D748)-N748</f>
        <v>3.915</v>
      </c>
      <c r="P748" s="16">
        <f>(I748*J748*O748)+L748</f>
        <v>74.385000000000005</v>
      </c>
      <c r="Q748" s="18" t="str">
        <f t="shared" si="54"/>
        <v/>
      </c>
      <c r="R748" s="18" t="str">
        <f t="shared" si="55"/>
        <v/>
      </c>
      <c r="S748" s="18" t="str">
        <f t="shared" si="56"/>
        <v/>
      </c>
      <c r="T748" s="18" t="str">
        <f t="shared" si="57"/>
        <v/>
      </c>
      <c r="U748" s="18">
        <f t="shared" si="58"/>
        <v>74.385000000000005</v>
      </c>
      <c r="V748" s="18" t="str">
        <f t="shared" si="59"/>
        <v/>
      </c>
      <c r="W748" s="14"/>
    </row>
    <row r="749" spans="1:23" x14ac:dyDescent="0.25">
      <c r="A749" s="6"/>
      <c r="B749" s="33" t="s">
        <v>164</v>
      </c>
      <c r="C749" s="19"/>
      <c r="D749" s="53"/>
      <c r="E749" s="53"/>
      <c r="F749" s="41"/>
      <c r="G749" s="36"/>
      <c r="H749" s="10"/>
      <c r="I749" s="11"/>
      <c r="J749" s="13"/>
      <c r="K749" s="45"/>
      <c r="L749" s="37"/>
      <c r="M749" s="17"/>
      <c r="N749" s="11"/>
      <c r="O749" s="16"/>
      <c r="P749" s="16"/>
      <c r="Q749" s="18" t="str">
        <f t="shared" si="54"/>
        <v/>
      </c>
      <c r="R749" s="18" t="str">
        <f t="shared" si="55"/>
        <v/>
      </c>
      <c r="S749" s="18" t="str">
        <f t="shared" si="56"/>
        <v/>
      </c>
      <c r="T749" s="18" t="str">
        <f t="shared" si="57"/>
        <v/>
      </c>
      <c r="U749" s="18" t="str">
        <f t="shared" si="58"/>
        <v/>
      </c>
      <c r="V749" s="18" t="str">
        <f t="shared" si="59"/>
        <v/>
      </c>
      <c r="W749" s="14"/>
    </row>
    <row r="750" spans="1:23" x14ac:dyDescent="0.25">
      <c r="A750" s="6"/>
      <c r="B750" s="50"/>
      <c r="C750" s="19"/>
      <c r="D750" s="53"/>
      <c r="E750" s="53"/>
      <c r="F750" s="41"/>
      <c r="G750" s="36"/>
      <c r="H750" s="10"/>
      <c r="I750" s="11"/>
      <c r="J750" s="13"/>
      <c r="K750" s="45"/>
      <c r="L750" s="37"/>
      <c r="M750" s="17"/>
      <c r="N750" s="11"/>
      <c r="O750" s="16"/>
      <c r="P750" s="16"/>
      <c r="Q750" s="18" t="str">
        <f t="shared" si="54"/>
        <v/>
      </c>
      <c r="R750" s="18" t="str">
        <f t="shared" si="55"/>
        <v/>
      </c>
      <c r="S750" s="18" t="str">
        <f t="shared" si="56"/>
        <v/>
      </c>
      <c r="T750" s="18" t="str">
        <f t="shared" si="57"/>
        <v/>
      </c>
      <c r="U750" s="18" t="str">
        <f t="shared" si="58"/>
        <v/>
      </c>
      <c r="V750" s="18" t="str">
        <f t="shared" si="59"/>
        <v/>
      </c>
      <c r="W750" s="14"/>
    </row>
    <row r="751" spans="1:23" ht="15" customHeight="1" x14ac:dyDescent="0.25">
      <c r="A751" s="6">
        <v>46</v>
      </c>
      <c r="B751" s="33" t="s">
        <v>95</v>
      </c>
      <c r="C751" s="44"/>
      <c r="D751" s="62">
        <v>4.5</v>
      </c>
      <c r="E751" s="62"/>
      <c r="F751" s="41"/>
      <c r="G751" s="36">
        <v>0.25</v>
      </c>
      <c r="H751" s="10">
        <v>16</v>
      </c>
      <c r="I751" s="11">
        <v>1</v>
      </c>
      <c r="J751" s="13">
        <f>ROUND(3.915/G751+1,0)</f>
        <v>17</v>
      </c>
      <c r="K751" s="45">
        <f>D751</f>
        <v>4.5</v>
      </c>
      <c r="L751" s="37" t="str">
        <f>IF(O751&lt;12,"0",0.049*H751)</f>
        <v>0</v>
      </c>
      <c r="M751" s="17">
        <v>0</v>
      </c>
      <c r="N751" s="11">
        <f>M751*2*H751/1000</f>
        <v>0</v>
      </c>
      <c r="O751" s="16">
        <f>(D751)-N751</f>
        <v>4.5</v>
      </c>
      <c r="P751" s="16">
        <f>(I751*J751*O751)+L751</f>
        <v>76.5</v>
      </c>
      <c r="Q751" s="18" t="str">
        <f t="shared" si="54"/>
        <v/>
      </c>
      <c r="R751" s="18" t="str">
        <f t="shared" si="55"/>
        <v/>
      </c>
      <c r="S751" s="18" t="str">
        <f t="shared" si="56"/>
        <v/>
      </c>
      <c r="T751" s="18">
        <f t="shared" si="57"/>
        <v>76.5</v>
      </c>
      <c r="U751" s="18" t="str">
        <f t="shared" si="58"/>
        <v/>
      </c>
      <c r="V751" s="18" t="str">
        <f t="shared" si="59"/>
        <v/>
      </c>
      <c r="W751" s="14"/>
    </row>
    <row r="752" spans="1:23" x14ac:dyDescent="0.25">
      <c r="A752" s="6"/>
      <c r="B752" s="33" t="s">
        <v>164</v>
      </c>
      <c r="C752" s="19"/>
      <c r="D752" s="53"/>
      <c r="E752" s="53"/>
      <c r="F752" s="41"/>
      <c r="G752" s="36"/>
      <c r="H752" s="10"/>
      <c r="I752" s="11"/>
      <c r="J752" s="13"/>
      <c r="K752" s="45"/>
      <c r="L752" s="37"/>
      <c r="M752" s="17"/>
      <c r="N752" s="11"/>
      <c r="O752" s="16"/>
      <c r="P752" s="16"/>
      <c r="Q752" s="18" t="str">
        <f t="shared" si="54"/>
        <v/>
      </c>
      <c r="R752" s="18" t="str">
        <f t="shared" si="55"/>
        <v/>
      </c>
      <c r="S752" s="18" t="str">
        <f t="shared" si="56"/>
        <v/>
      </c>
      <c r="T752" s="18" t="str">
        <f t="shared" si="57"/>
        <v/>
      </c>
      <c r="U752" s="18" t="str">
        <f t="shared" si="58"/>
        <v/>
      </c>
      <c r="V752" s="18" t="str">
        <f t="shared" si="59"/>
        <v/>
      </c>
      <c r="W752" s="14"/>
    </row>
    <row r="753" spans="1:23" x14ac:dyDescent="0.25">
      <c r="A753" s="6"/>
      <c r="B753" s="50"/>
      <c r="C753" s="19"/>
      <c r="D753" s="53"/>
      <c r="E753" s="53"/>
      <c r="F753" s="41"/>
      <c r="G753" s="36"/>
      <c r="H753" s="10"/>
      <c r="I753" s="11"/>
      <c r="J753" s="13"/>
      <c r="K753" s="45"/>
      <c r="L753" s="37"/>
      <c r="M753" s="17"/>
      <c r="N753" s="11"/>
      <c r="O753" s="16"/>
      <c r="P753" s="16"/>
      <c r="Q753" s="18" t="str">
        <f t="shared" si="54"/>
        <v/>
      </c>
      <c r="R753" s="18" t="str">
        <f t="shared" si="55"/>
        <v/>
      </c>
      <c r="S753" s="18" t="str">
        <f t="shared" si="56"/>
        <v/>
      </c>
      <c r="T753" s="18" t="str">
        <f t="shared" si="57"/>
        <v/>
      </c>
      <c r="U753" s="18" t="str">
        <f t="shared" si="58"/>
        <v/>
      </c>
      <c r="V753" s="18" t="str">
        <f t="shared" si="59"/>
        <v/>
      </c>
      <c r="W753" s="14"/>
    </row>
    <row r="754" spans="1:23" ht="15" customHeight="1" x14ac:dyDescent="0.25">
      <c r="A754" s="6">
        <v>47</v>
      </c>
      <c r="B754" s="33" t="s">
        <v>95</v>
      </c>
      <c r="C754" s="44"/>
      <c r="D754" s="62">
        <v>4.55</v>
      </c>
      <c r="E754" s="62"/>
      <c r="F754" s="41"/>
      <c r="G754" s="36">
        <v>0.25</v>
      </c>
      <c r="H754" s="10">
        <v>10</v>
      </c>
      <c r="I754" s="11">
        <v>1</v>
      </c>
      <c r="J754" s="13">
        <f>ROUND(4.5/G754+1,0)</f>
        <v>19</v>
      </c>
      <c r="K754" s="45">
        <f>D754</f>
        <v>4.55</v>
      </c>
      <c r="L754" s="37" t="str">
        <f>IF(O754&lt;12,"0",0.049*H754)</f>
        <v>0</v>
      </c>
      <c r="M754" s="17">
        <v>0</v>
      </c>
      <c r="N754" s="11">
        <f>M754*2*H754/1000</f>
        <v>0</v>
      </c>
      <c r="O754" s="16">
        <f>(D754)-N754</f>
        <v>4.55</v>
      </c>
      <c r="P754" s="16">
        <f>(I754*J754*O754)+L754</f>
        <v>86.45</v>
      </c>
      <c r="Q754" s="18" t="str">
        <f t="shared" si="54"/>
        <v/>
      </c>
      <c r="R754" s="18">
        <f t="shared" si="55"/>
        <v>86.45</v>
      </c>
      <c r="S754" s="18" t="str">
        <f t="shared" si="56"/>
        <v/>
      </c>
      <c r="T754" s="18" t="str">
        <f t="shared" si="57"/>
        <v/>
      </c>
      <c r="U754" s="18" t="str">
        <f t="shared" si="58"/>
        <v/>
      </c>
      <c r="V754" s="18" t="str">
        <f t="shared" si="59"/>
        <v/>
      </c>
      <c r="W754" s="14"/>
    </row>
    <row r="755" spans="1:23" x14ac:dyDescent="0.25">
      <c r="A755" s="6"/>
      <c r="B755" s="33" t="s">
        <v>165</v>
      </c>
      <c r="C755" s="19"/>
      <c r="D755" s="53"/>
      <c r="E755" s="53"/>
      <c r="F755" s="41"/>
      <c r="G755" s="36"/>
      <c r="H755" s="10"/>
      <c r="I755" s="11"/>
      <c r="J755" s="13"/>
      <c r="K755" s="45"/>
      <c r="L755" s="37"/>
      <c r="M755" s="17"/>
      <c r="N755" s="11"/>
      <c r="O755" s="16"/>
      <c r="P755" s="16"/>
      <c r="Q755" s="18" t="str">
        <f t="shared" si="54"/>
        <v/>
      </c>
      <c r="R755" s="18" t="str">
        <f t="shared" si="55"/>
        <v/>
      </c>
      <c r="S755" s="18" t="str">
        <f t="shared" si="56"/>
        <v/>
      </c>
      <c r="T755" s="18" t="str">
        <f t="shared" si="57"/>
        <v/>
      </c>
      <c r="U755" s="18" t="str">
        <f t="shared" si="58"/>
        <v/>
      </c>
      <c r="V755" s="18" t="str">
        <f t="shared" si="59"/>
        <v/>
      </c>
      <c r="W755" s="14"/>
    </row>
    <row r="756" spans="1:23" x14ac:dyDescent="0.25">
      <c r="A756" s="6"/>
      <c r="B756" s="50"/>
      <c r="C756" s="19"/>
      <c r="D756" s="53"/>
      <c r="E756" s="53"/>
      <c r="F756" s="41"/>
      <c r="G756" s="36"/>
      <c r="H756" s="10"/>
      <c r="I756" s="11"/>
      <c r="J756" s="13"/>
      <c r="K756" s="45"/>
      <c r="L756" s="37"/>
      <c r="M756" s="17"/>
      <c r="N756" s="11"/>
      <c r="O756" s="16"/>
      <c r="P756" s="16"/>
      <c r="Q756" s="18" t="str">
        <f t="shared" si="54"/>
        <v/>
      </c>
      <c r="R756" s="18" t="str">
        <f t="shared" si="55"/>
        <v/>
      </c>
      <c r="S756" s="18" t="str">
        <f t="shared" si="56"/>
        <v/>
      </c>
      <c r="T756" s="18" t="str">
        <f t="shared" si="57"/>
        <v/>
      </c>
      <c r="U756" s="18" t="str">
        <f t="shared" si="58"/>
        <v/>
      </c>
      <c r="V756" s="18" t="str">
        <f t="shared" si="59"/>
        <v/>
      </c>
      <c r="W756" s="14"/>
    </row>
    <row r="757" spans="1:23" ht="15" customHeight="1" x14ac:dyDescent="0.25">
      <c r="A757" s="6">
        <v>48</v>
      </c>
      <c r="B757" s="33" t="s">
        <v>94</v>
      </c>
      <c r="C757" s="44"/>
      <c r="D757" s="62">
        <v>3.9750000000000001</v>
      </c>
      <c r="E757" s="62"/>
      <c r="F757" s="41"/>
      <c r="G757" s="36">
        <v>0.25</v>
      </c>
      <c r="H757" s="10">
        <v>25</v>
      </c>
      <c r="I757" s="11">
        <v>1</v>
      </c>
      <c r="J757" s="13">
        <f>ROUND(6.08/G757+1,0)</f>
        <v>25</v>
      </c>
      <c r="K757" s="45">
        <f>D757</f>
        <v>3.9750000000000001</v>
      </c>
      <c r="L757" s="37" t="str">
        <f>IF(O757&lt;12,"0",0.049*H757)</f>
        <v>0</v>
      </c>
      <c r="M757" s="17">
        <v>0</v>
      </c>
      <c r="N757" s="11">
        <f>M757*2*H757/1000</f>
        <v>0</v>
      </c>
      <c r="O757" s="16">
        <f>(D757)-N757</f>
        <v>3.9750000000000001</v>
      </c>
      <c r="P757" s="16">
        <f>(I757*J757*O757)+L757</f>
        <v>99.375</v>
      </c>
      <c r="Q757" s="18" t="str">
        <f t="shared" si="54"/>
        <v/>
      </c>
      <c r="R757" s="18" t="str">
        <f t="shared" si="55"/>
        <v/>
      </c>
      <c r="S757" s="18" t="str">
        <f t="shared" si="56"/>
        <v/>
      </c>
      <c r="T757" s="18" t="str">
        <f t="shared" si="57"/>
        <v/>
      </c>
      <c r="U757" s="18" t="str">
        <f t="shared" si="58"/>
        <v/>
      </c>
      <c r="V757" s="18">
        <f t="shared" si="59"/>
        <v>99.375</v>
      </c>
      <c r="W757" s="14"/>
    </row>
    <row r="758" spans="1:23" x14ac:dyDescent="0.25">
      <c r="A758" s="6"/>
      <c r="B758" s="33" t="s">
        <v>166</v>
      </c>
      <c r="C758" s="19"/>
      <c r="D758" s="53"/>
      <c r="E758" s="53"/>
      <c r="F758" s="41"/>
      <c r="G758" s="36"/>
      <c r="H758" s="10"/>
      <c r="I758" s="11"/>
      <c r="J758" s="13"/>
      <c r="K758" s="45"/>
      <c r="L758" s="37"/>
      <c r="M758" s="17"/>
      <c r="N758" s="11"/>
      <c r="O758" s="16"/>
      <c r="P758" s="16"/>
      <c r="Q758" s="18" t="str">
        <f t="shared" si="54"/>
        <v/>
      </c>
      <c r="R758" s="18" t="str">
        <f t="shared" si="55"/>
        <v/>
      </c>
      <c r="S758" s="18" t="str">
        <f t="shared" si="56"/>
        <v/>
      </c>
      <c r="T758" s="18" t="str">
        <f t="shared" si="57"/>
        <v/>
      </c>
      <c r="U758" s="18" t="str">
        <f t="shared" si="58"/>
        <v/>
      </c>
      <c r="V758" s="18" t="str">
        <f t="shared" si="59"/>
        <v/>
      </c>
      <c r="W758" s="14"/>
    </row>
    <row r="759" spans="1:23" x14ac:dyDescent="0.25">
      <c r="A759" s="6"/>
      <c r="B759" s="50"/>
      <c r="C759" s="19"/>
      <c r="D759" s="53"/>
      <c r="E759" s="53"/>
      <c r="F759" s="41"/>
      <c r="G759" s="36"/>
      <c r="H759" s="10"/>
      <c r="I759" s="11"/>
      <c r="J759" s="13"/>
      <c r="K759" s="45"/>
      <c r="L759" s="37"/>
      <c r="M759" s="17"/>
      <c r="N759" s="11"/>
      <c r="O759" s="16"/>
      <c r="P759" s="16"/>
      <c r="Q759" s="18" t="str">
        <f t="shared" si="54"/>
        <v/>
      </c>
      <c r="R759" s="18" t="str">
        <f t="shared" si="55"/>
        <v/>
      </c>
      <c r="S759" s="18" t="str">
        <f t="shared" si="56"/>
        <v/>
      </c>
      <c r="T759" s="18" t="str">
        <f t="shared" si="57"/>
        <v/>
      </c>
      <c r="U759" s="18" t="str">
        <f t="shared" si="58"/>
        <v/>
      </c>
      <c r="V759" s="18" t="str">
        <f t="shared" si="59"/>
        <v/>
      </c>
      <c r="W759" s="14"/>
    </row>
    <row r="760" spans="1:23" ht="15" customHeight="1" x14ac:dyDescent="0.25">
      <c r="A760" s="6">
        <v>49</v>
      </c>
      <c r="B760" s="33" t="s">
        <v>95</v>
      </c>
      <c r="C760" s="44"/>
      <c r="D760" s="62">
        <v>6.08</v>
      </c>
      <c r="E760" s="62"/>
      <c r="F760" s="41"/>
      <c r="G760" s="36">
        <v>0.25</v>
      </c>
      <c r="H760" s="10">
        <v>16</v>
      </c>
      <c r="I760" s="11">
        <v>1</v>
      </c>
      <c r="J760" s="13">
        <f>ROUND(3.975/G760+1,0)</f>
        <v>17</v>
      </c>
      <c r="K760" s="45">
        <f>D760</f>
        <v>6.08</v>
      </c>
      <c r="L760" s="37" t="str">
        <f>IF(O760&lt;12,"0",0.049*H760)</f>
        <v>0</v>
      </c>
      <c r="M760" s="17">
        <v>0</v>
      </c>
      <c r="N760" s="11">
        <f>M760*2*H760/1000</f>
        <v>0</v>
      </c>
      <c r="O760" s="16">
        <f>(D760)-N760</f>
        <v>6.08</v>
      </c>
      <c r="P760" s="16">
        <f>(I760*J760*O760)+L760</f>
        <v>103.36</v>
      </c>
      <c r="Q760" s="18" t="str">
        <f t="shared" si="54"/>
        <v/>
      </c>
      <c r="R760" s="18" t="str">
        <f t="shared" si="55"/>
        <v/>
      </c>
      <c r="S760" s="18" t="str">
        <f t="shared" si="56"/>
        <v/>
      </c>
      <c r="T760" s="18">
        <f t="shared" si="57"/>
        <v>103.36</v>
      </c>
      <c r="U760" s="18" t="str">
        <f t="shared" si="58"/>
        <v/>
      </c>
      <c r="V760" s="18" t="str">
        <f t="shared" si="59"/>
        <v/>
      </c>
      <c r="W760" s="14"/>
    </row>
    <row r="761" spans="1:23" x14ac:dyDescent="0.25">
      <c r="A761" s="6"/>
      <c r="B761" s="33" t="s">
        <v>166</v>
      </c>
      <c r="C761" s="19"/>
      <c r="D761" s="53"/>
      <c r="E761" s="53"/>
      <c r="F761" s="41"/>
      <c r="G761" s="36"/>
      <c r="H761" s="10"/>
      <c r="I761" s="11"/>
      <c r="J761" s="13"/>
      <c r="K761" s="45"/>
      <c r="L761" s="37"/>
      <c r="M761" s="17"/>
      <c r="N761" s="11"/>
      <c r="O761" s="16"/>
      <c r="P761" s="16"/>
      <c r="Q761" s="18" t="str">
        <f t="shared" si="54"/>
        <v/>
      </c>
      <c r="R761" s="18" t="str">
        <f t="shared" si="55"/>
        <v/>
      </c>
      <c r="S761" s="18" t="str">
        <f t="shared" si="56"/>
        <v/>
      </c>
      <c r="T761" s="18" t="str">
        <f t="shared" si="57"/>
        <v/>
      </c>
      <c r="U761" s="18" t="str">
        <f t="shared" si="58"/>
        <v/>
      </c>
      <c r="V761" s="18" t="str">
        <f t="shared" si="59"/>
        <v/>
      </c>
      <c r="W761" s="14"/>
    </row>
    <row r="762" spans="1:23" x14ac:dyDescent="0.25">
      <c r="A762" s="6"/>
      <c r="B762" s="50"/>
      <c r="C762" s="19"/>
      <c r="D762" s="53"/>
      <c r="E762" s="53"/>
      <c r="F762" s="41"/>
      <c r="G762" s="36"/>
      <c r="H762" s="10"/>
      <c r="I762" s="11"/>
      <c r="J762" s="13"/>
      <c r="K762" s="45"/>
      <c r="L762" s="37"/>
      <c r="M762" s="17"/>
      <c r="N762" s="11"/>
      <c r="O762" s="16"/>
      <c r="P762" s="16"/>
      <c r="Q762" s="18" t="str">
        <f t="shared" si="54"/>
        <v/>
      </c>
      <c r="R762" s="18" t="str">
        <f t="shared" si="55"/>
        <v/>
      </c>
      <c r="S762" s="18" t="str">
        <f t="shared" si="56"/>
        <v/>
      </c>
      <c r="T762" s="18" t="str">
        <f t="shared" si="57"/>
        <v/>
      </c>
      <c r="U762" s="18" t="str">
        <f t="shared" si="58"/>
        <v/>
      </c>
      <c r="V762" s="18" t="str">
        <f t="shared" si="59"/>
        <v/>
      </c>
      <c r="W762" s="14"/>
    </row>
    <row r="763" spans="1:23" ht="15" customHeight="1" x14ac:dyDescent="0.25">
      <c r="A763" s="6">
        <v>50</v>
      </c>
      <c r="B763" s="33" t="s">
        <v>94</v>
      </c>
      <c r="C763" s="44"/>
      <c r="D763" s="62">
        <v>1.95</v>
      </c>
      <c r="E763" s="62"/>
      <c r="F763" s="41"/>
      <c r="G763" s="36">
        <v>0.25</v>
      </c>
      <c r="H763" s="10">
        <v>12</v>
      </c>
      <c r="I763" s="11">
        <v>1</v>
      </c>
      <c r="J763" s="13">
        <f>ROUND(6.08/G763+1,0)</f>
        <v>25</v>
      </c>
      <c r="K763" s="45">
        <f>D763</f>
        <v>1.95</v>
      </c>
      <c r="L763" s="37" t="str">
        <f>IF(O763&lt;12,"0",0.049*H763)</f>
        <v>0</v>
      </c>
      <c r="M763" s="17">
        <v>0</v>
      </c>
      <c r="N763" s="11">
        <f>M763*2*H763/1000</f>
        <v>0</v>
      </c>
      <c r="O763" s="16">
        <f>(D763)-N763</f>
        <v>1.95</v>
      </c>
      <c r="P763" s="16">
        <f>(I763*J763*O763)+L763</f>
        <v>48.75</v>
      </c>
      <c r="Q763" s="18" t="str">
        <f t="shared" si="54"/>
        <v/>
      </c>
      <c r="R763" s="18" t="str">
        <f t="shared" si="55"/>
        <v/>
      </c>
      <c r="S763" s="18">
        <f t="shared" si="56"/>
        <v>48.75</v>
      </c>
      <c r="T763" s="18" t="str">
        <f t="shared" si="57"/>
        <v/>
      </c>
      <c r="U763" s="18" t="str">
        <f t="shared" si="58"/>
        <v/>
      </c>
      <c r="V763" s="18" t="str">
        <f t="shared" si="59"/>
        <v/>
      </c>
      <c r="W763" s="14"/>
    </row>
    <row r="764" spans="1:23" x14ac:dyDescent="0.25">
      <c r="A764" s="6"/>
      <c r="B764" s="33" t="s">
        <v>167</v>
      </c>
      <c r="C764" s="19"/>
      <c r="D764" s="53"/>
      <c r="E764" s="53"/>
      <c r="F764" s="41"/>
      <c r="G764" s="36"/>
      <c r="H764" s="10"/>
      <c r="I764" s="11"/>
      <c r="J764" s="13"/>
      <c r="K764" s="45"/>
      <c r="L764" s="37"/>
      <c r="M764" s="17"/>
      <c r="N764" s="11"/>
      <c r="O764" s="16"/>
      <c r="P764" s="16"/>
      <c r="Q764" s="18" t="str">
        <f t="shared" si="54"/>
        <v/>
      </c>
      <c r="R764" s="18" t="str">
        <f t="shared" si="55"/>
        <v/>
      </c>
      <c r="S764" s="18" t="str">
        <f t="shared" si="56"/>
        <v/>
      </c>
      <c r="T764" s="18" t="str">
        <f t="shared" si="57"/>
        <v/>
      </c>
      <c r="U764" s="18" t="str">
        <f t="shared" si="58"/>
        <v/>
      </c>
      <c r="V764" s="18" t="str">
        <f t="shared" si="59"/>
        <v/>
      </c>
      <c r="W764" s="14"/>
    </row>
    <row r="765" spans="1:23" x14ac:dyDescent="0.25">
      <c r="A765" s="6"/>
      <c r="B765" s="50"/>
      <c r="C765" s="19"/>
      <c r="D765" s="53"/>
      <c r="E765" s="53"/>
      <c r="F765" s="41"/>
      <c r="G765" s="36"/>
      <c r="H765" s="10"/>
      <c r="I765" s="11"/>
      <c r="J765" s="13"/>
      <c r="K765" s="45"/>
      <c r="L765" s="37"/>
      <c r="M765" s="17"/>
      <c r="N765" s="11"/>
      <c r="O765" s="16"/>
      <c r="P765" s="16"/>
      <c r="Q765" s="18" t="str">
        <f t="shared" si="54"/>
        <v/>
      </c>
      <c r="R765" s="18" t="str">
        <f t="shared" si="55"/>
        <v/>
      </c>
      <c r="S765" s="18" t="str">
        <f t="shared" si="56"/>
        <v/>
      </c>
      <c r="T765" s="18" t="str">
        <f t="shared" si="57"/>
        <v/>
      </c>
      <c r="U765" s="18" t="str">
        <f t="shared" si="58"/>
        <v/>
      </c>
      <c r="V765" s="18" t="str">
        <f t="shared" si="59"/>
        <v/>
      </c>
      <c r="W765" s="14"/>
    </row>
    <row r="766" spans="1:23" ht="15" customHeight="1" x14ac:dyDescent="0.25">
      <c r="A766" s="6">
        <v>51</v>
      </c>
      <c r="B766" s="33" t="s">
        <v>95</v>
      </c>
      <c r="C766" s="44"/>
      <c r="D766" s="62">
        <v>6.08</v>
      </c>
      <c r="E766" s="62"/>
      <c r="F766" s="41"/>
      <c r="G766" s="36">
        <v>0.25</v>
      </c>
      <c r="H766" s="10">
        <v>12</v>
      </c>
      <c r="I766" s="11">
        <v>1</v>
      </c>
      <c r="J766" s="13">
        <f>ROUND(1.95/G766+1,0)</f>
        <v>9</v>
      </c>
      <c r="K766" s="45">
        <f>D766</f>
        <v>6.08</v>
      </c>
      <c r="L766" s="37" t="str">
        <f>IF(O766&lt;12,"0",0.049*H766)</f>
        <v>0</v>
      </c>
      <c r="M766" s="17">
        <v>0</v>
      </c>
      <c r="N766" s="11">
        <f>M766*2*H766/1000</f>
        <v>0</v>
      </c>
      <c r="O766" s="16">
        <f>(D766)-N766</f>
        <v>6.08</v>
      </c>
      <c r="P766" s="16">
        <f>(I766*J766*O766)+L766</f>
        <v>54.72</v>
      </c>
      <c r="Q766" s="18" t="str">
        <f t="shared" si="54"/>
        <v/>
      </c>
      <c r="R766" s="18" t="str">
        <f t="shared" si="55"/>
        <v/>
      </c>
      <c r="S766" s="18">
        <f t="shared" si="56"/>
        <v>54.72</v>
      </c>
      <c r="T766" s="18" t="str">
        <f t="shared" si="57"/>
        <v/>
      </c>
      <c r="U766" s="18" t="str">
        <f t="shared" si="58"/>
        <v/>
      </c>
      <c r="V766" s="18" t="str">
        <f t="shared" si="59"/>
        <v/>
      </c>
      <c r="W766" s="14"/>
    </row>
    <row r="767" spans="1:23" x14ac:dyDescent="0.25">
      <c r="A767" s="6"/>
      <c r="B767" s="33" t="s">
        <v>167</v>
      </c>
      <c r="C767" s="19"/>
      <c r="D767" s="53"/>
      <c r="E767" s="53"/>
      <c r="F767" s="41"/>
      <c r="G767" s="36"/>
      <c r="H767" s="10"/>
      <c r="I767" s="11"/>
      <c r="J767" s="13"/>
      <c r="K767" s="45"/>
      <c r="L767" s="37"/>
      <c r="M767" s="17"/>
      <c r="N767" s="11"/>
      <c r="O767" s="16"/>
      <c r="P767" s="16"/>
      <c r="Q767" s="18" t="str">
        <f t="shared" si="54"/>
        <v/>
      </c>
      <c r="R767" s="18" t="str">
        <f t="shared" si="55"/>
        <v/>
      </c>
      <c r="S767" s="18" t="str">
        <f t="shared" si="56"/>
        <v/>
      </c>
      <c r="T767" s="18" t="str">
        <f t="shared" si="57"/>
        <v/>
      </c>
      <c r="U767" s="18" t="str">
        <f t="shared" si="58"/>
        <v/>
      </c>
      <c r="V767" s="18" t="str">
        <f t="shared" si="59"/>
        <v/>
      </c>
      <c r="W767" s="14"/>
    </row>
    <row r="768" spans="1:23" x14ac:dyDescent="0.25">
      <c r="A768" s="6"/>
      <c r="B768" s="50"/>
      <c r="C768" s="19"/>
      <c r="D768" s="53"/>
      <c r="E768" s="53"/>
      <c r="F768" s="41"/>
      <c r="G768" s="36"/>
      <c r="H768" s="10"/>
      <c r="I768" s="11"/>
      <c r="J768" s="13"/>
      <c r="K768" s="45"/>
      <c r="L768" s="37"/>
      <c r="M768" s="17"/>
      <c r="N768" s="11"/>
      <c r="O768" s="16"/>
      <c r="P768" s="16"/>
      <c r="Q768" s="18" t="str">
        <f t="shared" si="54"/>
        <v/>
      </c>
      <c r="R768" s="18" t="str">
        <f t="shared" si="55"/>
        <v/>
      </c>
      <c r="S768" s="18" t="str">
        <f t="shared" si="56"/>
        <v/>
      </c>
      <c r="T768" s="18" t="str">
        <f t="shared" si="57"/>
        <v/>
      </c>
      <c r="U768" s="18" t="str">
        <f t="shared" si="58"/>
        <v/>
      </c>
      <c r="V768" s="18" t="str">
        <f t="shared" si="59"/>
        <v/>
      </c>
      <c r="W768" s="14"/>
    </row>
    <row r="769" spans="1:23" ht="15" customHeight="1" x14ac:dyDescent="0.25">
      <c r="A769" s="6">
        <v>52</v>
      </c>
      <c r="B769" s="33" t="s">
        <v>95</v>
      </c>
      <c r="C769" s="44"/>
      <c r="D769" s="62">
        <v>7.71</v>
      </c>
      <c r="E769" s="62"/>
      <c r="F769" s="41"/>
      <c r="G769" s="36">
        <v>0.25</v>
      </c>
      <c r="H769" s="10">
        <v>12</v>
      </c>
      <c r="I769" s="11">
        <v>1</v>
      </c>
      <c r="J769" s="13">
        <f>ROUND(2.635/G769+1,0)</f>
        <v>12</v>
      </c>
      <c r="K769" s="45">
        <f>D769</f>
        <v>7.71</v>
      </c>
      <c r="L769" s="37" t="str">
        <f>IF(O769&lt;12,"0",0.049*H769)</f>
        <v>0</v>
      </c>
      <c r="M769" s="17">
        <v>0</v>
      </c>
      <c r="N769" s="11">
        <f>M769*2*H769/1000</f>
        <v>0</v>
      </c>
      <c r="O769" s="16">
        <f>(D769)-N769</f>
        <v>7.71</v>
      </c>
      <c r="P769" s="16">
        <f>(I769*J769*O769)+L769</f>
        <v>92.52</v>
      </c>
      <c r="Q769" s="18" t="str">
        <f t="shared" si="54"/>
        <v/>
      </c>
      <c r="R769" s="18" t="str">
        <f t="shared" si="55"/>
        <v/>
      </c>
      <c r="S769" s="18">
        <f t="shared" si="56"/>
        <v>92.52</v>
      </c>
      <c r="T769" s="18" t="str">
        <f t="shared" si="57"/>
        <v/>
      </c>
      <c r="U769" s="18" t="str">
        <f t="shared" si="58"/>
        <v/>
      </c>
      <c r="V769" s="18" t="str">
        <f t="shared" si="59"/>
        <v/>
      </c>
      <c r="W769" s="14"/>
    </row>
    <row r="770" spans="1:23" x14ac:dyDescent="0.25">
      <c r="A770" s="6"/>
      <c r="B770" s="33" t="s">
        <v>168</v>
      </c>
      <c r="C770" s="19"/>
      <c r="D770" s="53"/>
      <c r="E770" s="53"/>
      <c r="F770" s="41"/>
      <c r="G770" s="36"/>
      <c r="H770" s="10"/>
      <c r="I770" s="11"/>
      <c r="J770" s="13"/>
      <c r="K770" s="45"/>
      <c r="L770" s="37"/>
      <c r="M770" s="17"/>
      <c r="N770" s="11"/>
      <c r="O770" s="16"/>
      <c r="P770" s="16"/>
      <c r="Q770" s="18" t="str">
        <f t="shared" si="54"/>
        <v/>
      </c>
      <c r="R770" s="18" t="str">
        <f t="shared" si="55"/>
        <v/>
      </c>
      <c r="S770" s="18" t="str">
        <f t="shared" si="56"/>
        <v/>
      </c>
      <c r="T770" s="18" t="str">
        <f t="shared" si="57"/>
        <v/>
      </c>
      <c r="U770" s="18" t="str">
        <f t="shared" si="58"/>
        <v/>
      </c>
      <c r="V770" s="18" t="str">
        <f t="shared" si="59"/>
        <v/>
      </c>
      <c r="W770" s="14"/>
    </row>
    <row r="771" spans="1:23" x14ac:dyDescent="0.25">
      <c r="A771" s="6"/>
      <c r="B771" s="50"/>
      <c r="C771" s="19"/>
      <c r="D771" s="53"/>
      <c r="E771" s="53"/>
      <c r="F771" s="41"/>
      <c r="G771" s="36"/>
      <c r="H771" s="10"/>
      <c r="I771" s="11"/>
      <c r="J771" s="13"/>
      <c r="K771" s="45"/>
      <c r="L771" s="37"/>
      <c r="M771" s="17"/>
      <c r="N771" s="11"/>
      <c r="O771" s="16"/>
      <c r="P771" s="16"/>
      <c r="Q771" s="18" t="str">
        <f t="shared" si="54"/>
        <v/>
      </c>
      <c r="R771" s="18" t="str">
        <f t="shared" si="55"/>
        <v/>
      </c>
      <c r="S771" s="18" t="str">
        <f t="shared" si="56"/>
        <v/>
      </c>
      <c r="T771" s="18" t="str">
        <f t="shared" si="57"/>
        <v/>
      </c>
      <c r="U771" s="18" t="str">
        <f t="shared" si="58"/>
        <v/>
      </c>
      <c r="V771" s="18" t="str">
        <f t="shared" si="59"/>
        <v/>
      </c>
      <c r="W771" s="14"/>
    </row>
    <row r="772" spans="1:23" ht="15" customHeight="1" x14ac:dyDescent="0.25">
      <c r="A772" s="6">
        <v>53</v>
      </c>
      <c r="B772" s="33" t="s">
        <v>94</v>
      </c>
      <c r="C772" s="44"/>
      <c r="D772" s="62">
        <v>2.85</v>
      </c>
      <c r="E772" s="62"/>
      <c r="F772" s="41"/>
      <c r="G772" s="36">
        <v>0.25</v>
      </c>
      <c r="H772" s="10">
        <v>10</v>
      </c>
      <c r="I772" s="11">
        <v>1</v>
      </c>
      <c r="J772" s="13">
        <f>ROUND(4.12/G772+1,0)</f>
        <v>17</v>
      </c>
      <c r="K772" s="45">
        <f>D772</f>
        <v>2.85</v>
      </c>
      <c r="L772" s="37" t="str">
        <f>IF(O772&lt;12,"0",0.049*H772)</f>
        <v>0</v>
      </c>
      <c r="M772" s="17">
        <v>0</v>
      </c>
      <c r="N772" s="11">
        <f>M772*2*H772/1000</f>
        <v>0</v>
      </c>
      <c r="O772" s="16">
        <f>(D772)-N772</f>
        <v>2.85</v>
      </c>
      <c r="P772" s="16">
        <f>(I772*J772*O772)+L772</f>
        <v>48.45</v>
      </c>
      <c r="Q772" s="18" t="str">
        <f t="shared" si="54"/>
        <v/>
      </c>
      <c r="R772" s="18">
        <f t="shared" si="55"/>
        <v>48.45</v>
      </c>
      <c r="S772" s="18" t="str">
        <f t="shared" si="56"/>
        <v/>
      </c>
      <c r="T772" s="18" t="str">
        <f t="shared" si="57"/>
        <v/>
      </c>
      <c r="U772" s="18" t="str">
        <f t="shared" si="58"/>
        <v/>
      </c>
      <c r="V772" s="18" t="str">
        <f t="shared" si="59"/>
        <v/>
      </c>
      <c r="W772" s="14"/>
    </row>
    <row r="773" spans="1:23" x14ac:dyDescent="0.25">
      <c r="A773" s="6"/>
      <c r="B773" s="33" t="s">
        <v>169</v>
      </c>
      <c r="C773" s="19"/>
      <c r="D773" s="53"/>
      <c r="E773" s="53"/>
      <c r="F773" s="41"/>
      <c r="G773" s="36"/>
      <c r="H773" s="10"/>
      <c r="I773" s="11"/>
      <c r="J773" s="13"/>
      <c r="K773" s="45"/>
      <c r="L773" s="37"/>
      <c r="M773" s="17"/>
      <c r="N773" s="11"/>
      <c r="O773" s="16"/>
      <c r="P773" s="16"/>
      <c r="Q773" s="18" t="str">
        <f t="shared" si="54"/>
        <v/>
      </c>
      <c r="R773" s="18" t="str">
        <f t="shared" si="55"/>
        <v/>
      </c>
      <c r="S773" s="18" t="str">
        <f t="shared" si="56"/>
        <v/>
      </c>
      <c r="T773" s="18" t="str">
        <f t="shared" si="57"/>
        <v/>
      </c>
      <c r="U773" s="18" t="str">
        <f t="shared" si="58"/>
        <v/>
      </c>
      <c r="V773" s="18" t="str">
        <f t="shared" si="59"/>
        <v/>
      </c>
      <c r="W773" s="14"/>
    </row>
    <row r="774" spans="1:23" x14ac:dyDescent="0.25">
      <c r="A774" s="6"/>
      <c r="B774" s="50"/>
      <c r="C774" s="19"/>
      <c r="D774" s="53"/>
      <c r="E774" s="53"/>
      <c r="F774" s="41"/>
      <c r="G774" s="36"/>
      <c r="H774" s="10"/>
      <c r="I774" s="11"/>
      <c r="J774" s="13"/>
      <c r="K774" s="45"/>
      <c r="L774" s="37"/>
      <c r="M774" s="17"/>
      <c r="N774" s="11"/>
      <c r="O774" s="16"/>
      <c r="P774" s="16"/>
      <c r="Q774" s="18" t="str">
        <f t="shared" si="54"/>
        <v/>
      </c>
      <c r="R774" s="18" t="str">
        <f t="shared" si="55"/>
        <v/>
      </c>
      <c r="S774" s="18" t="str">
        <f t="shared" si="56"/>
        <v/>
      </c>
      <c r="T774" s="18" t="str">
        <f t="shared" si="57"/>
        <v/>
      </c>
      <c r="U774" s="18" t="str">
        <f t="shared" si="58"/>
        <v/>
      </c>
      <c r="V774" s="18" t="str">
        <f t="shared" si="59"/>
        <v/>
      </c>
      <c r="W774" s="14"/>
    </row>
    <row r="775" spans="1:23" ht="15" customHeight="1" x14ac:dyDescent="0.25">
      <c r="A775" s="6">
        <v>54</v>
      </c>
      <c r="B775" s="33" t="s">
        <v>95</v>
      </c>
      <c r="C775" s="44"/>
      <c r="D775" s="62">
        <v>5.47</v>
      </c>
      <c r="E775" s="62"/>
      <c r="F775" s="41"/>
      <c r="G775" s="36">
        <v>0.25</v>
      </c>
      <c r="H775" s="10">
        <v>20</v>
      </c>
      <c r="I775" s="11">
        <v>1</v>
      </c>
      <c r="J775" s="13">
        <f>ROUND(8.16/G775+1,0)</f>
        <v>34</v>
      </c>
      <c r="K775" s="45">
        <f>D775</f>
        <v>5.47</v>
      </c>
      <c r="L775" s="37" t="str">
        <f>IF(O775&lt;12,"0",0.049*H775)</f>
        <v>0</v>
      </c>
      <c r="M775" s="17">
        <v>0</v>
      </c>
      <c r="N775" s="11">
        <f>M775*2*H775/1000</f>
        <v>0</v>
      </c>
      <c r="O775" s="16">
        <f>(D775)-N775</f>
        <v>5.47</v>
      </c>
      <c r="P775" s="16">
        <f>(I775*J775*O775)+L775</f>
        <v>185.98</v>
      </c>
      <c r="Q775" s="18" t="str">
        <f t="shared" si="54"/>
        <v/>
      </c>
      <c r="R775" s="18" t="str">
        <f t="shared" si="55"/>
        <v/>
      </c>
      <c r="S775" s="18" t="str">
        <f t="shared" si="56"/>
        <v/>
      </c>
      <c r="T775" s="18" t="str">
        <f t="shared" si="57"/>
        <v/>
      </c>
      <c r="U775" s="18">
        <f t="shared" si="58"/>
        <v>185.98</v>
      </c>
      <c r="V775" s="18" t="str">
        <f t="shared" si="59"/>
        <v/>
      </c>
      <c r="W775" s="14"/>
    </row>
    <row r="776" spans="1:23" x14ac:dyDescent="0.25">
      <c r="A776" s="6"/>
      <c r="B776" s="33" t="s">
        <v>169</v>
      </c>
      <c r="C776" s="19"/>
      <c r="D776" s="53"/>
      <c r="E776" s="53"/>
      <c r="F776" s="41"/>
      <c r="G776" s="36"/>
      <c r="H776" s="10"/>
      <c r="I776" s="11"/>
      <c r="J776" s="13"/>
      <c r="K776" s="45"/>
      <c r="L776" s="37"/>
      <c r="M776" s="17"/>
      <c r="N776" s="11"/>
      <c r="O776" s="16"/>
      <c r="P776" s="16"/>
      <c r="Q776" s="18" t="str">
        <f t="shared" si="54"/>
        <v/>
      </c>
      <c r="R776" s="18" t="str">
        <f t="shared" si="55"/>
        <v/>
      </c>
      <c r="S776" s="18" t="str">
        <f t="shared" si="56"/>
        <v/>
      </c>
      <c r="T776" s="18" t="str">
        <f t="shared" si="57"/>
        <v/>
      </c>
      <c r="U776" s="18" t="str">
        <f t="shared" si="58"/>
        <v/>
      </c>
      <c r="V776" s="18" t="str">
        <f t="shared" si="59"/>
        <v/>
      </c>
      <c r="W776" s="14"/>
    </row>
    <row r="777" spans="1:23" x14ac:dyDescent="0.25">
      <c r="A777" s="6"/>
      <c r="B777" s="50"/>
      <c r="C777" s="19"/>
      <c r="D777" s="53"/>
      <c r="E777" s="53"/>
      <c r="F777" s="41"/>
      <c r="G777" s="36"/>
      <c r="H777" s="10"/>
      <c r="I777" s="11"/>
      <c r="J777" s="13"/>
      <c r="K777" s="45"/>
      <c r="L777" s="37"/>
      <c r="M777" s="17"/>
      <c r="N777" s="11"/>
      <c r="O777" s="16"/>
      <c r="P777" s="16"/>
      <c r="Q777" s="18" t="str">
        <f t="shared" si="54"/>
        <v/>
      </c>
      <c r="R777" s="18" t="str">
        <f t="shared" si="55"/>
        <v/>
      </c>
      <c r="S777" s="18" t="str">
        <f t="shared" si="56"/>
        <v/>
      </c>
      <c r="T777" s="18" t="str">
        <f t="shared" si="57"/>
        <v/>
      </c>
      <c r="U777" s="18" t="str">
        <f t="shared" si="58"/>
        <v/>
      </c>
      <c r="V777" s="18" t="str">
        <f t="shared" si="59"/>
        <v/>
      </c>
      <c r="W777" s="14"/>
    </row>
    <row r="778" spans="1:23" ht="15" customHeight="1" x14ac:dyDescent="0.25">
      <c r="A778" s="6">
        <v>55</v>
      </c>
      <c r="B778" s="33" t="s">
        <v>95</v>
      </c>
      <c r="C778" s="44"/>
      <c r="D778" s="62">
        <v>4.1900000000000004</v>
      </c>
      <c r="E778" s="62"/>
      <c r="F778" s="41"/>
      <c r="G778" s="36">
        <v>0.25</v>
      </c>
      <c r="H778" s="10">
        <v>16</v>
      </c>
      <c r="I778" s="11">
        <v>1</v>
      </c>
      <c r="J778" s="13">
        <f>ROUND(2.56/G778+1,0)</f>
        <v>11</v>
      </c>
      <c r="K778" s="45">
        <f>D778</f>
        <v>4.1900000000000004</v>
      </c>
      <c r="L778" s="37" t="str">
        <f>IF(O778&lt;12,"0",0.049*H778)</f>
        <v>0</v>
      </c>
      <c r="M778" s="17">
        <v>0</v>
      </c>
      <c r="N778" s="11">
        <f>M778*2*H778/1000</f>
        <v>0</v>
      </c>
      <c r="O778" s="16">
        <f>(D778)-N778</f>
        <v>4.1900000000000004</v>
      </c>
      <c r="P778" s="16">
        <f>(I778*J778*O778)+L778</f>
        <v>46.09</v>
      </c>
      <c r="Q778" s="18" t="str">
        <f t="shared" si="54"/>
        <v/>
      </c>
      <c r="R778" s="18" t="str">
        <f t="shared" si="55"/>
        <v/>
      </c>
      <c r="S778" s="18" t="str">
        <f t="shared" si="56"/>
        <v/>
      </c>
      <c r="T778" s="18">
        <f t="shared" si="57"/>
        <v>46.09</v>
      </c>
      <c r="U778" s="18" t="str">
        <f t="shared" si="58"/>
        <v/>
      </c>
      <c r="V778" s="18" t="str">
        <f t="shared" si="59"/>
        <v/>
      </c>
      <c r="W778" s="14"/>
    </row>
    <row r="779" spans="1:23" x14ac:dyDescent="0.25">
      <c r="A779" s="6"/>
      <c r="B779" s="33" t="s">
        <v>169</v>
      </c>
      <c r="C779" s="19"/>
      <c r="D779" s="53"/>
      <c r="E779" s="53"/>
      <c r="F779" s="41"/>
      <c r="G779" s="36"/>
      <c r="H779" s="10"/>
      <c r="I779" s="11"/>
      <c r="J779" s="13"/>
      <c r="K779" s="45"/>
      <c r="L779" s="37"/>
      <c r="M779" s="17"/>
      <c r="N779" s="11"/>
      <c r="O779" s="16"/>
      <c r="P779" s="16"/>
      <c r="Q779" s="18" t="str">
        <f t="shared" si="54"/>
        <v/>
      </c>
      <c r="R779" s="18" t="str">
        <f t="shared" si="55"/>
        <v/>
      </c>
      <c r="S779" s="18" t="str">
        <f t="shared" si="56"/>
        <v/>
      </c>
      <c r="T779" s="18" t="str">
        <f t="shared" si="57"/>
        <v/>
      </c>
      <c r="U779" s="18" t="str">
        <f t="shared" si="58"/>
        <v/>
      </c>
      <c r="V779" s="18" t="str">
        <f t="shared" si="59"/>
        <v/>
      </c>
      <c r="W779" s="14"/>
    </row>
    <row r="780" spans="1:23" x14ac:dyDescent="0.25">
      <c r="A780" s="6"/>
      <c r="B780" s="50"/>
      <c r="C780" s="19"/>
      <c r="D780" s="53"/>
      <c r="E780" s="53"/>
      <c r="F780" s="41"/>
      <c r="G780" s="36"/>
      <c r="H780" s="10"/>
      <c r="I780" s="11"/>
      <c r="J780" s="13"/>
      <c r="K780" s="45"/>
      <c r="L780" s="37"/>
      <c r="M780" s="17"/>
      <c r="N780" s="11"/>
      <c r="O780" s="16"/>
      <c r="P780" s="16"/>
      <c r="Q780" s="18" t="str">
        <f t="shared" si="54"/>
        <v/>
      </c>
      <c r="R780" s="18" t="str">
        <f t="shared" si="55"/>
        <v/>
      </c>
      <c r="S780" s="18" t="str">
        <f t="shared" si="56"/>
        <v/>
      </c>
      <c r="T780" s="18" t="str">
        <f t="shared" si="57"/>
        <v/>
      </c>
      <c r="U780" s="18" t="str">
        <f t="shared" si="58"/>
        <v/>
      </c>
      <c r="V780" s="18" t="str">
        <f t="shared" si="59"/>
        <v/>
      </c>
      <c r="W780" s="14"/>
    </row>
    <row r="781" spans="1:23" x14ac:dyDescent="0.25">
      <c r="A781" s="6"/>
      <c r="B781" s="33"/>
      <c r="C781" s="19"/>
      <c r="D781" s="39"/>
      <c r="E781" s="39"/>
      <c r="F781" s="41"/>
      <c r="G781" s="36"/>
      <c r="H781" s="10"/>
      <c r="I781" s="11"/>
      <c r="J781" s="13"/>
      <c r="K781" s="45"/>
      <c r="L781" s="37"/>
      <c r="M781" s="17"/>
      <c r="N781" s="11"/>
      <c r="O781" s="16"/>
      <c r="P781" s="16"/>
      <c r="Q781" s="18" t="str">
        <f t="shared" ref="Q781:Q783" si="60">IF($H781=8,$P781,"")</f>
        <v/>
      </c>
      <c r="R781" s="18" t="str">
        <f t="shared" ref="R781:R783" si="61">IF($H781=10,$P781,"")</f>
        <v/>
      </c>
      <c r="S781" s="18" t="str">
        <f t="shared" ref="S781:S783" si="62">IF($H781=12,$P781,"")</f>
        <v/>
      </c>
      <c r="T781" s="18" t="str">
        <f t="shared" ref="T781:T783" si="63">IF($H781=16,$P781,"")</f>
        <v/>
      </c>
      <c r="U781" s="18" t="str">
        <f t="shared" ref="U781:U783" si="64">IF($H781=20,$P781,"")</f>
        <v/>
      </c>
      <c r="V781" s="18" t="str">
        <f t="shared" ref="V781:V783" si="65">IF($H781=25,$P781,"")</f>
        <v/>
      </c>
      <c r="W781" s="14"/>
    </row>
    <row r="782" spans="1:23" x14ac:dyDescent="0.25">
      <c r="A782" s="6"/>
      <c r="B782" s="7"/>
      <c r="C782" s="19"/>
      <c r="D782" s="32"/>
      <c r="E782" s="32"/>
      <c r="F782" s="41"/>
      <c r="G782" s="36"/>
      <c r="H782" s="10"/>
      <c r="I782" s="11"/>
      <c r="J782" s="13"/>
      <c r="K782" s="45"/>
      <c r="L782" s="37"/>
      <c r="M782" s="17"/>
      <c r="N782" s="11"/>
      <c r="O782" s="16"/>
      <c r="P782" s="16"/>
      <c r="Q782" s="18" t="str">
        <f t="shared" si="60"/>
        <v/>
      </c>
      <c r="R782" s="18" t="str">
        <f t="shared" si="61"/>
        <v/>
      </c>
      <c r="S782" s="18" t="str">
        <f t="shared" si="62"/>
        <v/>
      </c>
      <c r="T782" s="18" t="str">
        <f t="shared" si="63"/>
        <v/>
      </c>
      <c r="U782" s="18" t="str">
        <f t="shared" si="64"/>
        <v/>
      </c>
      <c r="V782" s="18" t="str">
        <f t="shared" si="65"/>
        <v/>
      </c>
      <c r="W782" s="14"/>
    </row>
    <row r="783" spans="1:23" x14ac:dyDescent="0.25">
      <c r="A783" s="6"/>
      <c r="B783" s="22"/>
      <c r="C783" s="8"/>
      <c r="D783" s="20"/>
      <c r="E783" s="20"/>
      <c r="F783" s="34"/>
      <c r="G783" s="35"/>
      <c r="H783" s="10"/>
      <c r="I783" s="11"/>
      <c r="J783" s="11"/>
      <c r="K783" s="12"/>
      <c r="L783" s="11"/>
      <c r="M783" s="11"/>
      <c r="N783" s="11"/>
      <c r="O783" s="11"/>
      <c r="P783" s="13"/>
      <c r="Q783" s="18" t="str">
        <f t="shared" si="60"/>
        <v/>
      </c>
      <c r="R783" s="18" t="str">
        <f t="shared" si="61"/>
        <v/>
      </c>
      <c r="S783" s="18" t="str">
        <f t="shared" si="62"/>
        <v/>
      </c>
      <c r="T783" s="18" t="str">
        <f t="shared" si="63"/>
        <v/>
      </c>
      <c r="U783" s="18" t="str">
        <f t="shared" si="64"/>
        <v/>
      </c>
      <c r="V783" s="18" t="str">
        <f t="shared" si="65"/>
        <v/>
      </c>
      <c r="W783" s="14"/>
    </row>
    <row r="784" spans="1:23" x14ac:dyDescent="0.25">
      <c r="A784" s="4"/>
      <c r="B784" s="23" t="s">
        <v>15</v>
      </c>
      <c r="C784" s="71"/>
      <c r="D784" s="72"/>
      <c r="E784" s="72"/>
      <c r="F784" s="73"/>
      <c r="G784" s="24"/>
      <c r="H784" s="24"/>
      <c r="I784" s="25"/>
      <c r="J784" s="25"/>
      <c r="K784" s="26"/>
      <c r="L784" s="25"/>
      <c r="M784" s="25"/>
      <c r="N784" s="25"/>
      <c r="O784" s="25"/>
      <c r="P784" s="25"/>
      <c r="Q784" s="27">
        <f t="shared" ref="Q784:V784" si="66">SUM(Q4:Q783)</f>
        <v>0</v>
      </c>
      <c r="R784" s="27">
        <f t="shared" si="66"/>
        <v>930.71000000000015</v>
      </c>
      <c r="S784" s="27">
        <f t="shared" si="66"/>
        <v>1295.9949999999999</v>
      </c>
      <c r="T784" s="27">
        <f t="shared" si="66"/>
        <v>15948.725</v>
      </c>
      <c r="U784" s="27">
        <f t="shared" si="66"/>
        <v>6217.7249999999976</v>
      </c>
      <c r="V784" s="27">
        <f t="shared" si="66"/>
        <v>2206.42</v>
      </c>
      <c r="W784" s="28"/>
    </row>
    <row r="785" spans="1:24" x14ac:dyDescent="0.25">
      <c r="A785" s="4"/>
      <c r="B785" s="23" t="s">
        <v>16</v>
      </c>
      <c r="C785" s="70"/>
      <c r="D785" s="70"/>
      <c r="E785" s="70"/>
      <c r="F785" s="70"/>
      <c r="G785" s="24"/>
      <c r="H785" s="24"/>
      <c r="I785" s="25"/>
      <c r="J785" s="25"/>
      <c r="K785" s="26"/>
      <c r="L785" s="25"/>
      <c r="M785" s="25"/>
      <c r="N785" s="25"/>
      <c r="O785" s="25"/>
      <c r="P785" s="25"/>
      <c r="Q785" s="25">
        <v>0.39500000000000002</v>
      </c>
      <c r="R785" s="25">
        <v>0.61699999999999999</v>
      </c>
      <c r="S785" s="25">
        <v>0.88800000000000001</v>
      </c>
      <c r="T785" s="25">
        <v>1.58</v>
      </c>
      <c r="U785" s="25">
        <v>2.4689999999999999</v>
      </c>
      <c r="V785" s="25">
        <v>3.8580000000000001</v>
      </c>
      <c r="W785" s="28"/>
    </row>
    <row r="786" spans="1:24" x14ac:dyDescent="0.25">
      <c r="A786" s="4"/>
      <c r="B786" s="23" t="s">
        <v>17</v>
      </c>
      <c r="C786" s="70"/>
      <c r="D786" s="70"/>
      <c r="E786" s="70"/>
      <c r="F786" s="70"/>
      <c r="G786" s="24"/>
      <c r="H786" s="24"/>
      <c r="I786" s="25"/>
      <c r="J786" s="25"/>
      <c r="K786" s="26"/>
      <c r="L786" s="25"/>
      <c r="M786" s="25"/>
      <c r="N786" s="25"/>
      <c r="O786" s="25"/>
      <c r="P786" s="25"/>
      <c r="Q786" s="29">
        <f t="shared" ref="Q786:V786" si="67">Q784*Q785</f>
        <v>0</v>
      </c>
      <c r="R786" s="29">
        <f t="shared" si="67"/>
        <v>574.2480700000001</v>
      </c>
      <c r="S786" s="29">
        <f t="shared" si="67"/>
        <v>1150.84356</v>
      </c>
      <c r="T786" s="29">
        <f t="shared" si="67"/>
        <v>25198.985500000003</v>
      </c>
      <c r="U786" s="29">
        <f t="shared" si="67"/>
        <v>15351.563024999994</v>
      </c>
      <c r="V786" s="29">
        <f t="shared" si="67"/>
        <v>8512.3683600000004</v>
      </c>
      <c r="W786" s="28">
        <f>SUM(Q786:V786)</f>
        <v>50788.008514999994</v>
      </c>
      <c r="X786" s="33" t="s">
        <v>20</v>
      </c>
    </row>
    <row r="788" spans="1:24" x14ac:dyDescent="0.25">
      <c r="W788" s="30"/>
    </row>
    <row r="789" spans="1:24" x14ac:dyDescent="0.25">
      <c r="A789" s="31"/>
    </row>
  </sheetData>
  <mergeCells count="264">
    <mergeCell ref="D576:E576"/>
    <mergeCell ref="D579:E579"/>
    <mergeCell ref="D612:E612"/>
    <mergeCell ref="D609:E609"/>
    <mergeCell ref="D582:E582"/>
    <mergeCell ref="D585:E585"/>
    <mergeCell ref="D588:E588"/>
    <mergeCell ref="D591:E591"/>
    <mergeCell ref="D594:E594"/>
    <mergeCell ref="D597:E597"/>
    <mergeCell ref="D600:E600"/>
    <mergeCell ref="D603:E603"/>
    <mergeCell ref="D606:E606"/>
    <mergeCell ref="D778:E778"/>
    <mergeCell ref="D751:E751"/>
    <mergeCell ref="D754:E754"/>
    <mergeCell ref="D757:E757"/>
    <mergeCell ref="D760:E760"/>
    <mergeCell ref="D763:E763"/>
    <mergeCell ref="D766:E766"/>
    <mergeCell ref="D769:E769"/>
    <mergeCell ref="D772:E772"/>
    <mergeCell ref="D775:E775"/>
    <mergeCell ref="D724:E724"/>
    <mergeCell ref="D727:E727"/>
    <mergeCell ref="D730:E730"/>
    <mergeCell ref="D733:E733"/>
    <mergeCell ref="D736:E736"/>
    <mergeCell ref="D739:E739"/>
    <mergeCell ref="D742:E742"/>
    <mergeCell ref="D745:E745"/>
    <mergeCell ref="D748:E748"/>
    <mergeCell ref="D697:E697"/>
    <mergeCell ref="D700:E700"/>
    <mergeCell ref="D703:E703"/>
    <mergeCell ref="D706:E706"/>
    <mergeCell ref="D709:E709"/>
    <mergeCell ref="D712:E712"/>
    <mergeCell ref="D715:E715"/>
    <mergeCell ref="D718:E718"/>
    <mergeCell ref="D721:E721"/>
    <mergeCell ref="D670:E670"/>
    <mergeCell ref="D673:E673"/>
    <mergeCell ref="D676:E676"/>
    <mergeCell ref="D679:E679"/>
    <mergeCell ref="D682:E682"/>
    <mergeCell ref="D685:E685"/>
    <mergeCell ref="D688:E688"/>
    <mergeCell ref="D691:E691"/>
    <mergeCell ref="D694:E694"/>
    <mergeCell ref="D643:E643"/>
    <mergeCell ref="D646:E646"/>
    <mergeCell ref="D649:E649"/>
    <mergeCell ref="D652:E652"/>
    <mergeCell ref="D655:E655"/>
    <mergeCell ref="D658:E658"/>
    <mergeCell ref="D661:E661"/>
    <mergeCell ref="D664:E664"/>
    <mergeCell ref="D667:E667"/>
    <mergeCell ref="D616:E616"/>
    <mergeCell ref="D619:E619"/>
    <mergeCell ref="D622:E622"/>
    <mergeCell ref="D625:E625"/>
    <mergeCell ref="D628:E628"/>
    <mergeCell ref="D634:E634"/>
    <mergeCell ref="D631:E631"/>
    <mergeCell ref="D637:E637"/>
    <mergeCell ref="D640:E640"/>
    <mergeCell ref="D552:E552"/>
    <mergeCell ref="D555:E555"/>
    <mergeCell ref="D558:E558"/>
    <mergeCell ref="D561:E561"/>
    <mergeCell ref="D567:E567"/>
    <mergeCell ref="D570:E570"/>
    <mergeCell ref="D573:E573"/>
    <mergeCell ref="D564:E564"/>
    <mergeCell ref="D537:E537"/>
    <mergeCell ref="D540:E540"/>
    <mergeCell ref="D543:E543"/>
    <mergeCell ref="D546:E546"/>
    <mergeCell ref="D549:E549"/>
    <mergeCell ref="D483:E483"/>
    <mergeCell ref="D486:E486"/>
    <mergeCell ref="D489:E489"/>
    <mergeCell ref="D492:E492"/>
    <mergeCell ref="D495:E495"/>
    <mergeCell ref="D525:E525"/>
    <mergeCell ref="D528:E528"/>
    <mergeCell ref="D531:E531"/>
    <mergeCell ref="D534:E534"/>
    <mergeCell ref="D498:E498"/>
    <mergeCell ref="D501:E501"/>
    <mergeCell ref="D504:E504"/>
    <mergeCell ref="D507:E507"/>
    <mergeCell ref="D510:E510"/>
    <mergeCell ref="D513:E513"/>
    <mergeCell ref="D516:E516"/>
    <mergeCell ref="D519:E519"/>
    <mergeCell ref="D522:E522"/>
    <mergeCell ref="D456:E456"/>
    <mergeCell ref="D459:E459"/>
    <mergeCell ref="D462:E462"/>
    <mergeCell ref="D465:E465"/>
    <mergeCell ref="D468:E468"/>
    <mergeCell ref="D471:E471"/>
    <mergeCell ref="D474:E474"/>
    <mergeCell ref="D477:E477"/>
    <mergeCell ref="D480:E480"/>
    <mergeCell ref="D429:E429"/>
    <mergeCell ref="D432:E432"/>
    <mergeCell ref="D435:E435"/>
    <mergeCell ref="D438:E438"/>
    <mergeCell ref="D441:E441"/>
    <mergeCell ref="D444:E444"/>
    <mergeCell ref="D447:E447"/>
    <mergeCell ref="D450:E450"/>
    <mergeCell ref="D453:E453"/>
    <mergeCell ref="D189:E189"/>
    <mergeCell ref="D195:E195"/>
    <mergeCell ref="D168:E168"/>
    <mergeCell ref="D180:E180"/>
    <mergeCell ref="D213:E213"/>
    <mergeCell ref="D417:E417"/>
    <mergeCell ref="D420:E420"/>
    <mergeCell ref="D423:E423"/>
    <mergeCell ref="D426:E426"/>
    <mergeCell ref="D216:E216"/>
    <mergeCell ref="D219:E219"/>
    <mergeCell ref="D222:E222"/>
    <mergeCell ref="D225:E225"/>
    <mergeCell ref="D198:E198"/>
    <mergeCell ref="D201:E201"/>
    <mergeCell ref="D204:E204"/>
    <mergeCell ref="D207:E207"/>
    <mergeCell ref="D210:E210"/>
    <mergeCell ref="D321:E321"/>
    <mergeCell ref="D324:E324"/>
    <mergeCell ref="D243:E243"/>
    <mergeCell ref="D246:E246"/>
    <mergeCell ref="D249:E249"/>
    <mergeCell ref="D252:E252"/>
    <mergeCell ref="C786:F786"/>
    <mergeCell ref="D66:E66"/>
    <mergeCell ref="D63:E63"/>
    <mergeCell ref="D60:E60"/>
    <mergeCell ref="C784:F784"/>
    <mergeCell ref="C785:F785"/>
    <mergeCell ref="D154:E154"/>
    <mergeCell ref="D148:E148"/>
    <mergeCell ref="D150:E150"/>
    <mergeCell ref="D152:E152"/>
    <mergeCell ref="D162:E162"/>
    <mergeCell ref="D303:E303"/>
    <mergeCell ref="D276:E276"/>
    <mergeCell ref="D282:E282"/>
    <mergeCell ref="D279:E279"/>
    <mergeCell ref="D285:E285"/>
    <mergeCell ref="D288:E288"/>
    <mergeCell ref="D291:E291"/>
    <mergeCell ref="D294:E294"/>
    <mergeCell ref="D297:E297"/>
    <mergeCell ref="D300:E300"/>
    <mergeCell ref="D183:E183"/>
    <mergeCell ref="D186:E186"/>
    <mergeCell ref="D192:E192"/>
    <mergeCell ref="D158:E158"/>
    <mergeCell ref="D98:E98"/>
    <mergeCell ref="D7:E7"/>
    <mergeCell ref="C3:F3"/>
    <mergeCell ref="D13:E13"/>
    <mergeCell ref="D19:E19"/>
    <mergeCell ref="Q3:V3"/>
    <mergeCell ref="D25:E25"/>
    <mergeCell ref="D37:E37"/>
    <mergeCell ref="D43:E43"/>
    <mergeCell ref="D31:E31"/>
    <mergeCell ref="D10:E10"/>
    <mergeCell ref="D16:E16"/>
    <mergeCell ref="D22:E22"/>
    <mergeCell ref="D28:E28"/>
    <mergeCell ref="D34:E34"/>
    <mergeCell ref="D40:E40"/>
    <mergeCell ref="D264:E264"/>
    <mergeCell ref="D267:E267"/>
    <mergeCell ref="D57:E57"/>
    <mergeCell ref="D54:E54"/>
    <mergeCell ref="D51:E51"/>
    <mergeCell ref="D48:E48"/>
    <mergeCell ref="D174:E174"/>
    <mergeCell ref="D171:E171"/>
    <mergeCell ref="D177:E177"/>
    <mergeCell ref="D144:E144"/>
    <mergeCell ref="D142:E142"/>
    <mergeCell ref="D146:E146"/>
    <mergeCell ref="D134:E134"/>
    <mergeCell ref="D136:E136"/>
    <mergeCell ref="D138:E138"/>
    <mergeCell ref="D140:E140"/>
    <mergeCell ref="D83:E83"/>
    <mergeCell ref="D86:E86"/>
    <mergeCell ref="D89:E89"/>
    <mergeCell ref="D92:E92"/>
    <mergeCell ref="D95:E95"/>
    <mergeCell ref="D127:E127"/>
    <mergeCell ref="D130:E130"/>
    <mergeCell ref="D156:E156"/>
    <mergeCell ref="A1:B1"/>
    <mergeCell ref="D408:E408"/>
    <mergeCell ref="D411:E411"/>
    <mergeCell ref="D357:E357"/>
    <mergeCell ref="D351:E351"/>
    <mergeCell ref="D360:E360"/>
    <mergeCell ref="D363:E363"/>
    <mergeCell ref="D366:E366"/>
    <mergeCell ref="D369:E369"/>
    <mergeCell ref="D372:E372"/>
    <mergeCell ref="D375:E375"/>
    <mergeCell ref="D378:E378"/>
    <mergeCell ref="D327:E327"/>
    <mergeCell ref="D333:E333"/>
    <mergeCell ref="D71:E71"/>
    <mergeCell ref="D74:E74"/>
    <mergeCell ref="D77:E77"/>
    <mergeCell ref="D80:E80"/>
    <mergeCell ref="D255:E255"/>
    <mergeCell ref="D228:E228"/>
    <mergeCell ref="D231:E231"/>
    <mergeCell ref="D234:E234"/>
    <mergeCell ref="D237:E237"/>
    <mergeCell ref="D240:E240"/>
    <mergeCell ref="D414:E414"/>
    <mergeCell ref="D381:E381"/>
    <mergeCell ref="D384:E384"/>
    <mergeCell ref="D387:E387"/>
    <mergeCell ref="D390:E390"/>
    <mergeCell ref="D393:E393"/>
    <mergeCell ref="D396:E396"/>
    <mergeCell ref="D399:E399"/>
    <mergeCell ref="D402:E402"/>
    <mergeCell ref="D405:E405"/>
    <mergeCell ref="D336:E336"/>
    <mergeCell ref="D339:E339"/>
    <mergeCell ref="D342:E342"/>
    <mergeCell ref="D345:E345"/>
    <mergeCell ref="D348:E348"/>
    <mergeCell ref="D354:E354"/>
    <mergeCell ref="D273:E273"/>
    <mergeCell ref="D258:E258"/>
    <mergeCell ref="D101:E101"/>
    <mergeCell ref="D104:E104"/>
    <mergeCell ref="D107:E107"/>
    <mergeCell ref="D112:E112"/>
    <mergeCell ref="D115:E115"/>
    <mergeCell ref="D118:E118"/>
    <mergeCell ref="D121:E121"/>
    <mergeCell ref="D124:E124"/>
    <mergeCell ref="D330:E330"/>
    <mergeCell ref="D270:E270"/>
    <mergeCell ref="D306:E306"/>
    <mergeCell ref="D309:E309"/>
    <mergeCell ref="D312:E312"/>
    <mergeCell ref="D315:E315"/>
    <mergeCell ref="D318:E318"/>
    <mergeCell ref="D261:E261"/>
  </mergeCells>
  <pageMargins left="0.70866141732283472" right="0.70866141732283472" top="0.74803149606299213" bottom="0.74803149606299213" header="0.31496062992125984" footer="0.31496062992125984"/>
  <pageSetup scale="5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89"/>
  <sheetViews>
    <sheetView topLeftCell="B763" zoomScale="85" zoomScaleNormal="85" workbookViewId="0">
      <selection activeCell="A611" sqref="A611:XFD613"/>
    </sheetView>
  </sheetViews>
  <sheetFormatPr defaultRowHeight="15" x14ac:dyDescent="0.25"/>
  <cols>
    <col min="1" max="1" width="6.85546875" customWidth="1"/>
    <col min="2" max="2" width="30.28515625" customWidth="1"/>
    <col min="3" max="5" width="7.5703125" customWidth="1"/>
    <col min="6" max="6" width="8.5703125" customWidth="1"/>
    <col min="7" max="10" width="8.85546875" customWidth="1"/>
    <col min="11" max="11" width="8.85546875" style="48" customWidth="1"/>
    <col min="12" max="12" width="6.7109375" customWidth="1"/>
    <col min="13" max="13" width="8.85546875" customWidth="1"/>
    <col min="14" max="14" width="10" customWidth="1"/>
    <col min="15" max="15" width="8.85546875" customWidth="1"/>
    <col min="16" max="16" width="11.85546875" bestFit="1" customWidth="1"/>
    <col min="17" max="22" width="9.5703125" customWidth="1"/>
  </cols>
  <sheetData>
    <row r="1" spans="1:23" ht="18.75" x14ac:dyDescent="0.25">
      <c r="A1" s="65" t="s">
        <v>18</v>
      </c>
      <c r="B1" s="65"/>
      <c r="C1" s="1"/>
      <c r="D1" s="1"/>
      <c r="E1" s="1"/>
      <c r="F1" s="1"/>
      <c r="G1" s="1"/>
      <c r="H1" s="1"/>
      <c r="I1" s="1"/>
      <c r="J1" s="1"/>
      <c r="K1" s="4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x14ac:dyDescent="0.25">
      <c r="A2" s="2"/>
      <c r="B2" s="3"/>
      <c r="C2" s="3"/>
      <c r="D2" s="3"/>
      <c r="E2" s="3"/>
      <c r="F2" s="3"/>
      <c r="G2" s="2"/>
      <c r="H2" s="3"/>
      <c r="I2" s="3"/>
      <c r="J2" s="3"/>
      <c r="K2" s="47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30" x14ac:dyDescent="0.25">
      <c r="A3" s="55" t="s">
        <v>0</v>
      </c>
      <c r="B3" s="55" t="s">
        <v>1</v>
      </c>
      <c r="C3" s="66" t="s">
        <v>2</v>
      </c>
      <c r="D3" s="66"/>
      <c r="E3" s="66"/>
      <c r="F3" s="67"/>
      <c r="G3" s="54" t="s">
        <v>3</v>
      </c>
      <c r="H3" s="54" t="s">
        <v>4</v>
      </c>
      <c r="I3" s="54" t="s">
        <v>5</v>
      </c>
      <c r="J3" s="54" t="s">
        <v>6</v>
      </c>
      <c r="K3" s="54" t="s">
        <v>7</v>
      </c>
      <c r="L3" s="55" t="s">
        <v>8</v>
      </c>
      <c r="M3" s="54" t="s">
        <v>9</v>
      </c>
      <c r="N3" s="54" t="s">
        <v>10</v>
      </c>
      <c r="O3" s="54" t="s">
        <v>11</v>
      </c>
      <c r="P3" s="55" t="s">
        <v>12</v>
      </c>
      <c r="Q3" s="67" t="s">
        <v>13</v>
      </c>
      <c r="R3" s="68"/>
      <c r="S3" s="68"/>
      <c r="T3" s="68"/>
      <c r="U3" s="68"/>
      <c r="V3" s="69"/>
      <c r="W3" s="55" t="s">
        <v>14</v>
      </c>
    </row>
    <row r="4" spans="1:23" x14ac:dyDescent="0.25">
      <c r="A4" s="6" t="s">
        <v>28</v>
      </c>
      <c r="B4" s="38" t="s">
        <v>27</v>
      </c>
      <c r="C4" s="8"/>
      <c r="D4" s="20"/>
      <c r="E4" s="20"/>
      <c r="F4" s="34"/>
      <c r="G4" s="35"/>
      <c r="H4" s="10"/>
      <c r="I4" s="11"/>
      <c r="J4" s="11"/>
      <c r="K4" s="12"/>
      <c r="L4" s="11"/>
      <c r="M4" s="11"/>
      <c r="N4" s="11"/>
      <c r="O4" s="11"/>
      <c r="P4" s="13"/>
      <c r="Q4" s="5" t="s">
        <v>108</v>
      </c>
      <c r="R4" s="5" t="s">
        <v>109</v>
      </c>
      <c r="S4" s="5" t="s">
        <v>110</v>
      </c>
      <c r="T4" s="5" t="s">
        <v>111</v>
      </c>
      <c r="U4" s="5" t="s">
        <v>112</v>
      </c>
      <c r="V4" s="5" t="s">
        <v>113</v>
      </c>
      <c r="W4" s="5"/>
    </row>
    <row r="5" spans="1:23" x14ac:dyDescent="0.25">
      <c r="A5" s="6"/>
      <c r="B5" s="42" t="s">
        <v>21</v>
      </c>
      <c r="C5" s="8"/>
      <c r="D5" s="20"/>
      <c r="E5" s="20"/>
      <c r="F5" s="34"/>
      <c r="G5" s="35"/>
      <c r="H5" s="10"/>
      <c r="I5" s="11"/>
      <c r="J5" s="11"/>
      <c r="K5" s="12"/>
      <c r="L5" s="11"/>
      <c r="M5" s="11"/>
      <c r="N5" s="11"/>
      <c r="O5" s="11"/>
      <c r="P5" s="13"/>
      <c r="Q5" s="18" t="str">
        <f>IF($H5=8,$P5,"")</f>
        <v/>
      </c>
      <c r="R5" s="18" t="str">
        <f>IF($H5=10,$P5,"")</f>
        <v/>
      </c>
      <c r="S5" s="18" t="str">
        <f>IF($H5=12,$P5,"")</f>
        <v/>
      </c>
      <c r="T5" s="18" t="str">
        <f>IF($H5=16,$P5,"")</f>
        <v/>
      </c>
      <c r="U5" s="18" t="str">
        <f>IF($H5=20,$P5,"")</f>
        <v/>
      </c>
      <c r="V5" s="18" t="str">
        <f>IF($H5=25,$P5,"")</f>
        <v/>
      </c>
      <c r="W5" s="14"/>
    </row>
    <row r="6" spans="1:23" x14ac:dyDescent="0.25">
      <c r="A6" s="6">
        <v>1</v>
      </c>
      <c r="B6" s="7" t="s">
        <v>114</v>
      </c>
      <c r="C6" s="8"/>
      <c r="D6" s="20"/>
      <c r="E6" s="20"/>
      <c r="F6" s="34"/>
      <c r="G6" s="35"/>
      <c r="H6" s="10"/>
      <c r="I6" s="11"/>
      <c r="J6" s="11"/>
      <c r="K6" s="12"/>
      <c r="L6" s="11"/>
      <c r="M6" s="11"/>
      <c r="N6" s="11"/>
      <c r="O6" s="11"/>
      <c r="P6" s="13"/>
      <c r="Q6" s="18" t="str">
        <f t="shared" ref="Q6:Q108" si="0">IF($H6=8,$P6,"")</f>
        <v/>
      </c>
      <c r="R6" s="18" t="str">
        <f t="shared" ref="R6:R108" si="1">IF($H6=10,$P6,"")</f>
        <v/>
      </c>
      <c r="S6" s="18" t="str">
        <f t="shared" ref="S6:S108" si="2">IF($H6=12,$P6,"")</f>
        <v/>
      </c>
      <c r="T6" s="18" t="str">
        <f t="shared" ref="T6:T108" si="3">IF($H6=16,$P6,"")</f>
        <v/>
      </c>
      <c r="U6" s="18" t="str">
        <f t="shared" ref="U6:U108" si="4">IF($H6=20,$P6,"")</f>
        <v/>
      </c>
      <c r="V6" s="18" t="str">
        <f t="shared" ref="V6:V108" si="5">IF($H6=25,$P6,"")</f>
        <v/>
      </c>
      <c r="W6" s="14"/>
    </row>
    <row r="7" spans="1:23" x14ac:dyDescent="0.25">
      <c r="A7" s="6"/>
      <c r="B7" t="s">
        <v>19</v>
      </c>
      <c r="C7" s="19">
        <v>0.5</v>
      </c>
      <c r="D7" s="63">
        <f>21.65-2*0.05</f>
        <v>21.549999999999997</v>
      </c>
      <c r="E7" s="64"/>
      <c r="F7" s="19">
        <v>0.5</v>
      </c>
      <c r="G7" s="36">
        <v>0.25</v>
      </c>
      <c r="H7" s="10">
        <v>16</v>
      </c>
      <c r="I7" s="11">
        <v>1</v>
      </c>
      <c r="J7" s="13">
        <f>ROUND(8.855/G7+1,0)/2</f>
        <v>18</v>
      </c>
      <c r="K7" s="45">
        <f>D7</f>
        <v>21.549999999999997</v>
      </c>
      <c r="L7" s="37">
        <f>IF(O7&lt;12,"0",0.049*H7)*2</f>
        <v>1.5680000000000001</v>
      </c>
      <c r="M7" s="17">
        <v>2</v>
      </c>
      <c r="N7" s="11">
        <f>M7*2*H7/1000</f>
        <v>6.4000000000000001E-2</v>
      </c>
      <c r="O7" s="16">
        <f>(D7+C7+F7)-N7</f>
        <v>22.485999999999997</v>
      </c>
      <c r="P7" s="16">
        <f>(I7*J7*O7)+L7</f>
        <v>406.31599999999992</v>
      </c>
      <c r="Q7" s="18" t="str">
        <f t="shared" si="0"/>
        <v/>
      </c>
      <c r="R7" s="18" t="str">
        <f t="shared" si="1"/>
        <v/>
      </c>
      <c r="S7" s="18" t="str">
        <f t="shared" si="2"/>
        <v/>
      </c>
      <c r="T7" s="18">
        <f t="shared" si="3"/>
        <v>406.31599999999992</v>
      </c>
      <c r="U7" s="18" t="str">
        <f t="shared" si="4"/>
        <v/>
      </c>
      <c r="V7" s="18" t="str">
        <f t="shared" si="5"/>
        <v/>
      </c>
      <c r="W7" s="14"/>
    </row>
    <row r="8" spans="1:23" x14ac:dyDescent="0.25">
      <c r="A8" s="6"/>
      <c r="B8" s="14"/>
      <c r="C8" s="8"/>
      <c r="D8" s="20"/>
      <c r="E8" s="20"/>
      <c r="F8" s="34"/>
      <c r="G8" s="35"/>
      <c r="H8" s="10"/>
      <c r="I8" s="11"/>
      <c r="J8" s="11"/>
      <c r="K8" s="45"/>
      <c r="L8" s="16"/>
      <c r="M8" s="16"/>
      <c r="N8" s="11"/>
      <c r="O8" s="16"/>
      <c r="P8" s="16"/>
      <c r="Q8" s="18" t="str">
        <f t="shared" si="0"/>
        <v/>
      </c>
      <c r="R8" s="18" t="str">
        <f t="shared" si="1"/>
        <v/>
      </c>
      <c r="S8" s="18" t="str">
        <f t="shared" si="2"/>
        <v/>
      </c>
      <c r="T8" s="18" t="str">
        <f t="shared" si="3"/>
        <v/>
      </c>
      <c r="U8" s="18" t="str">
        <f t="shared" si="4"/>
        <v/>
      </c>
      <c r="V8" s="18" t="str">
        <f t="shared" si="5"/>
        <v/>
      </c>
      <c r="W8" s="14"/>
    </row>
    <row r="9" spans="1:23" x14ac:dyDescent="0.25">
      <c r="A9" s="6">
        <v>1</v>
      </c>
      <c r="B9" s="7" t="s">
        <v>114</v>
      </c>
      <c r="C9" s="8"/>
      <c r="D9" s="20"/>
      <c r="E9" s="20"/>
      <c r="F9" s="34"/>
      <c r="G9" s="35"/>
      <c r="H9" s="10"/>
      <c r="I9" s="11"/>
      <c r="J9" s="11"/>
      <c r="K9" s="12"/>
      <c r="L9" s="11"/>
      <c r="M9" s="11"/>
      <c r="N9" s="11"/>
      <c r="O9" s="11"/>
      <c r="P9" s="13"/>
      <c r="Q9" s="18" t="str">
        <f t="shared" si="0"/>
        <v/>
      </c>
      <c r="R9" s="18" t="str">
        <f t="shared" si="1"/>
        <v/>
      </c>
      <c r="S9" s="18" t="str">
        <f t="shared" si="2"/>
        <v/>
      </c>
      <c r="T9" s="18" t="str">
        <f t="shared" si="3"/>
        <v/>
      </c>
      <c r="U9" s="18" t="str">
        <f t="shared" si="4"/>
        <v/>
      </c>
      <c r="V9" s="18" t="str">
        <f t="shared" si="5"/>
        <v/>
      </c>
      <c r="W9" s="14"/>
    </row>
    <row r="10" spans="1:23" x14ac:dyDescent="0.25">
      <c r="A10" s="6"/>
      <c r="B10" t="s">
        <v>19</v>
      </c>
      <c r="C10" s="19">
        <v>0.5</v>
      </c>
      <c r="D10" s="63">
        <f>21.65-2*0.05</f>
        <v>21.549999999999997</v>
      </c>
      <c r="E10" s="64"/>
      <c r="F10" s="19">
        <v>0.5</v>
      </c>
      <c r="G10" s="36">
        <v>0.25</v>
      </c>
      <c r="H10" s="10">
        <v>16</v>
      </c>
      <c r="I10" s="11">
        <v>1</v>
      </c>
      <c r="J10" s="13">
        <f>ROUND(8.855/G10+1,0)/2</f>
        <v>18</v>
      </c>
      <c r="K10" s="45">
        <f>D10</f>
        <v>21.549999999999997</v>
      </c>
      <c r="L10" s="37">
        <f>IF(O10&lt;12,"0",0.049*H10)</f>
        <v>0.78400000000000003</v>
      </c>
      <c r="M10" s="17">
        <v>2</v>
      </c>
      <c r="N10" s="11">
        <f>M10*2*H10/1000</f>
        <v>6.4000000000000001E-2</v>
      </c>
      <c r="O10" s="16">
        <f>(D10+C10+F10)-N10</f>
        <v>22.485999999999997</v>
      </c>
      <c r="P10" s="16">
        <f>(I10*J10*O10)+L10</f>
        <v>405.53199999999993</v>
      </c>
      <c r="Q10" s="18" t="str">
        <f t="shared" si="0"/>
        <v/>
      </c>
      <c r="R10" s="18" t="str">
        <f t="shared" si="1"/>
        <v/>
      </c>
      <c r="S10" s="18" t="str">
        <f t="shared" si="2"/>
        <v/>
      </c>
      <c r="T10" s="18">
        <f t="shared" si="3"/>
        <v>405.53199999999993</v>
      </c>
      <c r="U10" s="18" t="str">
        <f t="shared" si="4"/>
        <v/>
      </c>
      <c r="V10" s="18" t="str">
        <f t="shared" si="5"/>
        <v/>
      </c>
      <c r="W10" s="14"/>
    </row>
    <row r="11" spans="1:23" x14ac:dyDescent="0.25">
      <c r="A11" s="6"/>
      <c r="B11" s="14"/>
      <c r="C11" s="8"/>
      <c r="D11" s="20"/>
      <c r="E11" s="20"/>
      <c r="F11" s="34"/>
      <c r="G11" s="35"/>
      <c r="H11" s="10"/>
      <c r="I11" s="11"/>
      <c r="J11" s="11"/>
      <c r="K11" s="45"/>
      <c r="L11" s="16"/>
      <c r="M11" s="16"/>
      <c r="N11" s="11"/>
      <c r="O11" s="16"/>
      <c r="P11" s="16"/>
      <c r="Q11" s="18" t="str">
        <f t="shared" si="0"/>
        <v/>
      </c>
      <c r="R11" s="18" t="str">
        <f t="shared" si="1"/>
        <v/>
      </c>
      <c r="S11" s="18" t="str">
        <f t="shared" si="2"/>
        <v/>
      </c>
      <c r="T11" s="18" t="str">
        <f t="shared" si="3"/>
        <v/>
      </c>
      <c r="U11" s="18" t="str">
        <f t="shared" si="4"/>
        <v/>
      </c>
      <c r="V11" s="18" t="str">
        <f t="shared" si="5"/>
        <v/>
      </c>
      <c r="W11" s="14"/>
    </row>
    <row r="12" spans="1:23" x14ac:dyDescent="0.25">
      <c r="A12" s="6">
        <v>2</v>
      </c>
      <c r="B12" s="7" t="s">
        <v>115</v>
      </c>
      <c r="C12" s="8"/>
      <c r="D12" s="20"/>
      <c r="E12" s="20"/>
      <c r="F12" s="34"/>
      <c r="G12" s="35"/>
      <c r="H12" s="10"/>
      <c r="I12" s="11"/>
      <c r="J12" s="11"/>
      <c r="K12" s="12"/>
      <c r="L12" s="11"/>
      <c r="M12" s="11"/>
      <c r="N12" s="11"/>
      <c r="O12" s="11"/>
      <c r="P12" s="13"/>
      <c r="Q12" s="18" t="str">
        <f t="shared" si="0"/>
        <v/>
      </c>
      <c r="R12" s="18" t="str">
        <f t="shared" si="1"/>
        <v/>
      </c>
      <c r="S12" s="18" t="str">
        <f t="shared" si="2"/>
        <v/>
      </c>
      <c r="T12" s="18" t="str">
        <f t="shared" si="3"/>
        <v/>
      </c>
      <c r="U12" s="18" t="str">
        <f t="shared" si="4"/>
        <v/>
      </c>
      <c r="V12" s="18" t="str">
        <f t="shared" si="5"/>
        <v/>
      </c>
      <c r="W12" s="14"/>
    </row>
    <row r="13" spans="1:23" x14ac:dyDescent="0.25">
      <c r="A13" s="6"/>
      <c r="B13" t="s">
        <v>19</v>
      </c>
      <c r="C13" s="19">
        <v>0.5</v>
      </c>
      <c r="D13" s="63">
        <f>21.65+0.515-2*0.05</f>
        <v>22.064999999999998</v>
      </c>
      <c r="E13" s="64"/>
      <c r="F13" s="19">
        <v>0.5</v>
      </c>
      <c r="G13" s="36">
        <v>0.25</v>
      </c>
      <c r="H13" s="10">
        <v>16</v>
      </c>
      <c r="I13" s="11">
        <v>1</v>
      </c>
      <c r="J13" s="13">
        <f>ROUND(2.535/G13+1,0)/2</f>
        <v>5.5</v>
      </c>
      <c r="K13" s="45">
        <f>D13</f>
        <v>22.064999999999998</v>
      </c>
      <c r="L13" s="16">
        <f>IF(O13&lt;12,"0",0.049*H13)*2</f>
        <v>1.5680000000000001</v>
      </c>
      <c r="M13" s="17">
        <v>2</v>
      </c>
      <c r="N13" s="11">
        <f>M13*2*H13/1000</f>
        <v>6.4000000000000001E-2</v>
      </c>
      <c r="O13" s="16">
        <f>(D13+C13+F13)-N13</f>
        <v>23.000999999999998</v>
      </c>
      <c r="P13" s="16">
        <f>(I13*J13*O13)+L13</f>
        <v>128.0735</v>
      </c>
      <c r="Q13" s="18" t="str">
        <f t="shared" si="0"/>
        <v/>
      </c>
      <c r="R13" s="18" t="str">
        <f t="shared" si="1"/>
        <v/>
      </c>
      <c r="S13" s="18" t="str">
        <f t="shared" si="2"/>
        <v/>
      </c>
      <c r="T13" s="18">
        <f t="shared" si="3"/>
        <v>128.0735</v>
      </c>
      <c r="U13" s="18" t="str">
        <f t="shared" si="4"/>
        <v/>
      </c>
      <c r="V13" s="18" t="str">
        <f t="shared" si="5"/>
        <v/>
      </c>
      <c r="W13" s="14"/>
    </row>
    <row r="14" spans="1:23" x14ac:dyDescent="0.25">
      <c r="A14" s="6"/>
      <c r="B14" s="14"/>
      <c r="C14" s="8"/>
      <c r="D14" s="20"/>
      <c r="E14" s="20"/>
      <c r="F14" s="34"/>
      <c r="G14" s="35"/>
      <c r="H14" s="10"/>
      <c r="I14" s="11"/>
      <c r="J14" s="11"/>
      <c r="K14" s="12"/>
      <c r="L14" s="11"/>
      <c r="M14" s="11"/>
      <c r="N14" s="11"/>
      <c r="O14" s="11"/>
      <c r="P14" s="13"/>
      <c r="Q14" s="18" t="str">
        <f t="shared" si="0"/>
        <v/>
      </c>
      <c r="R14" s="18" t="str">
        <f t="shared" si="1"/>
        <v/>
      </c>
      <c r="S14" s="18" t="str">
        <f t="shared" si="2"/>
        <v/>
      </c>
      <c r="T14" s="18" t="str">
        <f t="shared" si="3"/>
        <v/>
      </c>
      <c r="U14" s="18" t="str">
        <f t="shared" si="4"/>
        <v/>
      </c>
      <c r="V14" s="18" t="str">
        <f t="shared" si="5"/>
        <v/>
      </c>
      <c r="W14" s="14"/>
    </row>
    <row r="15" spans="1:23" x14ac:dyDescent="0.25">
      <c r="A15" s="6">
        <v>2</v>
      </c>
      <c r="B15" s="7" t="s">
        <v>115</v>
      </c>
      <c r="C15" s="8"/>
      <c r="D15" s="20"/>
      <c r="E15" s="20"/>
      <c r="F15" s="34"/>
      <c r="G15" s="35"/>
      <c r="H15" s="10"/>
      <c r="I15" s="11"/>
      <c r="J15" s="11"/>
      <c r="K15" s="12"/>
      <c r="L15" s="11"/>
      <c r="M15" s="11"/>
      <c r="N15" s="11"/>
      <c r="O15" s="11"/>
      <c r="P15" s="13"/>
      <c r="Q15" s="18" t="str">
        <f t="shared" si="0"/>
        <v/>
      </c>
      <c r="R15" s="18" t="str">
        <f t="shared" si="1"/>
        <v/>
      </c>
      <c r="S15" s="18" t="str">
        <f t="shared" si="2"/>
        <v/>
      </c>
      <c r="T15" s="18" t="str">
        <f t="shared" si="3"/>
        <v/>
      </c>
      <c r="U15" s="18" t="str">
        <f t="shared" si="4"/>
        <v/>
      </c>
      <c r="V15" s="18" t="str">
        <f t="shared" si="5"/>
        <v/>
      </c>
      <c r="W15" s="14"/>
    </row>
    <row r="16" spans="1:23" x14ac:dyDescent="0.25">
      <c r="A16" s="6"/>
      <c r="B16" t="s">
        <v>19</v>
      </c>
      <c r="C16" s="19">
        <v>0.5</v>
      </c>
      <c r="D16" s="63">
        <f>21.65+0.515-2*0.05</f>
        <v>22.064999999999998</v>
      </c>
      <c r="E16" s="64"/>
      <c r="F16" s="19">
        <v>0.5</v>
      </c>
      <c r="G16" s="36">
        <v>0.25</v>
      </c>
      <c r="H16" s="10">
        <v>16</v>
      </c>
      <c r="I16" s="11">
        <v>1</v>
      </c>
      <c r="J16" s="13">
        <f>ROUND(2.535/G16+1,0)/2</f>
        <v>5.5</v>
      </c>
      <c r="K16" s="45">
        <f>D16</f>
        <v>22.064999999999998</v>
      </c>
      <c r="L16" s="16">
        <f>IF(O16&lt;12,"0",0.049*H16)</f>
        <v>0.78400000000000003</v>
      </c>
      <c r="M16" s="17">
        <v>2</v>
      </c>
      <c r="N16" s="11">
        <f>M16*2*H16/1000</f>
        <v>6.4000000000000001E-2</v>
      </c>
      <c r="O16" s="16">
        <f>(D16+C16+F16)-N16</f>
        <v>23.000999999999998</v>
      </c>
      <c r="P16" s="16">
        <f>(I16*J16*O16)+L16</f>
        <v>127.28949999999999</v>
      </c>
      <c r="Q16" s="18" t="str">
        <f t="shared" si="0"/>
        <v/>
      </c>
      <c r="R16" s="18" t="str">
        <f t="shared" si="1"/>
        <v/>
      </c>
      <c r="S16" s="18" t="str">
        <f t="shared" si="2"/>
        <v/>
      </c>
      <c r="T16" s="18">
        <f t="shared" si="3"/>
        <v>127.28949999999999</v>
      </c>
      <c r="U16" s="18" t="str">
        <f t="shared" si="4"/>
        <v/>
      </c>
      <c r="V16" s="18" t="str">
        <f t="shared" si="5"/>
        <v/>
      </c>
      <c r="W16" s="14"/>
    </row>
    <row r="17" spans="1:23" x14ac:dyDescent="0.25">
      <c r="A17" s="6"/>
      <c r="B17" s="14"/>
      <c r="C17" s="8"/>
      <c r="D17" s="20"/>
      <c r="E17" s="20"/>
      <c r="F17" s="34"/>
      <c r="G17" s="35"/>
      <c r="H17" s="10"/>
      <c r="I17" s="11"/>
      <c r="J17" s="11"/>
      <c r="K17" s="12"/>
      <c r="L17" s="11"/>
      <c r="M17" s="11"/>
      <c r="N17" s="11"/>
      <c r="O17" s="11"/>
      <c r="P17" s="13"/>
      <c r="Q17" s="18" t="str">
        <f t="shared" si="0"/>
        <v/>
      </c>
      <c r="R17" s="18" t="str">
        <f t="shared" si="1"/>
        <v/>
      </c>
      <c r="S17" s="18" t="str">
        <f t="shared" si="2"/>
        <v/>
      </c>
      <c r="T17" s="18" t="str">
        <f t="shared" si="3"/>
        <v/>
      </c>
      <c r="U17" s="18" t="str">
        <f t="shared" si="4"/>
        <v/>
      </c>
      <c r="V17" s="18" t="str">
        <f t="shared" si="5"/>
        <v/>
      </c>
      <c r="W17" s="14"/>
    </row>
    <row r="18" spans="1:23" x14ac:dyDescent="0.25">
      <c r="A18" s="6">
        <v>3</v>
      </c>
      <c r="B18" s="7" t="s">
        <v>116</v>
      </c>
      <c r="C18" s="8"/>
      <c r="D18" s="20"/>
      <c r="E18" s="20"/>
      <c r="F18" s="34"/>
      <c r="G18" s="35"/>
      <c r="H18" s="10"/>
      <c r="I18" s="11"/>
      <c r="J18" s="11"/>
      <c r="K18" s="12"/>
      <c r="L18" s="11"/>
      <c r="M18" s="11"/>
      <c r="N18" s="11"/>
      <c r="O18" s="11"/>
      <c r="P18" s="13"/>
      <c r="Q18" s="18" t="str">
        <f t="shared" si="0"/>
        <v/>
      </c>
      <c r="R18" s="18" t="str">
        <f t="shared" si="1"/>
        <v/>
      </c>
      <c r="S18" s="18" t="str">
        <f t="shared" si="2"/>
        <v/>
      </c>
      <c r="T18" s="18" t="str">
        <f t="shared" si="3"/>
        <v/>
      </c>
      <c r="U18" s="18" t="str">
        <f t="shared" si="4"/>
        <v/>
      </c>
      <c r="V18" s="18" t="str">
        <f t="shared" si="5"/>
        <v/>
      </c>
      <c r="W18" s="14"/>
    </row>
    <row r="19" spans="1:23" x14ac:dyDescent="0.25">
      <c r="A19" s="6"/>
      <c r="B19" t="s">
        <v>19</v>
      </c>
      <c r="C19" s="19">
        <v>0.5</v>
      </c>
      <c r="D19" s="63">
        <f>32.45-2*0.05</f>
        <v>32.35</v>
      </c>
      <c r="E19" s="64"/>
      <c r="F19" s="19">
        <v>0.5</v>
      </c>
      <c r="G19" s="36">
        <v>0.25</v>
      </c>
      <c r="H19" s="10">
        <v>16</v>
      </c>
      <c r="I19" s="11">
        <v>1</v>
      </c>
      <c r="J19" s="13">
        <f>ROUND(6.245/G19+1,0)/2</f>
        <v>13</v>
      </c>
      <c r="K19" s="45">
        <f>D19</f>
        <v>32.35</v>
      </c>
      <c r="L19" s="16">
        <f>IF(O19&lt;12,"0",0.049*H19)*3</f>
        <v>2.3520000000000003</v>
      </c>
      <c r="M19" s="17">
        <v>2</v>
      </c>
      <c r="N19" s="11">
        <f>M19*2*H19/1000</f>
        <v>6.4000000000000001E-2</v>
      </c>
      <c r="O19" s="16">
        <f>(D19+C19+F19)-N19</f>
        <v>33.286000000000001</v>
      </c>
      <c r="P19" s="16">
        <f>(I19*J19*O19)+L19</f>
        <v>435.07</v>
      </c>
      <c r="Q19" s="18" t="str">
        <f t="shared" si="0"/>
        <v/>
      </c>
      <c r="R19" s="18" t="str">
        <f t="shared" si="1"/>
        <v/>
      </c>
      <c r="S19" s="18" t="str">
        <f t="shared" si="2"/>
        <v/>
      </c>
      <c r="T19" s="18">
        <f t="shared" si="3"/>
        <v>435.07</v>
      </c>
      <c r="U19" s="18" t="str">
        <f t="shared" si="4"/>
        <v/>
      </c>
      <c r="V19" s="18" t="str">
        <f t="shared" si="5"/>
        <v/>
      </c>
      <c r="W19" s="14"/>
    </row>
    <row r="20" spans="1:23" x14ac:dyDescent="0.25">
      <c r="A20" s="6"/>
      <c r="B20" s="22"/>
      <c r="C20" s="8"/>
      <c r="D20" s="20"/>
      <c r="E20" s="21"/>
      <c r="F20" s="34"/>
      <c r="G20" s="35"/>
      <c r="H20" s="10"/>
      <c r="I20" s="11"/>
      <c r="J20" s="11"/>
      <c r="K20" s="12"/>
      <c r="L20" s="11"/>
      <c r="M20" s="11"/>
      <c r="N20" s="11"/>
      <c r="O20" s="11"/>
      <c r="P20" s="13"/>
      <c r="Q20" s="18" t="str">
        <f t="shared" si="0"/>
        <v/>
      </c>
      <c r="R20" s="18" t="str">
        <f t="shared" si="1"/>
        <v/>
      </c>
      <c r="S20" s="18" t="str">
        <f t="shared" si="2"/>
        <v/>
      </c>
      <c r="T20" s="18" t="str">
        <f t="shared" si="3"/>
        <v/>
      </c>
      <c r="U20" s="18" t="str">
        <f t="shared" si="4"/>
        <v/>
      </c>
      <c r="V20" s="18" t="str">
        <f t="shared" si="5"/>
        <v/>
      </c>
      <c r="W20" s="14"/>
    </row>
    <row r="21" spans="1:23" x14ac:dyDescent="0.25">
      <c r="A21" s="6">
        <v>3</v>
      </c>
      <c r="B21" s="7" t="s">
        <v>116</v>
      </c>
      <c r="C21" s="8"/>
      <c r="D21" s="20"/>
      <c r="E21" s="20"/>
      <c r="F21" s="34"/>
      <c r="G21" s="35"/>
      <c r="H21" s="10"/>
      <c r="I21" s="11"/>
      <c r="J21" s="11"/>
      <c r="K21" s="12"/>
      <c r="L21" s="11"/>
      <c r="M21" s="11"/>
      <c r="N21" s="11"/>
      <c r="O21" s="11"/>
      <c r="P21" s="13"/>
      <c r="Q21" s="18" t="str">
        <f t="shared" si="0"/>
        <v/>
      </c>
      <c r="R21" s="18" t="str">
        <f t="shared" si="1"/>
        <v/>
      </c>
      <c r="S21" s="18" t="str">
        <f t="shared" si="2"/>
        <v/>
      </c>
      <c r="T21" s="18" t="str">
        <f t="shared" si="3"/>
        <v/>
      </c>
      <c r="U21" s="18" t="str">
        <f t="shared" si="4"/>
        <v/>
      </c>
      <c r="V21" s="18" t="str">
        <f t="shared" si="5"/>
        <v/>
      </c>
      <c r="W21" s="14"/>
    </row>
    <row r="22" spans="1:23" x14ac:dyDescent="0.25">
      <c r="A22" s="6"/>
      <c r="B22" t="s">
        <v>19</v>
      </c>
      <c r="C22" s="19">
        <v>0.5</v>
      </c>
      <c r="D22" s="63">
        <f>32.45-2*0.05</f>
        <v>32.35</v>
      </c>
      <c r="E22" s="64"/>
      <c r="F22" s="19">
        <v>0.5</v>
      </c>
      <c r="G22" s="36">
        <v>0.25</v>
      </c>
      <c r="H22" s="10">
        <v>16</v>
      </c>
      <c r="I22" s="11">
        <v>1</v>
      </c>
      <c r="J22" s="13">
        <f>ROUND(6.245/G22+1,0)/2</f>
        <v>13</v>
      </c>
      <c r="K22" s="45">
        <f>D22</f>
        <v>32.35</v>
      </c>
      <c r="L22" s="16">
        <f>IF(O22&lt;12,"0",0.049*H22)*2</f>
        <v>1.5680000000000001</v>
      </c>
      <c r="M22" s="17">
        <v>2</v>
      </c>
      <c r="N22" s="11">
        <f>M22*2*H22/1000</f>
        <v>6.4000000000000001E-2</v>
      </c>
      <c r="O22" s="16">
        <f>(D22+C22+F22)-N22</f>
        <v>33.286000000000001</v>
      </c>
      <c r="P22" s="16">
        <f>(I22*J22*O22)+L22</f>
        <v>434.286</v>
      </c>
      <c r="Q22" s="18" t="str">
        <f t="shared" si="0"/>
        <v/>
      </c>
      <c r="R22" s="18" t="str">
        <f t="shared" si="1"/>
        <v/>
      </c>
      <c r="S22" s="18" t="str">
        <f t="shared" si="2"/>
        <v/>
      </c>
      <c r="T22" s="18">
        <f t="shared" si="3"/>
        <v>434.286</v>
      </c>
      <c r="U22" s="18" t="str">
        <f t="shared" si="4"/>
        <v/>
      </c>
      <c r="V22" s="18" t="str">
        <f t="shared" si="5"/>
        <v/>
      </c>
      <c r="W22" s="14"/>
    </row>
    <row r="23" spans="1:23" x14ac:dyDescent="0.25">
      <c r="A23" s="6"/>
      <c r="B23" s="22"/>
      <c r="C23" s="8"/>
      <c r="D23" s="20"/>
      <c r="E23" s="21"/>
      <c r="F23" s="34"/>
      <c r="G23" s="35"/>
      <c r="H23" s="10"/>
      <c r="I23" s="11"/>
      <c r="J23" s="11"/>
      <c r="K23" s="12"/>
      <c r="L23" s="11"/>
      <c r="M23" s="11"/>
      <c r="N23" s="11"/>
      <c r="O23" s="11"/>
      <c r="P23" s="13"/>
      <c r="Q23" s="18" t="str">
        <f t="shared" si="0"/>
        <v/>
      </c>
      <c r="R23" s="18" t="str">
        <f t="shared" si="1"/>
        <v/>
      </c>
      <c r="S23" s="18" t="str">
        <f t="shared" si="2"/>
        <v/>
      </c>
      <c r="T23" s="18" t="str">
        <f t="shared" si="3"/>
        <v/>
      </c>
      <c r="U23" s="18" t="str">
        <f t="shared" si="4"/>
        <v/>
      </c>
      <c r="V23" s="18" t="str">
        <f t="shared" si="5"/>
        <v/>
      </c>
      <c r="W23" s="14"/>
    </row>
    <row r="24" spans="1:23" x14ac:dyDescent="0.25">
      <c r="A24" s="6">
        <v>4</v>
      </c>
      <c r="B24" s="7" t="s">
        <v>117</v>
      </c>
      <c r="C24" s="8"/>
      <c r="D24" s="20"/>
      <c r="E24" s="20"/>
      <c r="F24" s="34"/>
      <c r="G24" s="35"/>
      <c r="H24" s="10"/>
      <c r="I24" s="11"/>
      <c r="J24" s="11"/>
      <c r="K24" s="12"/>
      <c r="L24" s="11"/>
      <c r="M24" s="11"/>
      <c r="N24" s="11"/>
      <c r="O24" s="11"/>
      <c r="P24" s="13"/>
      <c r="Q24" s="18" t="str">
        <f t="shared" si="0"/>
        <v/>
      </c>
      <c r="R24" s="18" t="str">
        <f t="shared" si="1"/>
        <v/>
      </c>
      <c r="S24" s="18" t="str">
        <f t="shared" si="2"/>
        <v/>
      </c>
      <c r="T24" s="18" t="str">
        <f t="shared" si="3"/>
        <v/>
      </c>
      <c r="U24" s="18" t="str">
        <f t="shared" si="4"/>
        <v/>
      </c>
      <c r="V24" s="18" t="str">
        <f t="shared" si="5"/>
        <v/>
      </c>
      <c r="W24" s="14"/>
    </row>
    <row r="25" spans="1:23" x14ac:dyDescent="0.25">
      <c r="A25" s="6"/>
      <c r="B25" t="s">
        <v>19</v>
      </c>
      <c r="C25" s="19">
        <v>0.5</v>
      </c>
      <c r="D25" s="63">
        <f>31.935-2*0.05</f>
        <v>31.834999999999997</v>
      </c>
      <c r="E25" s="64"/>
      <c r="F25" s="19">
        <v>0.5</v>
      </c>
      <c r="G25" s="36">
        <v>0.25</v>
      </c>
      <c r="H25" s="10">
        <v>16</v>
      </c>
      <c r="I25" s="11">
        <v>1</v>
      </c>
      <c r="J25" s="13">
        <f>ROUND(2.63/G25+1,0)/2</f>
        <v>6</v>
      </c>
      <c r="K25" s="45">
        <f>D25</f>
        <v>31.834999999999997</v>
      </c>
      <c r="L25" s="16">
        <f>IF(O25&lt;12,"0",0.049*H25)*3</f>
        <v>2.3520000000000003</v>
      </c>
      <c r="M25" s="17">
        <v>2</v>
      </c>
      <c r="N25" s="11">
        <f>M25*2*H25/1000</f>
        <v>6.4000000000000001E-2</v>
      </c>
      <c r="O25" s="16">
        <f>(D25+C25+F25)-N25</f>
        <v>32.770999999999994</v>
      </c>
      <c r="P25" s="16">
        <f>(I25*J25*O25)+L25</f>
        <v>198.97799999999998</v>
      </c>
      <c r="Q25" s="18" t="str">
        <f t="shared" si="0"/>
        <v/>
      </c>
      <c r="R25" s="18" t="str">
        <f t="shared" si="1"/>
        <v/>
      </c>
      <c r="S25" s="18" t="str">
        <f t="shared" si="2"/>
        <v/>
      </c>
      <c r="T25" s="18">
        <f t="shared" si="3"/>
        <v>198.97799999999998</v>
      </c>
      <c r="U25" s="18" t="str">
        <f t="shared" si="4"/>
        <v/>
      </c>
      <c r="V25" s="18" t="str">
        <f t="shared" si="5"/>
        <v/>
      </c>
      <c r="W25" s="14"/>
    </row>
    <row r="26" spans="1:23" x14ac:dyDescent="0.25">
      <c r="A26" s="6"/>
      <c r="B26" s="22"/>
      <c r="C26" s="8"/>
      <c r="D26" s="20"/>
      <c r="E26" s="21"/>
      <c r="F26" s="34"/>
      <c r="G26" s="35"/>
      <c r="H26" s="10"/>
      <c r="I26" s="11"/>
      <c r="J26" s="11"/>
      <c r="K26" s="12"/>
      <c r="L26" s="11"/>
      <c r="M26" s="11"/>
      <c r="N26" s="11"/>
      <c r="O26" s="11"/>
      <c r="P26" s="13"/>
      <c r="Q26" s="18" t="str">
        <f t="shared" si="0"/>
        <v/>
      </c>
      <c r="R26" s="18" t="str">
        <f t="shared" si="1"/>
        <v/>
      </c>
      <c r="S26" s="18" t="str">
        <f t="shared" si="2"/>
        <v/>
      </c>
      <c r="T26" s="18" t="str">
        <f t="shared" si="3"/>
        <v/>
      </c>
      <c r="U26" s="18" t="str">
        <f t="shared" si="4"/>
        <v/>
      </c>
      <c r="V26" s="18" t="str">
        <f t="shared" si="5"/>
        <v/>
      </c>
      <c r="W26" s="14"/>
    </row>
    <row r="27" spans="1:23" x14ac:dyDescent="0.25">
      <c r="A27" s="6">
        <v>4</v>
      </c>
      <c r="B27" s="7" t="s">
        <v>117</v>
      </c>
      <c r="C27" s="8"/>
      <c r="D27" s="20"/>
      <c r="E27" s="20"/>
      <c r="F27" s="34"/>
      <c r="G27" s="35"/>
      <c r="H27" s="10"/>
      <c r="I27" s="11"/>
      <c r="J27" s="11"/>
      <c r="K27" s="12"/>
      <c r="L27" s="11"/>
      <c r="M27" s="11"/>
      <c r="N27" s="11"/>
      <c r="O27" s="11"/>
      <c r="P27" s="13"/>
      <c r="Q27" s="18" t="str">
        <f t="shared" si="0"/>
        <v/>
      </c>
      <c r="R27" s="18" t="str">
        <f t="shared" si="1"/>
        <v/>
      </c>
      <c r="S27" s="18" t="str">
        <f t="shared" si="2"/>
        <v/>
      </c>
      <c r="T27" s="18" t="str">
        <f t="shared" si="3"/>
        <v/>
      </c>
      <c r="U27" s="18" t="str">
        <f t="shared" si="4"/>
        <v/>
      </c>
      <c r="V27" s="18" t="str">
        <f t="shared" si="5"/>
        <v/>
      </c>
      <c r="W27" s="14"/>
    </row>
    <row r="28" spans="1:23" x14ac:dyDescent="0.25">
      <c r="A28" s="6"/>
      <c r="B28" t="s">
        <v>19</v>
      </c>
      <c r="C28" s="19">
        <v>0.5</v>
      </c>
      <c r="D28" s="63">
        <f>31.935-2*0.05</f>
        <v>31.834999999999997</v>
      </c>
      <c r="E28" s="64"/>
      <c r="F28" s="19">
        <v>0.5</v>
      </c>
      <c r="G28" s="36">
        <v>0.25</v>
      </c>
      <c r="H28" s="10">
        <v>16</v>
      </c>
      <c r="I28" s="11">
        <v>1</v>
      </c>
      <c r="J28" s="13">
        <f>ROUND(2.63/G28+1,0)/2</f>
        <v>6</v>
      </c>
      <c r="K28" s="45">
        <f>D28</f>
        <v>31.834999999999997</v>
      </c>
      <c r="L28" s="16">
        <f>IF(O28&lt;12,"0",0.049*H28)*2</f>
        <v>1.5680000000000001</v>
      </c>
      <c r="M28" s="17">
        <v>2</v>
      </c>
      <c r="N28" s="11">
        <f>M28*2*H28/1000</f>
        <v>6.4000000000000001E-2</v>
      </c>
      <c r="O28" s="16">
        <f>(D28+C28+F28)-N28</f>
        <v>32.770999999999994</v>
      </c>
      <c r="P28" s="16">
        <f>(I28*J28*O28)+L28</f>
        <v>198.19399999999999</v>
      </c>
      <c r="Q28" s="18" t="str">
        <f t="shared" si="0"/>
        <v/>
      </c>
      <c r="R28" s="18" t="str">
        <f t="shared" si="1"/>
        <v/>
      </c>
      <c r="S28" s="18" t="str">
        <f t="shared" si="2"/>
        <v/>
      </c>
      <c r="T28" s="18">
        <f t="shared" si="3"/>
        <v>198.19399999999999</v>
      </c>
      <c r="U28" s="18" t="str">
        <f t="shared" si="4"/>
        <v/>
      </c>
      <c r="V28" s="18" t="str">
        <f t="shared" si="5"/>
        <v/>
      </c>
      <c r="W28" s="14"/>
    </row>
    <row r="29" spans="1:23" x14ac:dyDescent="0.25">
      <c r="A29" s="6"/>
      <c r="B29" s="22"/>
      <c r="C29" s="8"/>
      <c r="D29" s="20"/>
      <c r="E29" s="21"/>
      <c r="F29" s="34"/>
      <c r="G29" s="35"/>
      <c r="H29" s="10"/>
      <c r="I29" s="11"/>
      <c r="J29" s="11"/>
      <c r="K29" s="12"/>
      <c r="L29" s="11"/>
      <c r="M29" s="11"/>
      <c r="N29" s="11"/>
      <c r="O29" s="11"/>
      <c r="P29" s="13"/>
      <c r="Q29" s="18" t="str">
        <f t="shared" si="0"/>
        <v/>
      </c>
      <c r="R29" s="18" t="str">
        <f t="shared" si="1"/>
        <v/>
      </c>
      <c r="S29" s="18" t="str">
        <f t="shared" si="2"/>
        <v/>
      </c>
      <c r="T29" s="18" t="str">
        <f t="shared" si="3"/>
        <v/>
      </c>
      <c r="U29" s="18" t="str">
        <f t="shared" si="4"/>
        <v/>
      </c>
      <c r="V29" s="18" t="str">
        <f t="shared" si="5"/>
        <v/>
      </c>
      <c r="W29" s="14"/>
    </row>
    <row r="30" spans="1:23" x14ac:dyDescent="0.25">
      <c r="A30" s="6">
        <v>5</v>
      </c>
      <c r="B30" s="7" t="s">
        <v>118</v>
      </c>
      <c r="C30" s="8"/>
      <c r="D30" s="20"/>
      <c r="E30" s="20"/>
      <c r="F30" s="34"/>
      <c r="G30" s="35"/>
      <c r="H30" s="10"/>
      <c r="I30" s="11"/>
      <c r="J30" s="11"/>
      <c r="K30" s="12"/>
      <c r="L30" s="11"/>
      <c r="M30" s="11"/>
      <c r="N30" s="11"/>
      <c r="O30" s="11"/>
      <c r="P30" s="13"/>
      <c r="Q30" s="18" t="str">
        <f t="shared" si="0"/>
        <v/>
      </c>
      <c r="R30" s="18" t="str">
        <f t="shared" si="1"/>
        <v/>
      </c>
      <c r="S30" s="18" t="str">
        <f t="shared" si="2"/>
        <v/>
      </c>
      <c r="T30" s="18" t="str">
        <f t="shared" si="3"/>
        <v/>
      </c>
      <c r="U30" s="18" t="str">
        <f t="shared" si="4"/>
        <v/>
      </c>
      <c r="V30" s="18" t="str">
        <f t="shared" si="5"/>
        <v/>
      </c>
      <c r="W30" s="14"/>
    </row>
    <row r="31" spans="1:23" x14ac:dyDescent="0.25">
      <c r="A31" s="6"/>
      <c r="B31" t="s">
        <v>19</v>
      </c>
      <c r="C31" s="19">
        <v>0.5</v>
      </c>
      <c r="D31" s="63">
        <f>31.95-2*0.05-1.5</f>
        <v>30.349999999999998</v>
      </c>
      <c r="E31" s="64"/>
      <c r="F31" s="19">
        <v>0.5</v>
      </c>
      <c r="G31" s="36">
        <v>0.25</v>
      </c>
      <c r="H31" s="10">
        <v>16</v>
      </c>
      <c r="I31" s="11">
        <v>1</v>
      </c>
      <c r="J31" s="13">
        <f>ROUND(3.95/G31+1,0)/2</f>
        <v>8.5</v>
      </c>
      <c r="K31" s="45">
        <f>D31</f>
        <v>30.349999999999998</v>
      </c>
      <c r="L31" s="16">
        <f>IF(O31&lt;12,"0",0.049*H31)*3</f>
        <v>2.3520000000000003</v>
      </c>
      <c r="M31" s="17">
        <v>2</v>
      </c>
      <c r="N31" s="11">
        <f>M31*2*H31/1000</f>
        <v>6.4000000000000001E-2</v>
      </c>
      <c r="O31" s="16">
        <f>(D31+C31+F31)-N31</f>
        <v>31.285999999999998</v>
      </c>
      <c r="P31" s="16">
        <f>(I31*J31*O31)+L31</f>
        <v>268.28299999999996</v>
      </c>
      <c r="Q31" s="18" t="str">
        <f t="shared" si="0"/>
        <v/>
      </c>
      <c r="R31" s="18" t="str">
        <f t="shared" si="1"/>
        <v/>
      </c>
      <c r="S31" s="18" t="str">
        <f t="shared" si="2"/>
        <v/>
      </c>
      <c r="T31" s="18">
        <f t="shared" si="3"/>
        <v>268.28299999999996</v>
      </c>
      <c r="U31" s="18" t="str">
        <f t="shared" si="4"/>
        <v/>
      </c>
      <c r="V31" s="18" t="str">
        <f t="shared" si="5"/>
        <v/>
      </c>
      <c r="W31" s="14"/>
    </row>
    <row r="32" spans="1:23" x14ac:dyDescent="0.25">
      <c r="A32" s="6"/>
      <c r="B32" s="22"/>
      <c r="C32" s="8"/>
      <c r="D32" s="20"/>
      <c r="E32" s="21"/>
      <c r="F32" s="34"/>
      <c r="G32" s="35"/>
      <c r="H32" s="10"/>
      <c r="I32" s="11"/>
      <c r="J32" s="11"/>
      <c r="K32" s="12"/>
      <c r="L32" s="11"/>
      <c r="M32" s="11"/>
      <c r="N32" s="11"/>
      <c r="O32" s="11"/>
      <c r="P32" s="13"/>
      <c r="Q32" s="18" t="str">
        <f t="shared" si="0"/>
        <v/>
      </c>
      <c r="R32" s="18" t="str">
        <f t="shared" si="1"/>
        <v/>
      </c>
      <c r="S32" s="18" t="str">
        <f t="shared" si="2"/>
        <v/>
      </c>
      <c r="T32" s="18" t="str">
        <f t="shared" si="3"/>
        <v/>
      </c>
      <c r="U32" s="18" t="str">
        <f t="shared" si="4"/>
        <v/>
      </c>
      <c r="V32" s="18" t="str">
        <f t="shared" si="5"/>
        <v/>
      </c>
      <c r="W32" s="14"/>
    </row>
    <row r="33" spans="1:23" x14ac:dyDescent="0.25">
      <c r="A33" s="6">
        <v>5</v>
      </c>
      <c r="B33" s="7" t="s">
        <v>118</v>
      </c>
      <c r="C33" s="8"/>
      <c r="D33" s="20"/>
      <c r="E33" s="20"/>
      <c r="F33" s="34"/>
      <c r="G33" s="35"/>
      <c r="H33" s="10"/>
      <c r="I33" s="11"/>
      <c r="J33" s="11"/>
      <c r="K33" s="12"/>
      <c r="L33" s="11"/>
      <c r="M33" s="11"/>
      <c r="N33" s="11"/>
      <c r="O33" s="11"/>
      <c r="P33" s="13"/>
      <c r="Q33" s="18" t="str">
        <f t="shared" si="0"/>
        <v/>
      </c>
      <c r="R33" s="18" t="str">
        <f t="shared" si="1"/>
        <v/>
      </c>
      <c r="S33" s="18" t="str">
        <f t="shared" si="2"/>
        <v/>
      </c>
      <c r="T33" s="18" t="str">
        <f t="shared" si="3"/>
        <v/>
      </c>
      <c r="U33" s="18" t="str">
        <f t="shared" si="4"/>
        <v/>
      </c>
      <c r="V33" s="18" t="str">
        <f t="shared" si="5"/>
        <v/>
      </c>
      <c r="W33" s="14"/>
    </row>
    <row r="34" spans="1:23" x14ac:dyDescent="0.25">
      <c r="A34" s="6"/>
      <c r="B34" t="s">
        <v>19</v>
      </c>
      <c r="C34" s="19">
        <v>0.5</v>
      </c>
      <c r="D34" s="63">
        <f>31.95-2*0.05-1.5</f>
        <v>30.349999999999998</v>
      </c>
      <c r="E34" s="64"/>
      <c r="F34" s="19">
        <v>0.5</v>
      </c>
      <c r="G34" s="36">
        <v>0.25</v>
      </c>
      <c r="H34" s="10">
        <v>16</v>
      </c>
      <c r="I34" s="11">
        <v>1</v>
      </c>
      <c r="J34" s="13">
        <f>ROUND(3.95/G34+1,0)/2</f>
        <v>8.5</v>
      </c>
      <c r="K34" s="45">
        <f>D34</f>
        <v>30.349999999999998</v>
      </c>
      <c r="L34" s="16">
        <f>IF(O34&lt;12,"0",0.049*H34)*2</f>
        <v>1.5680000000000001</v>
      </c>
      <c r="M34" s="17">
        <v>2</v>
      </c>
      <c r="N34" s="11">
        <f>M34*2*H34/1000</f>
        <v>6.4000000000000001E-2</v>
      </c>
      <c r="O34" s="16">
        <f>(D34+C34+F34)-N34</f>
        <v>31.285999999999998</v>
      </c>
      <c r="P34" s="16">
        <f>(I34*J34*O34)+L34</f>
        <v>267.49899999999997</v>
      </c>
      <c r="Q34" s="18" t="str">
        <f t="shared" si="0"/>
        <v/>
      </c>
      <c r="R34" s="18" t="str">
        <f t="shared" si="1"/>
        <v/>
      </c>
      <c r="S34" s="18" t="str">
        <f t="shared" si="2"/>
        <v/>
      </c>
      <c r="T34" s="18">
        <f t="shared" si="3"/>
        <v>267.49899999999997</v>
      </c>
      <c r="U34" s="18" t="str">
        <f t="shared" si="4"/>
        <v/>
      </c>
      <c r="V34" s="18" t="str">
        <f t="shared" si="5"/>
        <v/>
      </c>
      <c r="W34" s="14"/>
    </row>
    <row r="35" spans="1:23" x14ac:dyDescent="0.25">
      <c r="A35" s="6"/>
      <c r="B35" s="22"/>
      <c r="C35" s="8"/>
      <c r="D35" s="20"/>
      <c r="E35" s="21"/>
      <c r="F35" s="34"/>
      <c r="G35" s="35"/>
      <c r="H35" s="10"/>
      <c r="I35" s="11"/>
      <c r="J35" s="11"/>
      <c r="K35" s="12"/>
      <c r="L35" s="11"/>
      <c r="M35" s="11"/>
      <c r="N35" s="11"/>
      <c r="O35" s="11"/>
      <c r="P35" s="13"/>
      <c r="Q35" s="18" t="str">
        <f t="shared" si="0"/>
        <v/>
      </c>
      <c r="R35" s="18" t="str">
        <f t="shared" si="1"/>
        <v/>
      </c>
      <c r="S35" s="18" t="str">
        <f t="shared" si="2"/>
        <v/>
      </c>
      <c r="T35" s="18" t="str">
        <f t="shared" si="3"/>
        <v/>
      </c>
      <c r="U35" s="18" t="str">
        <f t="shared" si="4"/>
        <v/>
      </c>
      <c r="V35" s="18" t="str">
        <f t="shared" si="5"/>
        <v/>
      </c>
      <c r="W35" s="14"/>
    </row>
    <row r="36" spans="1:23" x14ac:dyDescent="0.25">
      <c r="A36" s="6">
        <v>6</v>
      </c>
      <c r="B36" s="7" t="s">
        <v>119</v>
      </c>
      <c r="C36" s="8"/>
      <c r="D36" s="20"/>
      <c r="E36" s="20"/>
      <c r="F36" s="34"/>
      <c r="G36" s="35"/>
      <c r="H36" s="10"/>
      <c r="I36" s="11"/>
      <c r="J36" s="11"/>
      <c r="K36" s="12"/>
      <c r="L36" s="11"/>
      <c r="M36" s="11"/>
      <c r="N36" s="11"/>
      <c r="O36" s="11"/>
      <c r="P36" s="13"/>
      <c r="Q36" s="18" t="str">
        <f t="shared" si="0"/>
        <v/>
      </c>
      <c r="R36" s="18" t="str">
        <f t="shared" si="1"/>
        <v/>
      </c>
      <c r="S36" s="18" t="str">
        <f t="shared" si="2"/>
        <v/>
      </c>
      <c r="T36" s="18" t="str">
        <f t="shared" si="3"/>
        <v/>
      </c>
      <c r="U36" s="18" t="str">
        <f t="shared" si="4"/>
        <v/>
      </c>
      <c r="V36" s="18" t="str">
        <f t="shared" si="5"/>
        <v/>
      </c>
      <c r="W36" s="14"/>
    </row>
    <row r="37" spans="1:23" x14ac:dyDescent="0.25">
      <c r="A37" s="6"/>
      <c r="B37" t="s">
        <v>19</v>
      </c>
      <c r="C37" s="19">
        <v>0.5</v>
      </c>
      <c r="D37" s="63">
        <f>31.95-2*0.05-1.5-0.815</f>
        <v>29.534999999999997</v>
      </c>
      <c r="E37" s="64"/>
      <c r="F37" s="19">
        <v>0.5</v>
      </c>
      <c r="G37" s="36">
        <v>0.25</v>
      </c>
      <c r="H37" s="10">
        <v>16</v>
      </c>
      <c r="I37" s="11">
        <v>1</v>
      </c>
      <c r="J37" s="13">
        <f>ROUND(1.695/G37+1,0)/2</f>
        <v>4</v>
      </c>
      <c r="K37" s="45">
        <f>D37</f>
        <v>29.534999999999997</v>
      </c>
      <c r="L37" s="16">
        <f>IF(O37&lt;12,"0",0.049*H37)*3</f>
        <v>2.3520000000000003</v>
      </c>
      <c r="M37" s="17">
        <v>2</v>
      </c>
      <c r="N37" s="11">
        <f>M37*2*H37/1000</f>
        <v>6.4000000000000001E-2</v>
      </c>
      <c r="O37" s="16">
        <f>(D37+C37+F37)-N37</f>
        <v>30.470999999999997</v>
      </c>
      <c r="P37" s="16">
        <f>(I37*J37*O37)+L37</f>
        <v>124.23599999999999</v>
      </c>
      <c r="Q37" s="18" t="str">
        <f t="shared" si="0"/>
        <v/>
      </c>
      <c r="R37" s="18" t="str">
        <f t="shared" si="1"/>
        <v/>
      </c>
      <c r="S37" s="18" t="str">
        <f t="shared" si="2"/>
        <v/>
      </c>
      <c r="T37" s="18">
        <f t="shared" si="3"/>
        <v>124.23599999999999</v>
      </c>
      <c r="U37" s="18" t="str">
        <f t="shared" si="4"/>
        <v/>
      </c>
      <c r="V37" s="18" t="str">
        <f t="shared" si="5"/>
        <v/>
      </c>
      <c r="W37" s="14"/>
    </row>
    <row r="38" spans="1:23" x14ac:dyDescent="0.25">
      <c r="A38" s="6"/>
      <c r="B38" s="22"/>
      <c r="C38" s="8"/>
      <c r="D38" s="20"/>
      <c r="E38" s="21"/>
      <c r="F38" s="34"/>
      <c r="G38" s="35"/>
      <c r="H38" s="10"/>
      <c r="I38" s="11"/>
      <c r="J38" s="11"/>
      <c r="K38" s="12"/>
      <c r="L38" s="11"/>
      <c r="M38" s="11"/>
      <c r="N38" s="11"/>
      <c r="O38" s="11"/>
      <c r="P38" s="13"/>
      <c r="Q38" s="18" t="str">
        <f t="shared" si="0"/>
        <v/>
      </c>
      <c r="R38" s="18" t="str">
        <f t="shared" si="1"/>
        <v/>
      </c>
      <c r="S38" s="18" t="str">
        <f t="shared" si="2"/>
        <v/>
      </c>
      <c r="T38" s="18" t="str">
        <f t="shared" si="3"/>
        <v/>
      </c>
      <c r="U38" s="18" t="str">
        <f t="shared" si="4"/>
        <v/>
      </c>
      <c r="V38" s="18" t="str">
        <f t="shared" si="5"/>
        <v/>
      </c>
      <c r="W38" s="14"/>
    </row>
    <row r="39" spans="1:23" x14ac:dyDescent="0.25">
      <c r="A39" s="6">
        <v>6</v>
      </c>
      <c r="B39" s="7" t="s">
        <v>119</v>
      </c>
      <c r="C39" s="8"/>
      <c r="D39" s="20"/>
      <c r="E39" s="20"/>
      <c r="F39" s="34"/>
      <c r="G39" s="35"/>
      <c r="H39" s="10"/>
      <c r="I39" s="11"/>
      <c r="J39" s="11"/>
      <c r="K39" s="12"/>
      <c r="L39" s="11"/>
      <c r="M39" s="11"/>
      <c r="N39" s="11"/>
      <c r="O39" s="11"/>
      <c r="P39" s="13"/>
      <c r="Q39" s="18" t="str">
        <f t="shared" si="0"/>
        <v/>
      </c>
      <c r="R39" s="18" t="str">
        <f t="shared" si="1"/>
        <v/>
      </c>
      <c r="S39" s="18" t="str">
        <f t="shared" si="2"/>
        <v/>
      </c>
      <c r="T39" s="18" t="str">
        <f t="shared" si="3"/>
        <v/>
      </c>
      <c r="U39" s="18" t="str">
        <f t="shared" si="4"/>
        <v/>
      </c>
      <c r="V39" s="18" t="str">
        <f t="shared" si="5"/>
        <v/>
      </c>
      <c r="W39" s="14"/>
    </row>
    <row r="40" spans="1:23" x14ac:dyDescent="0.25">
      <c r="A40" s="6"/>
      <c r="B40" t="s">
        <v>19</v>
      </c>
      <c r="C40" s="19">
        <v>0.5</v>
      </c>
      <c r="D40" s="63">
        <f>31.95-2*0.05-1.5-0.815</f>
        <v>29.534999999999997</v>
      </c>
      <c r="E40" s="64"/>
      <c r="F40" s="19">
        <v>0.5</v>
      </c>
      <c r="G40" s="36">
        <v>0.25</v>
      </c>
      <c r="H40" s="10">
        <v>16</v>
      </c>
      <c r="I40" s="11">
        <v>1</v>
      </c>
      <c r="J40" s="13">
        <f>ROUND(1.695/G40+1,0)/2</f>
        <v>4</v>
      </c>
      <c r="K40" s="45">
        <f>D40</f>
        <v>29.534999999999997</v>
      </c>
      <c r="L40" s="16">
        <f>IF(O40&lt;12,"0",0.049*H40)*2</f>
        <v>1.5680000000000001</v>
      </c>
      <c r="M40" s="17">
        <v>2</v>
      </c>
      <c r="N40" s="11">
        <f>M40*2*H40/1000</f>
        <v>6.4000000000000001E-2</v>
      </c>
      <c r="O40" s="16">
        <f>(D40+C40+F40)-N40</f>
        <v>30.470999999999997</v>
      </c>
      <c r="P40" s="16">
        <f>(I40*J40*O40)+L40</f>
        <v>123.45199999999998</v>
      </c>
      <c r="Q40" s="18" t="str">
        <f t="shared" si="0"/>
        <v/>
      </c>
      <c r="R40" s="18" t="str">
        <f t="shared" si="1"/>
        <v/>
      </c>
      <c r="S40" s="18" t="str">
        <f t="shared" si="2"/>
        <v/>
      </c>
      <c r="T40" s="18">
        <f t="shared" si="3"/>
        <v>123.45199999999998</v>
      </c>
      <c r="U40" s="18" t="str">
        <f t="shared" si="4"/>
        <v/>
      </c>
      <c r="V40" s="18" t="str">
        <f t="shared" si="5"/>
        <v/>
      </c>
      <c r="W40" s="14"/>
    </row>
    <row r="41" spans="1:23" x14ac:dyDescent="0.25">
      <c r="A41" s="6"/>
      <c r="B41" s="22"/>
      <c r="C41" s="8"/>
      <c r="D41" s="20"/>
      <c r="E41" s="21"/>
      <c r="F41" s="34"/>
      <c r="G41" s="35"/>
      <c r="H41" s="10"/>
      <c r="I41" s="11"/>
      <c r="J41" s="11"/>
      <c r="K41" s="12"/>
      <c r="L41" s="11"/>
      <c r="M41" s="11"/>
      <c r="N41" s="11"/>
      <c r="O41" s="11"/>
      <c r="P41" s="13"/>
      <c r="Q41" s="18" t="str">
        <f t="shared" si="0"/>
        <v/>
      </c>
      <c r="R41" s="18" t="str">
        <f t="shared" si="1"/>
        <v/>
      </c>
      <c r="S41" s="18" t="str">
        <f t="shared" si="2"/>
        <v/>
      </c>
      <c r="T41" s="18" t="str">
        <f t="shared" si="3"/>
        <v/>
      </c>
      <c r="U41" s="18" t="str">
        <f t="shared" si="4"/>
        <v/>
      </c>
      <c r="V41" s="18" t="str">
        <f t="shared" si="5"/>
        <v/>
      </c>
      <c r="W41" s="14"/>
    </row>
    <row r="42" spans="1:23" x14ac:dyDescent="0.25">
      <c r="A42" s="6">
        <v>7</v>
      </c>
      <c r="B42" s="7" t="s">
        <v>120</v>
      </c>
      <c r="C42" s="8"/>
      <c r="D42" s="20"/>
      <c r="E42" s="20"/>
      <c r="F42" s="34"/>
      <c r="G42" s="35"/>
      <c r="H42" s="10"/>
      <c r="I42" s="11"/>
      <c r="J42" s="11"/>
      <c r="K42" s="12"/>
      <c r="L42" s="11"/>
      <c r="M42" s="11"/>
      <c r="N42" s="11"/>
      <c r="O42" s="11"/>
      <c r="P42" s="13"/>
      <c r="Q42" s="18" t="str">
        <f t="shared" si="0"/>
        <v/>
      </c>
      <c r="R42" s="18" t="str">
        <f t="shared" si="1"/>
        <v/>
      </c>
      <c r="S42" s="18" t="str">
        <f t="shared" si="2"/>
        <v/>
      </c>
      <c r="T42" s="18" t="str">
        <f t="shared" si="3"/>
        <v/>
      </c>
      <c r="U42" s="18" t="str">
        <f t="shared" si="4"/>
        <v/>
      </c>
      <c r="V42" s="18" t="str">
        <f t="shared" si="5"/>
        <v/>
      </c>
      <c r="W42" s="14"/>
    </row>
    <row r="43" spans="1:23" x14ac:dyDescent="0.25">
      <c r="A43" s="6"/>
      <c r="B43" t="s">
        <v>19</v>
      </c>
      <c r="C43" s="19">
        <v>0.5</v>
      </c>
      <c r="D43" s="63">
        <f>15.8-2*0.05</f>
        <v>15.700000000000001</v>
      </c>
      <c r="E43" s="64"/>
      <c r="F43" s="19">
        <v>0.5</v>
      </c>
      <c r="G43" s="36">
        <v>0.25</v>
      </c>
      <c r="H43" s="10">
        <v>16</v>
      </c>
      <c r="I43" s="11">
        <v>1</v>
      </c>
      <c r="J43" s="13">
        <f>ROUND(11.285/G43+1,0)</f>
        <v>46</v>
      </c>
      <c r="K43" s="45">
        <f>D43</f>
        <v>15.700000000000001</v>
      </c>
      <c r="L43" s="16">
        <f>IF(O43&lt;12,"0",0.049*H43)</f>
        <v>0.78400000000000003</v>
      </c>
      <c r="M43" s="17">
        <v>2</v>
      </c>
      <c r="N43" s="11">
        <f>M43*2*H43/1000</f>
        <v>6.4000000000000001E-2</v>
      </c>
      <c r="O43" s="16">
        <f>(D43+C43+F43)-N43</f>
        <v>16.636000000000003</v>
      </c>
      <c r="P43" s="16">
        <f>(I43*J43*O43)+L43</f>
        <v>766.04000000000008</v>
      </c>
      <c r="Q43" s="18" t="str">
        <f t="shared" si="0"/>
        <v/>
      </c>
      <c r="R43" s="18" t="str">
        <f t="shared" si="1"/>
        <v/>
      </c>
      <c r="S43" s="18" t="str">
        <f t="shared" si="2"/>
        <v/>
      </c>
      <c r="T43" s="18">
        <f t="shared" si="3"/>
        <v>766.04000000000008</v>
      </c>
      <c r="U43" s="18" t="str">
        <f t="shared" si="4"/>
        <v/>
      </c>
      <c r="V43" s="18" t="str">
        <f t="shared" si="5"/>
        <v/>
      </c>
      <c r="W43" s="14"/>
    </row>
    <row r="44" spans="1:23" x14ac:dyDescent="0.25">
      <c r="A44" s="6"/>
      <c r="B44" s="22"/>
      <c r="C44" s="8"/>
      <c r="D44" s="20"/>
      <c r="E44" s="21"/>
      <c r="F44" s="34"/>
      <c r="G44" s="35"/>
      <c r="H44" s="10"/>
      <c r="I44" s="11"/>
      <c r="J44" s="11"/>
      <c r="K44" s="12"/>
      <c r="L44" s="11"/>
      <c r="M44" s="11"/>
      <c r="N44" s="11"/>
      <c r="O44" s="11"/>
      <c r="P44" s="13"/>
      <c r="Q44" s="18" t="str">
        <f t="shared" si="0"/>
        <v/>
      </c>
      <c r="R44" s="18" t="str">
        <f t="shared" si="1"/>
        <v/>
      </c>
      <c r="S44" s="18" t="str">
        <f t="shared" si="2"/>
        <v/>
      </c>
      <c r="T44" s="18" t="str">
        <f t="shared" si="3"/>
        <v/>
      </c>
      <c r="U44" s="18" t="str">
        <f t="shared" si="4"/>
        <v/>
      </c>
      <c r="V44" s="18" t="str">
        <f t="shared" si="5"/>
        <v/>
      </c>
      <c r="W44" s="14"/>
    </row>
    <row r="45" spans="1:23" x14ac:dyDescent="0.25">
      <c r="A45" s="6"/>
      <c r="B45" s="22"/>
      <c r="C45" s="8"/>
      <c r="D45" s="20"/>
      <c r="E45" s="21"/>
      <c r="F45" s="34"/>
      <c r="G45" s="35"/>
      <c r="H45" s="10"/>
      <c r="I45" s="11"/>
      <c r="J45" s="11"/>
      <c r="K45" s="12"/>
      <c r="L45" s="11"/>
      <c r="M45" s="11"/>
      <c r="N45" s="11"/>
      <c r="O45" s="11"/>
      <c r="P45" s="13"/>
      <c r="Q45" s="18" t="str">
        <f t="shared" si="0"/>
        <v/>
      </c>
      <c r="R45" s="18" t="str">
        <f t="shared" si="1"/>
        <v/>
      </c>
      <c r="S45" s="18" t="str">
        <f t="shared" si="2"/>
        <v/>
      </c>
      <c r="T45" s="18" t="str">
        <f t="shared" si="3"/>
        <v/>
      </c>
      <c r="U45" s="18" t="str">
        <f t="shared" si="4"/>
        <v/>
      </c>
      <c r="V45" s="18" t="str">
        <f t="shared" si="5"/>
        <v/>
      </c>
      <c r="W45" s="14"/>
    </row>
    <row r="46" spans="1:23" x14ac:dyDescent="0.25">
      <c r="A46" s="6"/>
      <c r="B46" s="42" t="s">
        <v>23</v>
      </c>
      <c r="C46" s="8"/>
      <c r="D46" s="20"/>
      <c r="E46" s="20"/>
      <c r="F46" s="34"/>
      <c r="G46" s="35"/>
      <c r="H46" s="10"/>
      <c r="I46" s="11"/>
      <c r="J46" s="11"/>
      <c r="K46" s="12"/>
      <c r="L46" s="11"/>
      <c r="M46" s="11"/>
      <c r="N46" s="11"/>
      <c r="O46" s="11"/>
      <c r="P46" s="13"/>
      <c r="Q46" s="18" t="str">
        <f t="shared" si="0"/>
        <v/>
      </c>
      <c r="R46" s="18" t="str">
        <f t="shared" si="1"/>
        <v/>
      </c>
      <c r="S46" s="18" t="str">
        <f t="shared" si="2"/>
        <v/>
      </c>
      <c r="T46" s="18" t="str">
        <f t="shared" si="3"/>
        <v/>
      </c>
      <c r="U46" s="18" t="str">
        <f t="shared" si="4"/>
        <v/>
      </c>
      <c r="V46" s="18" t="str">
        <f t="shared" si="5"/>
        <v/>
      </c>
      <c r="W46" s="14"/>
    </row>
    <row r="47" spans="1:23" x14ac:dyDescent="0.25">
      <c r="A47" s="6">
        <v>1</v>
      </c>
      <c r="B47" s="40" t="s">
        <v>121</v>
      </c>
      <c r="C47" s="8"/>
      <c r="D47" s="20"/>
      <c r="E47" s="20"/>
      <c r="F47" s="34"/>
      <c r="G47" s="35"/>
      <c r="H47" s="10"/>
      <c r="I47" s="11"/>
      <c r="J47" s="11"/>
      <c r="K47" s="12"/>
      <c r="L47" s="11"/>
      <c r="M47" s="11"/>
      <c r="N47" s="11"/>
      <c r="O47" s="11"/>
      <c r="P47" s="13"/>
      <c r="Q47" s="18" t="str">
        <f t="shared" si="0"/>
        <v/>
      </c>
      <c r="R47" s="18" t="str">
        <f t="shared" si="1"/>
        <v/>
      </c>
      <c r="S47" s="18" t="str">
        <f t="shared" si="2"/>
        <v/>
      </c>
      <c r="T47" s="18" t="str">
        <f t="shared" si="3"/>
        <v/>
      </c>
      <c r="U47" s="18" t="str">
        <f t="shared" si="4"/>
        <v/>
      </c>
      <c r="V47" s="18" t="str">
        <f t="shared" si="5"/>
        <v/>
      </c>
      <c r="W47" s="14"/>
    </row>
    <row r="48" spans="1:23" x14ac:dyDescent="0.25">
      <c r="A48" s="6"/>
      <c r="B48" s="60" t="s">
        <v>29</v>
      </c>
      <c r="C48" s="19">
        <v>0.5</v>
      </c>
      <c r="D48" s="63">
        <f>8.875-2*0.05</f>
        <v>8.7750000000000004</v>
      </c>
      <c r="E48" s="64"/>
      <c r="F48" s="19">
        <v>0.5</v>
      </c>
      <c r="G48" s="36">
        <v>0.25</v>
      </c>
      <c r="H48" s="10">
        <v>16</v>
      </c>
      <c r="I48" s="11">
        <v>1</v>
      </c>
      <c r="J48" s="13">
        <f>ROUND(1.5/G48+1,0)</f>
        <v>7</v>
      </c>
      <c r="K48" s="45">
        <f>D48</f>
        <v>8.7750000000000004</v>
      </c>
      <c r="L48" s="37" t="str">
        <f>IF(O48&lt;12,"0",0.049*H48)</f>
        <v>0</v>
      </c>
      <c r="M48" s="17">
        <v>2</v>
      </c>
      <c r="N48" s="11">
        <f>M48*2*H48/1000</f>
        <v>6.4000000000000001E-2</v>
      </c>
      <c r="O48" s="16">
        <f>(D48+C48+F48)-N48</f>
        <v>9.7110000000000003</v>
      </c>
      <c r="P48" s="16">
        <f>(I48*J48*O48)+L48</f>
        <v>67.977000000000004</v>
      </c>
      <c r="Q48" s="18" t="str">
        <f t="shared" si="0"/>
        <v/>
      </c>
      <c r="R48" s="18" t="str">
        <f t="shared" si="1"/>
        <v/>
      </c>
      <c r="S48" s="18" t="str">
        <f t="shared" si="2"/>
        <v/>
      </c>
      <c r="T48" s="18">
        <f t="shared" si="3"/>
        <v>67.977000000000004</v>
      </c>
      <c r="U48" s="18" t="str">
        <f t="shared" si="4"/>
        <v/>
      </c>
      <c r="V48" s="18" t="str">
        <f t="shared" si="5"/>
        <v/>
      </c>
      <c r="W48" s="14"/>
    </row>
    <row r="49" spans="1:23" x14ac:dyDescent="0.25">
      <c r="A49" s="6"/>
      <c r="B49" s="40"/>
      <c r="C49" s="8"/>
      <c r="D49" s="20"/>
      <c r="E49" s="20"/>
      <c r="F49" s="34"/>
      <c r="G49" s="35"/>
      <c r="H49" s="10"/>
      <c r="I49" s="11"/>
      <c r="J49" s="11"/>
      <c r="K49" s="12"/>
      <c r="L49" s="11"/>
      <c r="M49" s="11"/>
      <c r="N49" s="11"/>
      <c r="O49" s="11"/>
      <c r="P49" s="13"/>
      <c r="Q49" s="18" t="str">
        <f t="shared" si="0"/>
        <v/>
      </c>
      <c r="R49" s="18" t="str">
        <f t="shared" si="1"/>
        <v/>
      </c>
      <c r="S49" s="18" t="str">
        <f t="shared" si="2"/>
        <v/>
      </c>
      <c r="T49" s="18" t="str">
        <f t="shared" si="3"/>
        <v/>
      </c>
      <c r="U49" s="18" t="str">
        <f t="shared" si="4"/>
        <v/>
      </c>
      <c r="V49" s="18" t="str">
        <f t="shared" si="5"/>
        <v/>
      </c>
      <c r="W49" s="14"/>
    </row>
    <row r="50" spans="1:23" x14ac:dyDescent="0.25">
      <c r="A50" s="6">
        <v>2</v>
      </c>
      <c r="B50" s="40" t="s">
        <v>122</v>
      </c>
      <c r="C50" s="8"/>
      <c r="D50" s="20"/>
      <c r="E50" s="20"/>
      <c r="F50" s="34"/>
      <c r="G50" s="35"/>
      <c r="H50" s="10"/>
      <c r="I50" s="11"/>
      <c r="J50" s="11"/>
      <c r="K50" s="12"/>
      <c r="L50" s="11"/>
      <c r="M50" s="11"/>
      <c r="N50" s="11"/>
      <c r="O50" s="11"/>
      <c r="P50" s="13"/>
      <c r="Q50" s="18" t="str">
        <f t="shared" si="0"/>
        <v/>
      </c>
      <c r="R50" s="18" t="str">
        <f t="shared" si="1"/>
        <v/>
      </c>
      <c r="S50" s="18" t="str">
        <f t="shared" si="2"/>
        <v/>
      </c>
      <c r="T50" s="18" t="str">
        <f t="shared" si="3"/>
        <v/>
      </c>
      <c r="U50" s="18" t="str">
        <f t="shared" si="4"/>
        <v/>
      </c>
      <c r="V50" s="18" t="str">
        <f t="shared" si="5"/>
        <v/>
      </c>
      <c r="W50" s="14"/>
    </row>
    <row r="51" spans="1:23" x14ac:dyDescent="0.25">
      <c r="A51" s="6"/>
      <c r="B51" s="60" t="s">
        <v>29</v>
      </c>
      <c r="C51" s="19">
        <v>0.5</v>
      </c>
      <c r="D51" s="63">
        <f>12.825-2*0.05</f>
        <v>12.725</v>
      </c>
      <c r="E51" s="64"/>
      <c r="F51" s="19">
        <v>0.5</v>
      </c>
      <c r="G51" s="36">
        <v>0.25</v>
      </c>
      <c r="H51" s="10">
        <v>16</v>
      </c>
      <c r="I51" s="11">
        <v>1</v>
      </c>
      <c r="J51" s="13">
        <f>ROUND(0.815/G51+1,0)</f>
        <v>4</v>
      </c>
      <c r="K51" s="45">
        <f>D51</f>
        <v>12.725</v>
      </c>
      <c r="L51" s="37">
        <f>IF(O51&lt;12,"0",0.049*H51)</f>
        <v>0.78400000000000003</v>
      </c>
      <c r="M51" s="17">
        <v>2</v>
      </c>
      <c r="N51" s="11">
        <f>M51*2*H51/1000</f>
        <v>6.4000000000000001E-2</v>
      </c>
      <c r="O51" s="16">
        <f>(D51+C51+F51)-N51</f>
        <v>13.661</v>
      </c>
      <c r="P51" s="16">
        <f>(I51*J51*O51)+L51</f>
        <v>55.427999999999997</v>
      </c>
      <c r="Q51" s="18" t="str">
        <f t="shared" si="0"/>
        <v/>
      </c>
      <c r="R51" s="18" t="str">
        <f t="shared" si="1"/>
        <v/>
      </c>
      <c r="S51" s="18" t="str">
        <f t="shared" si="2"/>
        <v/>
      </c>
      <c r="T51" s="18">
        <f t="shared" si="3"/>
        <v>55.427999999999997</v>
      </c>
      <c r="U51" s="18" t="str">
        <f t="shared" si="4"/>
        <v/>
      </c>
      <c r="V51" s="18" t="str">
        <f t="shared" si="5"/>
        <v/>
      </c>
      <c r="W51" s="14"/>
    </row>
    <row r="52" spans="1:23" x14ac:dyDescent="0.25">
      <c r="A52" s="6"/>
      <c r="B52" s="60"/>
      <c r="C52" s="19"/>
      <c r="D52" s="56"/>
      <c r="E52" s="56"/>
      <c r="F52" s="41"/>
      <c r="G52" s="36"/>
      <c r="H52" s="10"/>
      <c r="I52" s="11"/>
      <c r="J52" s="13"/>
      <c r="K52" s="45"/>
      <c r="L52" s="37"/>
      <c r="M52" s="17"/>
      <c r="N52" s="11"/>
      <c r="O52" s="16"/>
      <c r="P52" s="16"/>
      <c r="Q52" s="18" t="str">
        <f t="shared" si="0"/>
        <v/>
      </c>
      <c r="R52" s="18" t="str">
        <f t="shared" si="1"/>
        <v/>
      </c>
      <c r="S52" s="18" t="str">
        <f t="shared" si="2"/>
        <v/>
      </c>
      <c r="T52" s="18" t="str">
        <f t="shared" si="3"/>
        <v/>
      </c>
      <c r="U52" s="18" t="str">
        <f t="shared" si="4"/>
        <v/>
      </c>
      <c r="V52" s="18" t="str">
        <f t="shared" si="5"/>
        <v/>
      </c>
      <c r="W52" s="14"/>
    </row>
    <row r="53" spans="1:23" x14ac:dyDescent="0.25">
      <c r="A53" s="6">
        <v>3</v>
      </c>
      <c r="B53" s="40" t="s">
        <v>123</v>
      </c>
      <c r="C53" s="8"/>
      <c r="D53" s="20"/>
      <c r="E53" s="20"/>
      <c r="F53" s="34"/>
      <c r="G53" s="35"/>
      <c r="H53" s="10"/>
      <c r="I53" s="11"/>
      <c r="J53" s="11"/>
      <c r="K53" s="12"/>
      <c r="L53" s="11"/>
      <c r="M53" s="11"/>
      <c r="N53" s="11"/>
      <c r="O53" s="11"/>
      <c r="P53" s="13"/>
      <c r="Q53" s="18" t="str">
        <f t="shared" si="0"/>
        <v/>
      </c>
      <c r="R53" s="18" t="str">
        <f t="shared" si="1"/>
        <v/>
      </c>
      <c r="S53" s="18" t="str">
        <f t="shared" si="2"/>
        <v/>
      </c>
      <c r="T53" s="18" t="str">
        <f t="shared" si="3"/>
        <v/>
      </c>
      <c r="U53" s="18" t="str">
        <f t="shared" si="4"/>
        <v/>
      </c>
      <c r="V53" s="18" t="str">
        <f t="shared" si="5"/>
        <v/>
      </c>
      <c r="W53" s="14"/>
    </row>
    <row r="54" spans="1:23" x14ac:dyDescent="0.25">
      <c r="A54" s="6"/>
      <c r="B54" s="60" t="s">
        <v>29</v>
      </c>
      <c r="C54" s="19">
        <v>0.5</v>
      </c>
      <c r="D54" s="63">
        <f>14.52-2*0.05</f>
        <v>14.42</v>
      </c>
      <c r="E54" s="64"/>
      <c r="F54" s="19">
        <v>0.5</v>
      </c>
      <c r="G54" s="36">
        <v>0.25</v>
      </c>
      <c r="H54" s="10">
        <v>16</v>
      </c>
      <c r="I54" s="11">
        <v>1</v>
      </c>
      <c r="J54" s="13">
        <f>ROUND(1.405/G54+1,0)</f>
        <v>7</v>
      </c>
      <c r="K54" s="45">
        <f>D54</f>
        <v>14.42</v>
      </c>
      <c r="L54" s="37">
        <f>IF(O54&lt;12,"0",0.049*H54)</f>
        <v>0.78400000000000003</v>
      </c>
      <c r="M54" s="17">
        <v>2</v>
      </c>
      <c r="N54" s="11">
        <f>M54*2*H54/1000</f>
        <v>6.4000000000000001E-2</v>
      </c>
      <c r="O54" s="16">
        <f>(D54+C54+F54)-N54</f>
        <v>15.356</v>
      </c>
      <c r="P54" s="16">
        <f>(I54*J54*O54)+L54</f>
        <v>108.27600000000001</v>
      </c>
      <c r="Q54" s="18" t="str">
        <f t="shared" si="0"/>
        <v/>
      </c>
      <c r="R54" s="18" t="str">
        <f t="shared" si="1"/>
        <v/>
      </c>
      <c r="S54" s="18" t="str">
        <f t="shared" si="2"/>
        <v/>
      </c>
      <c r="T54" s="18">
        <f t="shared" si="3"/>
        <v>108.27600000000001</v>
      </c>
      <c r="U54" s="18" t="str">
        <f t="shared" si="4"/>
        <v/>
      </c>
      <c r="V54" s="18" t="str">
        <f t="shared" si="5"/>
        <v/>
      </c>
      <c r="W54" s="14"/>
    </row>
    <row r="55" spans="1:23" x14ac:dyDescent="0.25">
      <c r="A55" s="6"/>
      <c r="B55" s="40"/>
      <c r="C55" s="8"/>
      <c r="D55" s="20"/>
      <c r="E55" s="20"/>
      <c r="F55" s="34"/>
      <c r="G55" s="35"/>
      <c r="H55" s="10"/>
      <c r="I55" s="11"/>
      <c r="J55" s="11"/>
      <c r="K55" s="12"/>
      <c r="L55" s="11"/>
      <c r="M55" s="11"/>
      <c r="N55" s="11"/>
      <c r="O55" s="11"/>
      <c r="P55" s="13"/>
      <c r="Q55" s="18" t="str">
        <f t="shared" si="0"/>
        <v/>
      </c>
      <c r="R55" s="18" t="str">
        <f t="shared" si="1"/>
        <v/>
      </c>
      <c r="S55" s="18" t="str">
        <f t="shared" si="2"/>
        <v/>
      </c>
      <c r="T55" s="18" t="str">
        <f t="shared" si="3"/>
        <v/>
      </c>
      <c r="U55" s="18" t="str">
        <f t="shared" si="4"/>
        <v/>
      </c>
      <c r="V55" s="18" t="str">
        <f t="shared" si="5"/>
        <v/>
      </c>
      <c r="W55" s="14"/>
    </row>
    <row r="56" spans="1:23" x14ac:dyDescent="0.25">
      <c r="A56" s="6">
        <v>4</v>
      </c>
      <c r="B56" s="40" t="s">
        <v>124</v>
      </c>
      <c r="C56" s="8"/>
      <c r="D56" s="20"/>
      <c r="E56" s="20"/>
      <c r="F56" s="34"/>
      <c r="G56" s="35"/>
      <c r="H56" s="10"/>
      <c r="I56" s="11"/>
      <c r="J56" s="11"/>
      <c r="K56" s="12"/>
      <c r="L56" s="11"/>
      <c r="M56" s="11"/>
      <c r="N56" s="11"/>
      <c r="O56" s="11"/>
      <c r="P56" s="13"/>
      <c r="Q56" s="18" t="str">
        <f t="shared" si="0"/>
        <v/>
      </c>
      <c r="R56" s="18" t="str">
        <f t="shared" si="1"/>
        <v/>
      </c>
      <c r="S56" s="18" t="str">
        <f t="shared" si="2"/>
        <v/>
      </c>
      <c r="T56" s="18" t="str">
        <f t="shared" si="3"/>
        <v/>
      </c>
      <c r="U56" s="18" t="str">
        <f t="shared" si="4"/>
        <v/>
      </c>
      <c r="V56" s="18" t="str">
        <f t="shared" si="5"/>
        <v/>
      </c>
      <c r="W56" s="14"/>
    </row>
    <row r="57" spans="1:23" x14ac:dyDescent="0.25">
      <c r="A57" s="6"/>
      <c r="B57" s="60" t="s">
        <v>29</v>
      </c>
      <c r="C57" s="19"/>
      <c r="D57" s="63">
        <f>25.805-1*0.05</f>
        <v>25.754999999999999</v>
      </c>
      <c r="E57" s="63"/>
      <c r="F57" s="41">
        <v>0.5</v>
      </c>
      <c r="G57" s="36">
        <v>0.25</v>
      </c>
      <c r="H57" s="10">
        <v>16</v>
      </c>
      <c r="I57" s="11">
        <v>1</v>
      </c>
      <c r="J57" s="13">
        <f>ROUND(6.565/G57+1,0)</f>
        <v>27</v>
      </c>
      <c r="K57" s="45">
        <f>D57</f>
        <v>25.754999999999999</v>
      </c>
      <c r="L57" s="37">
        <f>IF(O57&lt;12,"0",0.049*H57)*2</f>
        <v>1.5680000000000001</v>
      </c>
      <c r="M57" s="17">
        <v>1</v>
      </c>
      <c r="N57" s="11">
        <f>M57*1*H57/1000</f>
        <v>1.6E-2</v>
      </c>
      <c r="O57" s="16">
        <f>(D57+C57+F57)-N57</f>
        <v>26.239000000000001</v>
      </c>
      <c r="P57" s="16">
        <f>(I57*J57*O57)+L57</f>
        <v>710.02099999999996</v>
      </c>
      <c r="Q57" s="18" t="str">
        <f t="shared" si="0"/>
        <v/>
      </c>
      <c r="R57" s="18" t="str">
        <f t="shared" si="1"/>
        <v/>
      </c>
      <c r="S57" s="18" t="str">
        <f t="shared" si="2"/>
        <v/>
      </c>
      <c r="T57" s="18">
        <f t="shared" si="3"/>
        <v>710.02099999999996</v>
      </c>
      <c r="U57" s="18" t="str">
        <f t="shared" si="4"/>
        <v/>
      </c>
      <c r="V57" s="18" t="str">
        <f t="shared" si="5"/>
        <v/>
      </c>
      <c r="W57" s="14"/>
    </row>
    <row r="58" spans="1:23" x14ac:dyDescent="0.25">
      <c r="A58" s="6"/>
      <c r="B58" s="40"/>
      <c r="C58" s="8"/>
      <c r="D58" s="20"/>
      <c r="E58" s="20"/>
      <c r="F58" s="34"/>
      <c r="G58" s="35"/>
      <c r="H58" s="10"/>
      <c r="I58" s="11"/>
      <c r="J58" s="11"/>
      <c r="K58" s="12"/>
      <c r="L58" s="11"/>
      <c r="M58" s="11"/>
      <c r="N58" s="11"/>
      <c r="O58" s="11"/>
      <c r="P58" s="13"/>
      <c r="Q58" s="18" t="str">
        <f t="shared" si="0"/>
        <v/>
      </c>
      <c r="R58" s="18" t="str">
        <f t="shared" si="1"/>
        <v/>
      </c>
      <c r="S58" s="18" t="str">
        <f t="shared" si="2"/>
        <v/>
      </c>
      <c r="T58" s="18" t="str">
        <f t="shared" si="3"/>
        <v/>
      </c>
      <c r="U58" s="18" t="str">
        <f t="shared" si="4"/>
        <v/>
      </c>
      <c r="V58" s="18" t="str">
        <f t="shared" si="5"/>
        <v/>
      </c>
      <c r="W58" s="14"/>
    </row>
    <row r="59" spans="1:23" x14ac:dyDescent="0.25">
      <c r="A59" s="6">
        <v>5</v>
      </c>
      <c r="B59" s="40" t="s">
        <v>125</v>
      </c>
      <c r="C59" s="8"/>
      <c r="D59" s="20"/>
      <c r="E59" s="20"/>
      <c r="F59" s="34"/>
      <c r="G59" s="35"/>
      <c r="H59" s="10"/>
      <c r="I59" s="11"/>
      <c r="J59" s="11"/>
      <c r="K59" s="12"/>
      <c r="L59" s="11"/>
      <c r="M59" s="11"/>
      <c r="N59" s="11"/>
      <c r="O59" s="11"/>
      <c r="P59" s="13"/>
      <c r="Q59" s="18" t="str">
        <f t="shared" si="0"/>
        <v/>
      </c>
      <c r="R59" s="18" t="str">
        <f t="shared" si="1"/>
        <v/>
      </c>
      <c r="S59" s="18" t="str">
        <f t="shared" si="2"/>
        <v/>
      </c>
      <c r="T59" s="18" t="str">
        <f t="shared" si="3"/>
        <v/>
      </c>
      <c r="U59" s="18" t="str">
        <f t="shared" si="4"/>
        <v/>
      </c>
      <c r="V59" s="18" t="str">
        <f t="shared" si="5"/>
        <v/>
      </c>
      <c r="W59" s="14"/>
    </row>
    <row r="60" spans="1:23" x14ac:dyDescent="0.25">
      <c r="A60" s="6"/>
      <c r="B60" s="60" t="s">
        <v>29</v>
      </c>
      <c r="C60" s="19"/>
      <c r="D60" s="63">
        <f>36.89-1*0.05</f>
        <v>36.840000000000003</v>
      </c>
      <c r="E60" s="63"/>
      <c r="F60" s="41">
        <v>0.5</v>
      </c>
      <c r="G60" s="36">
        <v>0.25</v>
      </c>
      <c r="H60" s="10">
        <v>16</v>
      </c>
      <c r="I60" s="11">
        <v>1</v>
      </c>
      <c r="J60" s="13">
        <f>ROUND(9.235/G60+1,0)-8</f>
        <v>30</v>
      </c>
      <c r="K60" s="45">
        <f>D60</f>
        <v>36.840000000000003</v>
      </c>
      <c r="L60" s="37">
        <f>IF(O60&lt;12,"0",0.049*H60)*3</f>
        <v>2.3520000000000003</v>
      </c>
      <c r="M60" s="17">
        <v>1</v>
      </c>
      <c r="N60" s="11">
        <f>M60*1*H60/1000</f>
        <v>1.6E-2</v>
      </c>
      <c r="O60" s="16">
        <f>(D60+C60+F60)-N60</f>
        <v>37.324000000000005</v>
      </c>
      <c r="P60" s="16">
        <f>(I60*J60*O60)+L60</f>
        <v>1122.0720000000003</v>
      </c>
      <c r="Q60" s="18" t="str">
        <f t="shared" si="0"/>
        <v/>
      </c>
      <c r="R60" s="18" t="str">
        <f t="shared" si="1"/>
        <v/>
      </c>
      <c r="S60" s="18" t="str">
        <f t="shared" si="2"/>
        <v/>
      </c>
      <c r="T60" s="18">
        <f t="shared" si="3"/>
        <v>1122.0720000000003</v>
      </c>
      <c r="U60" s="18" t="str">
        <f t="shared" si="4"/>
        <v/>
      </c>
      <c r="V60" s="18" t="str">
        <f t="shared" si="5"/>
        <v/>
      </c>
      <c r="W60" s="14"/>
    </row>
    <row r="61" spans="1:23" x14ac:dyDescent="0.25">
      <c r="A61" s="6"/>
      <c r="B61" s="40"/>
      <c r="C61" s="8"/>
      <c r="D61" s="20"/>
      <c r="E61" s="20"/>
      <c r="F61" s="34"/>
      <c r="G61" s="35"/>
      <c r="H61" s="10"/>
      <c r="I61" s="11"/>
      <c r="J61" s="11"/>
      <c r="K61" s="12"/>
      <c r="L61" s="11"/>
      <c r="M61" s="11"/>
      <c r="N61" s="11"/>
      <c r="O61" s="11"/>
      <c r="P61" s="13"/>
      <c r="Q61" s="18" t="str">
        <f t="shared" si="0"/>
        <v/>
      </c>
      <c r="R61" s="18" t="str">
        <f t="shared" si="1"/>
        <v/>
      </c>
      <c r="S61" s="18" t="str">
        <f t="shared" si="2"/>
        <v/>
      </c>
      <c r="T61" s="18" t="str">
        <f t="shared" si="3"/>
        <v/>
      </c>
      <c r="U61" s="18" t="str">
        <f t="shared" si="4"/>
        <v/>
      </c>
      <c r="V61" s="18" t="str">
        <f t="shared" si="5"/>
        <v/>
      </c>
      <c r="W61" s="14"/>
    </row>
    <row r="62" spans="1:23" x14ac:dyDescent="0.25">
      <c r="A62" s="6">
        <v>6</v>
      </c>
      <c r="B62" s="40" t="s">
        <v>126</v>
      </c>
      <c r="C62" s="8"/>
      <c r="D62" s="20"/>
      <c r="E62" s="20"/>
      <c r="F62" s="34"/>
      <c r="G62" s="35"/>
      <c r="H62" s="10"/>
      <c r="I62" s="11"/>
      <c r="J62" s="11"/>
      <c r="K62" s="12"/>
      <c r="L62" s="11"/>
      <c r="M62" s="11"/>
      <c r="N62" s="11"/>
      <c r="O62" s="11"/>
      <c r="P62" s="13"/>
      <c r="Q62" s="18" t="str">
        <f t="shared" si="0"/>
        <v/>
      </c>
      <c r="R62" s="18" t="str">
        <f t="shared" si="1"/>
        <v/>
      </c>
      <c r="S62" s="18" t="str">
        <f t="shared" si="2"/>
        <v/>
      </c>
      <c r="T62" s="18" t="str">
        <f t="shared" si="3"/>
        <v/>
      </c>
      <c r="U62" s="18" t="str">
        <f t="shared" si="4"/>
        <v/>
      </c>
      <c r="V62" s="18" t="str">
        <f t="shared" si="5"/>
        <v/>
      </c>
      <c r="W62" s="14"/>
    </row>
    <row r="63" spans="1:23" x14ac:dyDescent="0.25">
      <c r="A63" s="6"/>
      <c r="B63" s="60" t="s">
        <v>29</v>
      </c>
      <c r="C63" s="19">
        <v>0.5</v>
      </c>
      <c r="D63" s="63">
        <f>25.89-2*0.05</f>
        <v>25.79</v>
      </c>
      <c r="E63" s="64"/>
      <c r="F63" s="19">
        <v>0.5</v>
      </c>
      <c r="G63" s="36">
        <v>0.25</v>
      </c>
      <c r="H63" s="10">
        <v>16</v>
      </c>
      <c r="I63" s="11">
        <v>1</v>
      </c>
      <c r="J63" s="13">
        <f>ROUND(12.415/G63+1,0)</f>
        <v>51</v>
      </c>
      <c r="K63" s="45">
        <f>D63</f>
        <v>25.79</v>
      </c>
      <c r="L63" s="37">
        <f>IF(O63&lt;12,"0",0.049*H63)*2</f>
        <v>1.5680000000000001</v>
      </c>
      <c r="M63" s="17">
        <v>2</v>
      </c>
      <c r="N63" s="11">
        <f>M63*2*H63/1000</f>
        <v>6.4000000000000001E-2</v>
      </c>
      <c r="O63" s="16">
        <f>(D63+C63+F63)-N63</f>
        <v>26.725999999999999</v>
      </c>
      <c r="P63" s="16">
        <f>(I63*J63*O63)+L63</f>
        <v>1364.5939999999998</v>
      </c>
      <c r="Q63" s="18" t="str">
        <f t="shared" si="0"/>
        <v/>
      </c>
      <c r="R63" s="18" t="str">
        <f t="shared" si="1"/>
        <v/>
      </c>
      <c r="S63" s="18" t="str">
        <f t="shared" si="2"/>
        <v/>
      </c>
      <c r="T63" s="18">
        <f t="shared" si="3"/>
        <v>1364.5939999999998</v>
      </c>
      <c r="U63" s="18" t="str">
        <f t="shared" si="4"/>
        <v/>
      </c>
      <c r="V63" s="18" t="str">
        <f t="shared" si="5"/>
        <v/>
      </c>
      <c r="W63" s="14"/>
    </row>
    <row r="64" spans="1:23" x14ac:dyDescent="0.25">
      <c r="A64" s="6"/>
      <c r="B64" s="40"/>
      <c r="C64" s="8"/>
      <c r="D64" s="20"/>
      <c r="E64" s="20"/>
      <c r="F64" s="34"/>
      <c r="G64" s="35"/>
      <c r="H64" s="10"/>
      <c r="I64" s="11"/>
      <c r="J64" s="11"/>
      <c r="K64" s="12"/>
      <c r="L64" s="11"/>
      <c r="M64" s="11"/>
      <c r="N64" s="11"/>
      <c r="O64" s="11"/>
      <c r="P64" s="13"/>
      <c r="Q64" s="18" t="str">
        <f t="shared" si="0"/>
        <v/>
      </c>
      <c r="R64" s="18" t="str">
        <f t="shared" si="1"/>
        <v/>
      </c>
      <c r="S64" s="18" t="str">
        <f t="shared" si="2"/>
        <v/>
      </c>
      <c r="T64" s="18" t="str">
        <f t="shared" si="3"/>
        <v/>
      </c>
      <c r="U64" s="18" t="str">
        <f t="shared" si="4"/>
        <v/>
      </c>
      <c r="V64" s="18" t="str">
        <f t="shared" si="5"/>
        <v/>
      </c>
      <c r="W64" s="14"/>
    </row>
    <row r="65" spans="1:23" x14ac:dyDescent="0.25">
      <c r="A65" s="6">
        <v>7</v>
      </c>
      <c r="B65" s="40" t="s">
        <v>127</v>
      </c>
      <c r="C65" s="8"/>
      <c r="D65" s="20"/>
      <c r="E65" s="20"/>
      <c r="F65" s="34"/>
      <c r="G65" s="35"/>
      <c r="H65" s="10"/>
      <c r="I65" s="11"/>
      <c r="J65" s="11"/>
      <c r="K65" s="12"/>
      <c r="L65" s="11"/>
      <c r="M65" s="11"/>
      <c r="N65" s="11"/>
      <c r="O65" s="11"/>
      <c r="P65" s="13"/>
      <c r="Q65" s="18" t="str">
        <f>IF($H65=8,$P65,"")</f>
        <v/>
      </c>
      <c r="R65" s="18" t="str">
        <f>IF($H65=10,$P65,"")</f>
        <v/>
      </c>
      <c r="S65" s="18" t="str">
        <f>IF($H65=12,$P65,"")</f>
        <v/>
      </c>
      <c r="T65" s="18" t="str">
        <f>IF($H65=16,$P65,"")</f>
        <v/>
      </c>
      <c r="U65" s="18" t="str">
        <f>IF($H65=20,$P65,"")</f>
        <v/>
      </c>
      <c r="V65" s="18" t="str">
        <f>IF($H65=25,$P65,"")</f>
        <v/>
      </c>
      <c r="W65" s="14"/>
    </row>
    <row r="66" spans="1:23" x14ac:dyDescent="0.25">
      <c r="A66" s="6"/>
      <c r="B66" t="s">
        <v>29</v>
      </c>
      <c r="C66" s="19">
        <v>0.5</v>
      </c>
      <c r="D66" s="63">
        <f>8.78-2*0.05</f>
        <v>8.68</v>
      </c>
      <c r="E66" s="64"/>
      <c r="F66" s="19">
        <v>0.5</v>
      </c>
      <c r="G66" s="36">
        <v>0.25</v>
      </c>
      <c r="H66" s="10">
        <v>16</v>
      </c>
      <c r="I66" s="11">
        <v>1</v>
      </c>
      <c r="J66" s="13">
        <f>ROUND(0.515/G66+1,0)</f>
        <v>3</v>
      </c>
      <c r="K66" s="45">
        <f>D66</f>
        <v>8.68</v>
      </c>
      <c r="L66" s="37" t="str">
        <f>IF(O66&lt;12,"0",0.049*H66)</f>
        <v>0</v>
      </c>
      <c r="M66" s="17">
        <v>2</v>
      </c>
      <c r="N66" s="11">
        <f>M66*2*H66/1000</f>
        <v>6.4000000000000001E-2</v>
      </c>
      <c r="O66" s="16">
        <f>(D66+C66+F66)-N66</f>
        <v>9.6159999999999997</v>
      </c>
      <c r="P66" s="16">
        <f>(I66*J66*O66)+L66</f>
        <v>28.847999999999999</v>
      </c>
      <c r="Q66" s="18" t="str">
        <f>IF($H66=8,$P66,"")</f>
        <v/>
      </c>
      <c r="R66" s="18" t="str">
        <f>IF($H66=10,$P66,"")</f>
        <v/>
      </c>
      <c r="S66" s="18" t="str">
        <f>IF($H66=12,$P66,"")</f>
        <v/>
      </c>
      <c r="T66" s="18">
        <f>IF($H66=16,$P66,"")</f>
        <v>28.847999999999999</v>
      </c>
      <c r="U66" s="18" t="str">
        <f>IF($H66=20,$P66,"")</f>
        <v/>
      </c>
      <c r="V66" s="18" t="str">
        <f>IF($H66=25,$P66,"")</f>
        <v/>
      </c>
      <c r="W66" s="14"/>
    </row>
    <row r="67" spans="1:23" x14ac:dyDescent="0.25">
      <c r="A67" s="6"/>
      <c r="B67" s="40"/>
      <c r="C67" s="8"/>
      <c r="D67" s="20"/>
      <c r="E67" s="20"/>
      <c r="F67" s="34"/>
      <c r="G67" s="35"/>
      <c r="H67" s="10"/>
      <c r="I67" s="11"/>
      <c r="J67" s="11"/>
      <c r="K67" s="12"/>
      <c r="L67" s="11"/>
      <c r="M67" s="11"/>
      <c r="N67" s="11"/>
      <c r="O67" s="11"/>
      <c r="P67" s="13"/>
      <c r="Q67" s="18" t="str">
        <f>IF($H67=8,$P67,"")</f>
        <v/>
      </c>
      <c r="R67" s="18" t="str">
        <f>IF($H67=10,$P67,"")</f>
        <v/>
      </c>
      <c r="S67" s="18" t="str">
        <f>IF($H67=12,$P67,"")</f>
        <v/>
      </c>
      <c r="T67" s="18" t="str">
        <f>IF($H67=16,$P67,"")</f>
        <v/>
      </c>
      <c r="U67" s="18" t="str">
        <f>IF($H67=20,$P67,"")</f>
        <v/>
      </c>
      <c r="V67" s="18" t="str">
        <f>IF($H67=25,$P67,"")</f>
        <v/>
      </c>
      <c r="W67" s="14"/>
    </row>
    <row r="68" spans="1:23" x14ac:dyDescent="0.25">
      <c r="A68" s="6"/>
      <c r="B68" s="40"/>
      <c r="C68" s="8"/>
      <c r="D68" s="20"/>
      <c r="E68" s="20"/>
      <c r="F68" s="34"/>
      <c r="G68" s="35"/>
      <c r="H68" s="10"/>
      <c r="I68" s="11"/>
      <c r="J68" s="11"/>
      <c r="K68" s="12"/>
      <c r="L68" s="11"/>
      <c r="M68" s="11"/>
      <c r="N68" s="11"/>
      <c r="O68" s="11"/>
      <c r="P68" s="13"/>
      <c r="Q68" s="18" t="str">
        <f t="shared" si="0"/>
        <v/>
      </c>
      <c r="R68" s="18" t="str">
        <f t="shared" si="1"/>
        <v/>
      </c>
      <c r="S68" s="18" t="str">
        <f t="shared" si="2"/>
        <v/>
      </c>
      <c r="T68" s="18" t="str">
        <f t="shared" si="3"/>
        <v/>
      </c>
      <c r="U68" s="18" t="str">
        <f t="shared" si="4"/>
        <v/>
      </c>
      <c r="V68" s="18" t="str">
        <f t="shared" si="5"/>
        <v/>
      </c>
      <c r="W68" s="14"/>
    </row>
    <row r="69" spans="1:23" x14ac:dyDescent="0.25">
      <c r="A69" s="6"/>
      <c r="B69" s="42" t="s">
        <v>22</v>
      </c>
      <c r="C69" s="8"/>
      <c r="D69" s="20"/>
      <c r="E69" s="20"/>
      <c r="F69" s="34"/>
      <c r="G69" s="35"/>
      <c r="H69" s="10"/>
      <c r="I69" s="11"/>
      <c r="J69" s="11"/>
      <c r="K69" s="12"/>
      <c r="L69" s="11"/>
      <c r="M69" s="11"/>
      <c r="N69" s="11"/>
      <c r="O69" s="11"/>
      <c r="P69" s="13"/>
      <c r="Q69" s="18" t="str">
        <f t="shared" si="0"/>
        <v/>
      </c>
      <c r="R69" s="18" t="str">
        <f t="shared" si="1"/>
        <v/>
      </c>
      <c r="S69" s="18" t="str">
        <f t="shared" si="2"/>
        <v/>
      </c>
      <c r="T69" s="18" t="str">
        <f t="shared" si="3"/>
        <v/>
      </c>
      <c r="U69" s="18" t="str">
        <f t="shared" si="4"/>
        <v/>
      </c>
      <c r="V69" s="18" t="str">
        <f t="shared" si="5"/>
        <v/>
      </c>
      <c r="W69" s="14"/>
    </row>
    <row r="70" spans="1:23" x14ac:dyDescent="0.25">
      <c r="A70" s="6">
        <v>1</v>
      </c>
      <c r="B70" s="7" t="s">
        <v>114</v>
      </c>
      <c r="C70" s="8"/>
      <c r="D70" s="20"/>
      <c r="E70" s="20"/>
      <c r="F70" s="34"/>
      <c r="G70" s="35"/>
      <c r="H70" s="10"/>
      <c r="I70" s="11"/>
      <c r="J70" s="11"/>
      <c r="K70" s="12"/>
      <c r="L70" s="11"/>
      <c r="M70" s="11"/>
      <c r="N70" s="11"/>
      <c r="O70" s="11"/>
      <c r="P70" s="13"/>
      <c r="Q70" s="18" t="str">
        <f t="shared" si="0"/>
        <v/>
      </c>
      <c r="R70" s="18" t="str">
        <f t="shared" si="1"/>
        <v/>
      </c>
      <c r="S70" s="18" t="str">
        <f t="shared" si="2"/>
        <v/>
      </c>
      <c r="T70" s="18" t="str">
        <f t="shared" si="3"/>
        <v/>
      </c>
      <c r="U70" s="18" t="str">
        <f t="shared" si="4"/>
        <v/>
      </c>
      <c r="V70" s="18" t="str">
        <f t="shared" si="5"/>
        <v/>
      </c>
      <c r="W70" s="14"/>
    </row>
    <row r="71" spans="1:23" x14ac:dyDescent="0.25">
      <c r="A71" s="6"/>
      <c r="B71" t="s">
        <v>19</v>
      </c>
      <c r="C71" s="19">
        <v>0.5</v>
      </c>
      <c r="D71" s="63">
        <f>21.65-2*0.05</f>
        <v>21.549999999999997</v>
      </c>
      <c r="E71" s="64"/>
      <c r="F71" s="19">
        <v>0.5</v>
      </c>
      <c r="G71" s="36">
        <v>0.25</v>
      </c>
      <c r="H71" s="10">
        <v>16</v>
      </c>
      <c r="I71" s="11">
        <v>1</v>
      </c>
      <c r="J71" s="13">
        <f>ROUND(8.855/G71+1,0)/2</f>
        <v>18</v>
      </c>
      <c r="K71" s="45">
        <f>D71</f>
        <v>21.549999999999997</v>
      </c>
      <c r="L71" s="37">
        <f>IF(O71&lt;12,"0",0.049*H71)*2</f>
        <v>1.5680000000000001</v>
      </c>
      <c r="M71" s="17">
        <v>2</v>
      </c>
      <c r="N71" s="11">
        <f>M71*2*H71/1000</f>
        <v>6.4000000000000001E-2</v>
      </c>
      <c r="O71" s="16">
        <f>(D71+C71+F71)-N71</f>
        <v>22.485999999999997</v>
      </c>
      <c r="P71" s="16">
        <f>(I71*J71*O71)+L71</f>
        <v>406.31599999999992</v>
      </c>
      <c r="Q71" s="18" t="str">
        <f t="shared" si="0"/>
        <v/>
      </c>
      <c r="R71" s="18" t="str">
        <f t="shared" si="1"/>
        <v/>
      </c>
      <c r="S71" s="18" t="str">
        <f t="shared" si="2"/>
        <v/>
      </c>
      <c r="T71" s="18">
        <f t="shared" si="3"/>
        <v>406.31599999999992</v>
      </c>
      <c r="U71" s="18" t="str">
        <f t="shared" si="4"/>
        <v/>
      </c>
      <c r="V71" s="18" t="str">
        <f t="shared" si="5"/>
        <v/>
      </c>
      <c r="W71" s="14"/>
    </row>
    <row r="72" spans="1:23" x14ac:dyDescent="0.25">
      <c r="A72" s="6"/>
      <c r="B72" s="14"/>
      <c r="C72" s="8"/>
      <c r="D72" s="20"/>
      <c r="E72" s="20"/>
      <c r="F72" s="34"/>
      <c r="G72" s="35"/>
      <c r="H72" s="10"/>
      <c r="I72" s="11"/>
      <c r="J72" s="11"/>
      <c r="K72" s="45"/>
      <c r="L72" s="16"/>
      <c r="M72" s="16"/>
      <c r="N72" s="11"/>
      <c r="O72" s="16"/>
      <c r="P72" s="16"/>
      <c r="Q72" s="18" t="str">
        <f t="shared" si="0"/>
        <v/>
      </c>
      <c r="R72" s="18" t="str">
        <f t="shared" si="1"/>
        <v/>
      </c>
      <c r="S72" s="18" t="str">
        <f t="shared" si="2"/>
        <v/>
      </c>
      <c r="T72" s="18" t="str">
        <f t="shared" si="3"/>
        <v/>
      </c>
      <c r="U72" s="18" t="str">
        <f t="shared" si="4"/>
        <v/>
      </c>
      <c r="V72" s="18" t="str">
        <f t="shared" si="5"/>
        <v/>
      </c>
      <c r="W72" s="14"/>
    </row>
    <row r="73" spans="1:23" x14ac:dyDescent="0.25">
      <c r="A73" s="6">
        <v>1</v>
      </c>
      <c r="B73" s="7" t="s">
        <v>114</v>
      </c>
      <c r="C73" s="8"/>
      <c r="D73" s="20"/>
      <c r="E73" s="20"/>
      <c r="F73" s="34"/>
      <c r="G73" s="35"/>
      <c r="H73" s="10"/>
      <c r="I73" s="11"/>
      <c r="J73" s="11"/>
      <c r="K73" s="12"/>
      <c r="L73" s="11"/>
      <c r="M73" s="11"/>
      <c r="N73" s="11"/>
      <c r="O73" s="11"/>
      <c r="P73" s="13"/>
      <c r="Q73" s="18" t="str">
        <f t="shared" si="0"/>
        <v/>
      </c>
      <c r="R73" s="18" t="str">
        <f t="shared" si="1"/>
        <v/>
      </c>
      <c r="S73" s="18" t="str">
        <f t="shared" si="2"/>
        <v/>
      </c>
      <c r="T73" s="18" t="str">
        <f t="shared" si="3"/>
        <v/>
      </c>
      <c r="U73" s="18" t="str">
        <f t="shared" si="4"/>
        <v/>
      </c>
      <c r="V73" s="18" t="str">
        <f t="shared" si="5"/>
        <v/>
      </c>
      <c r="W73" s="14"/>
    </row>
    <row r="74" spans="1:23" x14ac:dyDescent="0.25">
      <c r="A74" s="6"/>
      <c r="B74" t="s">
        <v>19</v>
      </c>
      <c r="C74" s="19">
        <v>0.5</v>
      </c>
      <c r="D74" s="63">
        <f>21.65-2*0.05</f>
        <v>21.549999999999997</v>
      </c>
      <c r="E74" s="64"/>
      <c r="F74" s="19">
        <v>0.5</v>
      </c>
      <c r="G74" s="36">
        <v>0.25</v>
      </c>
      <c r="H74" s="10">
        <v>16</v>
      </c>
      <c r="I74" s="11">
        <v>1</v>
      </c>
      <c r="J74" s="13">
        <f>ROUND(8.855/G74+1,0)/2</f>
        <v>18</v>
      </c>
      <c r="K74" s="45">
        <f>D74</f>
        <v>21.549999999999997</v>
      </c>
      <c r="L74" s="37">
        <f>IF(O74&lt;12,"0",0.049*H74)</f>
        <v>0.78400000000000003</v>
      </c>
      <c r="M74" s="17">
        <v>2</v>
      </c>
      <c r="N74" s="11">
        <f>M74*2*H74/1000</f>
        <v>6.4000000000000001E-2</v>
      </c>
      <c r="O74" s="16">
        <f>(D74+C74+F74)-N74</f>
        <v>22.485999999999997</v>
      </c>
      <c r="P74" s="16">
        <f>(I74*J74*O74)+L74</f>
        <v>405.53199999999993</v>
      </c>
      <c r="Q74" s="18" t="str">
        <f t="shared" si="0"/>
        <v/>
      </c>
      <c r="R74" s="18" t="str">
        <f t="shared" si="1"/>
        <v/>
      </c>
      <c r="S74" s="18" t="str">
        <f t="shared" si="2"/>
        <v/>
      </c>
      <c r="T74" s="18">
        <f t="shared" si="3"/>
        <v>405.53199999999993</v>
      </c>
      <c r="U74" s="18" t="str">
        <f t="shared" si="4"/>
        <v/>
      </c>
      <c r="V74" s="18" t="str">
        <f t="shared" si="5"/>
        <v/>
      </c>
      <c r="W74" s="14"/>
    </row>
    <row r="75" spans="1:23" x14ac:dyDescent="0.25">
      <c r="A75" s="6"/>
      <c r="B75" s="14"/>
      <c r="C75" s="8"/>
      <c r="D75" s="20"/>
      <c r="E75" s="20"/>
      <c r="F75" s="34"/>
      <c r="G75" s="35"/>
      <c r="H75" s="10"/>
      <c r="I75" s="11"/>
      <c r="J75" s="11"/>
      <c r="K75" s="45"/>
      <c r="L75" s="16"/>
      <c r="M75" s="16"/>
      <c r="N75" s="11"/>
      <c r="O75" s="16"/>
      <c r="P75" s="16"/>
      <c r="Q75" s="18" t="str">
        <f t="shared" si="0"/>
        <v/>
      </c>
      <c r="R75" s="18" t="str">
        <f t="shared" si="1"/>
        <v/>
      </c>
      <c r="S75" s="18" t="str">
        <f t="shared" si="2"/>
        <v/>
      </c>
      <c r="T75" s="18" t="str">
        <f t="shared" si="3"/>
        <v/>
      </c>
      <c r="U75" s="18" t="str">
        <f t="shared" si="4"/>
        <v/>
      </c>
      <c r="V75" s="18" t="str">
        <f t="shared" si="5"/>
        <v/>
      </c>
      <c r="W75" s="14"/>
    </row>
    <row r="76" spans="1:23" x14ac:dyDescent="0.25">
      <c r="A76" s="6">
        <v>2</v>
      </c>
      <c r="B76" s="7" t="s">
        <v>115</v>
      </c>
      <c r="C76" s="8"/>
      <c r="D76" s="20"/>
      <c r="E76" s="20"/>
      <c r="F76" s="34"/>
      <c r="G76" s="35"/>
      <c r="H76" s="10"/>
      <c r="I76" s="11"/>
      <c r="J76" s="11"/>
      <c r="K76" s="12"/>
      <c r="L76" s="11"/>
      <c r="M76" s="11"/>
      <c r="N76" s="11"/>
      <c r="O76" s="11"/>
      <c r="P76" s="13"/>
      <c r="Q76" s="18" t="str">
        <f t="shared" si="0"/>
        <v/>
      </c>
      <c r="R76" s="18" t="str">
        <f t="shared" si="1"/>
        <v/>
      </c>
      <c r="S76" s="18" t="str">
        <f t="shared" si="2"/>
        <v/>
      </c>
      <c r="T76" s="18" t="str">
        <f t="shared" si="3"/>
        <v/>
      </c>
      <c r="U76" s="18" t="str">
        <f t="shared" si="4"/>
        <v/>
      </c>
      <c r="V76" s="18" t="str">
        <f t="shared" si="5"/>
        <v/>
      </c>
      <c r="W76" s="14"/>
    </row>
    <row r="77" spans="1:23" x14ac:dyDescent="0.25">
      <c r="A77" s="6"/>
      <c r="B77" t="s">
        <v>19</v>
      </c>
      <c r="C77" s="19">
        <v>0.5</v>
      </c>
      <c r="D77" s="63">
        <f>21.65+0.515-2*0.05</f>
        <v>22.064999999999998</v>
      </c>
      <c r="E77" s="64"/>
      <c r="F77" s="19">
        <v>0.5</v>
      </c>
      <c r="G77" s="36">
        <v>0.25</v>
      </c>
      <c r="H77" s="10">
        <v>16</v>
      </c>
      <c r="I77" s="11">
        <v>1</v>
      </c>
      <c r="J77" s="13">
        <f>ROUND(2.535/G77+1,0)/2</f>
        <v>5.5</v>
      </c>
      <c r="K77" s="45">
        <f>D77</f>
        <v>22.064999999999998</v>
      </c>
      <c r="L77" s="16">
        <f>IF(O77&lt;12,"0",0.049*H77)*2</f>
        <v>1.5680000000000001</v>
      </c>
      <c r="M77" s="17">
        <v>2</v>
      </c>
      <c r="N77" s="11">
        <f>M77*2*H77/1000</f>
        <v>6.4000000000000001E-2</v>
      </c>
      <c r="O77" s="16">
        <f>(D77+C77+F77)-N77</f>
        <v>23.000999999999998</v>
      </c>
      <c r="P77" s="16">
        <f>(I77*J77*O77)+L77</f>
        <v>128.0735</v>
      </c>
      <c r="Q77" s="18" t="str">
        <f t="shared" si="0"/>
        <v/>
      </c>
      <c r="R77" s="18" t="str">
        <f t="shared" si="1"/>
        <v/>
      </c>
      <c r="S77" s="18" t="str">
        <f t="shared" si="2"/>
        <v/>
      </c>
      <c r="T77" s="18">
        <f t="shared" si="3"/>
        <v>128.0735</v>
      </c>
      <c r="U77" s="18" t="str">
        <f t="shared" si="4"/>
        <v/>
      </c>
      <c r="V77" s="18" t="str">
        <f t="shared" si="5"/>
        <v/>
      </c>
      <c r="W77" s="14"/>
    </row>
    <row r="78" spans="1:23" x14ac:dyDescent="0.25">
      <c r="A78" s="6"/>
      <c r="B78" s="14"/>
      <c r="C78" s="8"/>
      <c r="D78" s="20"/>
      <c r="E78" s="20"/>
      <c r="F78" s="34"/>
      <c r="G78" s="35"/>
      <c r="H78" s="10"/>
      <c r="I78" s="11"/>
      <c r="J78" s="11"/>
      <c r="K78" s="12"/>
      <c r="L78" s="11"/>
      <c r="M78" s="11"/>
      <c r="N78" s="11"/>
      <c r="O78" s="11"/>
      <c r="P78" s="13"/>
      <c r="Q78" s="18" t="str">
        <f t="shared" si="0"/>
        <v/>
      </c>
      <c r="R78" s="18" t="str">
        <f t="shared" si="1"/>
        <v/>
      </c>
      <c r="S78" s="18" t="str">
        <f t="shared" si="2"/>
        <v/>
      </c>
      <c r="T78" s="18" t="str">
        <f t="shared" si="3"/>
        <v/>
      </c>
      <c r="U78" s="18" t="str">
        <f t="shared" si="4"/>
        <v/>
      </c>
      <c r="V78" s="18" t="str">
        <f t="shared" si="5"/>
        <v/>
      </c>
      <c r="W78" s="14"/>
    </row>
    <row r="79" spans="1:23" x14ac:dyDescent="0.25">
      <c r="A79" s="6">
        <v>2</v>
      </c>
      <c r="B79" s="7" t="s">
        <v>115</v>
      </c>
      <c r="C79" s="8"/>
      <c r="D79" s="20"/>
      <c r="E79" s="20"/>
      <c r="F79" s="34"/>
      <c r="G79" s="35"/>
      <c r="H79" s="10"/>
      <c r="I79" s="11"/>
      <c r="J79" s="11"/>
      <c r="K79" s="12"/>
      <c r="L79" s="11"/>
      <c r="M79" s="11"/>
      <c r="N79" s="11"/>
      <c r="O79" s="11"/>
      <c r="P79" s="13"/>
      <c r="Q79" s="18" t="str">
        <f t="shared" si="0"/>
        <v/>
      </c>
      <c r="R79" s="18" t="str">
        <f t="shared" si="1"/>
        <v/>
      </c>
      <c r="S79" s="18" t="str">
        <f t="shared" si="2"/>
        <v/>
      </c>
      <c r="T79" s="18" t="str">
        <f t="shared" si="3"/>
        <v/>
      </c>
      <c r="U79" s="18" t="str">
        <f t="shared" si="4"/>
        <v/>
      </c>
      <c r="V79" s="18" t="str">
        <f t="shared" si="5"/>
        <v/>
      </c>
      <c r="W79" s="14"/>
    </row>
    <row r="80" spans="1:23" x14ac:dyDescent="0.25">
      <c r="A80" s="6"/>
      <c r="B80" t="s">
        <v>19</v>
      </c>
      <c r="C80" s="19">
        <v>0.5</v>
      </c>
      <c r="D80" s="63">
        <f>21.65+0.515-2*0.05</f>
        <v>22.064999999999998</v>
      </c>
      <c r="E80" s="64"/>
      <c r="F80" s="19">
        <v>0.5</v>
      </c>
      <c r="G80" s="36">
        <v>0.25</v>
      </c>
      <c r="H80" s="10">
        <v>16</v>
      </c>
      <c r="I80" s="11">
        <v>1</v>
      </c>
      <c r="J80" s="13">
        <f>ROUND(2.535/G80+1,0)/2</f>
        <v>5.5</v>
      </c>
      <c r="K80" s="45">
        <f>D80</f>
        <v>22.064999999999998</v>
      </c>
      <c r="L80" s="16">
        <f>IF(O80&lt;12,"0",0.049*H80)</f>
        <v>0.78400000000000003</v>
      </c>
      <c r="M80" s="17">
        <v>2</v>
      </c>
      <c r="N80" s="11">
        <f>M80*2*H80/1000</f>
        <v>6.4000000000000001E-2</v>
      </c>
      <c r="O80" s="16">
        <f>(D80+C80+F80)-N80</f>
        <v>23.000999999999998</v>
      </c>
      <c r="P80" s="16">
        <f>(I80*J80*O80)+L80</f>
        <v>127.28949999999999</v>
      </c>
      <c r="Q80" s="18" t="str">
        <f t="shared" si="0"/>
        <v/>
      </c>
      <c r="R80" s="18" t="str">
        <f t="shared" si="1"/>
        <v/>
      </c>
      <c r="S80" s="18" t="str">
        <f t="shared" si="2"/>
        <v/>
      </c>
      <c r="T80" s="18">
        <f t="shared" si="3"/>
        <v>127.28949999999999</v>
      </c>
      <c r="U80" s="18" t="str">
        <f t="shared" si="4"/>
        <v/>
      </c>
      <c r="V80" s="18" t="str">
        <f t="shared" si="5"/>
        <v/>
      </c>
      <c r="W80" s="14"/>
    </row>
    <row r="81" spans="1:23" x14ac:dyDescent="0.25">
      <c r="A81" s="6"/>
      <c r="B81" s="14"/>
      <c r="C81" s="8"/>
      <c r="D81" s="20"/>
      <c r="E81" s="20"/>
      <c r="F81" s="34"/>
      <c r="G81" s="35"/>
      <c r="H81" s="10"/>
      <c r="I81" s="11"/>
      <c r="J81" s="11"/>
      <c r="K81" s="12"/>
      <c r="L81" s="11"/>
      <c r="M81" s="11"/>
      <c r="N81" s="11"/>
      <c r="O81" s="11"/>
      <c r="P81" s="13"/>
      <c r="Q81" s="18" t="str">
        <f t="shared" si="0"/>
        <v/>
      </c>
      <c r="R81" s="18" t="str">
        <f t="shared" si="1"/>
        <v/>
      </c>
      <c r="S81" s="18" t="str">
        <f t="shared" si="2"/>
        <v/>
      </c>
      <c r="T81" s="18" t="str">
        <f t="shared" si="3"/>
        <v/>
      </c>
      <c r="U81" s="18" t="str">
        <f t="shared" si="4"/>
        <v/>
      </c>
      <c r="V81" s="18" t="str">
        <f t="shared" si="5"/>
        <v/>
      </c>
      <c r="W81" s="14"/>
    </row>
    <row r="82" spans="1:23" x14ac:dyDescent="0.25">
      <c r="A82" s="6">
        <v>3</v>
      </c>
      <c r="B82" s="7" t="s">
        <v>116</v>
      </c>
      <c r="C82" s="8"/>
      <c r="D82" s="20"/>
      <c r="E82" s="20"/>
      <c r="F82" s="34"/>
      <c r="G82" s="35"/>
      <c r="H82" s="10"/>
      <c r="I82" s="11"/>
      <c r="J82" s="11"/>
      <c r="K82" s="12"/>
      <c r="L82" s="11"/>
      <c r="M82" s="11"/>
      <c r="N82" s="11"/>
      <c r="O82" s="11"/>
      <c r="P82" s="13"/>
      <c r="Q82" s="18" t="str">
        <f t="shared" si="0"/>
        <v/>
      </c>
      <c r="R82" s="18" t="str">
        <f t="shared" si="1"/>
        <v/>
      </c>
      <c r="S82" s="18" t="str">
        <f t="shared" si="2"/>
        <v/>
      </c>
      <c r="T82" s="18" t="str">
        <f t="shared" si="3"/>
        <v/>
      </c>
      <c r="U82" s="18" t="str">
        <f t="shared" si="4"/>
        <v/>
      </c>
      <c r="V82" s="18" t="str">
        <f t="shared" si="5"/>
        <v/>
      </c>
      <c r="W82" s="14"/>
    </row>
    <row r="83" spans="1:23" x14ac:dyDescent="0.25">
      <c r="A83" s="6"/>
      <c r="B83" t="s">
        <v>19</v>
      </c>
      <c r="C83" s="19">
        <v>0.5</v>
      </c>
      <c r="D83" s="63">
        <f>32.45-2*0.05</f>
        <v>32.35</v>
      </c>
      <c r="E83" s="64"/>
      <c r="F83" s="19">
        <v>0.5</v>
      </c>
      <c r="G83" s="36">
        <v>0.25</v>
      </c>
      <c r="H83" s="10">
        <v>16</v>
      </c>
      <c r="I83" s="11">
        <v>1</v>
      </c>
      <c r="J83" s="13">
        <f>ROUND(6.245/G83+1,0)/2</f>
        <v>13</v>
      </c>
      <c r="K83" s="45">
        <f>D83</f>
        <v>32.35</v>
      </c>
      <c r="L83" s="16">
        <f>IF(O83&lt;12,"0",0.049*H83)*3</f>
        <v>2.3520000000000003</v>
      </c>
      <c r="M83" s="17">
        <v>2</v>
      </c>
      <c r="N83" s="11">
        <f>M83*2*H83/1000</f>
        <v>6.4000000000000001E-2</v>
      </c>
      <c r="O83" s="16">
        <f>(D83+C83+F83)-N83</f>
        <v>33.286000000000001</v>
      </c>
      <c r="P83" s="16">
        <f>(I83*J83*O83)+L83</f>
        <v>435.07</v>
      </c>
      <c r="Q83" s="18" t="str">
        <f t="shared" si="0"/>
        <v/>
      </c>
      <c r="R83" s="18" t="str">
        <f t="shared" si="1"/>
        <v/>
      </c>
      <c r="S83" s="18" t="str">
        <f t="shared" si="2"/>
        <v/>
      </c>
      <c r="T83" s="18">
        <f t="shared" si="3"/>
        <v>435.07</v>
      </c>
      <c r="U83" s="18" t="str">
        <f t="shared" si="4"/>
        <v/>
      </c>
      <c r="V83" s="18" t="str">
        <f t="shared" si="5"/>
        <v/>
      </c>
      <c r="W83" s="14"/>
    </row>
    <row r="84" spans="1:23" x14ac:dyDescent="0.25">
      <c r="A84" s="6"/>
      <c r="B84" s="22"/>
      <c r="C84" s="8"/>
      <c r="D84" s="20"/>
      <c r="E84" s="21"/>
      <c r="F84" s="34"/>
      <c r="G84" s="35"/>
      <c r="H84" s="10"/>
      <c r="I84" s="11"/>
      <c r="J84" s="11"/>
      <c r="K84" s="12"/>
      <c r="L84" s="11"/>
      <c r="M84" s="11"/>
      <c r="N84" s="11"/>
      <c r="O84" s="11"/>
      <c r="P84" s="13"/>
      <c r="Q84" s="18" t="str">
        <f t="shared" si="0"/>
        <v/>
      </c>
      <c r="R84" s="18" t="str">
        <f t="shared" si="1"/>
        <v/>
      </c>
      <c r="S84" s="18" t="str">
        <f t="shared" si="2"/>
        <v/>
      </c>
      <c r="T84" s="18" t="str">
        <f t="shared" si="3"/>
        <v/>
      </c>
      <c r="U84" s="18" t="str">
        <f t="shared" si="4"/>
        <v/>
      </c>
      <c r="V84" s="18" t="str">
        <f t="shared" si="5"/>
        <v/>
      </c>
      <c r="W84" s="14"/>
    </row>
    <row r="85" spans="1:23" x14ac:dyDescent="0.25">
      <c r="A85" s="6">
        <v>3</v>
      </c>
      <c r="B85" s="7" t="s">
        <v>116</v>
      </c>
      <c r="C85" s="8"/>
      <c r="D85" s="20"/>
      <c r="E85" s="20"/>
      <c r="F85" s="34"/>
      <c r="G85" s="35"/>
      <c r="H85" s="10"/>
      <c r="I85" s="11"/>
      <c r="J85" s="11"/>
      <c r="K85" s="12"/>
      <c r="L85" s="11"/>
      <c r="M85" s="11"/>
      <c r="N85" s="11"/>
      <c r="O85" s="11"/>
      <c r="P85" s="13"/>
      <c r="Q85" s="18" t="str">
        <f t="shared" si="0"/>
        <v/>
      </c>
      <c r="R85" s="18" t="str">
        <f t="shared" si="1"/>
        <v/>
      </c>
      <c r="S85" s="18" t="str">
        <f t="shared" si="2"/>
        <v/>
      </c>
      <c r="T85" s="18" t="str">
        <f t="shared" si="3"/>
        <v/>
      </c>
      <c r="U85" s="18" t="str">
        <f t="shared" si="4"/>
        <v/>
      </c>
      <c r="V85" s="18" t="str">
        <f t="shared" si="5"/>
        <v/>
      </c>
      <c r="W85" s="14"/>
    </row>
    <row r="86" spans="1:23" x14ac:dyDescent="0.25">
      <c r="A86" s="6"/>
      <c r="B86" t="s">
        <v>19</v>
      </c>
      <c r="C86" s="19">
        <v>0.5</v>
      </c>
      <c r="D86" s="63">
        <f>32.45-2*0.05</f>
        <v>32.35</v>
      </c>
      <c r="E86" s="64"/>
      <c r="F86" s="19">
        <v>0.5</v>
      </c>
      <c r="G86" s="36">
        <v>0.25</v>
      </c>
      <c r="H86" s="10">
        <v>16</v>
      </c>
      <c r="I86" s="11">
        <v>1</v>
      </c>
      <c r="J86" s="13">
        <f>ROUND(6.245/G86+1,0)/2</f>
        <v>13</v>
      </c>
      <c r="K86" s="45">
        <f>D86</f>
        <v>32.35</v>
      </c>
      <c r="L86" s="16">
        <f>IF(O86&lt;12,"0",0.049*H86)*2</f>
        <v>1.5680000000000001</v>
      </c>
      <c r="M86" s="17">
        <v>2</v>
      </c>
      <c r="N86" s="11">
        <f>M86*2*H86/1000</f>
        <v>6.4000000000000001E-2</v>
      </c>
      <c r="O86" s="16">
        <f>(D86+C86+F86)-N86</f>
        <v>33.286000000000001</v>
      </c>
      <c r="P86" s="16">
        <f>(I86*J86*O86)+L86</f>
        <v>434.286</v>
      </c>
      <c r="Q86" s="18" t="str">
        <f t="shared" si="0"/>
        <v/>
      </c>
      <c r="R86" s="18" t="str">
        <f t="shared" si="1"/>
        <v/>
      </c>
      <c r="S86" s="18" t="str">
        <f t="shared" si="2"/>
        <v/>
      </c>
      <c r="T86" s="18">
        <f t="shared" si="3"/>
        <v>434.286</v>
      </c>
      <c r="U86" s="18" t="str">
        <f t="shared" si="4"/>
        <v/>
      </c>
      <c r="V86" s="18" t="str">
        <f t="shared" si="5"/>
        <v/>
      </c>
      <c r="W86" s="14"/>
    </row>
    <row r="87" spans="1:23" x14ac:dyDescent="0.25">
      <c r="A87" s="6"/>
      <c r="B87" s="22"/>
      <c r="C87" s="8"/>
      <c r="D87" s="20"/>
      <c r="E87" s="21"/>
      <c r="F87" s="34"/>
      <c r="G87" s="35"/>
      <c r="H87" s="10"/>
      <c r="I87" s="11"/>
      <c r="J87" s="11"/>
      <c r="K87" s="12"/>
      <c r="L87" s="11"/>
      <c r="M87" s="11"/>
      <c r="N87" s="11"/>
      <c r="O87" s="11"/>
      <c r="P87" s="13"/>
      <c r="Q87" s="18" t="str">
        <f t="shared" si="0"/>
        <v/>
      </c>
      <c r="R87" s="18" t="str">
        <f t="shared" si="1"/>
        <v/>
      </c>
      <c r="S87" s="18" t="str">
        <f t="shared" si="2"/>
        <v/>
      </c>
      <c r="T87" s="18" t="str">
        <f t="shared" si="3"/>
        <v/>
      </c>
      <c r="U87" s="18" t="str">
        <f t="shared" si="4"/>
        <v/>
      </c>
      <c r="V87" s="18" t="str">
        <f t="shared" si="5"/>
        <v/>
      </c>
      <c r="W87" s="14"/>
    </row>
    <row r="88" spans="1:23" x14ac:dyDescent="0.25">
      <c r="A88" s="6">
        <v>4</v>
      </c>
      <c r="B88" s="7" t="s">
        <v>117</v>
      </c>
      <c r="C88" s="8"/>
      <c r="D88" s="20"/>
      <c r="E88" s="20"/>
      <c r="F88" s="34"/>
      <c r="G88" s="35"/>
      <c r="H88" s="10"/>
      <c r="I88" s="11"/>
      <c r="J88" s="11"/>
      <c r="K88" s="12"/>
      <c r="L88" s="11"/>
      <c r="M88" s="11"/>
      <c r="N88" s="11"/>
      <c r="O88" s="11"/>
      <c r="P88" s="13"/>
      <c r="Q88" s="18" t="str">
        <f t="shared" si="0"/>
        <v/>
      </c>
      <c r="R88" s="18" t="str">
        <f t="shared" si="1"/>
        <v/>
      </c>
      <c r="S88" s="18" t="str">
        <f t="shared" si="2"/>
        <v/>
      </c>
      <c r="T88" s="18" t="str">
        <f t="shared" si="3"/>
        <v/>
      </c>
      <c r="U88" s="18" t="str">
        <f t="shared" si="4"/>
        <v/>
      </c>
      <c r="V88" s="18" t="str">
        <f t="shared" si="5"/>
        <v/>
      </c>
      <c r="W88" s="14"/>
    </row>
    <row r="89" spans="1:23" x14ac:dyDescent="0.25">
      <c r="A89" s="6"/>
      <c r="B89" t="s">
        <v>19</v>
      </c>
      <c r="C89" s="19">
        <v>0.5</v>
      </c>
      <c r="D89" s="63">
        <f>31.935-2*0.05</f>
        <v>31.834999999999997</v>
      </c>
      <c r="E89" s="64"/>
      <c r="F89" s="19">
        <v>0.5</v>
      </c>
      <c r="G89" s="36">
        <v>0.25</v>
      </c>
      <c r="H89" s="10">
        <v>16</v>
      </c>
      <c r="I89" s="11">
        <v>1</v>
      </c>
      <c r="J89" s="13">
        <f>ROUND(2.63/G89+1,0)/2</f>
        <v>6</v>
      </c>
      <c r="K89" s="45">
        <f>D89</f>
        <v>31.834999999999997</v>
      </c>
      <c r="L89" s="16">
        <f>IF(O89&lt;12,"0",0.049*H89)*3</f>
        <v>2.3520000000000003</v>
      </c>
      <c r="M89" s="17">
        <v>2</v>
      </c>
      <c r="N89" s="11">
        <f>M89*2*H89/1000</f>
        <v>6.4000000000000001E-2</v>
      </c>
      <c r="O89" s="16">
        <f>(D89+C89+F89)-N89</f>
        <v>32.770999999999994</v>
      </c>
      <c r="P89" s="16">
        <f>(I89*J89*O89)+L89</f>
        <v>198.97799999999998</v>
      </c>
      <c r="Q89" s="18" t="str">
        <f t="shared" si="0"/>
        <v/>
      </c>
      <c r="R89" s="18" t="str">
        <f t="shared" si="1"/>
        <v/>
      </c>
      <c r="S89" s="18" t="str">
        <f t="shared" si="2"/>
        <v/>
      </c>
      <c r="T89" s="18">
        <f t="shared" si="3"/>
        <v>198.97799999999998</v>
      </c>
      <c r="U89" s="18" t="str">
        <f t="shared" si="4"/>
        <v/>
      </c>
      <c r="V89" s="18" t="str">
        <f t="shared" si="5"/>
        <v/>
      </c>
      <c r="W89" s="14"/>
    </row>
    <row r="90" spans="1:23" x14ac:dyDescent="0.25">
      <c r="A90" s="6"/>
      <c r="B90" s="22"/>
      <c r="C90" s="8"/>
      <c r="D90" s="20"/>
      <c r="E90" s="21"/>
      <c r="F90" s="34"/>
      <c r="G90" s="35"/>
      <c r="H90" s="10"/>
      <c r="I90" s="11"/>
      <c r="J90" s="11"/>
      <c r="K90" s="12"/>
      <c r="L90" s="11"/>
      <c r="M90" s="11"/>
      <c r="N90" s="11"/>
      <c r="O90" s="11"/>
      <c r="P90" s="13"/>
      <c r="Q90" s="18" t="str">
        <f t="shared" si="0"/>
        <v/>
      </c>
      <c r="R90" s="18" t="str">
        <f t="shared" si="1"/>
        <v/>
      </c>
      <c r="S90" s="18" t="str">
        <f t="shared" si="2"/>
        <v/>
      </c>
      <c r="T90" s="18" t="str">
        <f t="shared" si="3"/>
        <v/>
      </c>
      <c r="U90" s="18" t="str">
        <f t="shared" si="4"/>
        <v/>
      </c>
      <c r="V90" s="18" t="str">
        <f t="shared" si="5"/>
        <v/>
      </c>
      <c r="W90" s="14"/>
    </row>
    <row r="91" spans="1:23" x14ac:dyDescent="0.25">
      <c r="A91" s="6">
        <v>4</v>
      </c>
      <c r="B91" s="7" t="s">
        <v>117</v>
      </c>
      <c r="C91" s="8"/>
      <c r="D91" s="20"/>
      <c r="E91" s="20"/>
      <c r="F91" s="34"/>
      <c r="G91" s="35"/>
      <c r="H91" s="10"/>
      <c r="I91" s="11"/>
      <c r="J91" s="11"/>
      <c r="K91" s="12"/>
      <c r="L91" s="11"/>
      <c r="M91" s="11"/>
      <c r="N91" s="11"/>
      <c r="O91" s="11"/>
      <c r="P91" s="13"/>
      <c r="Q91" s="18" t="str">
        <f t="shared" si="0"/>
        <v/>
      </c>
      <c r="R91" s="18" t="str">
        <f t="shared" si="1"/>
        <v/>
      </c>
      <c r="S91" s="18" t="str">
        <f t="shared" si="2"/>
        <v/>
      </c>
      <c r="T91" s="18" t="str">
        <f t="shared" si="3"/>
        <v/>
      </c>
      <c r="U91" s="18" t="str">
        <f t="shared" si="4"/>
        <v/>
      </c>
      <c r="V91" s="18" t="str">
        <f t="shared" si="5"/>
        <v/>
      </c>
      <c r="W91" s="14"/>
    </row>
    <row r="92" spans="1:23" x14ac:dyDescent="0.25">
      <c r="A92" s="6"/>
      <c r="B92" t="s">
        <v>19</v>
      </c>
      <c r="C92" s="19">
        <v>0.5</v>
      </c>
      <c r="D92" s="63">
        <f>31.935-2*0.05</f>
        <v>31.834999999999997</v>
      </c>
      <c r="E92" s="64"/>
      <c r="F92" s="19">
        <v>0.5</v>
      </c>
      <c r="G92" s="36">
        <v>0.25</v>
      </c>
      <c r="H92" s="10">
        <v>16</v>
      </c>
      <c r="I92" s="11">
        <v>1</v>
      </c>
      <c r="J92" s="13">
        <f>ROUND(2.63/G92+1,0)/2</f>
        <v>6</v>
      </c>
      <c r="K92" s="45">
        <f>D92</f>
        <v>31.834999999999997</v>
      </c>
      <c r="L92" s="16">
        <f>IF(O92&lt;12,"0",0.049*H92)*2</f>
        <v>1.5680000000000001</v>
      </c>
      <c r="M92" s="17">
        <v>2</v>
      </c>
      <c r="N92" s="11">
        <f>M92*2*H92/1000</f>
        <v>6.4000000000000001E-2</v>
      </c>
      <c r="O92" s="16">
        <f>(D92+C92+F92)-N92</f>
        <v>32.770999999999994</v>
      </c>
      <c r="P92" s="16">
        <f>(I92*J92*O92)+L92</f>
        <v>198.19399999999999</v>
      </c>
      <c r="Q92" s="18" t="str">
        <f t="shared" si="0"/>
        <v/>
      </c>
      <c r="R92" s="18" t="str">
        <f t="shared" si="1"/>
        <v/>
      </c>
      <c r="S92" s="18" t="str">
        <f t="shared" si="2"/>
        <v/>
      </c>
      <c r="T92" s="18">
        <f t="shared" si="3"/>
        <v>198.19399999999999</v>
      </c>
      <c r="U92" s="18" t="str">
        <f t="shared" si="4"/>
        <v/>
      </c>
      <c r="V92" s="18" t="str">
        <f t="shared" si="5"/>
        <v/>
      </c>
      <c r="W92" s="14"/>
    </row>
    <row r="93" spans="1:23" x14ac:dyDescent="0.25">
      <c r="A93" s="6"/>
      <c r="B93" s="22"/>
      <c r="C93" s="8"/>
      <c r="D93" s="20"/>
      <c r="E93" s="21"/>
      <c r="F93" s="34"/>
      <c r="G93" s="35"/>
      <c r="H93" s="10"/>
      <c r="I93" s="11"/>
      <c r="J93" s="11"/>
      <c r="K93" s="12"/>
      <c r="L93" s="11"/>
      <c r="M93" s="11"/>
      <c r="N93" s="11"/>
      <c r="O93" s="11"/>
      <c r="P93" s="13"/>
      <c r="Q93" s="18" t="str">
        <f t="shared" si="0"/>
        <v/>
      </c>
      <c r="R93" s="18" t="str">
        <f t="shared" si="1"/>
        <v/>
      </c>
      <c r="S93" s="18" t="str">
        <f t="shared" si="2"/>
        <v/>
      </c>
      <c r="T93" s="18" t="str">
        <f t="shared" si="3"/>
        <v/>
      </c>
      <c r="U93" s="18" t="str">
        <f t="shared" si="4"/>
        <v/>
      </c>
      <c r="V93" s="18" t="str">
        <f t="shared" si="5"/>
        <v/>
      </c>
      <c r="W93" s="14"/>
    </row>
    <row r="94" spans="1:23" x14ac:dyDescent="0.25">
      <c r="A94" s="6">
        <v>5</v>
      </c>
      <c r="B94" s="7" t="s">
        <v>118</v>
      </c>
      <c r="C94" s="8"/>
      <c r="D94" s="20"/>
      <c r="E94" s="20"/>
      <c r="F94" s="34"/>
      <c r="G94" s="35"/>
      <c r="H94" s="10"/>
      <c r="I94" s="11"/>
      <c r="J94" s="11"/>
      <c r="K94" s="12"/>
      <c r="L94" s="11"/>
      <c r="M94" s="11"/>
      <c r="N94" s="11"/>
      <c r="O94" s="11"/>
      <c r="P94" s="13"/>
      <c r="Q94" s="18" t="str">
        <f t="shared" si="0"/>
        <v/>
      </c>
      <c r="R94" s="18" t="str">
        <f t="shared" si="1"/>
        <v/>
      </c>
      <c r="S94" s="18" t="str">
        <f t="shared" si="2"/>
        <v/>
      </c>
      <c r="T94" s="18" t="str">
        <f t="shared" si="3"/>
        <v/>
      </c>
      <c r="U94" s="18" t="str">
        <f t="shared" si="4"/>
        <v/>
      </c>
      <c r="V94" s="18" t="str">
        <f t="shared" si="5"/>
        <v/>
      </c>
      <c r="W94" s="14"/>
    </row>
    <row r="95" spans="1:23" x14ac:dyDescent="0.25">
      <c r="A95" s="6"/>
      <c r="B95" t="s">
        <v>19</v>
      </c>
      <c r="C95" s="19">
        <v>0.5</v>
      </c>
      <c r="D95" s="63">
        <f>31.95-2*0.05-1.5</f>
        <v>30.349999999999998</v>
      </c>
      <c r="E95" s="64"/>
      <c r="F95" s="19">
        <v>0.5</v>
      </c>
      <c r="G95" s="36">
        <v>0.25</v>
      </c>
      <c r="H95" s="10">
        <v>16</v>
      </c>
      <c r="I95" s="11">
        <v>1</v>
      </c>
      <c r="J95" s="13">
        <f>ROUND(3.95/G95+1,0)/2</f>
        <v>8.5</v>
      </c>
      <c r="K95" s="45">
        <f>D95</f>
        <v>30.349999999999998</v>
      </c>
      <c r="L95" s="16">
        <f>IF(O95&lt;12,"0",0.049*H95)*3</f>
        <v>2.3520000000000003</v>
      </c>
      <c r="M95" s="17">
        <v>2</v>
      </c>
      <c r="N95" s="11">
        <f>M95*2*H95/1000</f>
        <v>6.4000000000000001E-2</v>
      </c>
      <c r="O95" s="16">
        <f>(D95+C95+F95)-N95</f>
        <v>31.285999999999998</v>
      </c>
      <c r="P95" s="16">
        <f>(I95*J95*O95)+L95</f>
        <v>268.28299999999996</v>
      </c>
      <c r="Q95" s="18" t="str">
        <f t="shared" si="0"/>
        <v/>
      </c>
      <c r="R95" s="18" t="str">
        <f t="shared" si="1"/>
        <v/>
      </c>
      <c r="S95" s="18" t="str">
        <f t="shared" si="2"/>
        <v/>
      </c>
      <c r="T95" s="18">
        <f t="shared" si="3"/>
        <v>268.28299999999996</v>
      </c>
      <c r="U95" s="18" t="str">
        <f t="shared" si="4"/>
        <v/>
      </c>
      <c r="V95" s="18" t="str">
        <f t="shared" si="5"/>
        <v/>
      </c>
      <c r="W95" s="14"/>
    </row>
    <row r="96" spans="1:23" x14ac:dyDescent="0.25">
      <c r="A96" s="6"/>
      <c r="B96" s="22"/>
      <c r="C96" s="8"/>
      <c r="D96" s="20"/>
      <c r="E96" s="21"/>
      <c r="F96" s="34"/>
      <c r="G96" s="35"/>
      <c r="H96" s="10"/>
      <c r="I96" s="11"/>
      <c r="J96" s="11"/>
      <c r="K96" s="12"/>
      <c r="L96" s="11"/>
      <c r="M96" s="11"/>
      <c r="N96" s="11"/>
      <c r="O96" s="11"/>
      <c r="P96" s="13"/>
      <c r="Q96" s="18" t="str">
        <f t="shared" si="0"/>
        <v/>
      </c>
      <c r="R96" s="18" t="str">
        <f t="shared" si="1"/>
        <v/>
      </c>
      <c r="S96" s="18" t="str">
        <f t="shared" si="2"/>
        <v/>
      </c>
      <c r="T96" s="18" t="str">
        <f t="shared" si="3"/>
        <v/>
      </c>
      <c r="U96" s="18" t="str">
        <f t="shared" si="4"/>
        <v/>
      </c>
      <c r="V96" s="18" t="str">
        <f t="shared" si="5"/>
        <v/>
      </c>
      <c r="W96" s="14"/>
    </row>
    <row r="97" spans="1:23" x14ac:dyDescent="0.25">
      <c r="A97" s="6">
        <v>5</v>
      </c>
      <c r="B97" s="7" t="s">
        <v>118</v>
      </c>
      <c r="C97" s="8"/>
      <c r="D97" s="20"/>
      <c r="E97" s="20"/>
      <c r="F97" s="34"/>
      <c r="G97" s="35"/>
      <c r="H97" s="10"/>
      <c r="I97" s="11"/>
      <c r="J97" s="11"/>
      <c r="K97" s="12"/>
      <c r="L97" s="11"/>
      <c r="M97" s="11"/>
      <c r="N97" s="11"/>
      <c r="O97" s="11"/>
      <c r="P97" s="13"/>
      <c r="Q97" s="18" t="str">
        <f t="shared" si="0"/>
        <v/>
      </c>
      <c r="R97" s="18" t="str">
        <f t="shared" si="1"/>
        <v/>
      </c>
      <c r="S97" s="18" t="str">
        <f t="shared" si="2"/>
        <v/>
      </c>
      <c r="T97" s="18" t="str">
        <f t="shared" si="3"/>
        <v/>
      </c>
      <c r="U97" s="18" t="str">
        <f t="shared" si="4"/>
        <v/>
      </c>
      <c r="V97" s="18" t="str">
        <f t="shared" si="5"/>
        <v/>
      </c>
      <c r="W97" s="14"/>
    </row>
    <row r="98" spans="1:23" x14ac:dyDescent="0.25">
      <c r="A98" s="6"/>
      <c r="B98" t="s">
        <v>19</v>
      </c>
      <c r="C98" s="19">
        <v>0.5</v>
      </c>
      <c r="D98" s="63">
        <f>31.95-2*0.05-1.5</f>
        <v>30.349999999999998</v>
      </c>
      <c r="E98" s="64"/>
      <c r="F98" s="19">
        <v>0.5</v>
      </c>
      <c r="G98" s="36">
        <v>0.25</v>
      </c>
      <c r="H98" s="10">
        <v>16</v>
      </c>
      <c r="I98" s="11">
        <v>1</v>
      </c>
      <c r="J98" s="13">
        <f>ROUND(3.95/G98+1,0)/2</f>
        <v>8.5</v>
      </c>
      <c r="K98" s="45">
        <f>D98</f>
        <v>30.349999999999998</v>
      </c>
      <c r="L98" s="16">
        <f>IF(O98&lt;12,"0",0.049*H98)*2</f>
        <v>1.5680000000000001</v>
      </c>
      <c r="M98" s="17">
        <v>2</v>
      </c>
      <c r="N98" s="11">
        <f>M98*2*H98/1000</f>
        <v>6.4000000000000001E-2</v>
      </c>
      <c r="O98" s="16">
        <f>(D98+C98+F98)-N98</f>
        <v>31.285999999999998</v>
      </c>
      <c r="P98" s="16">
        <f>(I98*J98*O98)+L98</f>
        <v>267.49899999999997</v>
      </c>
      <c r="Q98" s="18" t="str">
        <f t="shared" si="0"/>
        <v/>
      </c>
      <c r="R98" s="18" t="str">
        <f t="shared" si="1"/>
        <v/>
      </c>
      <c r="S98" s="18" t="str">
        <f t="shared" si="2"/>
        <v/>
      </c>
      <c r="T98" s="18">
        <f t="shared" si="3"/>
        <v>267.49899999999997</v>
      </c>
      <c r="U98" s="18" t="str">
        <f t="shared" si="4"/>
        <v/>
      </c>
      <c r="V98" s="18" t="str">
        <f t="shared" si="5"/>
        <v/>
      </c>
      <c r="W98" s="14"/>
    </row>
    <row r="99" spans="1:23" x14ac:dyDescent="0.25">
      <c r="A99" s="6"/>
      <c r="B99" s="22"/>
      <c r="C99" s="8"/>
      <c r="D99" s="20"/>
      <c r="E99" s="21"/>
      <c r="F99" s="34"/>
      <c r="G99" s="35"/>
      <c r="H99" s="10"/>
      <c r="I99" s="11"/>
      <c r="J99" s="11"/>
      <c r="K99" s="12"/>
      <c r="L99" s="11"/>
      <c r="M99" s="11"/>
      <c r="N99" s="11"/>
      <c r="O99" s="11"/>
      <c r="P99" s="13"/>
      <c r="Q99" s="18" t="str">
        <f t="shared" si="0"/>
        <v/>
      </c>
      <c r="R99" s="18" t="str">
        <f t="shared" si="1"/>
        <v/>
      </c>
      <c r="S99" s="18" t="str">
        <f t="shared" si="2"/>
        <v/>
      </c>
      <c r="T99" s="18" t="str">
        <f t="shared" si="3"/>
        <v/>
      </c>
      <c r="U99" s="18" t="str">
        <f t="shared" si="4"/>
        <v/>
      </c>
      <c r="V99" s="18" t="str">
        <f t="shared" si="5"/>
        <v/>
      </c>
      <c r="W99" s="14"/>
    </row>
    <row r="100" spans="1:23" x14ac:dyDescent="0.25">
      <c r="A100" s="6">
        <v>6</v>
      </c>
      <c r="B100" s="7" t="s">
        <v>119</v>
      </c>
      <c r="C100" s="8"/>
      <c r="D100" s="20"/>
      <c r="E100" s="20"/>
      <c r="F100" s="34"/>
      <c r="G100" s="35"/>
      <c r="H100" s="10"/>
      <c r="I100" s="11"/>
      <c r="J100" s="11"/>
      <c r="K100" s="12"/>
      <c r="L100" s="11"/>
      <c r="M100" s="11"/>
      <c r="N100" s="11"/>
      <c r="O100" s="11"/>
      <c r="P100" s="13"/>
      <c r="Q100" s="18" t="str">
        <f t="shared" si="0"/>
        <v/>
      </c>
      <c r="R100" s="18" t="str">
        <f t="shared" si="1"/>
        <v/>
      </c>
      <c r="S100" s="18" t="str">
        <f t="shared" si="2"/>
        <v/>
      </c>
      <c r="T100" s="18" t="str">
        <f t="shared" si="3"/>
        <v/>
      </c>
      <c r="U100" s="18" t="str">
        <f t="shared" si="4"/>
        <v/>
      </c>
      <c r="V100" s="18" t="str">
        <f t="shared" si="5"/>
        <v/>
      </c>
      <c r="W100" s="14"/>
    </row>
    <row r="101" spans="1:23" x14ac:dyDescent="0.25">
      <c r="A101" s="6"/>
      <c r="B101" t="s">
        <v>19</v>
      </c>
      <c r="C101" s="19">
        <v>0.5</v>
      </c>
      <c r="D101" s="63">
        <f>31.95-2*0.05-1.5-0.815</f>
        <v>29.534999999999997</v>
      </c>
      <c r="E101" s="64"/>
      <c r="F101" s="19">
        <v>0.5</v>
      </c>
      <c r="G101" s="36">
        <v>0.25</v>
      </c>
      <c r="H101" s="10">
        <v>16</v>
      </c>
      <c r="I101" s="11">
        <v>1</v>
      </c>
      <c r="J101" s="13">
        <f>ROUND(1.695/G101+1,0)/2</f>
        <v>4</v>
      </c>
      <c r="K101" s="45">
        <f>D101</f>
        <v>29.534999999999997</v>
      </c>
      <c r="L101" s="16">
        <f>IF(O101&lt;12,"0",0.049*H101)*3</f>
        <v>2.3520000000000003</v>
      </c>
      <c r="M101" s="17">
        <v>2</v>
      </c>
      <c r="N101" s="11">
        <f>M101*2*H101/1000</f>
        <v>6.4000000000000001E-2</v>
      </c>
      <c r="O101" s="16">
        <f>(D101+C101+F101)-N101</f>
        <v>30.470999999999997</v>
      </c>
      <c r="P101" s="16">
        <f>(I101*J101*O101)+L101</f>
        <v>124.23599999999999</v>
      </c>
      <c r="Q101" s="18" t="str">
        <f t="shared" si="0"/>
        <v/>
      </c>
      <c r="R101" s="18" t="str">
        <f t="shared" si="1"/>
        <v/>
      </c>
      <c r="S101" s="18" t="str">
        <f t="shared" si="2"/>
        <v/>
      </c>
      <c r="T101" s="18">
        <f t="shared" si="3"/>
        <v>124.23599999999999</v>
      </c>
      <c r="U101" s="18" t="str">
        <f t="shared" si="4"/>
        <v/>
      </c>
      <c r="V101" s="18" t="str">
        <f t="shared" si="5"/>
        <v/>
      </c>
      <c r="W101" s="14"/>
    </row>
    <row r="102" spans="1:23" x14ac:dyDescent="0.25">
      <c r="A102" s="6"/>
      <c r="B102" s="22"/>
      <c r="C102" s="8"/>
      <c r="D102" s="20"/>
      <c r="E102" s="21"/>
      <c r="F102" s="34"/>
      <c r="G102" s="35"/>
      <c r="H102" s="10"/>
      <c r="I102" s="11"/>
      <c r="J102" s="11"/>
      <c r="K102" s="12"/>
      <c r="L102" s="11"/>
      <c r="M102" s="11"/>
      <c r="N102" s="11"/>
      <c r="O102" s="11"/>
      <c r="P102" s="13"/>
      <c r="Q102" s="18" t="str">
        <f t="shared" si="0"/>
        <v/>
      </c>
      <c r="R102" s="18" t="str">
        <f t="shared" si="1"/>
        <v/>
      </c>
      <c r="S102" s="18" t="str">
        <f t="shared" si="2"/>
        <v/>
      </c>
      <c r="T102" s="18" t="str">
        <f t="shared" si="3"/>
        <v/>
      </c>
      <c r="U102" s="18" t="str">
        <f t="shared" si="4"/>
        <v/>
      </c>
      <c r="V102" s="18" t="str">
        <f t="shared" si="5"/>
        <v/>
      </c>
      <c r="W102" s="14"/>
    </row>
    <row r="103" spans="1:23" x14ac:dyDescent="0.25">
      <c r="A103" s="6">
        <v>6</v>
      </c>
      <c r="B103" s="7" t="s">
        <v>119</v>
      </c>
      <c r="C103" s="8"/>
      <c r="D103" s="20"/>
      <c r="E103" s="20"/>
      <c r="F103" s="34"/>
      <c r="G103" s="35"/>
      <c r="H103" s="10"/>
      <c r="I103" s="11"/>
      <c r="J103" s="11"/>
      <c r="K103" s="12"/>
      <c r="L103" s="11"/>
      <c r="M103" s="11"/>
      <c r="N103" s="11"/>
      <c r="O103" s="11"/>
      <c r="P103" s="13"/>
      <c r="Q103" s="18" t="str">
        <f t="shared" si="0"/>
        <v/>
      </c>
      <c r="R103" s="18" t="str">
        <f t="shared" si="1"/>
        <v/>
      </c>
      <c r="S103" s="18" t="str">
        <f t="shared" si="2"/>
        <v/>
      </c>
      <c r="T103" s="18" t="str">
        <f t="shared" si="3"/>
        <v/>
      </c>
      <c r="U103" s="18" t="str">
        <f t="shared" si="4"/>
        <v/>
      </c>
      <c r="V103" s="18" t="str">
        <f t="shared" si="5"/>
        <v/>
      </c>
      <c r="W103" s="14"/>
    </row>
    <row r="104" spans="1:23" x14ac:dyDescent="0.25">
      <c r="A104" s="6"/>
      <c r="B104" t="s">
        <v>19</v>
      </c>
      <c r="C104" s="19">
        <v>0.5</v>
      </c>
      <c r="D104" s="63">
        <f>31.95-2*0.05-1.5-0.815</f>
        <v>29.534999999999997</v>
      </c>
      <c r="E104" s="64"/>
      <c r="F104" s="19">
        <v>0.5</v>
      </c>
      <c r="G104" s="36">
        <v>0.25</v>
      </c>
      <c r="H104" s="10">
        <v>16</v>
      </c>
      <c r="I104" s="11">
        <v>1</v>
      </c>
      <c r="J104" s="13">
        <f>ROUND(1.695/G104+1,0)/2</f>
        <v>4</v>
      </c>
      <c r="K104" s="45">
        <f>D104</f>
        <v>29.534999999999997</v>
      </c>
      <c r="L104" s="16">
        <f>IF(O104&lt;12,"0",0.049*H104)*2</f>
        <v>1.5680000000000001</v>
      </c>
      <c r="M104" s="17">
        <v>2</v>
      </c>
      <c r="N104" s="11">
        <f>M104*2*H104/1000</f>
        <v>6.4000000000000001E-2</v>
      </c>
      <c r="O104" s="16">
        <f>(D104+C104+F104)-N104</f>
        <v>30.470999999999997</v>
      </c>
      <c r="P104" s="16">
        <f>(I104*J104*O104)+L104</f>
        <v>123.45199999999998</v>
      </c>
      <c r="Q104" s="18" t="str">
        <f t="shared" si="0"/>
        <v/>
      </c>
      <c r="R104" s="18" t="str">
        <f t="shared" si="1"/>
        <v/>
      </c>
      <c r="S104" s="18" t="str">
        <f t="shared" si="2"/>
        <v/>
      </c>
      <c r="T104" s="18">
        <f t="shared" si="3"/>
        <v>123.45199999999998</v>
      </c>
      <c r="U104" s="18" t="str">
        <f t="shared" si="4"/>
        <v/>
      </c>
      <c r="V104" s="18" t="str">
        <f t="shared" si="5"/>
        <v/>
      </c>
      <c r="W104" s="14"/>
    </row>
    <row r="105" spans="1:23" x14ac:dyDescent="0.25">
      <c r="A105" s="6"/>
      <c r="B105" s="22"/>
      <c r="C105" s="8"/>
      <c r="D105" s="20"/>
      <c r="E105" s="21"/>
      <c r="F105" s="34"/>
      <c r="G105" s="35"/>
      <c r="H105" s="10"/>
      <c r="I105" s="11"/>
      <c r="J105" s="11"/>
      <c r="K105" s="12"/>
      <c r="L105" s="11"/>
      <c r="M105" s="11"/>
      <c r="N105" s="11"/>
      <c r="O105" s="11"/>
      <c r="P105" s="13"/>
      <c r="Q105" s="18" t="str">
        <f t="shared" si="0"/>
        <v/>
      </c>
      <c r="R105" s="18" t="str">
        <f t="shared" si="1"/>
        <v/>
      </c>
      <c r="S105" s="18" t="str">
        <f t="shared" si="2"/>
        <v/>
      </c>
      <c r="T105" s="18" t="str">
        <f t="shared" si="3"/>
        <v/>
      </c>
      <c r="U105" s="18" t="str">
        <f t="shared" si="4"/>
        <v/>
      </c>
      <c r="V105" s="18" t="str">
        <f t="shared" si="5"/>
        <v/>
      </c>
      <c r="W105" s="14"/>
    </row>
    <row r="106" spans="1:23" x14ac:dyDescent="0.25">
      <c r="A106" s="6">
        <v>7</v>
      </c>
      <c r="B106" s="7" t="s">
        <v>120</v>
      </c>
      <c r="C106" s="8"/>
      <c r="D106" s="20"/>
      <c r="E106" s="20"/>
      <c r="F106" s="34"/>
      <c r="G106" s="35"/>
      <c r="H106" s="10"/>
      <c r="I106" s="11"/>
      <c r="J106" s="11"/>
      <c r="K106" s="12"/>
      <c r="L106" s="11"/>
      <c r="M106" s="11"/>
      <c r="N106" s="11"/>
      <c r="O106" s="11"/>
      <c r="P106" s="13"/>
      <c r="Q106" s="18" t="str">
        <f t="shared" si="0"/>
        <v/>
      </c>
      <c r="R106" s="18" t="str">
        <f t="shared" si="1"/>
        <v/>
      </c>
      <c r="S106" s="18" t="str">
        <f t="shared" si="2"/>
        <v/>
      </c>
      <c r="T106" s="18" t="str">
        <f t="shared" si="3"/>
        <v/>
      </c>
      <c r="U106" s="18" t="str">
        <f t="shared" si="4"/>
        <v/>
      </c>
      <c r="V106" s="18" t="str">
        <f t="shared" si="5"/>
        <v/>
      </c>
      <c r="W106" s="14"/>
    </row>
    <row r="107" spans="1:23" x14ac:dyDescent="0.25">
      <c r="A107" s="6"/>
      <c r="B107" t="s">
        <v>19</v>
      </c>
      <c r="C107" s="19">
        <v>0.5</v>
      </c>
      <c r="D107" s="63">
        <f>15.8-2*0.05</f>
        <v>15.700000000000001</v>
      </c>
      <c r="E107" s="64"/>
      <c r="F107" s="19">
        <v>0.5</v>
      </c>
      <c r="G107" s="36">
        <v>0.25</v>
      </c>
      <c r="H107" s="10">
        <v>16</v>
      </c>
      <c r="I107" s="11">
        <v>1</v>
      </c>
      <c r="J107" s="13">
        <f>ROUND(11.285/G107+1,0)</f>
        <v>46</v>
      </c>
      <c r="K107" s="45">
        <f>D107</f>
        <v>15.700000000000001</v>
      </c>
      <c r="L107" s="16">
        <f>IF(O107&lt;12,"0",0.049*H107)</f>
        <v>0.78400000000000003</v>
      </c>
      <c r="M107" s="17">
        <v>2</v>
      </c>
      <c r="N107" s="11">
        <f>M107*2*H107/1000</f>
        <v>6.4000000000000001E-2</v>
      </c>
      <c r="O107" s="16">
        <f>(D107+C107+F107)-N107</f>
        <v>16.636000000000003</v>
      </c>
      <c r="P107" s="16">
        <f>(I107*J107*O107)+L107</f>
        <v>766.04000000000008</v>
      </c>
      <c r="Q107" s="18" t="str">
        <f t="shared" si="0"/>
        <v/>
      </c>
      <c r="R107" s="18" t="str">
        <f t="shared" si="1"/>
        <v/>
      </c>
      <c r="S107" s="18" t="str">
        <f t="shared" si="2"/>
        <v/>
      </c>
      <c r="T107" s="18">
        <f t="shared" si="3"/>
        <v>766.04000000000008</v>
      </c>
      <c r="U107" s="18" t="str">
        <f t="shared" si="4"/>
        <v/>
      </c>
      <c r="V107" s="18" t="str">
        <f t="shared" si="5"/>
        <v/>
      </c>
      <c r="W107" s="14"/>
    </row>
    <row r="108" spans="1:23" x14ac:dyDescent="0.25">
      <c r="A108" s="6"/>
      <c r="B108" s="22"/>
      <c r="C108" s="8"/>
      <c r="D108" s="20"/>
      <c r="E108" s="21"/>
      <c r="F108" s="34"/>
      <c r="G108" s="35"/>
      <c r="H108" s="10"/>
      <c r="I108" s="11"/>
      <c r="J108" s="11"/>
      <c r="K108" s="12"/>
      <c r="L108" s="11"/>
      <c r="M108" s="11"/>
      <c r="N108" s="11"/>
      <c r="O108" s="11"/>
      <c r="P108" s="13"/>
      <c r="Q108" s="18" t="str">
        <f t="shared" si="0"/>
        <v/>
      </c>
      <c r="R108" s="18" t="str">
        <f t="shared" si="1"/>
        <v/>
      </c>
      <c r="S108" s="18" t="str">
        <f t="shared" si="2"/>
        <v/>
      </c>
      <c r="T108" s="18" t="str">
        <f t="shared" si="3"/>
        <v/>
      </c>
      <c r="U108" s="18" t="str">
        <f t="shared" si="4"/>
        <v/>
      </c>
      <c r="V108" s="18" t="str">
        <f t="shared" si="5"/>
        <v/>
      </c>
      <c r="W108" s="14"/>
    </row>
    <row r="109" spans="1:23" x14ac:dyDescent="0.25">
      <c r="A109" s="6"/>
      <c r="B109" s="22"/>
      <c r="C109" s="8"/>
      <c r="D109" s="20"/>
      <c r="E109" s="21"/>
      <c r="F109" s="34"/>
      <c r="G109" s="35"/>
      <c r="H109" s="10"/>
      <c r="I109" s="11"/>
      <c r="J109" s="11"/>
      <c r="K109" s="12"/>
      <c r="L109" s="11"/>
      <c r="M109" s="11"/>
      <c r="N109" s="11"/>
      <c r="O109" s="11"/>
      <c r="P109" s="13"/>
      <c r="Q109" s="18" t="str">
        <f t="shared" ref="Q109:Q172" si="6">IF($H109=8,$P109,"")</f>
        <v/>
      </c>
      <c r="R109" s="18" t="str">
        <f t="shared" ref="R109:R172" si="7">IF($H109=10,$P109,"")</f>
        <v/>
      </c>
      <c r="S109" s="18" t="str">
        <f t="shared" ref="S109:S172" si="8">IF($H109=12,$P109,"")</f>
        <v/>
      </c>
      <c r="T109" s="18" t="str">
        <f t="shared" ref="T109:T172" si="9">IF($H109=16,$P109,"")</f>
        <v/>
      </c>
      <c r="U109" s="18" t="str">
        <f t="shared" ref="U109:U172" si="10">IF($H109=20,$P109,"")</f>
        <v/>
      </c>
      <c r="V109" s="18" t="str">
        <f t="shared" ref="V109:V172" si="11">IF($H109=25,$P109,"")</f>
        <v/>
      </c>
      <c r="W109" s="14"/>
    </row>
    <row r="110" spans="1:23" x14ac:dyDescent="0.25">
      <c r="A110" s="6"/>
      <c r="B110" s="42" t="s">
        <v>24</v>
      </c>
      <c r="C110" s="8"/>
      <c r="D110" s="20"/>
      <c r="E110" s="20"/>
      <c r="F110" s="34"/>
      <c r="G110" s="35"/>
      <c r="H110" s="10"/>
      <c r="I110" s="11"/>
      <c r="J110" s="11"/>
      <c r="K110" s="12"/>
      <c r="L110" s="11"/>
      <c r="M110" s="11"/>
      <c r="N110" s="11"/>
      <c r="O110" s="11"/>
      <c r="P110" s="13"/>
      <c r="Q110" s="18" t="str">
        <f t="shared" si="6"/>
        <v/>
      </c>
      <c r="R110" s="18" t="str">
        <f t="shared" si="7"/>
        <v/>
      </c>
      <c r="S110" s="18" t="str">
        <f t="shared" si="8"/>
        <v/>
      </c>
      <c r="T110" s="18" t="str">
        <f t="shared" si="9"/>
        <v/>
      </c>
      <c r="U110" s="18" t="str">
        <f t="shared" si="10"/>
        <v/>
      </c>
      <c r="V110" s="18" t="str">
        <f t="shared" si="11"/>
        <v/>
      </c>
      <c r="W110" s="14"/>
    </row>
    <row r="111" spans="1:23" x14ac:dyDescent="0.25">
      <c r="A111" s="6">
        <v>1</v>
      </c>
      <c r="B111" s="40" t="s">
        <v>121</v>
      </c>
      <c r="C111" s="8"/>
      <c r="D111" s="20"/>
      <c r="E111" s="20"/>
      <c r="F111" s="34"/>
      <c r="G111" s="35"/>
      <c r="H111" s="10"/>
      <c r="I111" s="11"/>
      <c r="J111" s="11"/>
      <c r="K111" s="12"/>
      <c r="L111" s="11"/>
      <c r="M111" s="11"/>
      <c r="N111" s="11"/>
      <c r="O111" s="11"/>
      <c r="P111" s="13"/>
      <c r="Q111" s="18" t="str">
        <f t="shared" si="6"/>
        <v/>
      </c>
      <c r="R111" s="18" t="str">
        <f t="shared" si="7"/>
        <v/>
      </c>
      <c r="S111" s="18" t="str">
        <f t="shared" si="8"/>
        <v/>
      </c>
      <c r="T111" s="18" t="str">
        <f t="shared" si="9"/>
        <v/>
      </c>
      <c r="U111" s="18" t="str">
        <f t="shared" si="10"/>
        <v/>
      </c>
      <c r="V111" s="18" t="str">
        <f t="shared" si="11"/>
        <v/>
      </c>
      <c r="W111" s="14"/>
    </row>
    <row r="112" spans="1:23" x14ac:dyDescent="0.25">
      <c r="A112" s="6"/>
      <c r="B112" s="60" t="s">
        <v>29</v>
      </c>
      <c r="C112" s="19">
        <v>0.5</v>
      </c>
      <c r="D112" s="63">
        <f>8.875-2*0.05</f>
        <v>8.7750000000000004</v>
      </c>
      <c r="E112" s="64"/>
      <c r="F112" s="19">
        <v>0.5</v>
      </c>
      <c r="G112" s="36">
        <v>0.25</v>
      </c>
      <c r="H112" s="10">
        <v>16</v>
      </c>
      <c r="I112" s="11">
        <v>1</v>
      </c>
      <c r="J112" s="13">
        <f>ROUND(1.5/G112+1,0)</f>
        <v>7</v>
      </c>
      <c r="K112" s="45">
        <f>D112</f>
        <v>8.7750000000000004</v>
      </c>
      <c r="L112" s="37" t="str">
        <f>IF(O112&lt;12,"0",0.049*H112)</f>
        <v>0</v>
      </c>
      <c r="M112" s="17">
        <v>2</v>
      </c>
      <c r="N112" s="11">
        <f>M112*2*H112/1000</f>
        <v>6.4000000000000001E-2</v>
      </c>
      <c r="O112" s="16">
        <f>(D112+C112+F112)-N112</f>
        <v>9.7110000000000003</v>
      </c>
      <c r="P112" s="16">
        <f>(I112*J112*O112)+L112</f>
        <v>67.977000000000004</v>
      </c>
      <c r="Q112" s="18" t="str">
        <f t="shared" si="6"/>
        <v/>
      </c>
      <c r="R112" s="18" t="str">
        <f t="shared" si="7"/>
        <v/>
      </c>
      <c r="S112" s="18" t="str">
        <f t="shared" si="8"/>
        <v/>
      </c>
      <c r="T112" s="18">
        <f t="shared" si="9"/>
        <v>67.977000000000004</v>
      </c>
      <c r="U112" s="18" t="str">
        <f t="shared" si="10"/>
        <v/>
      </c>
      <c r="V112" s="18" t="str">
        <f t="shared" si="11"/>
        <v/>
      </c>
      <c r="W112" s="14"/>
    </row>
    <row r="113" spans="1:23" x14ac:dyDescent="0.25">
      <c r="A113" s="6"/>
      <c r="B113" s="40"/>
      <c r="C113" s="8"/>
      <c r="D113" s="20"/>
      <c r="E113" s="20"/>
      <c r="F113" s="34"/>
      <c r="G113" s="35"/>
      <c r="H113" s="10"/>
      <c r="I113" s="11"/>
      <c r="J113" s="11"/>
      <c r="K113" s="12"/>
      <c r="L113" s="11"/>
      <c r="M113" s="11"/>
      <c r="N113" s="11"/>
      <c r="O113" s="11"/>
      <c r="P113" s="13"/>
      <c r="Q113" s="18" t="str">
        <f t="shared" si="6"/>
        <v/>
      </c>
      <c r="R113" s="18" t="str">
        <f t="shared" si="7"/>
        <v/>
      </c>
      <c r="S113" s="18" t="str">
        <f t="shared" si="8"/>
        <v/>
      </c>
      <c r="T113" s="18" t="str">
        <f t="shared" si="9"/>
        <v/>
      </c>
      <c r="U113" s="18" t="str">
        <f t="shared" si="10"/>
        <v/>
      </c>
      <c r="V113" s="18" t="str">
        <f t="shared" si="11"/>
        <v/>
      </c>
      <c r="W113" s="14"/>
    </row>
    <row r="114" spans="1:23" x14ac:dyDescent="0.25">
      <c r="A114" s="6">
        <v>2</v>
      </c>
      <c r="B114" s="40" t="s">
        <v>122</v>
      </c>
      <c r="C114" s="8"/>
      <c r="D114" s="20"/>
      <c r="E114" s="20"/>
      <c r="F114" s="34"/>
      <c r="G114" s="35"/>
      <c r="H114" s="10"/>
      <c r="I114" s="11"/>
      <c r="J114" s="11"/>
      <c r="K114" s="12"/>
      <c r="L114" s="11"/>
      <c r="M114" s="11"/>
      <c r="N114" s="11"/>
      <c r="O114" s="11"/>
      <c r="P114" s="13"/>
      <c r="Q114" s="18" t="str">
        <f t="shared" si="6"/>
        <v/>
      </c>
      <c r="R114" s="18" t="str">
        <f t="shared" si="7"/>
        <v/>
      </c>
      <c r="S114" s="18" t="str">
        <f t="shared" si="8"/>
        <v/>
      </c>
      <c r="T114" s="18" t="str">
        <f t="shared" si="9"/>
        <v/>
      </c>
      <c r="U114" s="18" t="str">
        <f t="shared" si="10"/>
        <v/>
      </c>
      <c r="V114" s="18" t="str">
        <f t="shared" si="11"/>
        <v/>
      </c>
      <c r="W114" s="14"/>
    </row>
    <row r="115" spans="1:23" x14ac:dyDescent="0.25">
      <c r="A115" s="6"/>
      <c r="B115" s="60" t="s">
        <v>29</v>
      </c>
      <c r="C115" s="19">
        <v>0.5</v>
      </c>
      <c r="D115" s="63">
        <f>12.825-2*0.05</f>
        <v>12.725</v>
      </c>
      <c r="E115" s="64"/>
      <c r="F115" s="19">
        <v>0.5</v>
      </c>
      <c r="G115" s="36">
        <v>0.25</v>
      </c>
      <c r="H115" s="10">
        <v>16</v>
      </c>
      <c r="I115" s="11">
        <v>1</v>
      </c>
      <c r="J115" s="13">
        <f>ROUND(0.815/G115+1,0)</f>
        <v>4</v>
      </c>
      <c r="K115" s="45">
        <f>D115</f>
        <v>12.725</v>
      </c>
      <c r="L115" s="37">
        <f>IF(O115&lt;12,"0",0.049*H115)</f>
        <v>0.78400000000000003</v>
      </c>
      <c r="M115" s="17">
        <v>2</v>
      </c>
      <c r="N115" s="11">
        <f>M115*2*H115/1000</f>
        <v>6.4000000000000001E-2</v>
      </c>
      <c r="O115" s="16">
        <f>(D115+C115+F115)-N115</f>
        <v>13.661</v>
      </c>
      <c r="P115" s="16">
        <f>(I115*J115*O115)+L115</f>
        <v>55.427999999999997</v>
      </c>
      <c r="Q115" s="18" t="str">
        <f t="shared" si="6"/>
        <v/>
      </c>
      <c r="R115" s="18" t="str">
        <f t="shared" si="7"/>
        <v/>
      </c>
      <c r="S115" s="18" t="str">
        <f t="shared" si="8"/>
        <v/>
      </c>
      <c r="T115" s="18">
        <f t="shared" si="9"/>
        <v>55.427999999999997</v>
      </c>
      <c r="U115" s="18" t="str">
        <f t="shared" si="10"/>
        <v/>
      </c>
      <c r="V115" s="18" t="str">
        <f t="shared" si="11"/>
        <v/>
      </c>
      <c r="W115" s="14"/>
    </row>
    <row r="116" spans="1:23" x14ac:dyDescent="0.25">
      <c r="A116" s="6"/>
      <c r="B116" s="60"/>
      <c r="C116" s="19"/>
      <c r="D116" s="56"/>
      <c r="E116" s="56"/>
      <c r="F116" s="41"/>
      <c r="G116" s="36"/>
      <c r="H116" s="10"/>
      <c r="I116" s="11"/>
      <c r="J116" s="13"/>
      <c r="K116" s="45"/>
      <c r="L116" s="37"/>
      <c r="M116" s="17"/>
      <c r="N116" s="11"/>
      <c r="O116" s="16"/>
      <c r="P116" s="16"/>
      <c r="Q116" s="18" t="str">
        <f t="shared" si="6"/>
        <v/>
      </c>
      <c r="R116" s="18" t="str">
        <f t="shared" si="7"/>
        <v/>
      </c>
      <c r="S116" s="18" t="str">
        <f t="shared" si="8"/>
        <v/>
      </c>
      <c r="T116" s="18" t="str">
        <f t="shared" si="9"/>
        <v/>
      </c>
      <c r="U116" s="18" t="str">
        <f t="shared" si="10"/>
        <v/>
      </c>
      <c r="V116" s="18" t="str">
        <f t="shared" si="11"/>
        <v/>
      </c>
      <c r="W116" s="14"/>
    </row>
    <row r="117" spans="1:23" x14ac:dyDescent="0.25">
      <c r="A117" s="6">
        <v>3</v>
      </c>
      <c r="B117" s="40" t="s">
        <v>123</v>
      </c>
      <c r="C117" s="8"/>
      <c r="D117" s="20"/>
      <c r="E117" s="20"/>
      <c r="F117" s="34"/>
      <c r="G117" s="35"/>
      <c r="H117" s="10"/>
      <c r="I117" s="11"/>
      <c r="J117" s="11"/>
      <c r="K117" s="12"/>
      <c r="L117" s="11"/>
      <c r="M117" s="11"/>
      <c r="N117" s="11"/>
      <c r="O117" s="11"/>
      <c r="P117" s="13"/>
      <c r="Q117" s="18" t="str">
        <f t="shared" si="6"/>
        <v/>
      </c>
      <c r="R117" s="18" t="str">
        <f t="shared" si="7"/>
        <v/>
      </c>
      <c r="S117" s="18" t="str">
        <f t="shared" si="8"/>
        <v/>
      </c>
      <c r="T117" s="18" t="str">
        <f t="shared" si="9"/>
        <v/>
      </c>
      <c r="U117" s="18" t="str">
        <f t="shared" si="10"/>
        <v/>
      </c>
      <c r="V117" s="18" t="str">
        <f t="shared" si="11"/>
        <v/>
      </c>
      <c r="W117" s="14"/>
    </row>
    <row r="118" spans="1:23" x14ac:dyDescent="0.25">
      <c r="A118" s="6"/>
      <c r="B118" s="60" t="s">
        <v>29</v>
      </c>
      <c r="C118" s="19">
        <v>0.5</v>
      </c>
      <c r="D118" s="63">
        <f>14.52-2*0.05</f>
        <v>14.42</v>
      </c>
      <c r="E118" s="64"/>
      <c r="F118" s="19">
        <v>0.5</v>
      </c>
      <c r="G118" s="36">
        <v>0.25</v>
      </c>
      <c r="H118" s="10">
        <v>16</v>
      </c>
      <c r="I118" s="11">
        <v>1</v>
      </c>
      <c r="J118" s="13">
        <f>ROUND(1.405/G118+1,0)</f>
        <v>7</v>
      </c>
      <c r="K118" s="45">
        <f>D118</f>
        <v>14.42</v>
      </c>
      <c r="L118" s="37">
        <f>IF(O118&lt;12,"0",0.049*H118)</f>
        <v>0.78400000000000003</v>
      </c>
      <c r="M118" s="17">
        <v>2</v>
      </c>
      <c r="N118" s="11">
        <f>M118*2*H118/1000</f>
        <v>6.4000000000000001E-2</v>
      </c>
      <c r="O118" s="16">
        <f>(D118+C118+F118)-N118</f>
        <v>15.356</v>
      </c>
      <c r="P118" s="16">
        <f>(I118*J118*O118)+L118</f>
        <v>108.27600000000001</v>
      </c>
      <c r="Q118" s="18" t="str">
        <f t="shared" si="6"/>
        <v/>
      </c>
      <c r="R118" s="18" t="str">
        <f t="shared" si="7"/>
        <v/>
      </c>
      <c r="S118" s="18" t="str">
        <f t="shared" si="8"/>
        <v/>
      </c>
      <c r="T118" s="18">
        <f t="shared" si="9"/>
        <v>108.27600000000001</v>
      </c>
      <c r="U118" s="18" t="str">
        <f t="shared" si="10"/>
        <v/>
      </c>
      <c r="V118" s="18" t="str">
        <f t="shared" si="11"/>
        <v/>
      </c>
      <c r="W118" s="14"/>
    </row>
    <row r="119" spans="1:23" x14ac:dyDescent="0.25">
      <c r="A119" s="6"/>
      <c r="B119" s="40"/>
      <c r="C119" s="8"/>
      <c r="D119" s="20"/>
      <c r="E119" s="20"/>
      <c r="F119" s="34"/>
      <c r="G119" s="35"/>
      <c r="H119" s="10"/>
      <c r="I119" s="11"/>
      <c r="J119" s="11"/>
      <c r="K119" s="12"/>
      <c r="L119" s="11"/>
      <c r="M119" s="11"/>
      <c r="N119" s="11"/>
      <c r="O119" s="11"/>
      <c r="P119" s="13"/>
      <c r="Q119" s="18" t="str">
        <f t="shared" si="6"/>
        <v/>
      </c>
      <c r="R119" s="18" t="str">
        <f t="shared" si="7"/>
        <v/>
      </c>
      <c r="S119" s="18" t="str">
        <f t="shared" si="8"/>
        <v/>
      </c>
      <c r="T119" s="18" t="str">
        <f t="shared" si="9"/>
        <v/>
      </c>
      <c r="U119" s="18" t="str">
        <f t="shared" si="10"/>
        <v/>
      </c>
      <c r="V119" s="18" t="str">
        <f t="shared" si="11"/>
        <v/>
      </c>
      <c r="W119" s="14"/>
    </row>
    <row r="120" spans="1:23" x14ac:dyDescent="0.25">
      <c r="A120" s="6">
        <v>4</v>
      </c>
      <c r="B120" s="40" t="s">
        <v>124</v>
      </c>
      <c r="C120" s="8"/>
      <c r="D120" s="20"/>
      <c r="E120" s="20"/>
      <c r="F120" s="34"/>
      <c r="G120" s="35"/>
      <c r="H120" s="10"/>
      <c r="I120" s="11"/>
      <c r="J120" s="11"/>
      <c r="K120" s="12"/>
      <c r="L120" s="11"/>
      <c r="M120" s="11"/>
      <c r="N120" s="11"/>
      <c r="O120" s="11"/>
      <c r="P120" s="13"/>
      <c r="Q120" s="18" t="str">
        <f t="shared" si="6"/>
        <v/>
      </c>
      <c r="R120" s="18" t="str">
        <f t="shared" si="7"/>
        <v/>
      </c>
      <c r="S120" s="18" t="str">
        <f t="shared" si="8"/>
        <v/>
      </c>
      <c r="T120" s="18" t="str">
        <f t="shared" si="9"/>
        <v/>
      </c>
      <c r="U120" s="18" t="str">
        <f t="shared" si="10"/>
        <v/>
      </c>
      <c r="V120" s="18" t="str">
        <f t="shared" si="11"/>
        <v/>
      </c>
      <c r="W120" s="14"/>
    </row>
    <row r="121" spans="1:23" x14ac:dyDescent="0.25">
      <c r="A121" s="6"/>
      <c r="B121" s="60" t="s">
        <v>29</v>
      </c>
      <c r="C121" s="19"/>
      <c r="D121" s="63">
        <f>25.805-1*0.05</f>
        <v>25.754999999999999</v>
      </c>
      <c r="E121" s="63"/>
      <c r="F121" s="41">
        <v>0.5</v>
      </c>
      <c r="G121" s="36">
        <v>0.25</v>
      </c>
      <c r="H121" s="10">
        <v>16</v>
      </c>
      <c r="I121" s="11">
        <v>1</v>
      </c>
      <c r="J121" s="13">
        <f>ROUND(6.565/G121+1,0)</f>
        <v>27</v>
      </c>
      <c r="K121" s="45">
        <f>D121</f>
        <v>25.754999999999999</v>
      </c>
      <c r="L121" s="37">
        <f>IF(O121&lt;12,"0",0.049*H121)*2</f>
        <v>1.5680000000000001</v>
      </c>
      <c r="M121" s="17">
        <v>1</v>
      </c>
      <c r="N121" s="11">
        <f>M121*1*H121/1000</f>
        <v>1.6E-2</v>
      </c>
      <c r="O121" s="16">
        <f>(D121+C121+F121)-N121</f>
        <v>26.239000000000001</v>
      </c>
      <c r="P121" s="16">
        <f>(I121*J121*O121)+L121</f>
        <v>710.02099999999996</v>
      </c>
      <c r="Q121" s="18" t="str">
        <f t="shared" si="6"/>
        <v/>
      </c>
      <c r="R121" s="18" t="str">
        <f t="shared" si="7"/>
        <v/>
      </c>
      <c r="S121" s="18" t="str">
        <f t="shared" si="8"/>
        <v/>
      </c>
      <c r="T121" s="18">
        <f t="shared" si="9"/>
        <v>710.02099999999996</v>
      </c>
      <c r="U121" s="18" t="str">
        <f t="shared" si="10"/>
        <v/>
      </c>
      <c r="V121" s="18" t="str">
        <f t="shared" si="11"/>
        <v/>
      </c>
      <c r="W121" s="14"/>
    </row>
    <row r="122" spans="1:23" x14ac:dyDescent="0.25">
      <c r="A122" s="6"/>
      <c r="B122" s="40"/>
      <c r="C122" s="8"/>
      <c r="D122" s="20"/>
      <c r="E122" s="20"/>
      <c r="F122" s="34"/>
      <c r="G122" s="35"/>
      <c r="H122" s="10"/>
      <c r="I122" s="11"/>
      <c r="J122" s="11"/>
      <c r="K122" s="12"/>
      <c r="L122" s="11"/>
      <c r="M122" s="11"/>
      <c r="N122" s="11"/>
      <c r="O122" s="11"/>
      <c r="P122" s="13"/>
      <c r="Q122" s="18" t="str">
        <f t="shared" si="6"/>
        <v/>
      </c>
      <c r="R122" s="18" t="str">
        <f t="shared" si="7"/>
        <v/>
      </c>
      <c r="S122" s="18" t="str">
        <f t="shared" si="8"/>
        <v/>
      </c>
      <c r="T122" s="18" t="str">
        <f t="shared" si="9"/>
        <v/>
      </c>
      <c r="U122" s="18" t="str">
        <f t="shared" si="10"/>
        <v/>
      </c>
      <c r="V122" s="18" t="str">
        <f t="shared" si="11"/>
        <v/>
      </c>
      <c r="W122" s="14"/>
    </row>
    <row r="123" spans="1:23" x14ac:dyDescent="0.25">
      <c r="A123" s="6">
        <v>5</v>
      </c>
      <c r="B123" s="40" t="s">
        <v>125</v>
      </c>
      <c r="C123" s="8"/>
      <c r="D123" s="20"/>
      <c r="E123" s="20"/>
      <c r="F123" s="34"/>
      <c r="G123" s="35"/>
      <c r="H123" s="10"/>
      <c r="I123" s="11"/>
      <c r="J123" s="11"/>
      <c r="K123" s="12"/>
      <c r="L123" s="11"/>
      <c r="M123" s="11"/>
      <c r="N123" s="11"/>
      <c r="O123" s="11"/>
      <c r="P123" s="13"/>
      <c r="Q123" s="18" t="str">
        <f t="shared" si="6"/>
        <v/>
      </c>
      <c r="R123" s="18" t="str">
        <f t="shared" si="7"/>
        <v/>
      </c>
      <c r="S123" s="18" t="str">
        <f t="shared" si="8"/>
        <v/>
      </c>
      <c r="T123" s="18" t="str">
        <f t="shared" si="9"/>
        <v/>
      </c>
      <c r="U123" s="18" t="str">
        <f t="shared" si="10"/>
        <v/>
      </c>
      <c r="V123" s="18" t="str">
        <f t="shared" si="11"/>
        <v/>
      </c>
      <c r="W123" s="14"/>
    </row>
    <row r="124" spans="1:23" x14ac:dyDescent="0.25">
      <c r="A124" s="6"/>
      <c r="B124" s="60" t="s">
        <v>29</v>
      </c>
      <c r="C124" s="19"/>
      <c r="D124" s="63">
        <f>36.89-1*0.05</f>
        <v>36.840000000000003</v>
      </c>
      <c r="E124" s="63"/>
      <c r="F124" s="41">
        <v>0.5</v>
      </c>
      <c r="G124" s="36">
        <v>0.25</v>
      </c>
      <c r="H124" s="10">
        <v>16</v>
      </c>
      <c r="I124" s="11">
        <v>1</v>
      </c>
      <c r="J124" s="13">
        <f>ROUND(9.235/G124+1,0)-8</f>
        <v>30</v>
      </c>
      <c r="K124" s="45">
        <f>D124</f>
        <v>36.840000000000003</v>
      </c>
      <c r="L124" s="37">
        <f>IF(O124&lt;12,"0",0.049*H124)*3</f>
        <v>2.3520000000000003</v>
      </c>
      <c r="M124" s="17">
        <v>1</v>
      </c>
      <c r="N124" s="11">
        <f>M124*1*H124/1000</f>
        <v>1.6E-2</v>
      </c>
      <c r="O124" s="16">
        <f>(D124+C124+F124)-N124</f>
        <v>37.324000000000005</v>
      </c>
      <c r="P124" s="16">
        <f>(I124*J124*O124)+L124</f>
        <v>1122.0720000000003</v>
      </c>
      <c r="Q124" s="18" t="str">
        <f t="shared" si="6"/>
        <v/>
      </c>
      <c r="R124" s="18" t="str">
        <f t="shared" si="7"/>
        <v/>
      </c>
      <c r="S124" s="18" t="str">
        <f t="shared" si="8"/>
        <v/>
      </c>
      <c r="T124" s="18">
        <f t="shared" si="9"/>
        <v>1122.0720000000003</v>
      </c>
      <c r="U124" s="18" t="str">
        <f t="shared" si="10"/>
        <v/>
      </c>
      <c r="V124" s="18" t="str">
        <f t="shared" si="11"/>
        <v/>
      </c>
      <c r="W124" s="14"/>
    </row>
    <row r="125" spans="1:23" x14ac:dyDescent="0.25">
      <c r="A125" s="6"/>
      <c r="B125" s="40"/>
      <c r="C125" s="8"/>
      <c r="D125" s="20"/>
      <c r="E125" s="20"/>
      <c r="F125" s="34"/>
      <c r="G125" s="35"/>
      <c r="H125" s="10"/>
      <c r="I125" s="11"/>
      <c r="J125" s="11"/>
      <c r="K125" s="12"/>
      <c r="L125" s="11"/>
      <c r="M125" s="11"/>
      <c r="N125" s="11"/>
      <c r="O125" s="11"/>
      <c r="P125" s="13"/>
      <c r="Q125" s="18" t="str">
        <f t="shared" si="6"/>
        <v/>
      </c>
      <c r="R125" s="18" t="str">
        <f t="shared" si="7"/>
        <v/>
      </c>
      <c r="S125" s="18" t="str">
        <f t="shared" si="8"/>
        <v/>
      </c>
      <c r="T125" s="18" t="str">
        <f t="shared" si="9"/>
        <v/>
      </c>
      <c r="U125" s="18" t="str">
        <f t="shared" si="10"/>
        <v/>
      </c>
      <c r="V125" s="18" t="str">
        <f t="shared" si="11"/>
        <v/>
      </c>
      <c r="W125" s="14"/>
    </row>
    <row r="126" spans="1:23" x14ac:dyDescent="0.25">
      <c r="A126" s="6">
        <v>6</v>
      </c>
      <c r="B126" s="40" t="s">
        <v>126</v>
      </c>
      <c r="C126" s="8"/>
      <c r="D126" s="20"/>
      <c r="E126" s="20"/>
      <c r="F126" s="34"/>
      <c r="G126" s="35"/>
      <c r="H126" s="10"/>
      <c r="I126" s="11"/>
      <c r="J126" s="11"/>
      <c r="K126" s="12"/>
      <c r="L126" s="11"/>
      <c r="M126" s="11"/>
      <c r="N126" s="11"/>
      <c r="O126" s="11"/>
      <c r="P126" s="13"/>
      <c r="Q126" s="18" t="str">
        <f t="shared" si="6"/>
        <v/>
      </c>
      <c r="R126" s="18" t="str">
        <f t="shared" si="7"/>
        <v/>
      </c>
      <c r="S126" s="18" t="str">
        <f t="shared" si="8"/>
        <v/>
      </c>
      <c r="T126" s="18" t="str">
        <f t="shared" si="9"/>
        <v/>
      </c>
      <c r="U126" s="18" t="str">
        <f t="shared" si="10"/>
        <v/>
      </c>
      <c r="V126" s="18" t="str">
        <f t="shared" si="11"/>
        <v/>
      </c>
      <c r="W126" s="14"/>
    </row>
    <row r="127" spans="1:23" x14ac:dyDescent="0.25">
      <c r="A127" s="6"/>
      <c r="B127" s="60" t="s">
        <v>29</v>
      </c>
      <c r="C127" s="19">
        <v>0.5</v>
      </c>
      <c r="D127" s="63">
        <f>25.89-2*0.05</f>
        <v>25.79</v>
      </c>
      <c r="E127" s="64"/>
      <c r="F127" s="19">
        <v>0.5</v>
      </c>
      <c r="G127" s="36">
        <v>0.25</v>
      </c>
      <c r="H127" s="10">
        <v>16</v>
      </c>
      <c r="I127" s="11">
        <v>1</v>
      </c>
      <c r="J127" s="13">
        <f>ROUND(12.415/G127+1,0)</f>
        <v>51</v>
      </c>
      <c r="K127" s="45">
        <f>D127</f>
        <v>25.79</v>
      </c>
      <c r="L127" s="37">
        <f>IF(O127&lt;12,"0",0.049*H127)*2</f>
        <v>1.5680000000000001</v>
      </c>
      <c r="M127" s="17">
        <v>2</v>
      </c>
      <c r="N127" s="11">
        <f>M127*2*H127/1000</f>
        <v>6.4000000000000001E-2</v>
      </c>
      <c r="O127" s="16">
        <f>(D127+C127+F127)-N127</f>
        <v>26.725999999999999</v>
      </c>
      <c r="P127" s="16">
        <f>(I127*J127*O127)+L127</f>
        <v>1364.5939999999998</v>
      </c>
      <c r="Q127" s="18" t="str">
        <f t="shared" si="6"/>
        <v/>
      </c>
      <c r="R127" s="18" t="str">
        <f t="shared" si="7"/>
        <v/>
      </c>
      <c r="S127" s="18" t="str">
        <f t="shared" si="8"/>
        <v/>
      </c>
      <c r="T127" s="18">
        <f t="shared" si="9"/>
        <v>1364.5939999999998</v>
      </c>
      <c r="U127" s="18" t="str">
        <f t="shared" si="10"/>
        <v/>
      </c>
      <c r="V127" s="18" t="str">
        <f t="shared" si="11"/>
        <v/>
      </c>
      <c r="W127" s="14"/>
    </row>
    <row r="128" spans="1:23" x14ac:dyDescent="0.25">
      <c r="A128" s="6"/>
      <c r="B128" s="40"/>
      <c r="C128" s="8"/>
      <c r="D128" s="20"/>
      <c r="E128" s="20"/>
      <c r="F128" s="34"/>
      <c r="G128" s="35"/>
      <c r="H128" s="10"/>
      <c r="I128" s="11"/>
      <c r="J128" s="11"/>
      <c r="K128" s="12"/>
      <c r="L128" s="11"/>
      <c r="M128" s="11"/>
      <c r="N128" s="11"/>
      <c r="O128" s="11"/>
      <c r="P128" s="13"/>
      <c r="Q128" s="18" t="str">
        <f t="shared" si="6"/>
        <v/>
      </c>
      <c r="R128" s="18" t="str">
        <f t="shared" si="7"/>
        <v/>
      </c>
      <c r="S128" s="18" t="str">
        <f t="shared" si="8"/>
        <v/>
      </c>
      <c r="T128" s="18" t="str">
        <f t="shared" si="9"/>
        <v/>
      </c>
      <c r="U128" s="18" t="str">
        <f t="shared" si="10"/>
        <v/>
      </c>
      <c r="V128" s="18" t="str">
        <f t="shared" si="11"/>
        <v/>
      </c>
      <c r="W128" s="14"/>
    </row>
    <row r="129" spans="1:23" x14ac:dyDescent="0.25">
      <c r="A129" s="6">
        <v>7</v>
      </c>
      <c r="B129" s="40" t="s">
        <v>127</v>
      </c>
      <c r="C129" s="8"/>
      <c r="D129" s="20"/>
      <c r="E129" s="20"/>
      <c r="F129" s="34"/>
      <c r="G129" s="35"/>
      <c r="H129" s="10"/>
      <c r="I129" s="11"/>
      <c r="J129" s="11"/>
      <c r="K129" s="12"/>
      <c r="L129" s="11"/>
      <c r="M129" s="11"/>
      <c r="N129" s="11"/>
      <c r="O129" s="11"/>
      <c r="P129" s="13"/>
      <c r="Q129" s="18" t="str">
        <f>IF($H129=8,$P129,"")</f>
        <v/>
      </c>
      <c r="R129" s="18" t="str">
        <f>IF($H129=10,$P129,"")</f>
        <v/>
      </c>
      <c r="S129" s="18" t="str">
        <f>IF($H129=12,$P129,"")</f>
        <v/>
      </c>
      <c r="T129" s="18" t="str">
        <f>IF($H129=16,$P129,"")</f>
        <v/>
      </c>
      <c r="U129" s="18" t="str">
        <f>IF($H129=20,$P129,"")</f>
        <v/>
      </c>
      <c r="V129" s="18" t="str">
        <f>IF($H129=25,$P129,"")</f>
        <v/>
      </c>
      <c r="W129" s="14"/>
    </row>
    <row r="130" spans="1:23" x14ac:dyDescent="0.25">
      <c r="A130" s="6"/>
      <c r="B130" t="s">
        <v>29</v>
      </c>
      <c r="C130" s="19">
        <v>0.5</v>
      </c>
      <c r="D130" s="63">
        <f>8.78-2*0.05</f>
        <v>8.68</v>
      </c>
      <c r="E130" s="64"/>
      <c r="F130" s="19">
        <v>0.5</v>
      </c>
      <c r="G130" s="36">
        <v>0.25</v>
      </c>
      <c r="H130" s="10">
        <v>16</v>
      </c>
      <c r="I130" s="11">
        <v>1</v>
      </c>
      <c r="J130" s="13">
        <f>ROUND(0.515/G130+1,0)</f>
        <v>3</v>
      </c>
      <c r="K130" s="45">
        <f>D130</f>
        <v>8.68</v>
      </c>
      <c r="L130" s="37" t="str">
        <f>IF(O130&lt;12,"0",0.049*H130)</f>
        <v>0</v>
      </c>
      <c r="M130" s="17">
        <v>2</v>
      </c>
      <c r="N130" s="11">
        <f>M130*2*H130/1000</f>
        <v>6.4000000000000001E-2</v>
      </c>
      <c r="O130" s="16">
        <f>(D130+C130+F130)-N130</f>
        <v>9.6159999999999997</v>
      </c>
      <c r="P130" s="16">
        <f>(I130*J130*O130)+L130</f>
        <v>28.847999999999999</v>
      </c>
      <c r="Q130" s="18" t="str">
        <f>IF($H130=8,$P130,"")</f>
        <v/>
      </c>
      <c r="R130" s="18" t="str">
        <f>IF($H130=10,$P130,"")</f>
        <v/>
      </c>
      <c r="S130" s="18" t="str">
        <f>IF($H130=12,$P130,"")</f>
        <v/>
      </c>
      <c r="T130" s="18">
        <f>IF($H130=16,$P130,"")</f>
        <v>28.847999999999999</v>
      </c>
      <c r="U130" s="18" t="str">
        <f>IF($H130=20,$P130,"")</f>
        <v/>
      </c>
      <c r="V130" s="18" t="str">
        <f>IF($H130=25,$P130,"")</f>
        <v/>
      </c>
      <c r="W130" s="14"/>
    </row>
    <row r="131" spans="1:23" x14ac:dyDescent="0.25">
      <c r="A131" s="6"/>
      <c r="B131" s="40"/>
      <c r="C131" s="8"/>
      <c r="D131" s="20"/>
      <c r="E131" s="20"/>
      <c r="F131" s="34"/>
      <c r="G131" s="35"/>
      <c r="H131" s="10"/>
      <c r="I131" s="11"/>
      <c r="J131" s="11"/>
      <c r="K131" s="12"/>
      <c r="L131" s="11"/>
      <c r="M131" s="11"/>
      <c r="N131" s="11"/>
      <c r="O131" s="11"/>
      <c r="P131" s="13"/>
      <c r="Q131" s="18" t="str">
        <f>IF($H131=8,$P131,"")</f>
        <v/>
      </c>
      <c r="R131" s="18" t="str">
        <f>IF($H131=10,$P131,"")</f>
        <v/>
      </c>
      <c r="S131" s="18" t="str">
        <f>IF($H131=12,$P131,"")</f>
        <v/>
      </c>
      <c r="T131" s="18" t="str">
        <f>IF($H131=16,$P131,"")</f>
        <v/>
      </c>
      <c r="U131" s="18" t="str">
        <f>IF($H131=20,$P131,"")</f>
        <v/>
      </c>
      <c r="V131" s="18" t="str">
        <f>IF($H131=25,$P131,"")</f>
        <v/>
      </c>
      <c r="W131" s="14"/>
    </row>
    <row r="132" spans="1:23" x14ac:dyDescent="0.25">
      <c r="A132" s="6"/>
      <c r="B132" s="40"/>
      <c r="C132" s="8"/>
      <c r="D132" s="20"/>
      <c r="E132" s="20"/>
      <c r="F132" s="34"/>
      <c r="G132" s="35"/>
      <c r="H132" s="10"/>
      <c r="I132" s="11"/>
      <c r="J132" s="11"/>
      <c r="K132" s="12"/>
      <c r="L132" s="11"/>
      <c r="M132" s="11"/>
      <c r="N132" s="11"/>
      <c r="O132" s="11"/>
      <c r="P132" s="13"/>
      <c r="Q132" s="18" t="str">
        <f t="shared" si="6"/>
        <v/>
      </c>
      <c r="R132" s="18" t="str">
        <f t="shared" si="7"/>
        <v/>
      </c>
      <c r="S132" s="18" t="str">
        <f t="shared" si="8"/>
        <v/>
      </c>
      <c r="T132" s="18" t="str">
        <f t="shared" si="9"/>
        <v/>
      </c>
      <c r="U132" s="18" t="str">
        <f t="shared" si="10"/>
        <v/>
      </c>
      <c r="V132" s="18" t="str">
        <f t="shared" si="11"/>
        <v/>
      </c>
      <c r="W132" s="14"/>
    </row>
    <row r="133" spans="1:23" x14ac:dyDescent="0.25">
      <c r="A133" s="6"/>
      <c r="B133" s="42" t="s">
        <v>25</v>
      </c>
      <c r="C133" s="8"/>
      <c r="D133" s="20"/>
      <c r="E133" s="20"/>
      <c r="F133" s="34"/>
      <c r="G133" s="35"/>
      <c r="H133" s="10"/>
      <c r="I133" s="11"/>
      <c r="J133" s="11"/>
      <c r="K133" s="12"/>
      <c r="L133" s="11"/>
      <c r="M133" s="11"/>
      <c r="N133" s="11"/>
      <c r="O133" s="11"/>
      <c r="P133" s="13"/>
      <c r="Q133" s="18" t="str">
        <f t="shared" si="6"/>
        <v/>
      </c>
      <c r="R133" s="18" t="str">
        <f t="shared" si="7"/>
        <v/>
      </c>
      <c r="S133" s="18" t="str">
        <f t="shared" si="8"/>
        <v/>
      </c>
      <c r="T133" s="18" t="str">
        <f t="shared" si="9"/>
        <v/>
      </c>
      <c r="U133" s="18" t="str">
        <f t="shared" si="10"/>
        <v/>
      </c>
      <c r="V133" s="18" t="str">
        <f t="shared" si="11"/>
        <v/>
      </c>
      <c r="W133" s="14"/>
    </row>
    <row r="134" spans="1:23" x14ac:dyDescent="0.25">
      <c r="A134" s="6">
        <v>1</v>
      </c>
      <c r="B134" s="7" t="s">
        <v>128</v>
      </c>
      <c r="C134" s="19">
        <v>0.3</v>
      </c>
      <c r="D134" s="63">
        <f>10.285</f>
        <v>10.285</v>
      </c>
      <c r="E134" s="64"/>
      <c r="F134" s="19">
        <v>0.3</v>
      </c>
      <c r="G134" s="36">
        <v>0.25</v>
      </c>
      <c r="H134" s="10">
        <v>12</v>
      </c>
      <c r="I134" s="11">
        <v>1</v>
      </c>
      <c r="J134" s="13">
        <v>2</v>
      </c>
      <c r="K134" s="45">
        <f>D134</f>
        <v>10.285</v>
      </c>
      <c r="L134" s="37" t="str">
        <f>IF(O134&lt;12,"0",0.049*H134)</f>
        <v>0</v>
      </c>
      <c r="M134" s="17">
        <v>2</v>
      </c>
      <c r="N134" s="11">
        <f>M134*2*H134/1000</f>
        <v>4.8000000000000001E-2</v>
      </c>
      <c r="O134" s="16">
        <f>(D134+C134+F134)-N134</f>
        <v>10.837000000000002</v>
      </c>
      <c r="P134" s="16">
        <f>(I134*J134*O134)+1*L134</f>
        <v>21.674000000000003</v>
      </c>
      <c r="Q134" s="18" t="str">
        <f t="shared" si="6"/>
        <v/>
      </c>
      <c r="R134" s="18" t="str">
        <f t="shared" si="7"/>
        <v/>
      </c>
      <c r="S134" s="18">
        <f t="shared" si="8"/>
        <v>21.674000000000003</v>
      </c>
      <c r="T134" s="18" t="str">
        <f t="shared" si="9"/>
        <v/>
      </c>
      <c r="U134" s="18" t="str">
        <f t="shared" si="10"/>
        <v/>
      </c>
      <c r="V134" s="18" t="str">
        <f t="shared" si="11"/>
        <v/>
      </c>
      <c r="W134" s="14"/>
    </row>
    <row r="135" spans="1:23" x14ac:dyDescent="0.25">
      <c r="A135" s="6"/>
      <c r="B135" s="40"/>
      <c r="C135" s="8"/>
      <c r="D135" s="20"/>
      <c r="E135" s="20"/>
      <c r="F135" s="34"/>
      <c r="G135" s="35"/>
      <c r="H135" s="10"/>
      <c r="I135" s="11"/>
      <c r="J135" s="11"/>
      <c r="K135" s="12"/>
      <c r="L135" s="11"/>
      <c r="M135" s="11"/>
      <c r="N135" s="11"/>
      <c r="O135" s="11"/>
      <c r="P135" s="13"/>
      <c r="Q135" s="18" t="str">
        <f t="shared" si="6"/>
        <v/>
      </c>
      <c r="R135" s="18" t="str">
        <f t="shared" si="7"/>
        <v/>
      </c>
      <c r="S135" s="18" t="str">
        <f t="shared" si="8"/>
        <v/>
      </c>
      <c r="T135" s="18" t="str">
        <f t="shared" si="9"/>
        <v/>
      </c>
      <c r="U135" s="18" t="str">
        <f t="shared" si="10"/>
        <v/>
      </c>
      <c r="V135" s="18" t="str">
        <f t="shared" si="11"/>
        <v/>
      </c>
      <c r="W135" s="14"/>
    </row>
    <row r="136" spans="1:23" x14ac:dyDescent="0.25">
      <c r="A136" s="6">
        <v>2</v>
      </c>
      <c r="B136" s="7" t="s">
        <v>129</v>
      </c>
      <c r="C136" s="19">
        <v>0.3</v>
      </c>
      <c r="D136" s="63">
        <f>11.09</f>
        <v>11.09</v>
      </c>
      <c r="E136" s="64"/>
      <c r="F136" s="19">
        <v>0.3</v>
      </c>
      <c r="G136" s="36">
        <v>0.25</v>
      </c>
      <c r="H136" s="10">
        <v>12</v>
      </c>
      <c r="I136" s="11">
        <v>1</v>
      </c>
      <c r="J136" s="13">
        <v>2</v>
      </c>
      <c r="K136" s="45">
        <f>D136</f>
        <v>11.09</v>
      </c>
      <c r="L136" s="37" t="str">
        <f>IF(O136&lt;12,"0",0.049*H136)</f>
        <v>0</v>
      </c>
      <c r="M136" s="17">
        <v>2</v>
      </c>
      <c r="N136" s="11">
        <f>M136*2*H136/1000</f>
        <v>4.8000000000000001E-2</v>
      </c>
      <c r="O136" s="16">
        <f>(D136+C136+F136)-N136</f>
        <v>11.642000000000001</v>
      </c>
      <c r="P136" s="16">
        <f>(I136*J136*O136)+1*L136</f>
        <v>23.284000000000002</v>
      </c>
      <c r="Q136" s="18" t="str">
        <f t="shared" si="6"/>
        <v/>
      </c>
      <c r="R136" s="18" t="str">
        <f t="shared" si="7"/>
        <v/>
      </c>
      <c r="S136" s="18">
        <f t="shared" si="8"/>
        <v>23.284000000000002</v>
      </c>
      <c r="T136" s="18" t="str">
        <f t="shared" si="9"/>
        <v/>
      </c>
      <c r="U136" s="18" t="str">
        <f t="shared" si="10"/>
        <v/>
      </c>
      <c r="V136" s="18" t="str">
        <f t="shared" si="11"/>
        <v/>
      </c>
      <c r="W136" s="14"/>
    </row>
    <row r="137" spans="1:23" x14ac:dyDescent="0.25">
      <c r="A137" s="6"/>
      <c r="B137" s="7"/>
      <c r="C137" s="19"/>
      <c r="D137" s="56"/>
      <c r="E137" s="56"/>
      <c r="F137" s="41"/>
      <c r="G137" s="36"/>
      <c r="H137" s="10"/>
      <c r="I137" s="11"/>
      <c r="J137" s="13"/>
      <c r="K137" s="45"/>
      <c r="L137" s="37"/>
      <c r="M137" s="17"/>
      <c r="N137" s="11"/>
      <c r="O137" s="16"/>
      <c r="P137" s="16"/>
      <c r="Q137" s="18" t="str">
        <f t="shared" si="6"/>
        <v/>
      </c>
      <c r="R137" s="18" t="str">
        <f t="shared" si="7"/>
        <v/>
      </c>
      <c r="S137" s="18" t="str">
        <f t="shared" si="8"/>
        <v/>
      </c>
      <c r="T137" s="18" t="str">
        <f t="shared" si="9"/>
        <v/>
      </c>
      <c r="U137" s="18" t="str">
        <f t="shared" si="10"/>
        <v/>
      </c>
      <c r="V137" s="18" t="str">
        <f t="shared" si="11"/>
        <v/>
      </c>
      <c r="W137" s="14"/>
    </row>
    <row r="138" spans="1:23" x14ac:dyDescent="0.25">
      <c r="A138" s="6">
        <v>3</v>
      </c>
      <c r="B138" s="7" t="s">
        <v>130</v>
      </c>
      <c r="C138" s="19">
        <v>0.3</v>
      </c>
      <c r="D138" s="63">
        <f>21.65-2*0.05</f>
        <v>21.549999999999997</v>
      </c>
      <c r="E138" s="64"/>
      <c r="F138" s="19">
        <v>0.3</v>
      </c>
      <c r="G138" s="36">
        <v>0.25</v>
      </c>
      <c r="H138" s="10">
        <v>12</v>
      </c>
      <c r="I138" s="11">
        <v>1</v>
      </c>
      <c r="J138" s="13">
        <v>2</v>
      </c>
      <c r="K138" s="45">
        <f>D138</f>
        <v>21.549999999999997</v>
      </c>
      <c r="L138" s="37">
        <f>IF(O138&lt;12,"0",0.049*H138)</f>
        <v>0.58800000000000008</v>
      </c>
      <c r="M138" s="17">
        <v>2</v>
      </c>
      <c r="N138" s="11">
        <f>M138*2*H138/1000</f>
        <v>4.8000000000000001E-2</v>
      </c>
      <c r="O138" s="16">
        <f>(D138+C138+F138)-N138</f>
        <v>22.102</v>
      </c>
      <c r="P138" s="16">
        <f>(I138*J138*O138)+2*L138</f>
        <v>45.38</v>
      </c>
      <c r="Q138" s="18" t="str">
        <f t="shared" si="6"/>
        <v/>
      </c>
      <c r="R138" s="18" t="str">
        <f t="shared" si="7"/>
        <v/>
      </c>
      <c r="S138" s="18">
        <f t="shared" si="8"/>
        <v>45.38</v>
      </c>
      <c r="T138" s="18" t="str">
        <f t="shared" si="9"/>
        <v/>
      </c>
      <c r="U138" s="18" t="str">
        <f t="shared" si="10"/>
        <v/>
      </c>
      <c r="V138" s="18" t="str">
        <f t="shared" si="11"/>
        <v/>
      </c>
      <c r="W138" s="14"/>
    </row>
    <row r="139" spans="1:23" x14ac:dyDescent="0.25">
      <c r="A139" s="6"/>
      <c r="B139" s="7"/>
      <c r="C139" s="19"/>
      <c r="D139" s="56"/>
      <c r="E139" s="56"/>
      <c r="F139" s="41"/>
      <c r="G139" s="36"/>
      <c r="H139" s="10"/>
      <c r="I139" s="11"/>
      <c r="J139" s="13"/>
      <c r="K139" s="45"/>
      <c r="L139" s="37"/>
      <c r="M139" s="17"/>
      <c r="N139" s="11"/>
      <c r="O139" s="16"/>
      <c r="P139" s="16"/>
      <c r="Q139" s="18" t="str">
        <f t="shared" si="6"/>
        <v/>
      </c>
      <c r="R139" s="18" t="str">
        <f t="shared" si="7"/>
        <v/>
      </c>
      <c r="S139" s="18" t="str">
        <f t="shared" si="8"/>
        <v/>
      </c>
      <c r="T139" s="18" t="str">
        <f t="shared" si="9"/>
        <v/>
      </c>
      <c r="U139" s="18" t="str">
        <f t="shared" si="10"/>
        <v/>
      </c>
      <c r="V139" s="18" t="str">
        <f t="shared" si="11"/>
        <v/>
      </c>
      <c r="W139" s="14"/>
    </row>
    <row r="140" spans="1:23" x14ac:dyDescent="0.25">
      <c r="A140" s="6">
        <v>5</v>
      </c>
      <c r="B140" s="7" t="s">
        <v>121</v>
      </c>
      <c r="C140" s="19">
        <v>0.3</v>
      </c>
      <c r="D140" s="63">
        <f>8.875-2*0.05</f>
        <v>8.7750000000000004</v>
      </c>
      <c r="E140" s="64"/>
      <c r="F140" s="19">
        <v>0.3</v>
      </c>
      <c r="G140" s="36">
        <v>0.25</v>
      </c>
      <c r="H140" s="10">
        <v>12</v>
      </c>
      <c r="I140" s="11">
        <v>1</v>
      </c>
      <c r="J140" s="13">
        <v>2</v>
      </c>
      <c r="K140" s="45">
        <f>D140</f>
        <v>8.7750000000000004</v>
      </c>
      <c r="L140" s="37" t="str">
        <f>IF(O140&lt;12,"0",0.049*H140)</f>
        <v>0</v>
      </c>
      <c r="M140" s="17">
        <v>2</v>
      </c>
      <c r="N140" s="11">
        <f>M140*2*H140/1000</f>
        <v>4.8000000000000001E-2</v>
      </c>
      <c r="O140" s="16">
        <f>(D140+C140+F140)-N140</f>
        <v>9.3270000000000017</v>
      </c>
      <c r="P140" s="16">
        <f>(I140*J140*O140)+1*L140</f>
        <v>18.654000000000003</v>
      </c>
      <c r="Q140" s="18" t="str">
        <f t="shared" si="6"/>
        <v/>
      </c>
      <c r="R140" s="18" t="str">
        <f t="shared" si="7"/>
        <v/>
      </c>
      <c r="S140" s="18">
        <f t="shared" si="8"/>
        <v>18.654000000000003</v>
      </c>
      <c r="T140" s="18" t="str">
        <f t="shared" si="9"/>
        <v/>
      </c>
      <c r="U140" s="18" t="str">
        <f t="shared" si="10"/>
        <v/>
      </c>
      <c r="V140" s="18" t="str">
        <f t="shared" si="11"/>
        <v/>
      </c>
      <c r="W140" s="14"/>
    </row>
    <row r="141" spans="1:23" x14ac:dyDescent="0.25">
      <c r="A141" s="6"/>
      <c r="B141" s="7"/>
      <c r="C141" s="19"/>
      <c r="D141" s="56"/>
      <c r="E141" s="56"/>
      <c r="F141" s="41"/>
      <c r="G141" s="36"/>
      <c r="H141" s="10"/>
      <c r="I141" s="11"/>
      <c r="J141" s="13"/>
      <c r="K141" s="45"/>
      <c r="L141" s="37"/>
      <c r="M141" s="17"/>
      <c r="N141" s="11"/>
      <c r="O141" s="16"/>
      <c r="P141" s="16"/>
      <c r="Q141" s="18" t="str">
        <f t="shared" si="6"/>
        <v/>
      </c>
      <c r="R141" s="18" t="str">
        <f t="shared" si="7"/>
        <v/>
      </c>
      <c r="S141" s="18" t="str">
        <f t="shared" si="8"/>
        <v/>
      </c>
      <c r="T141" s="18" t="str">
        <f t="shared" si="9"/>
        <v/>
      </c>
      <c r="U141" s="18" t="str">
        <f t="shared" si="10"/>
        <v/>
      </c>
      <c r="V141" s="18" t="str">
        <f t="shared" si="11"/>
        <v/>
      </c>
      <c r="W141" s="14"/>
    </row>
    <row r="142" spans="1:23" x14ac:dyDescent="0.25">
      <c r="A142" s="6">
        <v>6</v>
      </c>
      <c r="B142" s="7" t="s">
        <v>131</v>
      </c>
      <c r="C142" s="19">
        <v>0.3</v>
      </c>
      <c r="D142" s="63">
        <v>1.5</v>
      </c>
      <c r="E142" s="64"/>
      <c r="F142" s="19">
        <v>0.3</v>
      </c>
      <c r="G142" s="36">
        <v>0.25</v>
      </c>
      <c r="H142" s="10">
        <v>12</v>
      </c>
      <c r="I142" s="11">
        <v>1</v>
      </c>
      <c r="J142" s="13">
        <v>2</v>
      </c>
      <c r="K142" s="45">
        <f>D142</f>
        <v>1.5</v>
      </c>
      <c r="L142" s="37" t="str">
        <f>IF(O142&lt;12,"0",0.049*H142)</f>
        <v>0</v>
      </c>
      <c r="M142" s="17">
        <v>2</v>
      </c>
      <c r="N142" s="11">
        <f>M142*2*H142/1000</f>
        <v>4.8000000000000001E-2</v>
      </c>
      <c r="O142" s="16">
        <f>(D142+C142+F142)-N142</f>
        <v>2.052</v>
      </c>
      <c r="P142" s="16">
        <f>(I142*J142*O142)+1*L142</f>
        <v>4.1040000000000001</v>
      </c>
      <c r="Q142" s="18" t="str">
        <f t="shared" si="6"/>
        <v/>
      </c>
      <c r="R142" s="18" t="str">
        <f t="shared" si="7"/>
        <v/>
      </c>
      <c r="S142" s="18">
        <f t="shared" si="8"/>
        <v>4.1040000000000001</v>
      </c>
      <c r="T142" s="18" t="str">
        <f t="shared" si="9"/>
        <v/>
      </c>
      <c r="U142" s="18" t="str">
        <f t="shared" si="10"/>
        <v/>
      </c>
      <c r="V142" s="18" t="str">
        <f t="shared" si="11"/>
        <v/>
      </c>
      <c r="W142" s="14"/>
    </row>
    <row r="143" spans="1:23" x14ac:dyDescent="0.25">
      <c r="A143" s="6"/>
      <c r="B143" s="7"/>
      <c r="C143" s="19"/>
      <c r="D143" s="56"/>
      <c r="E143" s="56"/>
      <c r="F143" s="41"/>
      <c r="G143" s="36"/>
      <c r="H143" s="10"/>
      <c r="I143" s="11"/>
      <c r="J143" s="13"/>
      <c r="K143" s="45"/>
      <c r="L143" s="37"/>
      <c r="M143" s="17"/>
      <c r="N143" s="11"/>
      <c r="O143" s="16"/>
      <c r="P143" s="16"/>
      <c r="Q143" s="18" t="str">
        <f t="shared" si="6"/>
        <v/>
      </c>
      <c r="R143" s="18" t="str">
        <f t="shared" si="7"/>
        <v/>
      </c>
      <c r="S143" s="18" t="str">
        <f t="shared" si="8"/>
        <v/>
      </c>
      <c r="T143" s="18" t="str">
        <f t="shared" si="9"/>
        <v/>
      </c>
      <c r="U143" s="18" t="str">
        <f t="shared" si="10"/>
        <v/>
      </c>
      <c r="V143" s="18" t="str">
        <f t="shared" si="11"/>
        <v/>
      </c>
      <c r="W143" s="14"/>
    </row>
    <row r="144" spans="1:23" x14ac:dyDescent="0.25">
      <c r="A144" s="6">
        <v>7</v>
      </c>
      <c r="B144" s="7" t="s">
        <v>132</v>
      </c>
      <c r="C144" s="19">
        <v>0.3</v>
      </c>
      <c r="D144" s="63">
        <v>3.95</v>
      </c>
      <c r="E144" s="64"/>
      <c r="F144" s="19">
        <v>0.3</v>
      </c>
      <c r="G144" s="36">
        <v>0.25</v>
      </c>
      <c r="H144" s="10">
        <v>12</v>
      </c>
      <c r="I144" s="11">
        <v>1</v>
      </c>
      <c r="J144" s="13">
        <v>2</v>
      </c>
      <c r="K144" s="45">
        <f>D144</f>
        <v>3.95</v>
      </c>
      <c r="L144" s="37" t="str">
        <f>IF(O144&lt;12,"0",0.049*H144)</f>
        <v>0</v>
      </c>
      <c r="M144" s="17">
        <v>2</v>
      </c>
      <c r="N144" s="11">
        <f>M144*2*H144/1000</f>
        <v>4.8000000000000001E-2</v>
      </c>
      <c r="O144" s="16">
        <f>(D144+C144+F144)-N144</f>
        <v>4.5019999999999998</v>
      </c>
      <c r="P144" s="16">
        <f>(I144*J144*O144)+1*L144</f>
        <v>9.0039999999999996</v>
      </c>
      <c r="Q144" s="18" t="str">
        <f t="shared" si="6"/>
        <v/>
      </c>
      <c r="R144" s="18" t="str">
        <f t="shared" si="7"/>
        <v/>
      </c>
      <c r="S144" s="18">
        <f t="shared" si="8"/>
        <v>9.0039999999999996</v>
      </c>
      <c r="T144" s="18" t="str">
        <f t="shared" si="9"/>
        <v/>
      </c>
      <c r="U144" s="18" t="str">
        <f t="shared" si="10"/>
        <v/>
      </c>
      <c r="V144" s="18" t="str">
        <f t="shared" si="11"/>
        <v/>
      </c>
      <c r="W144" s="14"/>
    </row>
    <row r="145" spans="1:23" x14ac:dyDescent="0.25">
      <c r="A145" s="6"/>
      <c r="B145" s="7"/>
      <c r="C145" s="19"/>
      <c r="D145" s="56"/>
      <c r="E145" s="56"/>
      <c r="F145" s="41"/>
      <c r="G145" s="36"/>
      <c r="H145" s="10"/>
      <c r="I145" s="11"/>
      <c r="J145" s="13"/>
      <c r="K145" s="45"/>
      <c r="L145" s="37"/>
      <c r="M145" s="17"/>
      <c r="N145" s="11"/>
      <c r="O145" s="16"/>
      <c r="P145" s="16"/>
      <c r="Q145" s="18" t="str">
        <f t="shared" si="6"/>
        <v/>
      </c>
      <c r="R145" s="18" t="str">
        <f t="shared" si="7"/>
        <v/>
      </c>
      <c r="S145" s="18" t="str">
        <f t="shared" si="8"/>
        <v/>
      </c>
      <c r="T145" s="18" t="str">
        <f t="shared" si="9"/>
        <v/>
      </c>
      <c r="U145" s="18" t="str">
        <f t="shared" si="10"/>
        <v/>
      </c>
      <c r="V145" s="18" t="str">
        <f t="shared" si="11"/>
        <v/>
      </c>
      <c r="W145" s="14"/>
    </row>
    <row r="146" spans="1:23" x14ac:dyDescent="0.25">
      <c r="A146" s="6">
        <v>8</v>
      </c>
      <c r="B146" s="7" t="s">
        <v>133</v>
      </c>
      <c r="C146" s="19">
        <v>0.3</v>
      </c>
      <c r="D146" s="63">
        <v>0.81499999999999995</v>
      </c>
      <c r="E146" s="64"/>
      <c r="F146" s="19">
        <v>0.3</v>
      </c>
      <c r="G146" s="36">
        <v>0.25</v>
      </c>
      <c r="H146" s="10">
        <v>12</v>
      </c>
      <c r="I146" s="11">
        <v>1</v>
      </c>
      <c r="J146" s="13">
        <v>2</v>
      </c>
      <c r="K146" s="45">
        <f>D146</f>
        <v>0.81499999999999995</v>
      </c>
      <c r="L146" s="37" t="str">
        <f>IF(O146&lt;12,"0",0.049*H146)</f>
        <v>0</v>
      </c>
      <c r="M146" s="17">
        <v>2</v>
      </c>
      <c r="N146" s="11">
        <f>M146*2*H146/1000</f>
        <v>4.8000000000000001E-2</v>
      </c>
      <c r="O146" s="16">
        <f>(D146+C146+F146)-N146</f>
        <v>1.367</v>
      </c>
      <c r="P146" s="16">
        <f>(I146*J146*O146)+1*L146</f>
        <v>2.734</v>
      </c>
      <c r="Q146" s="18" t="str">
        <f t="shared" si="6"/>
        <v/>
      </c>
      <c r="R146" s="18" t="str">
        <f t="shared" si="7"/>
        <v/>
      </c>
      <c r="S146" s="18">
        <f t="shared" si="8"/>
        <v>2.734</v>
      </c>
      <c r="T146" s="18" t="str">
        <f t="shared" si="9"/>
        <v/>
      </c>
      <c r="U146" s="18" t="str">
        <f t="shared" si="10"/>
        <v/>
      </c>
      <c r="V146" s="18" t="str">
        <f t="shared" si="11"/>
        <v/>
      </c>
      <c r="W146" s="14"/>
    </row>
    <row r="147" spans="1:23" x14ac:dyDescent="0.25">
      <c r="A147" s="6"/>
      <c r="B147" s="7"/>
      <c r="C147" s="19"/>
      <c r="D147" s="56"/>
      <c r="E147" s="56"/>
      <c r="F147" s="41"/>
      <c r="G147" s="36"/>
      <c r="H147" s="10"/>
      <c r="I147" s="11"/>
      <c r="J147" s="13"/>
      <c r="K147" s="45"/>
      <c r="L147" s="37"/>
      <c r="M147" s="17"/>
      <c r="N147" s="11"/>
      <c r="O147" s="16"/>
      <c r="P147" s="16"/>
      <c r="Q147" s="18" t="str">
        <f t="shared" si="6"/>
        <v/>
      </c>
      <c r="R147" s="18" t="str">
        <f t="shared" si="7"/>
        <v/>
      </c>
      <c r="S147" s="18" t="str">
        <f t="shared" si="8"/>
        <v/>
      </c>
      <c r="T147" s="18" t="str">
        <f t="shared" si="9"/>
        <v/>
      </c>
      <c r="U147" s="18" t="str">
        <f t="shared" si="10"/>
        <v/>
      </c>
      <c r="V147" s="18" t="str">
        <f t="shared" si="11"/>
        <v/>
      </c>
      <c r="W147" s="14"/>
    </row>
    <row r="148" spans="1:23" x14ac:dyDescent="0.25">
      <c r="A148" s="6">
        <v>9</v>
      </c>
      <c r="B148" s="7" t="s">
        <v>134</v>
      </c>
      <c r="C148" s="19">
        <v>0.3</v>
      </c>
      <c r="D148" s="63">
        <v>1.6950000000000001</v>
      </c>
      <c r="E148" s="64"/>
      <c r="F148" s="19">
        <v>0.3</v>
      </c>
      <c r="G148" s="36">
        <v>0.25</v>
      </c>
      <c r="H148" s="10">
        <v>12</v>
      </c>
      <c r="I148" s="11">
        <v>1</v>
      </c>
      <c r="J148" s="13">
        <v>2</v>
      </c>
      <c r="K148" s="45">
        <f>D148</f>
        <v>1.6950000000000001</v>
      </c>
      <c r="L148" s="37" t="str">
        <f>IF(O148&lt;12,"0",0.049*H148)</f>
        <v>0</v>
      </c>
      <c r="M148" s="17">
        <v>2</v>
      </c>
      <c r="N148" s="11">
        <f>M148*2*H148/1000</f>
        <v>4.8000000000000001E-2</v>
      </c>
      <c r="O148" s="16">
        <f>(D148+C148+F148)-N148</f>
        <v>2.2469999999999999</v>
      </c>
      <c r="P148" s="16">
        <f>(I148*J148*O148)+1*L148</f>
        <v>4.4939999999999998</v>
      </c>
      <c r="Q148" s="18" t="str">
        <f t="shared" si="6"/>
        <v/>
      </c>
      <c r="R148" s="18" t="str">
        <f t="shared" si="7"/>
        <v/>
      </c>
      <c r="S148" s="18">
        <f t="shared" si="8"/>
        <v>4.4939999999999998</v>
      </c>
      <c r="T148" s="18" t="str">
        <f t="shared" si="9"/>
        <v/>
      </c>
      <c r="U148" s="18" t="str">
        <f t="shared" si="10"/>
        <v/>
      </c>
      <c r="V148" s="18" t="str">
        <f t="shared" si="11"/>
        <v/>
      </c>
      <c r="W148" s="14"/>
    </row>
    <row r="149" spans="1:23" x14ac:dyDescent="0.25">
      <c r="A149" s="6"/>
      <c r="B149" s="7"/>
      <c r="C149" s="19"/>
      <c r="D149" s="56"/>
      <c r="E149" s="56"/>
      <c r="F149" s="41"/>
      <c r="G149" s="36"/>
      <c r="H149" s="10"/>
      <c r="I149" s="11"/>
      <c r="J149" s="13"/>
      <c r="K149" s="45"/>
      <c r="L149" s="37"/>
      <c r="M149" s="17"/>
      <c r="N149" s="11"/>
      <c r="O149" s="16"/>
      <c r="P149" s="16"/>
      <c r="Q149" s="18" t="str">
        <f t="shared" si="6"/>
        <v/>
      </c>
      <c r="R149" s="18" t="str">
        <f t="shared" si="7"/>
        <v/>
      </c>
      <c r="S149" s="18" t="str">
        <f t="shared" si="8"/>
        <v/>
      </c>
      <c r="T149" s="18" t="str">
        <f t="shared" si="9"/>
        <v/>
      </c>
      <c r="U149" s="18" t="str">
        <f t="shared" si="10"/>
        <v/>
      </c>
      <c r="V149" s="18" t="str">
        <f t="shared" si="11"/>
        <v/>
      </c>
      <c r="W149" s="14"/>
    </row>
    <row r="150" spans="1:23" x14ac:dyDescent="0.25">
      <c r="A150" s="6">
        <v>10</v>
      </c>
      <c r="B150" s="7" t="s">
        <v>135</v>
      </c>
      <c r="C150" s="19">
        <v>0.3</v>
      </c>
      <c r="D150" s="63">
        <v>1.405</v>
      </c>
      <c r="E150" s="64"/>
      <c r="F150" s="19">
        <v>0.3</v>
      </c>
      <c r="G150" s="36">
        <v>0.25</v>
      </c>
      <c r="H150" s="10">
        <v>12</v>
      </c>
      <c r="I150" s="11">
        <v>1</v>
      </c>
      <c r="J150" s="13">
        <v>2</v>
      </c>
      <c r="K150" s="45">
        <f>D150</f>
        <v>1.405</v>
      </c>
      <c r="L150" s="37" t="str">
        <f>IF(O150&lt;12,"0",0.049*H150)</f>
        <v>0</v>
      </c>
      <c r="M150" s="17">
        <v>2</v>
      </c>
      <c r="N150" s="11">
        <f>M150*2*H150/1000</f>
        <v>4.8000000000000001E-2</v>
      </c>
      <c r="O150" s="16">
        <f>(D150+C150+F150)-N150</f>
        <v>1.9569999999999999</v>
      </c>
      <c r="P150" s="16">
        <f>(I150*J150*O150)+1*L150</f>
        <v>3.9139999999999997</v>
      </c>
      <c r="Q150" s="18" t="str">
        <f t="shared" si="6"/>
        <v/>
      </c>
      <c r="R150" s="18" t="str">
        <f t="shared" si="7"/>
        <v/>
      </c>
      <c r="S150" s="18">
        <f t="shared" si="8"/>
        <v>3.9139999999999997</v>
      </c>
      <c r="T150" s="18" t="str">
        <f t="shared" si="9"/>
        <v/>
      </c>
      <c r="U150" s="18" t="str">
        <f t="shared" si="10"/>
        <v/>
      </c>
      <c r="V150" s="18" t="str">
        <f t="shared" si="11"/>
        <v/>
      </c>
      <c r="W150" s="14"/>
    </row>
    <row r="151" spans="1:23" x14ac:dyDescent="0.25">
      <c r="A151" s="6"/>
      <c r="B151" s="7"/>
      <c r="C151" s="19"/>
      <c r="D151" s="56"/>
      <c r="E151" s="56"/>
      <c r="F151" s="41"/>
      <c r="G151" s="36"/>
      <c r="H151" s="10"/>
      <c r="I151" s="11"/>
      <c r="J151" s="13"/>
      <c r="K151" s="45"/>
      <c r="L151" s="37"/>
      <c r="M151" s="17"/>
      <c r="N151" s="11"/>
      <c r="O151" s="16"/>
      <c r="P151" s="16"/>
      <c r="Q151" s="18" t="str">
        <f t="shared" si="6"/>
        <v/>
      </c>
      <c r="R151" s="18" t="str">
        <f t="shared" si="7"/>
        <v/>
      </c>
      <c r="S151" s="18" t="str">
        <f t="shared" si="8"/>
        <v/>
      </c>
      <c r="T151" s="18" t="str">
        <f t="shared" si="9"/>
        <v/>
      </c>
      <c r="U151" s="18" t="str">
        <f t="shared" si="10"/>
        <v/>
      </c>
      <c r="V151" s="18" t="str">
        <f t="shared" si="11"/>
        <v/>
      </c>
      <c r="W151" s="14"/>
    </row>
    <row r="152" spans="1:23" x14ac:dyDescent="0.25">
      <c r="A152" s="6">
        <v>11</v>
      </c>
      <c r="B152" s="7" t="s">
        <v>136</v>
      </c>
      <c r="C152" s="19"/>
      <c r="D152" s="63">
        <f>11.285</f>
        <v>11.285</v>
      </c>
      <c r="E152" s="63"/>
      <c r="F152" s="41">
        <v>0.3</v>
      </c>
      <c r="G152" s="36">
        <v>0.25</v>
      </c>
      <c r="H152" s="10">
        <v>12</v>
      </c>
      <c r="I152" s="11">
        <v>1</v>
      </c>
      <c r="J152" s="13">
        <v>2</v>
      </c>
      <c r="K152" s="45">
        <f>D152</f>
        <v>11.285</v>
      </c>
      <c r="L152" s="37" t="str">
        <f>IF(O152&lt;12,"0",0.049*H152)</f>
        <v>0</v>
      </c>
      <c r="M152" s="17">
        <v>2</v>
      </c>
      <c r="N152" s="11">
        <f>M152*1*H152/1000</f>
        <v>2.4E-2</v>
      </c>
      <c r="O152" s="16">
        <f>(D152+C152+F152)-N152</f>
        <v>11.561000000000002</v>
      </c>
      <c r="P152" s="16">
        <f>(I152*J152*O152)+2*L152</f>
        <v>23.122000000000003</v>
      </c>
      <c r="Q152" s="18" t="str">
        <f t="shared" si="6"/>
        <v/>
      </c>
      <c r="R152" s="18" t="str">
        <f t="shared" si="7"/>
        <v/>
      </c>
      <c r="S152" s="18">
        <f t="shared" si="8"/>
        <v>23.122000000000003</v>
      </c>
      <c r="T152" s="18" t="str">
        <f t="shared" si="9"/>
        <v/>
      </c>
      <c r="U152" s="18" t="str">
        <f t="shared" si="10"/>
        <v/>
      </c>
      <c r="V152" s="18" t="str">
        <f t="shared" si="11"/>
        <v/>
      </c>
      <c r="W152" s="14"/>
    </row>
    <row r="153" spans="1:23" x14ac:dyDescent="0.25">
      <c r="A153" s="6"/>
      <c r="B153" s="7"/>
      <c r="C153" s="19"/>
      <c r="D153" s="56"/>
      <c r="E153" s="56"/>
      <c r="F153" s="41"/>
      <c r="G153" s="36"/>
      <c r="H153" s="10"/>
      <c r="I153" s="11"/>
      <c r="J153" s="13"/>
      <c r="K153" s="45"/>
      <c r="L153" s="37"/>
      <c r="M153" s="17"/>
      <c r="N153" s="11"/>
      <c r="O153" s="16"/>
      <c r="P153" s="16"/>
      <c r="Q153" s="18" t="str">
        <f t="shared" si="6"/>
        <v/>
      </c>
      <c r="R153" s="18" t="str">
        <f t="shared" si="7"/>
        <v/>
      </c>
      <c r="S153" s="18" t="str">
        <f t="shared" si="8"/>
        <v/>
      </c>
      <c r="T153" s="18" t="str">
        <f t="shared" si="9"/>
        <v/>
      </c>
      <c r="U153" s="18" t="str">
        <f t="shared" si="10"/>
        <v/>
      </c>
      <c r="V153" s="18" t="str">
        <f t="shared" si="11"/>
        <v/>
      </c>
      <c r="W153" s="14"/>
    </row>
    <row r="154" spans="1:23" x14ac:dyDescent="0.25">
      <c r="A154" s="6">
        <v>12</v>
      </c>
      <c r="B154" s="7" t="s">
        <v>137</v>
      </c>
      <c r="C154" s="19"/>
      <c r="D154" s="63">
        <v>11.005000000000001</v>
      </c>
      <c r="E154" s="63"/>
      <c r="F154" s="41">
        <v>0.3</v>
      </c>
      <c r="G154" s="36">
        <v>0.25</v>
      </c>
      <c r="H154" s="10">
        <v>12</v>
      </c>
      <c r="I154" s="11">
        <v>1</v>
      </c>
      <c r="J154" s="13">
        <v>2</v>
      </c>
      <c r="K154" s="45">
        <f>D154</f>
        <v>11.005000000000001</v>
      </c>
      <c r="L154" s="37" t="str">
        <f>IF(O154&lt;12,"0",0.049*H154)</f>
        <v>0</v>
      </c>
      <c r="M154" s="17">
        <v>2</v>
      </c>
      <c r="N154" s="11">
        <f>M154*1*H154/1000</f>
        <v>2.4E-2</v>
      </c>
      <c r="O154" s="16">
        <f>(D154+C154+F154)-N154</f>
        <v>11.281000000000002</v>
      </c>
      <c r="P154" s="16">
        <f>(I154*J154*O154)+2*L154</f>
        <v>22.562000000000005</v>
      </c>
      <c r="Q154" s="18" t="str">
        <f t="shared" si="6"/>
        <v/>
      </c>
      <c r="R154" s="18" t="str">
        <f t="shared" si="7"/>
        <v/>
      </c>
      <c r="S154" s="18">
        <f t="shared" si="8"/>
        <v>22.562000000000005</v>
      </c>
      <c r="T154" s="18" t="str">
        <f t="shared" si="9"/>
        <v/>
      </c>
      <c r="U154" s="18" t="str">
        <f t="shared" si="10"/>
        <v/>
      </c>
      <c r="V154" s="18" t="str">
        <f t="shared" si="11"/>
        <v/>
      </c>
      <c r="W154" s="14"/>
    </row>
    <row r="155" spans="1:23" x14ac:dyDescent="0.25">
      <c r="A155" s="6"/>
      <c r="B155" s="7"/>
      <c r="C155" s="19"/>
      <c r="D155" s="56"/>
      <c r="E155" s="56"/>
      <c r="F155" s="41"/>
      <c r="G155" s="36"/>
      <c r="H155" s="10"/>
      <c r="I155" s="11"/>
      <c r="J155" s="13"/>
      <c r="K155" s="45"/>
      <c r="L155" s="37"/>
      <c r="M155" s="17"/>
      <c r="N155" s="11"/>
      <c r="O155" s="16"/>
      <c r="P155" s="16"/>
      <c r="Q155" s="18" t="str">
        <f t="shared" si="6"/>
        <v/>
      </c>
      <c r="R155" s="18" t="str">
        <f t="shared" si="7"/>
        <v/>
      </c>
      <c r="S155" s="18" t="str">
        <f t="shared" si="8"/>
        <v/>
      </c>
      <c r="T155" s="18" t="str">
        <f t="shared" si="9"/>
        <v/>
      </c>
      <c r="U155" s="18" t="str">
        <f t="shared" si="10"/>
        <v/>
      </c>
      <c r="V155" s="18" t="str">
        <f t="shared" si="11"/>
        <v/>
      </c>
      <c r="W155" s="14"/>
    </row>
    <row r="156" spans="1:23" x14ac:dyDescent="0.25">
      <c r="A156" s="6">
        <v>13</v>
      </c>
      <c r="B156" s="7" t="s">
        <v>138</v>
      </c>
      <c r="C156" s="19">
        <v>0.3</v>
      </c>
      <c r="D156" s="63">
        <f>12.415</f>
        <v>12.414999999999999</v>
      </c>
      <c r="E156" s="64"/>
      <c r="F156" s="19">
        <v>0.3</v>
      </c>
      <c r="G156" s="36">
        <v>0.25</v>
      </c>
      <c r="H156" s="10">
        <v>12</v>
      </c>
      <c r="I156" s="11">
        <v>1</v>
      </c>
      <c r="J156" s="13">
        <v>2</v>
      </c>
      <c r="K156" s="45">
        <f>D156</f>
        <v>12.414999999999999</v>
      </c>
      <c r="L156" s="37">
        <f>IF(O156&lt;12,"0",0.049*H156)</f>
        <v>0.58800000000000008</v>
      </c>
      <c r="M156" s="17">
        <v>2</v>
      </c>
      <c r="N156" s="11">
        <f>M156*2*H156/1000</f>
        <v>4.8000000000000001E-2</v>
      </c>
      <c r="O156" s="16">
        <f>(D156+C156+F156)-N156</f>
        <v>12.967000000000001</v>
      </c>
      <c r="P156" s="16">
        <f>(I156*J156*O156)+1*L156</f>
        <v>26.522000000000002</v>
      </c>
      <c r="Q156" s="18" t="str">
        <f t="shared" si="6"/>
        <v/>
      </c>
      <c r="R156" s="18" t="str">
        <f t="shared" si="7"/>
        <v/>
      </c>
      <c r="S156" s="18">
        <f t="shared" si="8"/>
        <v>26.522000000000002</v>
      </c>
      <c r="T156" s="18" t="str">
        <f t="shared" si="9"/>
        <v/>
      </c>
      <c r="U156" s="18" t="str">
        <f t="shared" si="10"/>
        <v/>
      </c>
      <c r="V156" s="18" t="str">
        <f t="shared" si="11"/>
        <v/>
      </c>
      <c r="W156" s="14"/>
    </row>
    <row r="157" spans="1:23" x14ac:dyDescent="0.25">
      <c r="A157" s="6"/>
      <c r="B157" s="7"/>
      <c r="C157" s="19"/>
      <c r="D157" s="56"/>
      <c r="E157" s="56"/>
      <c r="F157" s="41"/>
      <c r="G157" s="36"/>
      <c r="H157" s="10"/>
      <c r="I157" s="11"/>
      <c r="J157" s="13"/>
      <c r="K157" s="45"/>
      <c r="L157" s="37"/>
      <c r="M157" s="17"/>
      <c r="N157" s="11"/>
      <c r="O157" s="16"/>
      <c r="P157" s="16"/>
      <c r="Q157" s="18" t="str">
        <f t="shared" si="6"/>
        <v/>
      </c>
      <c r="R157" s="18" t="str">
        <f t="shared" si="7"/>
        <v/>
      </c>
      <c r="S157" s="18" t="str">
        <f t="shared" si="8"/>
        <v/>
      </c>
      <c r="T157" s="18" t="str">
        <f t="shared" si="9"/>
        <v/>
      </c>
      <c r="U157" s="18" t="str">
        <f t="shared" si="10"/>
        <v/>
      </c>
      <c r="V157" s="18" t="str">
        <f t="shared" si="11"/>
        <v/>
      </c>
      <c r="W157" s="14"/>
    </row>
    <row r="158" spans="1:23" x14ac:dyDescent="0.25">
      <c r="A158" s="6">
        <v>14</v>
      </c>
      <c r="B158" s="7" t="s">
        <v>139</v>
      </c>
      <c r="C158" s="19">
        <v>0.3</v>
      </c>
      <c r="D158" s="63">
        <f>25.89-0.05*2</f>
        <v>25.79</v>
      </c>
      <c r="E158" s="64"/>
      <c r="F158" s="19">
        <v>0.3</v>
      </c>
      <c r="G158" s="36">
        <v>0.25</v>
      </c>
      <c r="H158" s="10">
        <v>12</v>
      </c>
      <c r="I158" s="11">
        <v>1</v>
      </c>
      <c r="J158" s="13">
        <v>2</v>
      </c>
      <c r="K158" s="45">
        <f>D158</f>
        <v>25.79</v>
      </c>
      <c r="L158" s="37">
        <f>IF(O158&lt;12,"0",0.049*H158)</f>
        <v>0.58800000000000008</v>
      </c>
      <c r="M158" s="17">
        <v>2</v>
      </c>
      <c r="N158" s="11">
        <f>M158*2*H158/1000</f>
        <v>4.8000000000000001E-2</v>
      </c>
      <c r="O158" s="16">
        <f>(D158+C158+F158)-N158</f>
        <v>26.342000000000002</v>
      </c>
      <c r="P158" s="16">
        <f>(I158*J158*O158)+1*L158</f>
        <v>53.272000000000006</v>
      </c>
      <c r="Q158" s="18" t="str">
        <f t="shared" si="6"/>
        <v/>
      </c>
      <c r="R158" s="18" t="str">
        <f t="shared" si="7"/>
        <v/>
      </c>
      <c r="S158" s="18">
        <f t="shared" si="8"/>
        <v>53.272000000000006</v>
      </c>
      <c r="T158" s="18" t="str">
        <f t="shared" si="9"/>
        <v/>
      </c>
      <c r="U158" s="18" t="str">
        <f t="shared" si="10"/>
        <v/>
      </c>
      <c r="V158" s="18" t="str">
        <f t="shared" si="11"/>
        <v/>
      </c>
      <c r="W158" s="14"/>
    </row>
    <row r="159" spans="1:23" x14ac:dyDescent="0.25">
      <c r="A159" s="6"/>
      <c r="B159" s="7"/>
      <c r="C159" s="19"/>
      <c r="D159" s="56"/>
      <c r="E159" s="56"/>
      <c r="F159" s="41"/>
      <c r="G159" s="36"/>
      <c r="H159" s="10"/>
      <c r="I159" s="11"/>
      <c r="J159" s="13"/>
      <c r="K159" s="45"/>
      <c r="L159" s="37"/>
      <c r="M159" s="17"/>
      <c r="N159" s="11"/>
      <c r="O159" s="16"/>
      <c r="P159" s="16"/>
      <c r="Q159" s="18" t="str">
        <f t="shared" si="6"/>
        <v/>
      </c>
      <c r="R159" s="18" t="str">
        <f t="shared" si="7"/>
        <v/>
      </c>
      <c r="S159" s="18" t="str">
        <f t="shared" si="8"/>
        <v/>
      </c>
      <c r="T159" s="18" t="str">
        <f t="shared" si="9"/>
        <v/>
      </c>
      <c r="U159" s="18" t="str">
        <f t="shared" si="10"/>
        <v/>
      </c>
      <c r="V159" s="18" t="str">
        <f t="shared" si="11"/>
        <v/>
      </c>
      <c r="W159" s="14"/>
    </row>
    <row r="160" spans="1:23" x14ac:dyDescent="0.25">
      <c r="A160" s="6"/>
      <c r="B160" s="7"/>
      <c r="C160" s="19"/>
      <c r="D160" s="56"/>
      <c r="E160" s="56"/>
      <c r="F160" s="41"/>
      <c r="G160" s="36"/>
      <c r="H160" s="10"/>
      <c r="I160" s="11"/>
      <c r="J160" s="13"/>
      <c r="K160" s="45"/>
      <c r="L160" s="37"/>
      <c r="M160" s="17"/>
      <c r="N160" s="11"/>
      <c r="O160" s="16"/>
      <c r="P160" s="16"/>
      <c r="Q160" s="18" t="str">
        <f t="shared" si="6"/>
        <v/>
      </c>
      <c r="R160" s="18" t="str">
        <f t="shared" si="7"/>
        <v/>
      </c>
      <c r="S160" s="18" t="str">
        <f t="shared" si="8"/>
        <v/>
      </c>
      <c r="T160" s="18" t="str">
        <f t="shared" si="9"/>
        <v/>
      </c>
      <c r="U160" s="18" t="str">
        <f t="shared" si="10"/>
        <v/>
      </c>
      <c r="V160" s="18" t="str">
        <f t="shared" si="11"/>
        <v/>
      </c>
      <c r="W160" s="14"/>
    </row>
    <row r="161" spans="1:23" x14ac:dyDescent="0.25">
      <c r="A161" s="6"/>
      <c r="B161" s="42" t="s">
        <v>26</v>
      </c>
      <c r="C161" s="8"/>
      <c r="D161" s="20"/>
      <c r="E161" s="15">
        <v>0.95</v>
      </c>
      <c r="F161" s="34"/>
      <c r="G161" s="35"/>
      <c r="H161" s="10"/>
      <c r="I161" s="11"/>
      <c r="J161" s="11"/>
      <c r="K161" s="12"/>
      <c r="L161" s="11"/>
      <c r="M161" s="11"/>
      <c r="N161" s="11"/>
      <c r="O161" s="11"/>
      <c r="P161" s="13"/>
      <c r="Q161" s="18" t="str">
        <f t="shared" si="6"/>
        <v/>
      </c>
      <c r="R161" s="18" t="str">
        <f t="shared" si="7"/>
        <v/>
      </c>
      <c r="S161" s="18" t="str">
        <f t="shared" si="8"/>
        <v/>
      </c>
      <c r="T161" s="18" t="str">
        <f t="shared" si="9"/>
        <v/>
      </c>
      <c r="U161" s="18" t="str">
        <f t="shared" si="10"/>
        <v/>
      </c>
      <c r="V161" s="18" t="str">
        <f t="shared" si="11"/>
        <v/>
      </c>
      <c r="W161" s="14"/>
    </row>
    <row r="162" spans="1:23" x14ac:dyDescent="0.25">
      <c r="A162" s="6">
        <v>1</v>
      </c>
      <c r="B162" s="7"/>
      <c r="C162" s="19"/>
      <c r="D162" s="63"/>
      <c r="E162" s="64"/>
      <c r="F162" s="19"/>
      <c r="G162" s="36"/>
      <c r="H162" s="10">
        <v>20</v>
      </c>
      <c r="I162" s="11">
        <v>1</v>
      </c>
      <c r="J162" s="13">
        <v>1000</v>
      </c>
      <c r="K162" s="45">
        <f>0.35+0.675+0.95+0.675+0.35</f>
        <v>3</v>
      </c>
      <c r="L162" s="37" t="str">
        <f>IF(O162&lt;12,"0",0.049*H162)</f>
        <v>0</v>
      </c>
      <c r="M162" s="17"/>
      <c r="N162" s="16">
        <f>M162*2*H162/1000</f>
        <v>0</v>
      </c>
      <c r="O162" s="37">
        <f>K162-N162</f>
        <v>3</v>
      </c>
      <c r="P162" s="37">
        <f>(I162*J162*O162)+1*L162</f>
        <v>3000</v>
      </c>
      <c r="Q162" s="18" t="str">
        <f t="shared" si="6"/>
        <v/>
      </c>
      <c r="R162" s="18" t="str">
        <f t="shared" si="7"/>
        <v/>
      </c>
      <c r="S162" s="18" t="str">
        <f t="shared" si="8"/>
        <v/>
      </c>
      <c r="T162" s="18" t="str">
        <f t="shared" si="9"/>
        <v/>
      </c>
      <c r="U162" s="18">
        <f t="shared" si="10"/>
        <v>3000</v>
      </c>
      <c r="V162" s="18" t="str">
        <f t="shared" si="11"/>
        <v/>
      </c>
      <c r="W162" s="14"/>
    </row>
    <row r="163" spans="1:23" x14ac:dyDescent="0.25">
      <c r="A163" s="6"/>
      <c r="B163" s="7"/>
      <c r="C163" s="19"/>
      <c r="D163" s="56"/>
      <c r="E163" s="56">
        <v>0.67500000000000004</v>
      </c>
      <c r="F163" s="41"/>
      <c r="G163" s="36"/>
      <c r="H163" s="10"/>
      <c r="I163" s="11"/>
      <c r="J163" s="13"/>
      <c r="K163" s="45"/>
      <c r="L163" s="37"/>
      <c r="M163" s="17"/>
      <c r="N163" s="11"/>
      <c r="O163" s="16"/>
      <c r="P163" s="16"/>
      <c r="Q163" s="18" t="str">
        <f t="shared" si="6"/>
        <v/>
      </c>
      <c r="R163" s="18" t="str">
        <f t="shared" si="7"/>
        <v/>
      </c>
      <c r="S163" s="18" t="str">
        <f t="shared" si="8"/>
        <v/>
      </c>
      <c r="T163" s="18" t="str">
        <f t="shared" si="9"/>
        <v/>
      </c>
      <c r="U163" s="18" t="str">
        <f t="shared" si="10"/>
        <v/>
      </c>
      <c r="V163" s="18" t="str">
        <f t="shared" si="11"/>
        <v/>
      </c>
      <c r="W163" s="14"/>
    </row>
    <row r="164" spans="1:23" x14ac:dyDescent="0.25">
      <c r="A164" s="6"/>
      <c r="B164" s="7"/>
      <c r="C164" s="19"/>
      <c r="D164" s="56"/>
      <c r="E164" s="56"/>
      <c r="F164" s="43">
        <v>0.35</v>
      </c>
      <c r="G164" s="36"/>
      <c r="H164" s="10"/>
      <c r="I164" s="11"/>
      <c r="J164" s="13"/>
      <c r="K164" s="45"/>
      <c r="L164" s="37"/>
      <c r="M164" s="17"/>
      <c r="N164" s="11"/>
      <c r="O164" s="16"/>
      <c r="P164" s="16"/>
      <c r="Q164" s="18" t="str">
        <f t="shared" si="6"/>
        <v/>
      </c>
      <c r="R164" s="18" t="str">
        <f t="shared" si="7"/>
        <v/>
      </c>
      <c r="S164" s="18" t="str">
        <f t="shared" si="8"/>
        <v/>
      </c>
      <c r="T164" s="18" t="str">
        <f t="shared" si="9"/>
        <v/>
      </c>
      <c r="U164" s="18" t="str">
        <f t="shared" si="10"/>
        <v/>
      </c>
      <c r="V164" s="18" t="str">
        <f t="shared" si="11"/>
        <v/>
      </c>
      <c r="W164" s="14"/>
    </row>
    <row r="165" spans="1:23" x14ac:dyDescent="0.25">
      <c r="A165" s="6"/>
      <c r="B165" s="7"/>
      <c r="C165" s="19"/>
      <c r="D165" s="56"/>
      <c r="E165" s="56"/>
      <c r="F165" s="41"/>
      <c r="G165" s="36"/>
      <c r="H165" s="10"/>
      <c r="I165" s="11"/>
      <c r="J165" s="13"/>
      <c r="K165" s="45"/>
      <c r="L165" s="37"/>
      <c r="M165" s="17"/>
      <c r="N165" s="11"/>
      <c r="O165" s="16"/>
      <c r="P165" s="16"/>
      <c r="Q165" s="18" t="str">
        <f t="shared" si="6"/>
        <v/>
      </c>
      <c r="R165" s="18" t="str">
        <f t="shared" si="7"/>
        <v/>
      </c>
      <c r="S165" s="18" t="str">
        <f t="shared" si="8"/>
        <v/>
      </c>
      <c r="T165" s="18" t="str">
        <f t="shared" si="9"/>
        <v/>
      </c>
      <c r="U165" s="18" t="str">
        <f t="shared" si="10"/>
        <v/>
      </c>
      <c r="V165" s="18" t="str">
        <f t="shared" si="11"/>
        <v/>
      </c>
      <c r="W165" s="14"/>
    </row>
    <row r="166" spans="1:23" x14ac:dyDescent="0.25">
      <c r="A166" s="6"/>
      <c r="B166" s="7"/>
      <c r="C166" s="19"/>
      <c r="D166" s="56"/>
      <c r="E166" s="56"/>
      <c r="F166" s="41"/>
      <c r="G166" s="36"/>
      <c r="H166" s="10"/>
      <c r="I166" s="11"/>
      <c r="J166" s="13"/>
      <c r="K166" s="45"/>
      <c r="L166" s="37"/>
      <c r="M166" s="17"/>
      <c r="N166" s="11"/>
      <c r="O166" s="16"/>
      <c r="P166" s="16"/>
      <c r="Q166" s="18" t="str">
        <f t="shared" si="6"/>
        <v/>
      </c>
      <c r="R166" s="18" t="str">
        <f t="shared" si="7"/>
        <v/>
      </c>
      <c r="S166" s="18" t="str">
        <f t="shared" si="8"/>
        <v/>
      </c>
      <c r="T166" s="18" t="str">
        <f t="shared" si="9"/>
        <v/>
      </c>
      <c r="U166" s="18" t="str">
        <f t="shared" si="10"/>
        <v/>
      </c>
      <c r="V166" s="18" t="str">
        <f t="shared" si="11"/>
        <v/>
      </c>
      <c r="W166" s="14"/>
    </row>
    <row r="167" spans="1:23" x14ac:dyDescent="0.25">
      <c r="A167" s="6"/>
      <c r="B167" s="42" t="s">
        <v>30</v>
      </c>
      <c r="C167" s="19"/>
      <c r="D167" s="56"/>
      <c r="E167" s="56"/>
      <c r="F167" s="41"/>
      <c r="G167" s="36"/>
      <c r="H167" s="10"/>
      <c r="I167" s="11"/>
      <c r="J167" s="13"/>
      <c r="K167" s="45"/>
      <c r="L167" s="37"/>
      <c r="M167" s="17"/>
      <c r="N167" s="11"/>
      <c r="O167" s="16"/>
      <c r="P167" s="16"/>
      <c r="Q167" s="18" t="str">
        <f t="shared" si="6"/>
        <v/>
      </c>
      <c r="R167" s="18" t="str">
        <f t="shared" si="7"/>
        <v/>
      </c>
      <c r="S167" s="18" t="str">
        <f t="shared" si="8"/>
        <v/>
      </c>
      <c r="T167" s="18" t="str">
        <f t="shared" si="9"/>
        <v/>
      </c>
      <c r="U167" s="18" t="str">
        <f t="shared" si="10"/>
        <v/>
      </c>
      <c r="V167" s="18" t="str">
        <f t="shared" si="11"/>
        <v/>
      </c>
      <c r="W167" s="14"/>
    </row>
    <row r="168" spans="1:23" x14ac:dyDescent="0.25">
      <c r="A168" s="6">
        <v>1</v>
      </c>
      <c r="B168" s="33" t="s">
        <v>33</v>
      </c>
      <c r="C168" s="44"/>
      <c r="D168" s="62">
        <f>0.7+1.65+1</f>
        <v>3.3499999999999996</v>
      </c>
      <c r="E168" s="62"/>
      <c r="F168" s="41"/>
      <c r="G168" s="36">
        <v>0.25</v>
      </c>
      <c r="H168" s="10">
        <v>20</v>
      </c>
      <c r="I168" s="11">
        <v>1</v>
      </c>
      <c r="J168" s="13">
        <f>ROUND(1.95/G168+1,0)</f>
        <v>9</v>
      </c>
      <c r="K168" s="45">
        <f>D168</f>
        <v>3.3499999999999996</v>
      </c>
      <c r="L168" s="37" t="str">
        <f>IF(O168&lt;12,"0",0.049*H168)</f>
        <v>0</v>
      </c>
      <c r="M168" s="17">
        <v>0</v>
      </c>
      <c r="N168" s="11">
        <f>M168*2*H168/1000</f>
        <v>0</v>
      </c>
      <c r="O168" s="16">
        <f>(D168)-N168</f>
        <v>3.3499999999999996</v>
      </c>
      <c r="P168" s="16">
        <f>(I168*J168*O168)+L168</f>
        <v>30.15</v>
      </c>
      <c r="Q168" s="18" t="str">
        <f t="shared" si="6"/>
        <v/>
      </c>
      <c r="R168" s="18" t="str">
        <f t="shared" si="7"/>
        <v/>
      </c>
      <c r="S168" s="18" t="str">
        <f t="shared" si="8"/>
        <v/>
      </c>
      <c r="T168" s="18" t="str">
        <f t="shared" si="9"/>
        <v/>
      </c>
      <c r="U168" s="18">
        <f t="shared" si="10"/>
        <v>30.15</v>
      </c>
      <c r="V168" s="18" t="str">
        <f t="shared" si="11"/>
        <v/>
      </c>
      <c r="W168" s="14"/>
    </row>
    <row r="169" spans="1:23" x14ac:dyDescent="0.25">
      <c r="A169" s="6"/>
      <c r="B169" s="33" t="s">
        <v>31</v>
      </c>
      <c r="C169" s="19"/>
      <c r="D169" s="56"/>
      <c r="E169" s="56"/>
      <c r="F169" s="41"/>
      <c r="G169" s="36"/>
      <c r="H169" s="10"/>
      <c r="I169" s="11"/>
      <c r="J169" s="13"/>
      <c r="K169" s="45"/>
      <c r="L169" s="37"/>
      <c r="M169" s="17"/>
      <c r="N169" s="11"/>
      <c r="O169" s="16"/>
      <c r="P169" s="16"/>
      <c r="Q169" s="18" t="str">
        <f t="shared" si="6"/>
        <v/>
      </c>
      <c r="R169" s="18" t="str">
        <f t="shared" si="7"/>
        <v/>
      </c>
      <c r="S169" s="18" t="str">
        <f t="shared" si="8"/>
        <v/>
      </c>
      <c r="T169" s="18" t="str">
        <f t="shared" si="9"/>
        <v/>
      </c>
      <c r="U169" s="18" t="str">
        <f t="shared" si="10"/>
        <v/>
      </c>
      <c r="V169" s="18" t="str">
        <f t="shared" si="11"/>
        <v/>
      </c>
      <c r="W169" s="14"/>
    </row>
    <row r="170" spans="1:23" x14ac:dyDescent="0.25">
      <c r="A170" s="6"/>
      <c r="B170" s="50"/>
      <c r="C170" s="19"/>
      <c r="D170" s="56"/>
      <c r="E170" s="56"/>
      <c r="F170" s="41"/>
      <c r="G170" s="36"/>
      <c r="H170" s="10"/>
      <c r="I170" s="11"/>
      <c r="J170" s="13"/>
      <c r="K170" s="45"/>
      <c r="L170" s="37"/>
      <c r="M170" s="17"/>
      <c r="N170" s="11"/>
      <c r="O170" s="16"/>
      <c r="P170" s="16"/>
      <c r="Q170" s="18" t="str">
        <f t="shared" si="6"/>
        <v/>
      </c>
      <c r="R170" s="18" t="str">
        <f t="shared" si="7"/>
        <v/>
      </c>
      <c r="S170" s="18" t="str">
        <f t="shared" si="8"/>
        <v/>
      </c>
      <c r="T170" s="18" t="str">
        <f t="shared" si="9"/>
        <v/>
      </c>
      <c r="U170" s="18" t="str">
        <f t="shared" si="10"/>
        <v/>
      </c>
      <c r="V170" s="18" t="str">
        <f t="shared" si="11"/>
        <v/>
      </c>
      <c r="W170" s="14"/>
    </row>
    <row r="171" spans="1:23" x14ac:dyDescent="0.25">
      <c r="A171" s="6">
        <v>2</v>
      </c>
      <c r="B171" s="33" t="s">
        <v>34</v>
      </c>
      <c r="C171" s="44"/>
      <c r="D171" s="62">
        <f>0.7+0.65+0.6</f>
        <v>1.9500000000000002</v>
      </c>
      <c r="E171" s="62"/>
      <c r="F171" s="41"/>
      <c r="G171" s="36">
        <v>0.25</v>
      </c>
      <c r="H171" s="10">
        <v>12</v>
      </c>
      <c r="I171" s="11">
        <v>1</v>
      </c>
      <c r="J171" s="13">
        <f>ROUND(3.35/G171+1,0)</f>
        <v>14</v>
      </c>
      <c r="K171" s="45">
        <f>D171</f>
        <v>1.9500000000000002</v>
      </c>
      <c r="L171" s="37" t="str">
        <f>IF(O171&lt;12,"0",0.049*H171)</f>
        <v>0</v>
      </c>
      <c r="M171" s="17">
        <v>0</v>
      </c>
      <c r="N171" s="11">
        <f>M171*2*H171/1000</f>
        <v>0</v>
      </c>
      <c r="O171" s="16">
        <f>(D171)-N171</f>
        <v>1.9500000000000002</v>
      </c>
      <c r="P171" s="16">
        <f>(I171*J171*O171)+L171</f>
        <v>27.300000000000004</v>
      </c>
      <c r="Q171" s="18" t="str">
        <f t="shared" si="6"/>
        <v/>
      </c>
      <c r="R171" s="18" t="str">
        <f t="shared" si="7"/>
        <v/>
      </c>
      <c r="S171" s="18">
        <f t="shared" si="8"/>
        <v>27.300000000000004</v>
      </c>
      <c r="T171" s="18" t="str">
        <f t="shared" si="9"/>
        <v/>
      </c>
      <c r="U171" s="18" t="str">
        <f t="shared" si="10"/>
        <v/>
      </c>
      <c r="V171" s="18" t="str">
        <f t="shared" si="11"/>
        <v/>
      </c>
      <c r="W171" s="14"/>
    </row>
    <row r="172" spans="1:23" x14ac:dyDescent="0.25">
      <c r="A172" s="6"/>
      <c r="B172" s="33" t="s">
        <v>31</v>
      </c>
      <c r="C172" s="19"/>
      <c r="D172" s="56"/>
      <c r="E172" s="56"/>
      <c r="F172" s="41"/>
      <c r="G172" s="36"/>
      <c r="H172" s="10"/>
      <c r="I172" s="11"/>
      <c r="J172" s="13"/>
      <c r="K172" s="45"/>
      <c r="L172" s="37"/>
      <c r="M172" s="17"/>
      <c r="N172" s="11"/>
      <c r="O172" s="16"/>
      <c r="P172" s="16"/>
      <c r="Q172" s="18" t="str">
        <f t="shared" si="6"/>
        <v/>
      </c>
      <c r="R172" s="18" t="str">
        <f t="shared" si="7"/>
        <v/>
      </c>
      <c r="S172" s="18" t="str">
        <f t="shared" si="8"/>
        <v/>
      </c>
      <c r="T172" s="18" t="str">
        <f t="shared" si="9"/>
        <v/>
      </c>
      <c r="U172" s="18" t="str">
        <f t="shared" si="10"/>
        <v/>
      </c>
      <c r="V172" s="18" t="str">
        <f t="shared" si="11"/>
        <v/>
      </c>
      <c r="W172" s="14"/>
    </row>
    <row r="173" spans="1:23" x14ac:dyDescent="0.25">
      <c r="A173" s="6"/>
      <c r="B173" s="50"/>
      <c r="C173" s="19"/>
      <c r="D173" s="56"/>
      <c r="E173" s="56"/>
      <c r="F173" s="41"/>
      <c r="G173" s="36"/>
      <c r="H173" s="10"/>
      <c r="I173" s="11"/>
      <c r="J173" s="13"/>
      <c r="K173" s="45"/>
      <c r="L173" s="37"/>
      <c r="M173" s="17"/>
      <c r="N173" s="11"/>
      <c r="O173" s="16"/>
      <c r="P173" s="16"/>
      <c r="Q173" s="18" t="str">
        <f t="shared" ref="Q173:Q236" si="12">IF($H173=8,$P173,"")</f>
        <v/>
      </c>
      <c r="R173" s="18" t="str">
        <f t="shared" ref="R173:R236" si="13">IF($H173=10,$P173,"")</f>
        <v/>
      </c>
      <c r="S173" s="18" t="str">
        <f t="shared" ref="S173:S236" si="14">IF($H173=12,$P173,"")</f>
        <v/>
      </c>
      <c r="T173" s="18" t="str">
        <f t="shared" ref="T173:T236" si="15">IF($H173=16,$P173,"")</f>
        <v/>
      </c>
      <c r="U173" s="18" t="str">
        <f t="shared" ref="U173:U236" si="16">IF($H173=20,$P173,"")</f>
        <v/>
      </c>
      <c r="V173" s="18" t="str">
        <f t="shared" ref="V173:V236" si="17">IF($H173=25,$P173,"")</f>
        <v/>
      </c>
      <c r="W173" s="14"/>
    </row>
    <row r="174" spans="1:23" x14ac:dyDescent="0.25">
      <c r="A174" s="6">
        <v>3</v>
      </c>
      <c r="B174" s="33" t="s">
        <v>33</v>
      </c>
      <c r="C174" s="44"/>
      <c r="D174" s="62">
        <f>1.25+0.6+0.75-0.05</f>
        <v>2.5500000000000003</v>
      </c>
      <c r="E174" s="62"/>
      <c r="F174" s="41"/>
      <c r="G174" s="36">
        <v>0.25</v>
      </c>
      <c r="H174" s="10">
        <v>25</v>
      </c>
      <c r="I174" s="11">
        <v>1</v>
      </c>
      <c r="J174" s="13">
        <f>ROUND(2.3/G174+1,0)</f>
        <v>10</v>
      </c>
      <c r="K174" s="45">
        <f>D174</f>
        <v>2.5500000000000003</v>
      </c>
      <c r="L174" s="37" t="str">
        <f>IF(O174&lt;12,"0",0.049*H174)</f>
        <v>0</v>
      </c>
      <c r="M174" s="17">
        <v>0</v>
      </c>
      <c r="N174" s="11">
        <f>M174*2*H174/1000</f>
        <v>0</v>
      </c>
      <c r="O174" s="16">
        <f>(D174)-N174</f>
        <v>2.5500000000000003</v>
      </c>
      <c r="P174" s="16">
        <f>(I174*J174*O174)+L174</f>
        <v>25.500000000000004</v>
      </c>
      <c r="Q174" s="18" t="str">
        <f t="shared" si="12"/>
        <v/>
      </c>
      <c r="R174" s="18" t="str">
        <f t="shared" si="13"/>
        <v/>
      </c>
      <c r="S174" s="18" t="str">
        <f t="shared" si="14"/>
        <v/>
      </c>
      <c r="T174" s="18" t="str">
        <f t="shared" si="15"/>
        <v/>
      </c>
      <c r="U174" s="18" t="str">
        <f t="shared" si="16"/>
        <v/>
      </c>
      <c r="V174" s="18">
        <f t="shared" si="17"/>
        <v>25.500000000000004</v>
      </c>
      <c r="W174" s="14"/>
    </row>
    <row r="175" spans="1:23" x14ac:dyDescent="0.25">
      <c r="A175" s="6"/>
      <c r="B175" s="33" t="s">
        <v>32</v>
      </c>
      <c r="C175" s="19"/>
      <c r="D175" s="56"/>
      <c r="E175" s="56"/>
      <c r="F175" s="41"/>
      <c r="G175" s="36"/>
      <c r="H175" s="10"/>
      <c r="I175" s="11"/>
      <c r="J175" s="13"/>
      <c r="K175" s="45"/>
      <c r="L175" s="37"/>
      <c r="M175" s="17"/>
      <c r="N175" s="11"/>
      <c r="O175" s="16"/>
      <c r="P175" s="16"/>
      <c r="Q175" s="18" t="str">
        <f t="shared" si="12"/>
        <v/>
      </c>
      <c r="R175" s="18" t="str">
        <f t="shared" si="13"/>
        <v/>
      </c>
      <c r="S175" s="18" t="str">
        <f t="shared" si="14"/>
        <v/>
      </c>
      <c r="T175" s="18" t="str">
        <f t="shared" si="15"/>
        <v/>
      </c>
      <c r="U175" s="18" t="str">
        <f t="shared" si="16"/>
        <v/>
      </c>
      <c r="V175" s="18" t="str">
        <f t="shared" si="17"/>
        <v/>
      </c>
      <c r="W175" s="14"/>
    </row>
    <row r="176" spans="1:23" x14ac:dyDescent="0.25">
      <c r="A176" s="6"/>
      <c r="B176" s="33"/>
      <c r="C176" s="19"/>
      <c r="D176" s="56"/>
      <c r="E176" s="56"/>
      <c r="F176" s="41"/>
      <c r="G176" s="36"/>
      <c r="H176" s="10"/>
      <c r="I176" s="11"/>
      <c r="J176" s="13"/>
      <c r="K176" s="45"/>
      <c r="L176" s="37"/>
      <c r="M176" s="17"/>
      <c r="N176" s="11"/>
      <c r="O176" s="16"/>
      <c r="P176" s="16"/>
      <c r="Q176" s="18" t="str">
        <f t="shared" si="12"/>
        <v/>
      </c>
      <c r="R176" s="18" t="str">
        <f t="shared" si="13"/>
        <v/>
      </c>
      <c r="S176" s="18" t="str">
        <f t="shared" si="14"/>
        <v/>
      </c>
      <c r="T176" s="18" t="str">
        <f t="shared" si="15"/>
        <v/>
      </c>
      <c r="U176" s="18" t="str">
        <f t="shared" si="16"/>
        <v/>
      </c>
      <c r="V176" s="18" t="str">
        <f t="shared" si="17"/>
        <v/>
      </c>
      <c r="W176" s="14"/>
    </row>
    <row r="177" spans="1:23" x14ac:dyDescent="0.25">
      <c r="A177" s="6">
        <v>4</v>
      </c>
      <c r="B177" s="33" t="s">
        <v>34</v>
      </c>
      <c r="C177" s="44"/>
      <c r="D177" s="62">
        <f>1+0.3+1</f>
        <v>2.2999999999999998</v>
      </c>
      <c r="E177" s="62"/>
      <c r="F177" s="41"/>
      <c r="G177" s="36">
        <v>0.25</v>
      </c>
      <c r="H177" s="10">
        <v>20</v>
      </c>
      <c r="I177" s="11">
        <v>1</v>
      </c>
      <c r="J177" s="13">
        <f>ROUND(2.55/G177+1,0)</f>
        <v>11</v>
      </c>
      <c r="K177" s="45">
        <f>D177</f>
        <v>2.2999999999999998</v>
      </c>
      <c r="L177" s="37" t="str">
        <f>IF(O177&lt;12,"0",0.049*H177)</f>
        <v>0</v>
      </c>
      <c r="M177" s="17">
        <v>0</v>
      </c>
      <c r="N177" s="11">
        <f>M177*2*H177/1000</f>
        <v>0</v>
      </c>
      <c r="O177" s="16">
        <f>(D177)-N177</f>
        <v>2.2999999999999998</v>
      </c>
      <c r="P177" s="16">
        <f>(I177*J177*O177)+L177</f>
        <v>25.299999999999997</v>
      </c>
      <c r="Q177" s="18" t="str">
        <f t="shared" si="12"/>
        <v/>
      </c>
      <c r="R177" s="18" t="str">
        <f t="shared" si="13"/>
        <v/>
      </c>
      <c r="S177" s="18" t="str">
        <f t="shared" si="14"/>
        <v/>
      </c>
      <c r="T177" s="18" t="str">
        <f t="shared" si="15"/>
        <v/>
      </c>
      <c r="U177" s="18">
        <f t="shared" si="16"/>
        <v>25.299999999999997</v>
      </c>
      <c r="V177" s="18" t="str">
        <f t="shared" si="17"/>
        <v/>
      </c>
      <c r="W177" s="14"/>
    </row>
    <row r="178" spans="1:23" x14ac:dyDescent="0.25">
      <c r="A178" s="6"/>
      <c r="B178" s="33" t="s">
        <v>32</v>
      </c>
      <c r="C178" s="19"/>
      <c r="D178" s="56"/>
      <c r="E178" s="56"/>
      <c r="F178" s="41"/>
      <c r="G178" s="36"/>
      <c r="H178" s="10"/>
      <c r="I178" s="11"/>
      <c r="J178" s="13"/>
      <c r="K178" s="45"/>
      <c r="L178" s="37"/>
      <c r="M178" s="17"/>
      <c r="N178" s="11"/>
      <c r="O178" s="16"/>
      <c r="P178" s="16"/>
      <c r="Q178" s="18" t="str">
        <f t="shared" si="12"/>
        <v/>
      </c>
      <c r="R178" s="18" t="str">
        <f t="shared" si="13"/>
        <v/>
      </c>
      <c r="S178" s="18" t="str">
        <f t="shared" si="14"/>
        <v/>
      </c>
      <c r="T178" s="18" t="str">
        <f t="shared" si="15"/>
        <v/>
      </c>
      <c r="U178" s="18" t="str">
        <f t="shared" si="16"/>
        <v/>
      </c>
      <c r="V178" s="18" t="str">
        <f t="shared" si="17"/>
        <v/>
      </c>
      <c r="W178" s="14"/>
    </row>
    <row r="179" spans="1:23" x14ac:dyDescent="0.25">
      <c r="A179" s="6"/>
      <c r="B179" s="33"/>
      <c r="C179" s="19"/>
      <c r="D179" s="56"/>
      <c r="E179" s="56"/>
      <c r="F179" s="41"/>
      <c r="G179" s="36"/>
      <c r="H179" s="10"/>
      <c r="I179" s="11"/>
      <c r="J179" s="13"/>
      <c r="K179" s="45"/>
      <c r="L179" s="37"/>
      <c r="M179" s="17"/>
      <c r="N179" s="11"/>
      <c r="O179" s="16"/>
      <c r="P179" s="16"/>
      <c r="Q179" s="18" t="str">
        <f t="shared" si="12"/>
        <v/>
      </c>
      <c r="R179" s="18" t="str">
        <f t="shared" si="13"/>
        <v/>
      </c>
      <c r="S179" s="18" t="str">
        <f t="shared" si="14"/>
        <v/>
      </c>
      <c r="T179" s="18" t="str">
        <f t="shared" si="15"/>
        <v/>
      </c>
      <c r="U179" s="18" t="str">
        <f t="shared" si="16"/>
        <v/>
      </c>
      <c r="V179" s="18" t="str">
        <f t="shared" si="17"/>
        <v/>
      </c>
      <c r="W179" s="14"/>
    </row>
    <row r="180" spans="1:23" x14ac:dyDescent="0.25">
      <c r="A180" s="6">
        <v>5</v>
      </c>
      <c r="B180" s="33" t="s">
        <v>33</v>
      </c>
      <c r="C180" s="44"/>
      <c r="D180" s="62">
        <f>0.75-0.05+0.3+1</f>
        <v>2</v>
      </c>
      <c r="E180" s="62"/>
      <c r="F180" s="41"/>
      <c r="G180" s="36">
        <v>0.25</v>
      </c>
      <c r="H180" s="10">
        <v>20</v>
      </c>
      <c r="I180" s="11">
        <v>1</v>
      </c>
      <c r="J180" s="13">
        <f>ROUND(2.3/G180+1,0)</f>
        <v>10</v>
      </c>
      <c r="K180" s="45">
        <f>D180</f>
        <v>2</v>
      </c>
      <c r="L180" s="37" t="str">
        <f>IF(O180&lt;12,"0",0.049*H180)</f>
        <v>0</v>
      </c>
      <c r="M180" s="17">
        <v>0</v>
      </c>
      <c r="N180" s="11">
        <f>M180*2*H180/1000</f>
        <v>0</v>
      </c>
      <c r="O180" s="16">
        <f>(D180)-N180</f>
        <v>2</v>
      </c>
      <c r="P180" s="16">
        <f>(I180*J180*O180)+L180</f>
        <v>20</v>
      </c>
      <c r="Q180" s="18" t="str">
        <f t="shared" si="12"/>
        <v/>
      </c>
      <c r="R180" s="18" t="str">
        <f t="shared" si="13"/>
        <v/>
      </c>
      <c r="S180" s="18" t="str">
        <f t="shared" si="14"/>
        <v/>
      </c>
      <c r="T180" s="18" t="str">
        <f t="shared" si="15"/>
        <v/>
      </c>
      <c r="U180" s="18">
        <f t="shared" si="16"/>
        <v>20</v>
      </c>
      <c r="V180" s="18" t="str">
        <f t="shared" si="17"/>
        <v/>
      </c>
      <c r="W180" s="14"/>
    </row>
    <row r="181" spans="1:23" x14ac:dyDescent="0.25">
      <c r="A181" s="6"/>
      <c r="B181" s="33" t="s">
        <v>35</v>
      </c>
      <c r="C181" s="19"/>
      <c r="D181" s="56"/>
      <c r="E181" s="56"/>
      <c r="F181" s="41"/>
      <c r="G181" s="36"/>
      <c r="H181" s="10"/>
      <c r="I181" s="11"/>
      <c r="J181" s="13"/>
      <c r="K181" s="45"/>
      <c r="L181" s="37"/>
      <c r="M181" s="17"/>
      <c r="N181" s="11"/>
      <c r="O181" s="16"/>
      <c r="P181" s="16"/>
      <c r="Q181" s="18" t="str">
        <f t="shared" si="12"/>
        <v/>
      </c>
      <c r="R181" s="18" t="str">
        <f t="shared" si="13"/>
        <v/>
      </c>
      <c r="S181" s="18" t="str">
        <f t="shared" si="14"/>
        <v/>
      </c>
      <c r="T181" s="18" t="str">
        <f t="shared" si="15"/>
        <v/>
      </c>
      <c r="U181" s="18" t="str">
        <f t="shared" si="16"/>
        <v/>
      </c>
      <c r="V181" s="18" t="str">
        <f t="shared" si="17"/>
        <v/>
      </c>
      <c r="W181" s="14"/>
    </row>
    <row r="182" spans="1:23" x14ac:dyDescent="0.25">
      <c r="A182" s="6"/>
      <c r="B182" s="33"/>
      <c r="C182" s="19"/>
      <c r="D182" s="56"/>
      <c r="E182" s="56"/>
      <c r="F182" s="41"/>
      <c r="G182" s="36"/>
      <c r="H182" s="10"/>
      <c r="I182" s="11"/>
      <c r="J182" s="13"/>
      <c r="K182" s="45"/>
      <c r="L182" s="37"/>
      <c r="M182" s="17"/>
      <c r="N182" s="11"/>
      <c r="O182" s="16"/>
      <c r="P182" s="16"/>
      <c r="Q182" s="18" t="str">
        <f t="shared" si="12"/>
        <v/>
      </c>
      <c r="R182" s="18" t="str">
        <f t="shared" si="13"/>
        <v/>
      </c>
      <c r="S182" s="18" t="str">
        <f t="shared" si="14"/>
        <v/>
      </c>
      <c r="T182" s="18" t="str">
        <f t="shared" si="15"/>
        <v/>
      </c>
      <c r="U182" s="18" t="str">
        <f t="shared" si="16"/>
        <v/>
      </c>
      <c r="V182" s="18" t="str">
        <f t="shared" si="17"/>
        <v/>
      </c>
      <c r="W182" s="14"/>
    </row>
    <row r="183" spans="1:23" x14ac:dyDescent="0.25">
      <c r="A183" s="6">
        <v>6</v>
      </c>
      <c r="B183" s="33" t="s">
        <v>34</v>
      </c>
      <c r="C183" s="44"/>
      <c r="D183" s="62">
        <f>1+0.6+0.75-0.05</f>
        <v>2.3000000000000003</v>
      </c>
      <c r="E183" s="62"/>
      <c r="F183" s="41"/>
      <c r="G183" s="36">
        <v>0.25</v>
      </c>
      <c r="H183" s="10">
        <v>20</v>
      </c>
      <c r="I183" s="11">
        <v>1</v>
      </c>
      <c r="J183" s="13">
        <f>ROUND(2/G183+1,0)</f>
        <v>9</v>
      </c>
      <c r="K183" s="45">
        <f>D183</f>
        <v>2.3000000000000003</v>
      </c>
      <c r="L183" s="37" t="str">
        <f>IF(O183&lt;12,"0",0.049*H183)</f>
        <v>0</v>
      </c>
      <c r="M183" s="17">
        <v>0</v>
      </c>
      <c r="N183" s="11">
        <f>M183*2*H183/1000</f>
        <v>0</v>
      </c>
      <c r="O183" s="16">
        <f>(D183)-N183</f>
        <v>2.3000000000000003</v>
      </c>
      <c r="P183" s="16">
        <f>(I183*J183*O183)+L183</f>
        <v>20.700000000000003</v>
      </c>
      <c r="Q183" s="18" t="str">
        <f t="shared" si="12"/>
        <v/>
      </c>
      <c r="R183" s="18" t="str">
        <f t="shared" si="13"/>
        <v/>
      </c>
      <c r="S183" s="18" t="str">
        <f t="shared" si="14"/>
        <v/>
      </c>
      <c r="T183" s="18" t="str">
        <f t="shared" si="15"/>
        <v/>
      </c>
      <c r="U183" s="18">
        <f t="shared" si="16"/>
        <v>20.700000000000003</v>
      </c>
      <c r="V183" s="18" t="str">
        <f t="shared" si="17"/>
        <v/>
      </c>
      <c r="W183" s="14"/>
    </row>
    <row r="184" spans="1:23" x14ac:dyDescent="0.25">
      <c r="A184" s="6"/>
      <c r="B184" s="33" t="s">
        <v>35</v>
      </c>
      <c r="C184" s="19"/>
      <c r="D184" s="56"/>
      <c r="E184" s="56"/>
      <c r="F184" s="41"/>
      <c r="G184" s="36"/>
      <c r="H184" s="10"/>
      <c r="I184" s="11"/>
      <c r="J184" s="13"/>
      <c r="K184" s="45"/>
      <c r="L184" s="37"/>
      <c r="M184" s="17"/>
      <c r="N184" s="11"/>
      <c r="O184" s="16"/>
      <c r="P184" s="16"/>
      <c r="Q184" s="18" t="str">
        <f t="shared" si="12"/>
        <v/>
      </c>
      <c r="R184" s="18" t="str">
        <f t="shared" si="13"/>
        <v/>
      </c>
      <c r="S184" s="18" t="str">
        <f t="shared" si="14"/>
        <v/>
      </c>
      <c r="T184" s="18" t="str">
        <f t="shared" si="15"/>
        <v/>
      </c>
      <c r="U184" s="18" t="str">
        <f t="shared" si="16"/>
        <v/>
      </c>
      <c r="V184" s="18" t="str">
        <f t="shared" si="17"/>
        <v/>
      </c>
      <c r="W184" s="14"/>
    </row>
    <row r="185" spans="1:23" x14ac:dyDescent="0.25">
      <c r="A185" s="6"/>
      <c r="B185" s="33"/>
      <c r="C185" s="19"/>
      <c r="D185" s="56"/>
      <c r="E185" s="56"/>
      <c r="F185" s="41"/>
      <c r="G185" s="36"/>
      <c r="H185" s="10"/>
      <c r="I185" s="11"/>
      <c r="J185" s="13"/>
      <c r="K185" s="45"/>
      <c r="L185" s="37"/>
      <c r="M185" s="17"/>
      <c r="N185" s="11"/>
      <c r="O185" s="16"/>
      <c r="P185" s="16"/>
      <c r="Q185" s="18" t="str">
        <f t="shared" si="12"/>
        <v/>
      </c>
      <c r="R185" s="18" t="str">
        <f t="shared" si="13"/>
        <v/>
      </c>
      <c r="S185" s="18" t="str">
        <f t="shared" si="14"/>
        <v/>
      </c>
      <c r="T185" s="18" t="str">
        <f t="shared" si="15"/>
        <v/>
      </c>
      <c r="U185" s="18" t="str">
        <f t="shared" si="16"/>
        <v/>
      </c>
      <c r="V185" s="18" t="str">
        <f t="shared" si="17"/>
        <v/>
      </c>
      <c r="W185" s="14"/>
    </row>
    <row r="186" spans="1:23" x14ac:dyDescent="0.25">
      <c r="A186" s="6">
        <v>7</v>
      </c>
      <c r="B186" s="33" t="s">
        <v>33</v>
      </c>
      <c r="C186" s="44"/>
      <c r="D186" s="62">
        <f>0.75-0.05+1.85+1</f>
        <v>3.55</v>
      </c>
      <c r="E186" s="62"/>
      <c r="F186" s="41"/>
      <c r="G186" s="36">
        <v>0.25</v>
      </c>
      <c r="H186" s="10">
        <v>20</v>
      </c>
      <c r="I186" s="11">
        <v>1</v>
      </c>
      <c r="J186" s="13">
        <f>ROUND(2.4/G186+1,0)</f>
        <v>11</v>
      </c>
      <c r="K186" s="45">
        <f>D186</f>
        <v>3.55</v>
      </c>
      <c r="L186" s="37" t="str">
        <f>IF(O186&lt;12,"0",0.049*H186)</f>
        <v>0</v>
      </c>
      <c r="M186" s="17">
        <v>0</v>
      </c>
      <c r="N186" s="11">
        <f>M186*2*H186/1000</f>
        <v>0</v>
      </c>
      <c r="O186" s="16">
        <f>(D186)-N186</f>
        <v>3.55</v>
      </c>
      <c r="P186" s="16">
        <f>(I186*J186*O186)+L186</f>
        <v>39.049999999999997</v>
      </c>
      <c r="Q186" s="18" t="str">
        <f t="shared" si="12"/>
        <v/>
      </c>
      <c r="R186" s="18" t="str">
        <f t="shared" si="13"/>
        <v/>
      </c>
      <c r="S186" s="18" t="str">
        <f t="shared" si="14"/>
        <v/>
      </c>
      <c r="T186" s="18" t="str">
        <f t="shared" si="15"/>
        <v/>
      </c>
      <c r="U186" s="18">
        <f t="shared" si="16"/>
        <v>39.049999999999997</v>
      </c>
      <c r="V186" s="18" t="str">
        <f t="shared" si="17"/>
        <v/>
      </c>
      <c r="W186" s="14"/>
    </row>
    <row r="187" spans="1:23" x14ac:dyDescent="0.25">
      <c r="A187" s="6"/>
      <c r="B187" s="33" t="s">
        <v>36</v>
      </c>
      <c r="C187" s="19"/>
      <c r="D187" s="56"/>
      <c r="E187" s="56"/>
      <c r="F187" s="41"/>
      <c r="G187" s="36"/>
      <c r="H187" s="10"/>
      <c r="I187" s="11"/>
      <c r="J187" s="13"/>
      <c r="K187" s="45"/>
      <c r="L187" s="37"/>
      <c r="M187" s="17"/>
      <c r="N187" s="11"/>
      <c r="O187" s="16"/>
      <c r="P187" s="16"/>
      <c r="Q187" s="18" t="str">
        <f t="shared" si="12"/>
        <v/>
      </c>
      <c r="R187" s="18" t="str">
        <f t="shared" si="13"/>
        <v/>
      </c>
      <c r="S187" s="18" t="str">
        <f t="shared" si="14"/>
        <v/>
      </c>
      <c r="T187" s="18" t="str">
        <f t="shared" si="15"/>
        <v/>
      </c>
      <c r="U187" s="18" t="str">
        <f t="shared" si="16"/>
        <v/>
      </c>
      <c r="V187" s="18" t="str">
        <f t="shared" si="17"/>
        <v/>
      </c>
      <c r="W187" s="14"/>
    </row>
    <row r="188" spans="1:23" x14ac:dyDescent="0.25">
      <c r="A188" s="6"/>
      <c r="B188" s="33"/>
      <c r="C188" s="19"/>
      <c r="D188" s="56"/>
      <c r="E188" s="56"/>
      <c r="F188" s="41"/>
      <c r="G188" s="36"/>
      <c r="H188" s="10"/>
      <c r="I188" s="11"/>
      <c r="J188" s="13"/>
      <c r="K188" s="45"/>
      <c r="L188" s="37"/>
      <c r="M188" s="17"/>
      <c r="N188" s="11"/>
      <c r="O188" s="16"/>
      <c r="P188" s="16"/>
      <c r="Q188" s="18" t="str">
        <f t="shared" si="12"/>
        <v/>
      </c>
      <c r="R188" s="18" t="str">
        <f t="shared" si="13"/>
        <v/>
      </c>
      <c r="S188" s="18" t="str">
        <f t="shared" si="14"/>
        <v/>
      </c>
      <c r="T188" s="18" t="str">
        <f t="shared" si="15"/>
        <v/>
      </c>
      <c r="U188" s="18" t="str">
        <f t="shared" si="16"/>
        <v/>
      </c>
      <c r="V188" s="18" t="str">
        <f t="shared" si="17"/>
        <v/>
      </c>
      <c r="W188" s="14"/>
    </row>
    <row r="189" spans="1:23" x14ac:dyDescent="0.25">
      <c r="A189" s="6">
        <v>7</v>
      </c>
      <c r="B189" s="33" t="s">
        <v>33</v>
      </c>
      <c r="C189" s="44"/>
      <c r="D189" s="62">
        <f>0.75-0.05+0.8+1</f>
        <v>2.5</v>
      </c>
      <c r="E189" s="62"/>
      <c r="F189" s="41"/>
      <c r="G189" s="36">
        <v>0.25</v>
      </c>
      <c r="H189" s="10">
        <v>25</v>
      </c>
      <c r="I189" s="11">
        <v>1</v>
      </c>
      <c r="J189" s="13">
        <f>ROUND(1.645/G189+1,0)</f>
        <v>8</v>
      </c>
      <c r="K189" s="45">
        <f>D189</f>
        <v>2.5</v>
      </c>
      <c r="L189" s="37" t="str">
        <f>IF(O189&lt;12,"0",0.049*H189)</f>
        <v>0</v>
      </c>
      <c r="M189" s="17">
        <v>0</v>
      </c>
      <c r="N189" s="11">
        <f>M189*2*H189/1000</f>
        <v>0</v>
      </c>
      <c r="O189" s="16">
        <f>(D189)-N189</f>
        <v>2.5</v>
      </c>
      <c r="P189" s="16">
        <f>(I189*J189*O189)+L189</f>
        <v>20</v>
      </c>
      <c r="Q189" s="18" t="str">
        <f t="shared" si="12"/>
        <v/>
      </c>
      <c r="R189" s="18" t="str">
        <f t="shared" si="13"/>
        <v/>
      </c>
      <c r="S189" s="18" t="str">
        <f t="shared" si="14"/>
        <v/>
      </c>
      <c r="T189" s="18" t="str">
        <f t="shared" si="15"/>
        <v/>
      </c>
      <c r="U189" s="18" t="str">
        <f t="shared" si="16"/>
        <v/>
      </c>
      <c r="V189" s="18">
        <f t="shared" si="17"/>
        <v>20</v>
      </c>
      <c r="W189" s="14"/>
    </row>
    <row r="190" spans="1:23" x14ac:dyDescent="0.25">
      <c r="A190" s="6"/>
      <c r="B190" s="33" t="s">
        <v>36</v>
      </c>
      <c r="C190" s="19"/>
      <c r="D190" s="56"/>
      <c r="E190" s="56"/>
      <c r="F190" s="41"/>
      <c r="G190" s="36"/>
      <c r="H190" s="10"/>
      <c r="I190" s="11"/>
      <c r="J190" s="13"/>
      <c r="K190" s="45"/>
      <c r="L190" s="37"/>
      <c r="M190" s="17"/>
      <c r="N190" s="11"/>
      <c r="O190" s="16"/>
      <c r="P190" s="16"/>
      <c r="Q190" s="18" t="str">
        <f t="shared" si="12"/>
        <v/>
      </c>
      <c r="R190" s="18" t="str">
        <f t="shared" si="13"/>
        <v/>
      </c>
      <c r="S190" s="18" t="str">
        <f t="shared" si="14"/>
        <v/>
      </c>
      <c r="T190" s="18" t="str">
        <f t="shared" si="15"/>
        <v/>
      </c>
      <c r="U190" s="18" t="str">
        <f t="shared" si="16"/>
        <v/>
      </c>
      <c r="V190" s="18" t="str">
        <f t="shared" si="17"/>
        <v/>
      </c>
      <c r="W190" s="14"/>
    </row>
    <row r="191" spans="1:23" x14ac:dyDescent="0.25">
      <c r="A191" s="6"/>
      <c r="B191" s="33"/>
      <c r="C191" s="19"/>
      <c r="D191" s="56"/>
      <c r="E191" s="56"/>
      <c r="F191" s="41"/>
      <c r="G191" s="36"/>
      <c r="H191" s="10"/>
      <c r="I191" s="11"/>
      <c r="J191" s="13"/>
      <c r="K191" s="45"/>
      <c r="L191" s="37"/>
      <c r="M191" s="17"/>
      <c r="N191" s="11"/>
      <c r="O191" s="16"/>
      <c r="P191" s="16"/>
      <c r="Q191" s="18" t="str">
        <f t="shared" si="12"/>
        <v/>
      </c>
      <c r="R191" s="18" t="str">
        <f t="shared" si="13"/>
        <v/>
      </c>
      <c r="S191" s="18" t="str">
        <f t="shared" si="14"/>
        <v/>
      </c>
      <c r="T191" s="18" t="str">
        <f t="shared" si="15"/>
        <v/>
      </c>
      <c r="U191" s="18" t="str">
        <f t="shared" si="16"/>
        <v/>
      </c>
      <c r="V191" s="18" t="str">
        <f t="shared" si="17"/>
        <v/>
      </c>
      <c r="W191" s="14"/>
    </row>
    <row r="192" spans="1:23" x14ac:dyDescent="0.25">
      <c r="A192" s="6">
        <v>8</v>
      </c>
      <c r="B192" s="33" t="s">
        <v>34</v>
      </c>
      <c r="C192" s="44"/>
      <c r="D192" s="62">
        <f>1+0.65+0.75-0.05</f>
        <v>2.35</v>
      </c>
      <c r="E192" s="62"/>
      <c r="F192" s="41"/>
      <c r="G192" s="36">
        <v>0.25</v>
      </c>
      <c r="H192" s="10">
        <v>25</v>
      </c>
      <c r="I192" s="11">
        <v>1</v>
      </c>
      <c r="J192" s="13">
        <f>ROUND(1.405/G192+1,0)</f>
        <v>7</v>
      </c>
      <c r="K192" s="45">
        <f>D192</f>
        <v>2.35</v>
      </c>
      <c r="L192" s="37" t="str">
        <f>IF(O192&lt;12,"0",0.049*H192)</f>
        <v>0</v>
      </c>
      <c r="M192" s="17">
        <v>0</v>
      </c>
      <c r="N192" s="11">
        <f>M192*2*H192/1000</f>
        <v>0</v>
      </c>
      <c r="O192" s="16">
        <f>(D192)-N192</f>
        <v>2.35</v>
      </c>
      <c r="P192" s="16">
        <f>(I192*J192*O192)+L192</f>
        <v>16.45</v>
      </c>
      <c r="Q192" s="18" t="str">
        <f t="shared" si="12"/>
        <v/>
      </c>
      <c r="R192" s="18" t="str">
        <f t="shared" si="13"/>
        <v/>
      </c>
      <c r="S192" s="18" t="str">
        <f t="shared" si="14"/>
        <v/>
      </c>
      <c r="T192" s="18" t="str">
        <f t="shared" si="15"/>
        <v/>
      </c>
      <c r="U192" s="18" t="str">
        <f t="shared" si="16"/>
        <v/>
      </c>
      <c r="V192" s="18">
        <f t="shared" si="17"/>
        <v>16.45</v>
      </c>
      <c r="W192" s="14"/>
    </row>
    <row r="193" spans="1:23" x14ac:dyDescent="0.25">
      <c r="A193" s="6"/>
      <c r="B193" s="33" t="s">
        <v>36</v>
      </c>
      <c r="C193" s="19"/>
      <c r="D193" s="56"/>
      <c r="E193" s="56"/>
      <c r="F193" s="41"/>
      <c r="G193" s="36"/>
      <c r="H193" s="10"/>
      <c r="I193" s="11"/>
      <c r="J193" s="13"/>
      <c r="K193" s="45"/>
      <c r="L193" s="37"/>
      <c r="M193" s="17"/>
      <c r="N193" s="11"/>
      <c r="O193" s="16"/>
      <c r="P193" s="16"/>
      <c r="Q193" s="18" t="str">
        <f t="shared" si="12"/>
        <v/>
      </c>
      <c r="R193" s="18" t="str">
        <f t="shared" si="13"/>
        <v/>
      </c>
      <c r="S193" s="18" t="str">
        <f t="shared" si="14"/>
        <v/>
      </c>
      <c r="T193" s="18" t="str">
        <f t="shared" si="15"/>
        <v/>
      </c>
      <c r="U193" s="18" t="str">
        <f t="shared" si="16"/>
        <v/>
      </c>
      <c r="V193" s="18" t="str">
        <f t="shared" si="17"/>
        <v/>
      </c>
      <c r="W193" s="14"/>
    </row>
    <row r="194" spans="1:23" x14ac:dyDescent="0.25">
      <c r="A194" s="6"/>
      <c r="B194" s="33"/>
      <c r="C194" s="19"/>
      <c r="D194" s="56"/>
      <c r="E194" s="56"/>
      <c r="F194" s="41"/>
      <c r="G194" s="36"/>
      <c r="H194" s="10"/>
      <c r="I194" s="11"/>
      <c r="J194" s="13"/>
      <c r="K194" s="45"/>
      <c r="L194" s="37"/>
      <c r="M194" s="17"/>
      <c r="N194" s="11"/>
      <c r="O194" s="16"/>
      <c r="P194" s="16"/>
      <c r="Q194" s="18" t="str">
        <f t="shared" si="12"/>
        <v/>
      </c>
      <c r="R194" s="18" t="str">
        <f t="shared" si="13"/>
        <v/>
      </c>
      <c r="S194" s="18" t="str">
        <f t="shared" si="14"/>
        <v/>
      </c>
      <c r="T194" s="18" t="str">
        <f t="shared" si="15"/>
        <v/>
      </c>
      <c r="U194" s="18" t="str">
        <f t="shared" si="16"/>
        <v/>
      </c>
      <c r="V194" s="18" t="str">
        <f t="shared" si="17"/>
        <v/>
      </c>
      <c r="W194" s="14"/>
    </row>
    <row r="195" spans="1:23" x14ac:dyDescent="0.25">
      <c r="A195" s="6">
        <v>9</v>
      </c>
      <c r="B195" s="33" t="s">
        <v>34</v>
      </c>
      <c r="C195" s="44"/>
      <c r="D195" s="62">
        <f>1+0.65+0.75+1.695</f>
        <v>4.0949999999999998</v>
      </c>
      <c r="E195" s="62"/>
      <c r="F195" s="41"/>
      <c r="G195" s="36">
        <v>0.25</v>
      </c>
      <c r="H195" s="10">
        <v>25</v>
      </c>
      <c r="I195" s="11">
        <v>1</v>
      </c>
      <c r="J195" s="13">
        <f>ROUND(2.145/G195+1,0)</f>
        <v>10</v>
      </c>
      <c r="K195" s="45">
        <f>D195</f>
        <v>4.0949999999999998</v>
      </c>
      <c r="L195" s="37" t="str">
        <f>IF(O195&lt;12,"0",0.049*H195)</f>
        <v>0</v>
      </c>
      <c r="M195" s="17">
        <v>0</v>
      </c>
      <c r="N195" s="11">
        <f>M195*2*H195/1000</f>
        <v>0</v>
      </c>
      <c r="O195" s="16">
        <f>(D195)-N195</f>
        <v>4.0949999999999998</v>
      </c>
      <c r="P195" s="16">
        <f>(I195*J195*O195)+L195</f>
        <v>40.949999999999996</v>
      </c>
      <c r="Q195" s="18" t="str">
        <f t="shared" si="12"/>
        <v/>
      </c>
      <c r="R195" s="18" t="str">
        <f t="shared" si="13"/>
        <v/>
      </c>
      <c r="S195" s="18" t="str">
        <f t="shared" si="14"/>
        <v/>
      </c>
      <c r="T195" s="18" t="str">
        <f t="shared" si="15"/>
        <v/>
      </c>
      <c r="U195" s="18" t="str">
        <f t="shared" si="16"/>
        <v/>
      </c>
      <c r="V195" s="18">
        <f t="shared" si="17"/>
        <v>40.949999999999996</v>
      </c>
      <c r="W195" s="14"/>
    </row>
    <row r="196" spans="1:23" x14ac:dyDescent="0.25">
      <c r="A196" s="6"/>
      <c r="B196" s="33" t="s">
        <v>36</v>
      </c>
      <c r="C196" s="19"/>
      <c r="D196" s="56"/>
      <c r="E196" s="56"/>
      <c r="F196" s="41"/>
      <c r="G196" s="36"/>
      <c r="H196" s="10"/>
      <c r="I196" s="11"/>
      <c r="J196" s="13"/>
      <c r="K196" s="45"/>
      <c r="L196" s="37"/>
      <c r="M196" s="17"/>
      <c r="N196" s="11"/>
      <c r="O196" s="16"/>
      <c r="P196" s="16"/>
      <c r="Q196" s="18" t="str">
        <f t="shared" si="12"/>
        <v/>
      </c>
      <c r="R196" s="18" t="str">
        <f t="shared" si="13"/>
        <v/>
      </c>
      <c r="S196" s="18" t="str">
        <f t="shared" si="14"/>
        <v/>
      </c>
      <c r="T196" s="18" t="str">
        <f t="shared" si="15"/>
        <v/>
      </c>
      <c r="U196" s="18" t="str">
        <f t="shared" si="16"/>
        <v/>
      </c>
      <c r="V196" s="18" t="str">
        <f t="shared" si="17"/>
        <v/>
      </c>
      <c r="W196" s="14"/>
    </row>
    <row r="197" spans="1:23" x14ac:dyDescent="0.25">
      <c r="A197" s="6"/>
      <c r="B197" s="33"/>
      <c r="C197" s="19"/>
      <c r="D197" s="56"/>
      <c r="E197" s="56"/>
      <c r="F197" s="41"/>
      <c r="G197" s="36"/>
      <c r="H197" s="10"/>
      <c r="I197" s="11"/>
      <c r="J197" s="13"/>
      <c r="K197" s="45"/>
      <c r="L197" s="37"/>
      <c r="M197" s="17"/>
      <c r="N197" s="11"/>
      <c r="O197" s="16"/>
      <c r="P197" s="16"/>
      <c r="Q197" s="18" t="str">
        <f t="shared" si="12"/>
        <v/>
      </c>
      <c r="R197" s="18" t="str">
        <f t="shared" si="13"/>
        <v/>
      </c>
      <c r="S197" s="18" t="str">
        <f t="shared" si="14"/>
        <v/>
      </c>
      <c r="T197" s="18" t="str">
        <f t="shared" si="15"/>
        <v/>
      </c>
      <c r="U197" s="18" t="str">
        <f t="shared" si="16"/>
        <v/>
      </c>
      <c r="V197" s="18" t="str">
        <f t="shared" si="17"/>
        <v/>
      </c>
      <c r="W197" s="14"/>
    </row>
    <row r="198" spans="1:23" x14ac:dyDescent="0.25">
      <c r="A198" s="6">
        <v>10</v>
      </c>
      <c r="B198" s="33" t="s">
        <v>33</v>
      </c>
      <c r="C198" s="44"/>
      <c r="D198" s="62">
        <f>1.25+0.6+1.25</f>
        <v>3.1</v>
      </c>
      <c r="E198" s="62"/>
      <c r="F198" s="41"/>
      <c r="G198" s="36">
        <v>0.25</v>
      </c>
      <c r="H198" s="10">
        <v>25</v>
      </c>
      <c r="I198" s="11">
        <v>1</v>
      </c>
      <c r="J198" s="13">
        <f>ROUND(2.3/G198+1,0)</f>
        <v>10</v>
      </c>
      <c r="K198" s="45">
        <f>D198</f>
        <v>3.1</v>
      </c>
      <c r="L198" s="37" t="str">
        <f>IF(O198&lt;12,"0",0.049*H198)</f>
        <v>0</v>
      </c>
      <c r="M198" s="17">
        <v>0</v>
      </c>
      <c r="N198" s="11">
        <f>M198*2*H198/1000</f>
        <v>0</v>
      </c>
      <c r="O198" s="16">
        <f>(D198)-N198</f>
        <v>3.1</v>
      </c>
      <c r="P198" s="16">
        <f>(I198*J198*O198)+L198</f>
        <v>31</v>
      </c>
      <c r="Q198" s="18" t="str">
        <f t="shared" si="12"/>
        <v/>
      </c>
      <c r="R198" s="18" t="str">
        <f t="shared" si="13"/>
        <v/>
      </c>
      <c r="S198" s="18" t="str">
        <f t="shared" si="14"/>
        <v/>
      </c>
      <c r="T198" s="18" t="str">
        <f t="shared" si="15"/>
        <v/>
      </c>
      <c r="U198" s="18" t="str">
        <f t="shared" si="16"/>
        <v/>
      </c>
      <c r="V198" s="18">
        <f t="shared" si="17"/>
        <v>31</v>
      </c>
      <c r="W198" s="14"/>
    </row>
    <row r="199" spans="1:23" x14ac:dyDescent="0.25">
      <c r="A199" s="6"/>
      <c r="B199" s="33" t="s">
        <v>37</v>
      </c>
      <c r="C199" s="19"/>
      <c r="D199" s="56"/>
      <c r="E199" s="56"/>
      <c r="F199" s="41"/>
      <c r="G199" s="36"/>
      <c r="H199" s="10"/>
      <c r="I199" s="11"/>
      <c r="J199" s="13"/>
      <c r="K199" s="45"/>
      <c r="L199" s="37"/>
      <c r="M199" s="17"/>
      <c r="N199" s="11"/>
      <c r="O199" s="16"/>
      <c r="P199" s="16"/>
      <c r="Q199" s="18" t="str">
        <f t="shared" si="12"/>
        <v/>
      </c>
      <c r="R199" s="18" t="str">
        <f t="shared" si="13"/>
        <v/>
      </c>
      <c r="S199" s="18" t="str">
        <f t="shared" si="14"/>
        <v/>
      </c>
      <c r="T199" s="18" t="str">
        <f t="shared" si="15"/>
        <v/>
      </c>
      <c r="U199" s="18" t="str">
        <f t="shared" si="16"/>
        <v/>
      </c>
      <c r="V199" s="18" t="str">
        <f t="shared" si="17"/>
        <v/>
      </c>
      <c r="W199" s="14"/>
    </row>
    <row r="200" spans="1:23" x14ac:dyDescent="0.25">
      <c r="A200" s="6"/>
      <c r="B200" s="33"/>
      <c r="C200" s="19"/>
      <c r="D200" s="56"/>
      <c r="E200" s="56"/>
      <c r="F200" s="41"/>
      <c r="G200" s="36"/>
      <c r="H200" s="10"/>
      <c r="I200" s="11"/>
      <c r="J200" s="13"/>
      <c r="K200" s="45"/>
      <c r="L200" s="37"/>
      <c r="M200" s="17"/>
      <c r="N200" s="11"/>
      <c r="O200" s="16"/>
      <c r="P200" s="16"/>
      <c r="Q200" s="18" t="str">
        <f t="shared" si="12"/>
        <v/>
      </c>
      <c r="R200" s="18" t="str">
        <f t="shared" si="13"/>
        <v/>
      </c>
      <c r="S200" s="18" t="str">
        <f t="shared" si="14"/>
        <v/>
      </c>
      <c r="T200" s="18" t="str">
        <f t="shared" si="15"/>
        <v/>
      </c>
      <c r="U200" s="18" t="str">
        <f t="shared" si="16"/>
        <v/>
      </c>
      <c r="V200" s="18" t="str">
        <f t="shared" si="17"/>
        <v/>
      </c>
      <c r="W200" s="14"/>
    </row>
    <row r="201" spans="1:23" x14ac:dyDescent="0.25">
      <c r="A201" s="6">
        <v>11</v>
      </c>
      <c r="B201" s="33" t="s">
        <v>34</v>
      </c>
      <c r="C201" s="44"/>
      <c r="D201" s="62">
        <f>1+0.3+1</f>
        <v>2.2999999999999998</v>
      </c>
      <c r="E201" s="62"/>
      <c r="F201" s="41"/>
      <c r="G201" s="36">
        <v>0.25</v>
      </c>
      <c r="H201" s="10">
        <v>20</v>
      </c>
      <c r="I201" s="11">
        <v>1</v>
      </c>
      <c r="J201" s="13">
        <f>ROUND(3.1/G201+1,0)</f>
        <v>13</v>
      </c>
      <c r="K201" s="45">
        <f>D201</f>
        <v>2.2999999999999998</v>
      </c>
      <c r="L201" s="37" t="str">
        <f>IF(O201&lt;12,"0",0.049*H201)</f>
        <v>0</v>
      </c>
      <c r="M201" s="17">
        <v>0</v>
      </c>
      <c r="N201" s="11">
        <f>M201*2*H201/1000</f>
        <v>0</v>
      </c>
      <c r="O201" s="16">
        <f>(D201)-N201</f>
        <v>2.2999999999999998</v>
      </c>
      <c r="P201" s="16">
        <f>(I201*J201*O201)+L201</f>
        <v>29.9</v>
      </c>
      <c r="Q201" s="18" t="str">
        <f t="shared" si="12"/>
        <v/>
      </c>
      <c r="R201" s="18" t="str">
        <f t="shared" si="13"/>
        <v/>
      </c>
      <c r="S201" s="18" t="str">
        <f t="shared" si="14"/>
        <v/>
      </c>
      <c r="T201" s="18" t="str">
        <f t="shared" si="15"/>
        <v/>
      </c>
      <c r="U201" s="18">
        <f t="shared" si="16"/>
        <v>29.9</v>
      </c>
      <c r="V201" s="18" t="str">
        <f t="shared" si="17"/>
        <v/>
      </c>
      <c r="W201" s="14"/>
    </row>
    <row r="202" spans="1:23" x14ac:dyDescent="0.25">
      <c r="A202" s="6"/>
      <c r="B202" s="33" t="s">
        <v>37</v>
      </c>
      <c r="C202" s="19"/>
      <c r="D202" s="56"/>
      <c r="E202" s="56"/>
      <c r="F202" s="41"/>
      <c r="G202" s="36"/>
      <c r="H202" s="10"/>
      <c r="I202" s="11"/>
      <c r="J202" s="13"/>
      <c r="K202" s="45"/>
      <c r="L202" s="37"/>
      <c r="M202" s="17"/>
      <c r="N202" s="11"/>
      <c r="O202" s="16"/>
      <c r="P202" s="16"/>
      <c r="Q202" s="18" t="str">
        <f t="shared" si="12"/>
        <v/>
      </c>
      <c r="R202" s="18" t="str">
        <f t="shared" si="13"/>
        <v/>
      </c>
      <c r="S202" s="18" t="str">
        <f t="shared" si="14"/>
        <v/>
      </c>
      <c r="T202" s="18" t="str">
        <f t="shared" si="15"/>
        <v/>
      </c>
      <c r="U202" s="18" t="str">
        <f t="shared" si="16"/>
        <v/>
      </c>
      <c r="V202" s="18" t="str">
        <f t="shared" si="17"/>
        <v/>
      </c>
      <c r="W202" s="14"/>
    </row>
    <row r="203" spans="1:23" x14ac:dyDescent="0.25">
      <c r="A203" s="6"/>
      <c r="B203" s="33"/>
      <c r="C203" s="19"/>
      <c r="D203" s="56"/>
      <c r="E203" s="56"/>
      <c r="F203" s="41"/>
      <c r="G203" s="36"/>
      <c r="H203" s="10"/>
      <c r="I203" s="11"/>
      <c r="J203" s="13"/>
      <c r="K203" s="45"/>
      <c r="L203" s="37"/>
      <c r="M203" s="17"/>
      <c r="N203" s="11"/>
      <c r="O203" s="16"/>
      <c r="P203" s="16"/>
      <c r="Q203" s="18" t="str">
        <f t="shared" si="12"/>
        <v/>
      </c>
      <c r="R203" s="18" t="str">
        <f t="shared" si="13"/>
        <v/>
      </c>
      <c r="S203" s="18" t="str">
        <f t="shared" si="14"/>
        <v/>
      </c>
      <c r="T203" s="18" t="str">
        <f t="shared" si="15"/>
        <v/>
      </c>
      <c r="U203" s="18" t="str">
        <f t="shared" si="16"/>
        <v/>
      </c>
      <c r="V203" s="18" t="str">
        <f t="shared" si="17"/>
        <v/>
      </c>
      <c r="W203" s="14"/>
    </row>
    <row r="204" spans="1:23" x14ac:dyDescent="0.25">
      <c r="A204" s="6">
        <v>12</v>
      </c>
      <c r="B204" s="33" t="s">
        <v>33</v>
      </c>
      <c r="C204" s="44"/>
      <c r="D204" s="62">
        <f>0.75-0.05+0.3+1.25</f>
        <v>2.25</v>
      </c>
      <c r="E204" s="62"/>
      <c r="F204" s="41"/>
      <c r="G204" s="36">
        <v>0.25</v>
      </c>
      <c r="H204" s="10">
        <v>25</v>
      </c>
      <c r="I204" s="11">
        <v>1</v>
      </c>
      <c r="J204" s="13">
        <f>ROUND(2.6/G204+1,0)</f>
        <v>11</v>
      </c>
      <c r="K204" s="45">
        <f>D204</f>
        <v>2.25</v>
      </c>
      <c r="L204" s="37" t="str">
        <f>IF(O204&lt;12,"0",0.049*H204)</f>
        <v>0</v>
      </c>
      <c r="M204" s="17">
        <v>0</v>
      </c>
      <c r="N204" s="11">
        <f>M204*2*H204/1000</f>
        <v>0</v>
      </c>
      <c r="O204" s="16">
        <f>(D204)-N204</f>
        <v>2.25</v>
      </c>
      <c r="P204" s="16">
        <f>(I204*J204*O204)+L204</f>
        <v>24.75</v>
      </c>
      <c r="Q204" s="18" t="str">
        <f t="shared" si="12"/>
        <v/>
      </c>
      <c r="R204" s="18" t="str">
        <f t="shared" si="13"/>
        <v/>
      </c>
      <c r="S204" s="18" t="str">
        <f t="shared" si="14"/>
        <v/>
      </c>
      <c r="T204" s="18" t="str">
        <f t="shared" si="15"/>
        <v/>
      </c>
      <c r="U204" s="18" t="str">
        <f t="shared" si="16"/>
        <v/>
      </c>
      <c r="V204" s="18">
        <f t="shared" si="17"/>
        <v>24.75</v>
      </c>
      <c r="W204" s="14"/>
    </row>
    <row r="205" spans="1:23" x14ac:dyDescent="0.25">
      <c r="A205" s="6"/>
      <c r="B205" s="33" t="s">
        <v>38</v>
      </c>
      <c r="C205" s="19"/>
      <c r="D205" s="56"/>
      <c r="E205" s="56"/>
      <c r="F205" s="41"/>
      <c r="G205" s="36"/>
      <c r="H205" s="10"/>
      <c r="I205" s="11"/>
      <c r="J205" s="13"/>
      <c r="K205" s="45"/>
      <c r="L205" s="37"/>
      <c r="M205" s="17"/>
      <c r="N205" s="11"/>
      <c r="O205" s="16"/>
      <c r="P205" s="16"/>
      <c r="Q205" s="18" t="str">
        <f t="shared" si="12"/>
        <v/>
      </c>
      <c r="R205" s="18" t="str">
        <f t="shared" si="13"/>
        <v/>
      </c>
      <c r="S205" s="18" t="str">
        <f t="shared" si="14"/>
        <v/>
      </c>
      <c r="T205" s="18" t="str">
        <f t="shared" si="15"/>
        <v/>
      </c>
      <c r="U205" s="18" t="str">
        <f t="shared" si="16"/>
        <v/>
      </c>
      <c r="V205" s="18" t="str">
        <f t="shared" si="17"/>
        <v/>
      </c>
      <c r="W205" s="14"/>
    </row>
    <row r="206" spans="1:23" x14ac:dyDescent="0.25">
      <c r="A206" s="6"/>
      <c r="B206" s="33"/>
      <c r="C206" s="19"/>
      <c r="D206" s="56"/>
      <c r="E206" s="56"/>
      <c r="F206" s="41"/>
      <c r="G206" s="36"/>
      <c r="H206" s="10"/>
      <c r="I206" s="11"/>
      <c r="J206" s="13"/>
      <c r="K206" s="45"/>
      <c r="L206" s="37"/>
      <c r="M206" s="17"/>
      <c r="N206" s="11"/>
      <c r="O206" s="16"/>
      <c r="P206" s="16"/>
      <c r="Q206" s="18" t="str">
        <f t="shared" si="12"/>
        <v/>
      </c>
      <c r="R206" s="18" t="str">
        <f t="shared" si="13"/>
        <v/>
      </c>
      <c r="S206" s="18" t="str">
        <f t="shared" si="14"/>
        <v/>
      </c>
      <c r="T206" s="18" t="str">
        <f t="shared" si="15"/>
        <v/>
      </c>
      <c r="U206" s="18" t="str">
        <f t="shared" si="16"/>
        <v/>
      </c>
      <c r="V206" s="18" t="str">
        <f t="shared" si="17"/>
        <v/>
      </c>
      <c r="W206" s="14"/>
    </row>
    <row r="207" spans="1:23" x14ac:dyDescent="0.25">
      <c r="A207" s="6">
        <v>13</v>
      </c>
      <c r="B207" s="33" t="s">
        <v>34</v>
      </c>
      <c r="C207" s="44"/>
      <c r="D207" s="62">
        <f>1+0.6+1</f>
        <v>2.6</v>
      </c>
      <c r="E207" s="62"/>
      <c r="F207" s="41"/>
      <c r="G207" s="36">
        <v>0.25</v>
      </c>
      <c r="H207" s="10">
        <v>20</v>
      </c>
      <c r="I207" s="11">
        <v>1</v>
      </c>
      <c r="J207" s="13">
        <f>ROUND(2.25/G207+1,0)</f>
        <v>10</v>
      </c>
      <c r="K207" s="45">
        <f>D207</f>
        <v>2.6</v>
      </c>
      <c r="L207" s="37" t="str">
        <f>IF(O207&lt;12,"0",0.049*H207)</f>
        <v>0</v>
      </c>
      <c r="M207" s="17">
        <v>0</v>
      </c>
      <c r="N207" s="11">
        <f>M207*2*H207/1000</f>
        <v>0</v>
      </c>
      <c r="O207" s="16">
        <f>(D207)-N207</f>
        <v>2.6</v>
      </c>
      <c r="P207" s="16">
        <f>(I207*J207*O207)+L207</f>
        <v>26</v>
      </c>
      <c r="Q207" s="18" t="str">
        <f t="shared" si="12"/>
        <v/>
      </c>
      <c r="R207" s="18" t="str">
        <f t="shared" si="13"/>
        <v/>
      </c>
      <c r="S207" s="18" t="str">
        <f t="shared" si="14"/>
        <v/>
      </c>
      <c r="T207" s="18" t="str">
        <f t="shared" si="15"/>
        <v/>
      </c>
      <c r="U207" s="18">
        <f t="shared" si="16"/>
        <v>26</v>
      </c>
      <c r="V207" s="18" t="str">
        <f t="shared" si="17"/>
        <v/>
      </c>
      <c r="W207" s="14"/>
    </row>
    <row r="208" spans="1:23" x14ac:dyDescent="0.25">
      <c r="A208" s="6"/>
      <c r="B208" s="33" t="s">
        <v>38</v>
      </c>
      <c r="C208" s="19"/>
      <c r="D208" s="56"/>
      <c r="E208" s="56"/>
      <c r="F208" s="41"/>
      <c r="G208" s="36"/>
      <c r="H208" s="10"/>
      <c r="I208" s="11"/>
      <c r="J208" s="13"/>
      <c r="K208" s="45"/>
      <c r="L208" s="37"/>
      <c r="M208" s="17"/>
      <c r="N208" s="11"/>
      <c r="O208" s="16"/>
      <c r="P208" s="16"/>
      <c r="Q208" s="18" t="str">
        <f t="shared" si="12"/>
        <v/>
      </c>
      <c r="R208" s="18" t="str">
        <f t="shared" si="13"/>
        <v/>
      </c>
      <c r="S208" s="18" t="str">
        <f t="shared" si="14"/>
        <v/>
      </c>
      <c r="T208" s="18" t="str">
        <f t="shared" si="15"/>
        <v/>
      </c>
      <c r="U208" s="18" t="str">
        <f t="shared" si="16"/>
        <v/>
      </c>
      <c r="V208" s="18" t="str">
        <f t="shared" si="17"/>
        <v/>
      </c>
      <c r="W208" s="14"/>
    </row>
    <row r="209" spans="1:23" x14ac:dyDescent="0.25">
      <c r="A209" s="6"/>
      <c r="B209" s="33"/>
      <c r="C209" s="19"/>
      <c r="D209" s="56"/>
      <c r="E209" s="56"/>
      <c r="F209" s="41"/>
      <c r="G209" s="36"/>
      <c r="H209" s="10"/>
      <c r="I209" s="11"/>
      <c r="J209" s="13"/>
      <c r="K209" s="45"/>
      <c r="L209" s="37"/>
      <c r="M209" s="17"/>
      <c r="N209" s="11"/>
      <c r="O209" s="16"/>
      <c r="P209" s="16"/>
      <c r="Q209" s="18" t="str">
        <f t="shared" si="12"/>
        <v/>
      </c>
      <c r="R209" s="18" t="str">
        <f t="shared" si="13"/>
        <v/>
      </c>
      <c r="S209" s="18" t="str">
        <f t="shared" si="14"/>
        <v/>
      </c>
      <c r="T209" s="18" t="str">
        <f t="shared" si="15"/>
        <v/>
      </c>
      <c r="U209" s="18" t="str">
        <f t="shared" si="16"/>
        <v/>
      </c>
      <c r="V209" s="18" t="str">
        <f t="shared" si="17"/>
        <v/>
      </c>
      <c r="W209" s="14"/>
    </row>
    <row r="210" spans="1:23" x14ac:dyDescent="0.25">
      <c r="A210" s="6">
        <v>14</v>
      </c>
      <c r="B210" s="33" t="s">
        <v>33</v>
      </c>
      <c r="C210" s="44"/>
      <c r="D210" s="62">
        <f>0.75-0.05+0.3+1.25</f>
        <v>2.25</v>
      </c>
      <c r="E210" s="62"/>
      <c r="F210" s="41"/>
      <c r="G210" s="36">
        <v>0.25</v>
      </c>
      <c r="H210" s="10">
        <v>25</v>
      </c>
      <c r="I210" s="11">
        <v>1</v>
      </c>
      <c r="J210" s="13">
        <f>ROUND(3.1/G210+1,0)</f>
        <v>13</v>
      </c>
      <c r="K210" s="45">
        <f>D210</f>
        <v>2.25</v>
      </c>
      <c r="L210" s="37" t="str">
        <f>IF(O210&lt;12,"0",0.049*H210)</f>
        <v>0</v>
      </c>
      <c r="M210" s="17">
        <v>0</v>
      </c>
      <c r="N210" s="11">
        <f>M210*2*H210/1000</f>
        <v>0</v>
      </c>
      <c r="O210" s="16">
        <f>(D210)-N210</f>
        <v>2.25</v>
      </c>
      <c r="P210" s="16">
        <f>(I210*J210*O210)+L210</f>
        <v>29.25</v>
      </c>
      <c r="Q210" s="18" t="str">
        <f t="shared" si="12"/>
        <v/>
      </c>
      <c r="R210" s="18" t="str">
        <f t="shared" si="13"/>
        <v/>
      </c>
      <c r="S210" s="18" t="str">
        <f t="shared" si="14"/>
        <v/>
      </c>
      <c r="T210" s="18" t="str">
        <f t="shared" si="15"/>
        <v/>
      </c>
      <c r="U210" s="18" t="str">
        <f t="shared" si="16"/>
        <v/>
      </c>
      <c r="V210" s="18">
        <f t="shared" si="17"/>
        <v>29.25</v>
      </c>
      <c r="W210" s="14"/>
    </row>
    <row r="211" spans="1:23" x14ac:dyDescent="0.25">
      <c r="A211" s="6"/>
      <c r="B211" s="33" t="s">
        <v>39</v>
      </c>
      <c r="C211" s="19"/>
      <c r="D211" s="56"/>
      <c r="E211" s="56"/>
      <c r="F211" s="41"/>
      <c r="G211" s="36"/>
      <c r="H211" s="10"/>
      <c r="I211" s="11"/>
      <c r="J211" s="13"/>
      <c r="K211" s="45"/>
      <c r="L211" s="37"/>
      <c r="M211" s="17"/>
      <c r="N211" s="11"/>
      <c r="O211" s="16"/>
      <c r="P211" s="16"/>
      <c r="Q211" s="18" t="str">
        <f t="shared" si="12"/>
        <v/>
      </c>
      <c r="R211" s="18" t="str">
        <f t="shared" si="13"/>
        <v/>
      </c>
      <c r="S211" s="18" t="str">
        <f t="shared" si="14"/>
        <v/>
      </c>
      <c r="T211" s="18" t="str">
        <f t="shared" si="15"/>
        <v/>
      </c>
      <c r="U211" s="18" t="str">
        <f t="shared" si="16"/>
        <v/>
      </c>
      <c r="V211" s="18" t="str">
        <f t="shared" si="17"/>
        <v/>
      </c>
      <c r="W211" s="14"/>
    </row>
    <row r="212" spans="1:23" x14ac:dyDescent="0.25">
      <c r="A212" s="6"/>
      <c r="B212" s="33"/>
      <c r="C212" s="19"/>
      <c r="D212" s="56"/>
      <c r="E212" s="56"/>
      <c r="F212" s="41"/>
      <c r="G212" s="36"/>
      <c r="H212" s="10"/>
      <c r="I212" s="11"/>
      <c r="J212" s="13"/>
      <c r="K212" s="45"/>
      <c r="L212" s="37"/>
      <c r="M212" s="17"/>
      <c r="N212" s="11"/>
      <c r="O212" s="16"/>
      <c r="P212" s="16"/>
      <c r="Q212" s="18" t="str">
        <f t="shared" si="12"/>
        <v/>
      </c>
      <c r="R212" s="18" t="str">
        <f t="shared" si="13"/>
        <v/>
      </c>
      <c r="S212" s="18" t="str">
        <f t="shared" si="14"/>
        <v/>
      </c>
      <c r="T212" s="18" t="str">
        <f t="shared" si="15"/>
        <v/>
      </c>
      <c r="U212" s="18" t="str">
        <f t="shared" si="16"/>
        <v/>
      </c>
      <c r="V212" s="18" t="str">
        <f t="shared" si="17"/>
        <v/>
      </c>
      <c r="W212" s="14"/>
    </row>
    <row r="213" spans="1:23" x14ac:dyDescent="0.25">
      <c r="A213" s="6">
        <v>15</v>
      </c>
      <c r="B213" s="33" t="s">
        <v>34</v>
      </c>
      <c r="C213" s="44"/>
      <c r="D213" s="62">
        <f>1.25+0.6+1.25</f>
        <v>3.1</v>
      </c>
      <c r="E213" s="62"/>
      <c r="F213" s="41"/>
      <c r="G213" s="36">
        <v>0.25</v>
      </c>
      <c r="H213" s="10">
        <v>25</v>
      </c>
      <c r="I213" s="11">
        <v>1</v>
      </c>
      <c r="J213" s="13">
        <f>ROUND(2.25/G213+1,0)</f>
        <v>10</v>
      </c>
      <c r="K213" s="45">
        <f>D213</f>
        <v>3.1</v>
      </c>
      <c r="L213" s="37" t="str">
        <f>IF(O213&lt;12,"0",0.049*H213)</f>
        <v>0</v>
      </c>
      <c r="M213" s="17">
        <v>0</v>
      </c>
      <c r="N213" s="11">
        <f>M213*2*H213/1000</f>
        <v>0</v>
      </c>
      <c r="O213" s="16">
        <f>(D213)-N213</f>
        <v>3.1</v>
      </c>
      <c r="P213" s="16">
        <f>(I213*J213*O213)+L213</f>
        <v>31</v>
      </c>
      <c r="Q213" s="18" t="str">
        <f t="shared" si="12"/>
        <v/>
      </c>
      <c r="R213" s="18" t="str">
        <f t="shared" si="13"/>
        <v/>
      </c>
      <c r="S213" s="18" t="str">
        <f t="shared" si="14"/>
        <v/>
      </c>
      <c r="T213" s="18" t="str">
        <f t="shared" si="15"/>
        <v/>
      </c>
      <c r="U213" s="18" t="str">
        <f t="shared" si="16"/>
        <v/>
      </c>
      <c r="V213" s="18">
        <f t="shared" si="17"/>
        <v>31</v>
      </c>
      <c r="W213" s="14"/>
    </row>
    <row r="214" spans="1:23" x14ac:dyDescent="0.25">
      <c r="A214" s="6"/>
      <c r="B214" s="33" t="s">
        <v>39</v>
      </c>
      <c r="C214" s="19"/>
      <c r="D214" s="56"/>
      <c r="E214" s="56"/>
      <c r="F214" s="41"/>
      <c r="G214" s="36"/>
      <c r="H214" s="10"/>
      <c r="I214" s="11"/>
      <c r="J214" s="13"/>
      <c r="K214" s="45"/>
      <c r="L214" s="37"/>
      <c r="M214" s="17"/>
      <c r="N214" s="11"/>
      <c r="O214" s="16"/>
      <c r="P214" s="16"/>
      <c r="Q214" s="18" t="str">
        <f t="shared" si="12"/>
        <v/>
      </c>
      <c r="R214" s="18" t="str">
        <f t="shared" si="13"/>
        <v/>
      </c>
      <c r="S214" s="18" t="str">
        <f t="shared" si="14"/>
        <v/>
      </c>
      <c r="T214" s="18" t="str">
        <f t="shared" si="15"/>
        <v/>
      </c>
      <c r="U214" s="18" t="str">
        <f t="shared" si="16"/>
        <v/>
      </c>
      <c r="V214" s="18" t="str">
        <f t="shared" si="17"/>
        <v/>
      </c>
      <c r="W214" s="14"/>
    </row>
    <row r="215" spans="1:23" x14ac:dyDescent="0.25">
      <c r="A215" s="6"/>
      <c r="B215" s="33"/>
      <c r="C215" s="19"/>
      <c r="D215" s="56"/>
      <c r="E215" s="56"/>
      <c r="F215" s="41"/>
      <c r="G215" s="36"/>
      <c r="H215" s="10"/>
      <c r="I215" s="11"/>
      <c r="J215" s="13"/>
      <c r="K215" s="45"/>
      <c r="L215" s="37"/>
      <c r="M215" s="17"/>
      <c r="N215" s="11"/>
      <c r="O215" s="16"/>
      <c r="P215" s="16"/>
      <c r="Q215" s="18" t="str">
        <f t="shared" si="12"/>
        <v/>
      </c>
      <c r="R215" s="18" t="str">
        <f t="shared" si="13"/>
        <v/>
      </c>
      <c r="S215" s="18" t="str">
        <f t="shared" si="14"/>
        <v/>
      </c>
      <c r="T215" s="18" t="str">
        <f t="shared" si="15"/>
        <v/>
      </c>
      <c r="U215" s="18" t="str">
        <f t="shared" si="16"/>
        <v/>
      </c>
      <c r="V215" s="18" t="str">
        <f t="shared" si="17"/>
        <v/>
      </c>
      <c r="W215" s="14"/>
    </row>
    <row r="216" spans="1:23" x14ac:dyDescent="0.25">
      <c r="A216" s="6">
        <v>16</v>
      </c>
      <c r="B216" s="33" t="s">
        <v>33</v>
      </c>
      <c r="C216" s="44"/>
      <c r="D216" s="62">
        <f>1+0.3+1</f>
        <v>2.2999999999999998</v>
      </c>
      <c r="E216" s="62"/>
      <c r="F216" s="41"/>
      <c r="G216" s="36">
        <v>0.25</v>
      </c>
      <c r="H216" s="10">
        <v>20</v>
      </c>
      <c r="I216" s="11">
        <v>1</v>
      </c>
      <c r="J216" s="13">
        <f>ROUND(1.9/G216+1,0)</f>
        <v>9</v>
      </c>
      <c r="K216" s="45">
        <f>D216</f>
        <v>2.2999999999999998</v>
      </c>
      <c r="L216" s="37" t="str">
        <f>IF(O216&lt;12,"0",0.049*H216)</f>
        <v>0</v>
      </c>
      <c r="M216" s="17">
        <v>0</v>
      </c>
      <c r="N216" s="11">
        <f>M216*2*H216/1000</f>
        <v>0</v>
      </c>
      <c r="O216" s="16">
        <f>(D216)-N216</f>
        <v>2.2999999999999998</v>
      </c>
      <c r="P216" s="16">
        <f>(I216*J216*O216)+L216</f>
        <v>20.7</v>
      </c>
      <c r="Q216" s="18" t="str">
        <f t="shared" si="12"/>
        <v/>
      </c>
      <c r="R216" s="18" t="str">
        <f t="shared" si="13"/>
        <v/>
      </c>
      <c r="S216" s="18" t="str">
        <f t="shared" si="14"/>
        <v/>
      </c>
      <c r="T216" s="18" t="str">
        <f t="shared" si="15"/>
        <v/>
      </c>
      <c r="U216" s="18">
        <f t="shared" si="16"/>
        <v>20.7</v>
      </c>
      <c r="V216" s="18" t="str">
        <f t="shared" si="17"/>
        <v/>
      </c>
      <c r="W216" s="14"/>
    </row>
    <row r="217" spans="1:23" x14ac:dyDescent="0.25">
      <c r="A217" s="6"/>
      <c r="B217" s="33" t="s">
        <v>40</v>
      </c>
      <c r="C217" s="19"/>
      <c r="D217" s="56"/>
      <c r="E217" s="56"/>
      <c r="F217" s="41"/>
      <c r="G217" s="36"/>
      <c r="H217" s="10"/>
      <c r="I217" s="11"/>
      <c r="J217" s="13"/>
      <c r="K217" s="45"/>
      <c r="L217" s="37"/>
      <c r="M217" s="17"/>
      <c r="N217" s="11"/>
      <c r="O217" s="16"/>
      <c r="P217" s="16"/>
      <c r="Q217" s="18" t="str">
        <f t="shared" si="12"/>
        <v/>
      </c>
      <c r="R217" s="18" t="str">
        <f t="shared" si="13"/>
        <v/>
      </c>
      <c r="S217" s="18" t="str">
        <f t="shared" si="14"/>
        <v/>
      </c>
      <c r="T217" s="18" t="str">
        <f t="shared" si="15"/>
        <v/>
      </c>
      <c r="U217" s="18" t="str">
        <f t="shared" si="16"/>
        <v/>
      </c>
      <c r="V217" s="18" t="str">
        <f t="shared" si="17"/>
        <v/>
      </c>
      <c r="W217" s="14"/>
    </row>
    <row r="218" spans="1:23" x14ac:dyDescent="0.25">
      <c r="A218" s="6"/>
      <c r="B218" s="33"/>
      <c r="C218" s="19"/>
      <c r="D218" s="56"/>
      <c r="E218" s="56"/>
      <c r="F218" s="41"/>
      <c r="G218" s="36"/>
      <c r="H218" s="10"/>
      <c r="I218" s="11"/>
      <c r="J218" s="13"/>
      <c r="K218" s="45"/>
      <c r="L218" s="37"/>
      <c r="M218" s="17"/>
      <c r="N218" s="11"/>
      <c r="O218" s="16"/>
      <c r="P218" s="16"/>
      <c r="Q218" s="18" t="str">
        <f t="shared" si="12"/>
        <v/>
      </c>
      <c r="R218" s="18" t="str">
        <f t="shared" si="13"/>
        <v/>
      </c>
      <c r="S218" s="18" t="str">
        <f t="shared" si="14"/>
        <v/>
      </c>
      <c r="T218" s="18" t="str">
        <f t="shared" si="15"/>
        <v/>
      </c>
      <c r="U218" s="18" t="str">
        <f t="shared" si="16"/>
        <v/>
      </c>
      <c r="V218" s="18" t="str">
        <f t="shared" si="17"/>
        <v/>
      </c>
      <c r="W218" s="14"/>
    </row>
    <row r="219" spans="1:23" x14ac:dyDescent="0.25">
      <c r="A219" s="6">
        <v>17</v>
      </c>
      <c r="B219" s="33" t="s">
        <v>34</v>
      </c>
      <c r="C219" s="44"/>
      <c r="D219" s="62">
        <f>0.75-0.05+0.6+0.6</f>
        <v>1.9</v>
      </c>
      <c r="E219" s="62"/>
      <c r="F219" s="41"/>
      <c r="G219" s="36">
        <v>0.25</v>
      </c>
      <c r="H219" s="10">
        <v>12</v>
      </c>
      <c r="I219" s="11">
        <v>1</v>
      </c>
      <c r="J219" s="13">
        <f>ROUND(2.3/G219+1,0)</f>
        <v>10</v>
      </c>
      <c r="K219" s="45">
        <f>D219</f>
        <v>1.9</v>
      </c>
      <c r="L219" s="37" t="str">
        <f>IF(O219&lt;12,"0",0.049*H219)</f>
        <v>0</v>
      </c>
      <c r="M219" s="17">
        <v>0</v>
      </c>
      <c r="N219" s="11">
        <f>M219*2*H219/1000</f>
        <v>0</v>
      </c>
      <c r="O219" s="16">
        <f>(D219)-N219</f>
        <v>1.9</v>
      </c>
      <c r="P219" s="16">
        <f>(I219*J219*O219)+L219</f>
        <v>19</v>
      </c>
      <c r="Q219" s="18" t="str">
        <f t="shared" si="12"/>
        <v/>
      </c>
      <c r="R219" s="18" t="str">
        <f t="shared" si="13"/>
        <v/>
      </c>
      <c r="S219" s="18">
        <f t="shared" si="14"/>
        <v>19</v>
      </c>
      <c r="T219" s="18" t="str">
        <f t="shared" si="15"/>
        <v/>
      </c>
      <c r="U219" s="18" t="str">
        <f t="shared" si="16"/>
        <v/>
      </c>
      <c r="V219" s="18" t="str">
        <f t="shared" si="17"/>
        <v/>
      </c>
      <c r="W219" s="14"/>
    </row>
    <row r="220" spans="1:23" x14ac:dyDescent="0.25">
      <c r="A220" s="6"/>
      <c r="B220" s="33" t="s">
        <v>40</v>
      </c>
      <c r="C220" s="19"/>
      <c r="D220" s="56"/>
      <c r="E220" s="56"/>
      <c r="F220" s="41"/>
      <c r="G220" s="36"/>
      <c r="H220" s="10"/>
      <c r="I220" s="11"/>
      <c r="J220" s="13"/>
      <c r="K220" s="45"/>
      <c r="L220" s="37"/>
      <c r="M220" s="17"/>
      <c r="N220" s="11"/>
      <c r="O220" s="16"/>
      <c r="P220" s="16"/>
      <c r="Q220" s="18" t="str">
        <f t="shared" si="12"/>
        <v/>
      </c>
      <c r="R220" s="18" t="str">
        <f t="shared" si="13"/>
        <v/>
      </c>
      <c r="S220" s="18" t="str">
        <f t="shared" si="14"/>
        <v/>
      </c>
      <c r="T220" s="18" t="str">
        <f t="shared" si="15"/>
        <v/>
      </c>
      <c r="U220" s="18" t="str">
        <f t="shared" si="16"/>
        <v/>
      </c>
      <c r="V220" s="18" t="str">
        <f t="shared" si="17"/>
        <v/>
      </c>
      <c r="W220" s="14"/>
    </row>
    <row r="221" spans="1:23" x14ac:dyDescent="0.25">
      <c r="A221" s="6"/>
      <c r="B221" s="33"/>
      <c r="C221" s="19"/>
      <c r="D221" s="56"/>
      <c r="E221" s="56"/>
      <c r="F221" s="41"/>
      <c r="G221" s="36"/>
      <c r="H221" s="10"/>
      <c r="I221" s="11"/>
      <c r="J221" s="13"/>
      <c r="K221" s="45"/>
      <c r="L221" s="37"/>
      <c r="M221" s="17"/>
      <c r="N221" s="11"/>
      <c r="O221" s="16"/>
      <c r="P221" s="16"/>
      <c r="Q221" s="18" t="str">
        <f t="shared" si="12"/>
        <v/>
      </c>
      <c r="R221" s="18" t="str">
        <f t="shared" si="13"/>
        <v/>
      </c>
      <c r="S221" s="18" t="str">
        <f t="shared" si="14"/>
        <v/>
      </c>
      <c r="T221" s="18" t="str">
        <f t="shared" si="15"/>
        <v/>
      </c>
      <c r="U221" s="18" t="str">
        <f t="shared" si="16"/>
        <v/>
      </c>
      <c r="V221" s="18" t="str">
        <f t="shared" si="17"/>
        <v/>
      </c>
      <c r="W221" s="14"/>
    </row>
    <row r="222" spans="1:23" x14ac:dyDescent="0.25">
      <c r="A222" s="6">
        <v>18</v>
      </c>
      <c r="B222" s="33" t="s">
        <v>33</v>
      </c>
      <c r="C222" s="44"/>
      <c r="D222" s="62">
        <f>1+0.6+1</f>
        <v>2.6</v>
      </c>
      <c r="E222" s="62"/>
      <c r="F222" s="41"/>
      <c r="G222" s="36">
        <v>0.25</v>
      </c>
      <c r="H222" s="10">
        <v>20</v>
      </c>
      <c r="I222" s="11">
        <v>1</v>
      </c>
      <c r="J222" s="13">
        <f>ROUND(2.3/G222+1,0)</f>
        <v>10</v>
      </c>
      <c r="K222" s="45">
        <f>D222</f>
        <v>2.6</v>
      </c>
      <c r="L222" s="37" t="str">
        <f>IF(O222&lt;12,"0",0.049*H222)</f>
        <v>0</v>
      </c>
      <c r="M222" s="17">
        <v>0</v>
      </c>
      <c r="N222" s="11">
        <f>M222*2*H222/1000</f>
        <v>0</v>
      </c>
      <c r="O222" s="16">
        <f>(D222)-N222</f>
        <v>2.6</v>
      </c>
      <c r="P222" s="16">
        <f>(I222*J222*O222)+L222</f>
        <v>26</v>
      </c>
      <c r="Q222" s="18" t="str">
        <f t="shared" si="12"/>
        <v/>
      </c>
      <c r="R222" s="18" t="str">
        <f t="shared" si="13"/>
        <v/>
      </c>
      <c r="S222" s="18" t="str">
        <f t="shared" si="14"/>
        <v/>
      </c>
      <c r="T222" s="18" t="str">
        <f t="shared" si="15"/>
        <v/>
      </c>
      <c r="U222" s="18">
        <f t="shared" si="16"/>
        <v>26</v>
      </c>
      <c r="V222" s="18" t="str">
        <f t="shared" si="17"/>
        <v/>
      </c>
      <c r="W222" s="14"/>
    </row>
    <row r="223" spans="1:23" x14ac:dyDescent="0.25">
      <c r="A223" s="6"/>
      <c r="B223" s="33" t="s">
        <v>41</v>
      </c>
      <c r="C223" s="19"/>
      <c r="D223" s="56"/>
      <c r="E223" s="56"/>
      <c r="F223" s="41"/>
      <c r="G223" s="36"/>
      <c r="H223" s="10"/>
      <c r="I223" s="11"/>
      <c r="J223" s="13"/>
      <c r="K223" s="45"/>
      <c r="L223" s="37"/>
      <c r="M223" s="17"/>
      <c r="N223" s="11"/>
      <c r="O223" s="16"/>
      <c r="P223" s="16"/>
      <c r="Q223" s="18" t="str">
        <f t="shared" si="12"/>
        <v/>
      </c>
      <c r="R223" s="18" t="str">
        <f t="shared" si="13"/>
        <v/>
      </c>
      <c r="S223" s="18" t="str">
        <f t="shared" si="14"/>
        <v/>
      </c>
      <c r="T223" s="18" t="str">
        <f t="shared" si="15"/>
        <v/>
      </c>
      <c r="U223" s="18" t="str">
        <f t="shared" si="16"/>
        <v/>
      </c>
      <c r="V223" s="18" t="str">
        <f t="shared" si="17"/>
        <v/>
      </c>
      <c r="W223" s="14"/>
    </row>
    <row r="224" spans="1:23" x14ac:dyDescent="0.25">
      <c r="A224" s="6"/>
      <c r="B224" s="33"/>
      <c r="C224" s="19"/>
      <c r="D224" s="56"/>
      <c r="E224" s="56"/>
      <c r="F224" s="41"/>
      <c r="G224" s="36"/>
      <c r="H224" s="10"/>
      <c r="I224" s="11"/>
      <c r="J224" s="13"/>
      <c r="K224" s="45"/>
      <c r="L224" s="37"/>
      <c r="M224" s="17"/>
      <c r="N224" s="11"/>
      <c r="O224" s="16"/>
      <c r="P224" s="16"/>
      <c r="Q224" s="18" t="str">
        <f t="shared" si="12"/>
        <v/>
      </c>
      <c r="R224" s="18" t="str">
        <f t="shared" si="13"/>
        <v/>
      </c>
      <c r="S224" s="18" t="str">
        <f t="shared" si="14"/>
        <v/>
      </c>
      <c r="T224" s="18" t="str">
        <f t="shared" si="15"/>
        <v/>
      </c>
      <c r="U224" s="18" t="str">
        <f t="shared" si="16"/>
        <v/>
      </c>
      <c r="V224" s="18" t="str">
        <f t="shared" si="17"/>
        <v/>
      </c>
      <c r="W224" s="14"/>
    </row>
    <row r="225" spans="1:23" x14ac:dyDescent="0.25">
      <c r="A225" s="6">
        <v>19</v>
      </c>
      <c r="B225" s="33" t="s">
        <v>34</v>
      </c>
      <c r="C225" s="44"/>
      <c r="D225" s="62">
        <f>1+0.3+1</f>
        <v>2.2999999999999998</v>
      </c>
      <c r="E225" s="62"/>
      <c r="F225" s="41"/>
      <c r="G225" s="36">
        <v>0.25</v>
      </c>
      <c r="H225" s="10">
        <v>20</v>
      </c>
      <c r="I225" s="11">
        <v>1</v>
      </c>
      <c r="J225" s="13">
        <f>ROUND(2.6/G225+1,0)</f>
        <v>11</v>
      </c>
      <c r="K225" s="45">
        <f>D225</f>
        <v>2.2999999999999998</v>
      </c>
      <c r="L225" s="37" t="str">
        <f>IF(O225&lt;12,"0",0.049*H225)</f>
        <v>0</v>
      </c>
      <c r="M225" s="17">
        <v>0</v>
      </c>
      <c r="N225" s="11">
        <f>M225*2*H225/1000</f>
        <v>0</v>
      </c>
      <c r="O225" s="16">
        <f>(D225)-N225</f>
        <v>2.2999999999999998</v>
      </c>
      <c r="P225" s="16">
        <f>(I225*J225*O225)+L225</f>
        <v>25.299999999999997</v>
      </c>
      <c r="Q225" s="18" t="str">
        <f t="shared" si="12"/>
        <v/>
      </c>
      <c r="R225" s="18" t="str">
        <f t="shared" si="13"/>
        <v/>
      </c>
      <c r="S225" s="18" t="str">
        <f t="shared" si="14"/>
        <v/>
      </c>
      <c r="T225" s="18" t="str">
        <f t="shared" si="15"/>
        <v/>
      </c>
      <c r="U225" s="18">
        <f t="shared" si="16"/>
        <v>25.299999999999997</v>
      </c>
      <c r="V225" s="18" t="str">
        <f t="shared" si="17"/>
        <v/>
      </c>
      <c r="W225" s="14"/>
    </row>
    <row r="226" spans="1:23" x14ac:dyDescent="0.25">
      <c r="A226" s="6"/>
      <c r="B226" s="33" t="s">
        <v>41</v>
      </c>
      <c r="C226" s="19"/>
      <c r="D226" s="56"/>
      <c r="E226" s="56"/>
      <c r="F226" s="41"/>
      <c r="G226" s="36"/>
      <c r="H226" s="10"/>
      <c r="I226" s="11"/>
      <c r="J226" s="13"/>
      <c r="K226" s="45"/>
      <c r="L226" s="37"/>
      <c r="M226" s="17"/>
      <c r="N226" s="11"/>
      <c r="O226" s="16"/>
      <c r="P226" s="16"/>
      <c r="Q226" s="18" t="str">
        <f t="shared" si="12"/>
        <v/>
      </c>
      <c r="R226" s="18" t="str">
        <f t="shared" si="13"/>
        <v/>
      </c>
      <c r="S226" s="18" t="str">
        <f t="shared" si="14"/>
        <v/>
      </c>
      <c r="T226" s="18" t="str">
        <f t="shared" si="15"/>
        <v/>
      </c>
      <c r="U226" s="18" t="str">
        <f t="shared" si="16"/>
        <v/>
      </c>
      <c r="V226" s="18" t="str">
        <f t="shared" si="17"/>
        <v/>
      </c>
      <c r="W226" s="14"/>
    </row>
    <row r="227" spans="1:23" x14ac:dyDescent="0.25">
      <c r="A227" s="6"/>
      <c r="B227" s="33"/>
      <c r="C227" s="19"/>
      <c r="D227" s="56"/>
      <c r="E227" s="56"/>
      <c r="F227" s="41"/>
      <c r="G227" s="36"/>
      <c r="H227" s="10"/>
      <c r="I227" s="11"/>
      <c r="J227" s="13"/>
      <c r="K227" s="45"/>
      <c r="L227" s="37"/>
      <c r="M227" s="17"/>
      <c r="N227" s="11"/>
      <c r="O227" s="16"/>
      <c r="P227" s="16"/>
      <c r="Q227" s="18" t="str">
        <f t="shared" si="12"/>
        <v/>
      </c>
      <c r="R227" s="18" t="str">
        <f t="shared" si="13"/>
        <v/>
      </c>
      <c r="S227" s="18" t="str">
        <f t="shared" si="14"/>
        <v/>
      </c>
      <c r="T227" s="18" t="str">
        <f t="shared" si="15"/>
        <v/>
      </c>
      <c r="U227" s="18" t="str">
        <f t="shared" si="16"/>
        <v/>
      </c>
      <c r="V227" s="18" t="str">
        <f t="shared" si="17"/>
        <v/>
      </c>
      <c r="W227" s="14"/>
    </row>
    <row r="228" spans="1:23" x14ac:dyDescent="0.25">
      <c r="A228" s="6">
        <v>20</v>
      </c>
      <c r="B228" s="33" t="s">
        <v>33</v>
      </c>
      <c r="C228" s="44"/>
      <c r="D228" s="62">
        <f>1+0.3+1</f>
        <v>2.2999999999999998</v>
      </c>
      <c r="E228" s="62"/>
      <c r="F228" s="41"/>
      <c r="G228" s="36">
        <v>0.25</v>
      </c>
      <c r="H228" s="10">
        <v>20</v>
      </c>
      <c r="I228" s="11">
        <v>1</v>
      </c>
      <c r="J228" s="13">
        <f>ROUND(3.1/G228+1,0)</f>
        <v>13</v>
      </c>
      <c r="K228" s="45">
        <f>D228</f>
        <v>2.2999999999999998</v>
      </c>
      <c r="L228" s="37" t="str">
        <f>IF(O228&lt;12,"0",0.049*H228)</f>
        <v>0</v>
      </c>
      <c r="M228" s="17">
        <v>0</v>
      </c>
      <c r="N228" s="11">
        <f>M228*2*H228/1000</f>
        <v>0</v>
      </c>
      <c r="O228" s="16">
        <f>(D228)-N228</f>
        <v>2.2999999999999998</v>
      </c>
      <c r="P228" s="16">
        <f>(I228*J228*O228)+L228</f>
        <v>29.9</v>
      </c>
      <c r="Q228" s="18" t="str">
        <f t="shared" si="12"/>
        <v/>
      </c>
      <c r="R228" s="18" t="str">
        <f t="shared" si="13"/>
        <v/>
      </c>
      <c r="S228" s="18" t="str">
        <f t="shared" si="14"/>
        <v/>
      </c>
      <c r="T228" s="18" t="str">
        <f t="shared" si="15"/>
        <v/>
      </c>
      <c r="U228" s="18">
        <f t="shared" si="16"/>
        <v>29.9</v>
      </c>
      <c r="V228" s="18" t="str">
        <f t="shared" si="17"/>
        <v/>
      </c>
      <c r="W228" s="14"/>
    </row>
    <row r="229" spans="1:23" x14ac:dyDescent="0.25">
      <c r="A229" s="6"/>
      <c r="B229" s="33" t="s">
        <v>42</v>
      </c>
      <c r="C229" s="19"/>
      <c r="D229" s="56"/>
      <c r="E229" s="56"/>
      <c r="F229" s="41"/>
      <c r="G229" s="36"/>
      <c r="H229" s="10"/>
      <c r="I229" s="11"/>
      <c r="J229" s="13"/>
      <c r="K229" s="45"/>
      <c r="L229" s="37"/>
      <c r="M229" s="17"/>
      <c r="N229" s="11"/>
      <c r="O229" s="16"/>
      <c r="P229" s="16"/>
      <c r="Q229" s="18" t="str">
        <f t="shared" si="12"/>
        <v/>
      </c>
      <c r="R229" s="18" t="str">
        <f t="shared" si="13"/>
        <v/>
      </c>
      <c r="S229" s="18" t="str">
        <f t="shared" si="14"/>
        <v/>
      </c>
      <c r="T229" s="18" t="str">
        <f t="shared" si="15"/>
        <v/>
      </c>
      <c r="U229" s="18" t="str">
        <f t="shared" si="16"/>
        <v/>
      </c>
      <c r="V229" s="18" t="str">
        <f t="shared" si="17"/>
        <v/>
      </c>
      <c r="W229" s="14"/>
    </row>
    <row r="230" spans="1:23" x14ac:dyDescent="0.25">
      <c r="A230" s="6"/>
      <c r="B230" s="33"/>
      <c r="C230" s="19"/>
      <c r="D230" s="56"/>
      <c r="E230" s="56"/>
      <c r="F230" s="41"/>
      <c r="G230" s="36"/>
      <c r="H230" s="10"/>
      <c r="I230" s="11"/>
      <c r="J230" s="13"/>
      <c r="K230" s="45"/>
      <c r="L230" s="37"/>
      <c r="M230" s="17"/>
      <c r="N230" s="11"/>
      <c r="O230" s="16"/>
      <c r="P230" s="16"/>
      <c r="Q230" s="18" t="str">
        <f t="shared" si="12"/>
        <v/>
      </c>
      <c r="R230" s="18" t="str">
        <f t="shared" si="13"/>
        <v/>
      </c>
      <c r="S230" s="18" t="str">
        <f t="shared" si="14"/>
        <v/>
      </c>
      <c r="T230" s="18" t="str">
        <f t="shared" si="15"/>
        <v/>
      </c>
      <c r="U230" s="18" t="str">
        <f t="shared" si="16"/>
        <v/>
      </c>
      <c r="V230" s="18" t="str">
        <f t="shared" si="17"/>
        <v/>
      </c>
      <c r="W230" s="14"/>
    </row>
    <row r="231" spans="1:23" x14ac:dyDescent="0.25">
      <c r="A231" s="6">
        <v>21</v>
      </c>
      <c r="B231" s="33" t="s">
        <v>34</v>
      </c>
      <c r="C231" s="44"/>
      <c r="D231" s="62">
        <f>1.25+0.6+1.25</f>
        <v>3.1</v>
      </c>
      <c r="E231" s="62"/>
      <c r="F231" s="41"/>
      <c r="G231" s="36">
        <v>0.25</v>
      </c>
      <c r="H231" s="10">
        <v>25</v>
      </c>
      <c r="I231" s="11">
        <v>1</v>
      </c>
      <c r="J231" s="13">
        <f>ROUND(2.3/G231+1,0)</f>
        <v>10</v>
      </c>
      <c r="K231" s="45">
        <f>D231</f>
        <v>3.1</v>
      </c>
      <c r="L231" s="37" t="str">
        <f>IF(O231&lt;12,"0",0.049*H231)</f>
        <v>0</v>
      </c>
      <c r="M231" s="17">
        <v>0</v>
      </c>
      <c r="N231" s="11">
        <f>M231*2*H231/1000</f>
        <v>0</v>
      </c>
      <c r="O231" s="16">
        <f>(D231)-N231</f>
        <v>3.1</v>
      </c>
      <c r="P231" s="16">
        <f>(I231*J231*O231)+L231</f>
        <v>31</v>
      </c>
      <c r="Q231" s="18" t="str">
        <f t="shared" si="12"/>
        <v/>
      </c>
      <c r="R231" s="18" t="str">
        <f t="shared" si="13"/>
        <v/>
      </c>
      <c r="S231" s="18" t="str">
        <f t="shared" si="14"/>
        <v/>
      </c>
      <c r="T231" s="18" t="str">
        <f t="shared" si="15"/>
        <v/>
      </c>
      <c r="U231" s="18" t="str">
        <f t="shared" si="16"/>
        <v/>
      </c>
      <c r="V231" s="18">
        <f t="shared" si="17"/>
        <v>31</v>
      </c>
      <c r="W231" s="14"/>
    </row>
    <row r="232" spans="1:23" x14ac:dyDescent="0.25">
      <c r="A232" s="6"/>
      <c r="B232" s="33" t="s">
        <v>42</v>
      </c>
      <c r="C232" s="19"/>
      <c r="D232" s="56"/>
      <c r="E232" s="56"/>
      <c r="F232" s="41"/>
      <c r="G232" s="36"/>
      <c r="H232" s="10"/>
      <c r="I232" s="11"/>
      <c r="J232" s="13"/>
      <c r="K232" s="45"/>
      <c r="L232" s="37"/>
      <c r="M232" s="17"/>
      <c r="N232" s="11"/>
      <c r="O232" s="16"/>
      <c r="P232" s="16"/>
      <c r="Q232" s="18" t="str">
        <f t="shared" si="12"/>
        <v/>
      </c>
      <c r="R232" s="18" t="str">
        <f t="shared" si="13"/>
        <v/>
      </c>
      <c r="S232" s="18" t="str">
        <f t="shared" si="14"/>
        <v/>
      </c>
      <c r="T232" s="18" t="str">
        <f t="shared" si="15"/>
        <v/>
      </c>
      <c r="U232" s="18" t="str">
        <f t="shared" si="16"/>
        <v/>
      </c>
      <c r="V232" s="18" t="str">
        <f t="shared" si="17"/>
        <v/>
      </c>
      <c r="W232" s="14"/>
    </row>
    <row r="233" spans="1:23" x14ac:dyDescent="0.25">
      <c r="A233" s="6"/>
      <c r="B233" s="33"/>
      <c r="C233" s="19"/>
      <c r="D233" s="56"/>
      <c r="E233" s="56"/>
      <c r="F233" s="41"/>
      <c r="G233" s="36"/>
      <c r="H233" s="10"/>
      <c r="I233" s="11"/>
      <c r="J233" s="13"/>
      <c r="K233" s="45"/>
      <c r="L233" s="37"/>
      <c r="M233" s="17"/>
      <c r="N233" s="11"/>
      <c r="O233" s="16"/>
      <c r="P233" s="16"/>
      <c r="Q233" s="18" t="str">
        <f t="shared" si="12"/>
        <v/>
      </c>
      <c r="R233" s="18" t="str">
        <f t="shared" si="13"/>
        <v/>
      </c>
      <c r="S233" s="18" t="str">
        <f t="shared" si="14"/>
        <v/>
      </c>
      <c r="T233" s="18" t="str">
        <f t="shared" si="15"/>
        <v/>
      </c>
      <c r="U233" s="18" t="str">
        <f t="shared" si="16"/>
        <v/>
      </c>
      <c r="V233" s="18" t="str">
        <f t="shared" si="17"/>
        <v/>
      </c>
      <c r="W233" s="14"/>
    </row>
    <row r="234" spans="1:23" x14ac:dyDescent="0.25">
      <c r="A234" s="6">
        <v>22</v>
      </c>
      <c r="B234" s="33" t="s">
        <v>33</v>
      </c>
      <c r="C234" s="44"/>
      <c r="D234" s="62">
        <f>1+0.3+1</f>
        <v>2.2999999999999998</v>
      </c>
      <c r="E234" s="62"/>
      <c r="F234" s="41"/>
      <c r="G234" s="36">
        <v>0.25</v>
      </c>
      <c r="H234" s="10">
        <v>20</v>
      </c>
      <c r="I234" s="11">
        <v>1</v>
      </c>
      <c r="J234" s="13">
        <f>ROUND(3.1/G234+1,0)</f>
        <v>13</v>
      </c>
      <c r="K234" s="45">
        <f>D234</f>
        <v>2.2999999999999998</v>
      </c>
      <c r="L234" s="37" t="str">
        <f>IF(O234&lt;12,"0",0.049*H234)</f>
        <v>0</v>
      </c>
      <c r="M234" s="17">
        <v>0</v>
      </c>
      <c r="N234" s="11">
        <f>M234*2*H234/1000</f>
        <v>0</v>
      </c>
      <c r="O234" s="16">
        <f>(D234)-N234</f>
        <v>2.2999999999999998</v>
      </c>
      <c r="P234" s="16">
        <f>(I234*J234*O234)+L234</f>
        <v>29.9</v>
      </c>
      <c r="Q234" s="18" t="str">
        <f t="shared" si="12"/>
        <v/>
      </c>
      <c r="R234" s="18" t="str">
        <f t="shared" si="13"/>
        <v/>
      </c>
      <c r="S234" s="18" t="str">
        <f t="shared" si="14"/>
        <v/>
      </c>
      <c r="T234" s="18" t="str">
        <f t="shared" si="15"/>
        <v/>
      </c>
      <c r="U234" s="18">
        <f t="shared" si="16"/>
        <v>29.9</v>
      </c>
      <c r="V234" s="18" t="str">
        <f t="shared" si="17"/>
        <v/>
      </c>
      <c r="W234" s="14"/>
    </row>
    <row r="235" spans="1:23" x14ac:dyDescent="0.25">
      <c r="A235" s="6"/>
      <c r="B235" s="33" t="s">
        <v>43</v>
      </c>
      <c r="C235" s="19"/>
      <c r="D235" s="56"/>
      <c r="E235" s="56"/>
      <c r="F235" s="41"/>
      <c r="G235" s="36"/>
      <c r="H235" s="10"/>
      <c r="I235" s="11"/>
      <c r="J235" s="13"/>
      <c r="K235" s="45"/>
      <c r="L235" s="37"/>
      <c r="M235" s="17"/>
      <c r="N235" s="11"/>
      <c r="O235" s="16"/>
      <c r="P235" s="16"/>
      <c r="Q235" s="18" t="str">
        <f t="shared" si="12"/>
        <v/>
      </c>
      <c r="R235" s="18" t="str">
        <f t="shared" si="13"/>
        <v/>
      </c>
      <c r="S235" s="18" t="str">
        <f t="shared" si="14"/>
        <v/>
      </c>
      <c r="T235" s="18" t="str">
        <f t="shared" si="15"/>
        <v/>
      </c>
      <c r="U235" s="18" t="str">
        <f t="shared" si="16"/>
        <v/>
      </c>
      <c r="V235" s="18" t="str">
        <f t="shared" si="17"/>
        <v/>
      </c>
      <c r="W235" s="14"/>
    </row>
    <row r="236" spans="1:23" x14ac:dyDescent="0.25">
      <c r="A236" s="6"/>
      <c r="B236" s="33"/>
      <c r="C236" s="19"/>
      <c r="D236" s="56"/>
      <c r="E236" s="56"/>
      <c r="F236" s="41"/>
      <c r="G236" s="36"/>
      <c r="H236" s="10"/>
      <c r="I236" s="11"/>
      <c r="J236" s="13"/>
      <c r="K236" s="45"/>
      <c r="L236" s="37"/>
      <c r="M236" s="17"/>
      <c r="N236" s="11"/>
      <c r="O236" s="16"/>
      <c r="P236" s="16"/>
      <c r="Q236" s="18" t="str">
        <f t="shared" si="12"/>
        <v/>
      </c>
      <c r="R236" s="18" t="str">
        <f t="shared" si="13"/>
        <v/>
      </c>
      <c r="S236" s="18" t="str">
        <f t="shared" si="14"/>
        <v/>
      </c>
      <c r="T236" s="18" t="str">
        <f t="shared" si="15"/>
        <v/>
      </c>
      <c r="U236" s="18" t="str">
        <f t="shared" si="16"/>
        <v/>
      </c>
      <c r="V236" s="18" t="str">
        <f t="shared" si="17"/>
        <v/>
      </c>
      <c r="W236" s="14"/>
    </row>
    <row r="237" spans="1:23" x14ac:dyDescent="0.25">
      <c r="A237" s="6">
        <v>23</v>
      </c>
      <c r="B237" s="33" t="s">
        <v>34</v>
      </c>
      <c r="C237" s="44"/>
      <c r="D237" s="62">
        <f>1.25+0.6+1.25</f>
        <v>3.1</v>
      </c>
      <c r="E237" s="62"/>
      <c r="F237" s="41"/>
      <c r="G237" s="36">
        <v>0.25</v>
      </c>
      <c r="H237" s="10">
        <v>25</v>
      </c>
      <c r="I237" s="11">
        <v>1</v>
      </c>
      <c r="J237" s="13">
        <f>ROUND(2.3/G237+1,0)</f>
        <v>10</v>
      </c>
      <c r="K237" s="45">
        <f>D237</f>
        <v>3.1</v>
      </c>
      <c r="L237" s="37" t="str">
        <f>IF(O237&lt;12,"0",0.049*H237)</f>
        <v>0</v>
      </c>
      <c r="M237" s="17">
        <v>0</v>
      </c>
      <c r="N237" s="11">
        <f>M237*2*H237/1000</f>
        <v>0</v>
      </c>
      <c r="O237" s="16">
        <f>(D237)-N237</f>
        <v>3.1</v>
      </c>
      <c r="P237" s="16">
        <f>(I237*J237*O237)+L237</f>
        <v>31</v>
      </c>
      <c r="Q237" s="18" t="str">
        <f t="shared" ref="Q237:Q300" si="18">IF($H237=8,$P237,"")</f>
        <v/>
      </c>
      <c r="R237" s="18" t="str">
        <f t="shared" ref="R237:R300" si="19">IF($H237=10,$P237,"")</f>
        <v/>
      </c>
      <c r="S237" s="18" t="str">
        <f t="shared" ref="S237:S300" si="20">IF($H237=12,$P237,"")</f>
        <v/>
      </c>
      <c r="T237" s="18" t="str">
        <f t="shared" ref="T237:T300" si="21">IF($H237=16,$P237,"")</f>
        <v/>
      </c>
      <c r="U237" s="18" t="str">
        <f t="shared" ref="U237:U300" si="22">IF($H237=20,$P237,"")</f>
        <v/>
      </c>
      <c r="V237" s="18">
        <f t="shared" ref="V237:V300" si="23">IF($H237=25,$P237,"")</f>
        <v>31</v>
      </c>
      <c r="W237" s="14"/>
    </row>
    <row r="238" spans="1:23" x14ac:dyDescent="0.25">
      <c r="A238" s="6"/>
      <c r="B238" s="33" t="s">
        <v>43</v>
      </c>
      <c r="C238" s="19"/>
      <c r="D238" s="56"/>
      <c r="E238" s="56"/>
      <c r="F238" s="41"/>
      <c r="G238" s="36"/>
      <c r="H238" s="10"/>
      <c r="I238" s="11"/>
      <c r="J238" s="13"/>
      <c r="K238" s="45"/>
      <c r="L238" s="37"/>
      <c r="M238" s="17"/>
      <c r="N238" s="11"/>
      <c r="O238" s="16"/>
      <c r="P238" s="16"/>
      <c r="Q238" s="18" t="str">
        <f t="shared" si="18"/>
        <v/>
      </c>
      <c r="R238" s="18" t="str">
        <f t="shared" si="19"/>
        <v/>
      </c>
      <c r="S238" s="18" t="str">
        <f t="shared" si="20"/>
        <v/>
      </c>
      <c r="T238" s="18" t="str">
        <f t="shared" si="21"/>
        <v/>
      </c>
      <c r="U238" s="18" t="str">
        <f t="shared" si="22"/>
        <v/>
      </c>
      <c r="V238" s="18" t="str">
        <f t="shared" si="23"/>
        <v/>
      </c>
      <c r="W238" s="14"/>
    </row>
    <row r="239" spans="1:23" x14ac:dyDescent="0.25">
      <c r="A239" s="6"/>
      <c r="B239" s="33"/>
      <c r="C239" s="19"/>
      <c r="D239" s="56"/>
      <c r="E239" s="56"/>
      <c r="F239" s="41"/>
      <c r="G239" s="36"/>
      <c r="H239" s="10"/>
      <c r="I239" s="11"/>
      <c r="J239" s="13"/>
      <c r="K239" s="45"/>
      <c r="L239" s="37"/>
      <c r="M239" s="17"/>
      <c r="N239" s="11"/>
      <c r="O239" s="16"/>
      <c r="P239" s="16"/>
      <c r="Q239" s="18" t="str">
        <f t="shared" si="18"/>
        <v/>
      </c>
      <c r="R239" s="18" t="str">
        <f t="shared" si="19"/>
        <v/>
      </c>
      <c r="S239" s="18" t="str">
        <f t="shared" si="20"/>
        <v/>
      </c>
      <c r="T239" s="18" t="str">
        <f t="shared" si="21"/>
        <v/>
      </c>
      <c r="U239" s="18" t="str">
        <f t="shared" si="22"/>
        <v/>
      </c>
      <c r="V239" s="18" t="str">
        <f t="shared" si="23"/>
        <v/>
      </c>
      <c r="W239" s="14"/>
    </row>
    <row r="240" spans="1:23" x14ac:dyDescent="0.25">
      <c r="A240" s="6">
        <v>24</v>
      </c>
      <c r="B240" s="33" t="s">
        <v>33</v>
      </c>
      <c r="C240" s="44"/>
      <c r="D240" s="62">
        <f>1+0.3+1</f>
        <v>2.2999999999999998</v>
      </c>
      <c r="E240" s="62"/>
      <c r="F240" s="41"/>
      <c r="G240" s="36">
        <v>0.25</v>
      </c>
      <c r="H240" s="10">
        <v>20</v>
      </c>
      <c r="I240" s="11">
        <v>1</v>
      </c>
      <c r="J240" s="13">
        <f>ROUND(2.715/G240+1,0)</f>
        <v>12</v>
      </c>
      <c r="K240" s="45">
        <f>D240</f>
        <v>2.2999999999999998</v>
      </c>
      <c r="L240" s="37" t="str">
        <f>IF(O240&lt;12,"0",0.049*H240)</f>
        <v>0</v>
      </c>
      <c r="M240" s="17">
        <v>0</v>
      </c>
      <c r="N240" s="11">
        <f>M240*2*H240/1000</f>
        <v>0</v>
      </c>
      <c r="O240" s="16">
        <f>(D240)-N240</f>
        <v>2.2999999999999998</v>
      </c>
      <c r="P240" s="16">
        <f>(I240*J240*O240)+L240</f>
        <v>27.599999999999998</v>
      </c>
      <c r="Q240" s="18" t="str">
        <f t="shared" si="18"/>
        <v/>
      </c>
      <c r="R240" s="18" t="str">
        <f t="shared" si="19"/>
        <v/>
      </c>
      <c r="S240" s="18" t="str">
        <f t="shared" si="20"/>
        <v/>
      </c>
      <c r="T240" s="18" t="str">
        <f t="shared" si="21"/>
        <v/>
      </c>
      <c r="U240" s="18">
        <f t="shared" si="22"/>
        <v>27.599999999999998</v>
      </c>
      <c r="V240" s="18" t="str">
        <f t="shared" si="23"/>
        <v/>
      </c>
      <c r="W240" s="14"/>
    </row>
    <row r="241" spans="1:23" x14ac:dyDescent="0.25">
      <c r="A241" s="6"/>
      <c r="B241" s="33" t="s">
        <v>44</v>
      </c>
      <c r="C241" s="19"/>
      <c r="D241" s="56"/>
      <c r="E241" s="56"/>
      <c r="F241" s="41"/>
      <c r="G241" s="36"/>
      <c r="H241" s="10"/>
      <c r="I241" s="11"/>
      <c r="J241" s="13"/>
      <c r="K241" s="45"/>
      <c r="L241" s="37"/>
      <c r="M241" s="17"/>
      <c r="N241" s="11"/>
      <c r="O241" s="16"/>
      <c r="P241" s="16"/>
      <c r="Q241" s="18" t="str">
        <f t="shared" si="18"/>
        <v/>
      </c>
      <c r="R241" s="18" t="str">
        <f t="shared" si="19"/>
        <v/>
      </c>
      <c r="S241" s="18" t="str">
        <f t="shared" si="20"/>
        <v/>
      </c>
      <c r="T241" s="18" t="str">
        <f t="shared" si="21"/>
        <v/>
      </c>
      <c r="U241" s="18" t="str">
        <f t="shared" si="22"/>
        <v/>
      </c>
      <c r="V241" s="18" t="str">
        <f t="shared" si="23"/>
        <v/>
      </c>
      <c r="W241" s="14"/>
    </row>
    <row r="242" spans="1:23" x14ac:dyDescent="0.25">
      <c r="A242" s="6"/>
      <c r="B242" s="33"/>
      <c r="C242" s="19"/>
      <c r="D242" s="56"/>
      <c r="E242" s="56"/>
      <c r="F242" s="41"/>
      <c r="G242" s="36"/>
      <c r="H242" s="10"/>
      <c r="I242" s="11"/>
      <c r="J242" s="13"/>
      <c r="K242" s="45"/>
      <c r="L242" s="37"/>
      <c r="M242" s="17"/>
      <c r="N242" s="11"/>
      <c r="O242" s="16"/>
      <c r="P242" s="16"/>
      <c r="Q242" s="18" t="str">
        <f t="shared" si="18"/>
        <v/>
      </c>
      <c r="R242" s="18" t="str">
        <f t="shared" si="19"/>
        <v/>
      </c>
      <c r="S242" s="18" t="str">
        <f t="shared" si="20"/>
        <v/>
      </c>
      <c r="T242" s="18" t="str">
        <f t="shared" si="21"/>
        <v/>
      </c>
      <c r="U242" s="18" t="str">
        <f t="shared" si="22"/>
        <v/>
      </c>
      <c r="V242" s="18" t="str">
        <f t="shared" si="23"/>
        <v/>
      </c>
      <c r="W242" s="14"/>
    </row>
    <row r="243" spans="1:23" x14ac:dyDescent="0.25">
      <c r="A243" s="6">
        <v>25</v>
      </c>
      <c r="B243" s="33" t="s">
        <v>34</v>
      </c>
      <c r="C243" s="44"/>
      <c r="D243" s="62">
        <f>1+0.715+1</f>
        <v>2.7149999999999999</v>
      </c>
      <c r="E243" s="62"/>
      <c r="F243" s="41"/>
      <c r="G243" s="36">
        <v>0.25</v>
      </c>
      <c r="H243" s="10">
        <v>20</v>
      </c>
      <c r="I243" s="11">
        <v>1</v>
      </c>
      <c r="J243" s="13">
        <f>ROUND(2.3/G243+1,0)</f>
        <v>10</v>
      </c>
      <c r="K243" s="45">
        <f>D243</f>
        <v>2.7149999999999999</v>
      </c>
      <c r="L243" s="37" t="str">
        <f>IF(O243&lt;12,"0",0.049*H243)</f>
        <v>0</v>
      </c>
      <c r="M243" s="17">
        <v>0</v>
      </c>
      <c r="N243" s="11">
        <f>M243*2*H243/1000</f>
        <v>0</v>
      </c>
      <c r="O243" s="16">
        <f>(D243)-N243</f>
        <v>2.7149999999999999</v>
      </c>
      <c r="P243" s="16">
        <f>(I243*J243*O243)+L243</f>
        <v>27.15</v>
      </c>
      <c r="Q243" s="18" t="str">
        <f t="shared" si="18"/>
        <v/>
      </c>
      <c r="R243" s="18" t="str">
        <f t="shared" si="19"/>
        <v/>
      </c>
      <c r="S243" s="18" t="str">
        <f t="shared" si="20"/>
        <v/>
      </c>
      <c r="T243" s="18" t="str">
        <f t="shared" si="21"/>
        <v/>
      </c>
      <c r="U243" s="18">
        <f t="shared" si="22"/>
        <v>27.15</v>
      </c>
      <c r="V243" s="18" t="str">
        <f t="shared" si="23"/>
        <v/>
      </c>
      <c r="W243" s="14"/>
    </row>
    <row r="244" spans="1:23" x14ac:dyDescent="0.25">
      <c r="A244" s="6"/>
      <c r="B244" s="33" t="s">
        <v>44</v>
      </c>
      <c r="C244" s="19"/>
      <c r="D244" s="56"/>
      <c r="E244" s="56"/>
      <c r="F244" s="41"/>
      <c r="G244" s="36"/>
      <c r="H244" s="10"/>
      <c r="I244" s="11"/>
      <c r="J244" s="13"/>
      <c r="K244" s="45"/>
      <c r="L244" s="37"/>
      <c r="M244" s="17"/>
      <c r="N244" s="11"/>
      <c r="O244" s="16"/>
      <c r="P244" s="16"/>
      <c r="Q244" s="18" t="str">
        <f t="shared" si="18"/>
        <v/>
      </c>
      <c r="R244" s="18" t="str">
        <f t="shared" si="19"/>
        <v/>
      </c>
      <c r="S244" s="18" t="str">
        <f t="shared" si="20"/>
        <v/>
      </c>
      <c r="T244" s="18" t="str">
        <f t="shared" si="21"/>
        <v/>
      </c>
      <c r="U244" s="18" t="str">
        <f t="shared" si="22"/>
        <v/>
      </c>
      <c r="V244" s="18" t="str">
        <f t="shared" si="23"/>
        <v/>
      </c>
      <c r="W244" s="14"/>
    </row>
    <row r="245" spans="1:23" x14ac:dyDescent="0.25">
      <c r="A245" s="6"/>
      <c r="B245" s="33"/>
      <c r="C245" s="19"/>
      <c r="D245" s="56"/>
      <c r="E245" s="56"/>
      <c r="F245" s="41"/>
      <c r="G245" s="36"/>
      <c r="H245" s="10"/>
      <c r="I245" s="11"/>
      <c r="J245" s="13"/>
      <c r="K245" s="45"/>
      <c r="L245" s="37"/>
      <c r="M245" s="17"/>
      <c r="N245" s="11"/>
      <c r="O245" s="16"/>
      <c r="P245" s="16"/>
      <c r="Q245" s="18" t="str">
        <f t="shared" si="18"/>
        <v/>
      </c>
      <c r="R245" s="18" t="str">
        <f t="shared" si="19"/>
        <v/>
      </c>
      <c r="S245" s="18" t="str">
        <f t="shared" si="20"/>
        <v/>
      </c>
      <c r="T245" s="18" t="str">
        <f t="shared" si="21"/>
        <v/>
      </c>
      <c r="U245" s="18" t="str">
        <f t="shared" si="22"/>
        <v/>
      </c>
      <c r="V245" s="18" t="str">
        <f t="shared" si="23"/>
        <v/>
      </c>
      <c r="W245" s="14"/>
    </row>
    <row r="246" spans="1:23" x14ac:dyDescent="0.25">
      <c r="A246" s="6">
        <v>26</v>
      </c>
      <c r="B246" s="33" t="s">
        <v>33</v>
      </c>
      <c r="C246" s="44"/>
      <c r="D246" s="62">
        <f>1+1+0.835+0.1+1</f>
        <v>3.9350000000000001</v>
      </c>
      <c r="E246" s="62"/>
      <c r="F246" s="41"/>
      <c r="G246" s="36">
        <v>0.25</v>
      </c>
      <c r="H246" s="10">
        <v>20</v>
      </c>
      <c r="I246" s="11">
        <v>1</v>
      </c>
      <c r="J246" s="13">
        <f>ROUND(4.075/G246+1,0)</f>
        <v>17</v>
      </c>
      <c r="K246" s="45">
        <f>D246</f>
        <v>3.9350000000000001</v>
      </c>
      <c r="L246" s="37" t="str">
        <f>IF(O246&lt;12,"0",0.049*H246)</f>
        <v>0</v>
      </c>
      <c r="M246" s="17">
        <v>0</v>
      </c>
      <c r="N246" s="11">
        <f>M246*2*H246/1000</f>
        <v>0</v>
      </c>
      <c r="O246" s="16">
        <f>(D246)-N246</f>
        <v>3.9350000000000001</v>
      </c>
      <c r="P246" s="16">
        <f>(I246*J246*O246)+L246</f>
        <v>66.894999999999996</v>
      </c>
      <c r="Q246" s="18" t="str">
        <f t="shared" si="18"/>
        <v/>
      </c>
      <c r="R246" s="18" t="str">
        <f t="shared" si="19"/>
        <v/>
      </c>
      <c r="S246" s="18" t="str">
        <f t="shared" si="20"/>
        <v/>
      </c>
      <c r="T246" s="18" t="str">
        <f t="shared" si="21"/>
        <v/>
      </c>
      <c r="U246" s="18">
        <f t="shared" si="22"/>
        <v>66.894999999999996</v>
      </c>
      <c r="V246" s="18" t="str">
        <f t="shared" si="23"/>
        <v/>
      </c>
      <c r="W246" s="14"/>
    </row>
    <row r="247" spans="1:23" x14ac:dyDescent="0.25">
      <c r="A247" s="6"/>
      <c r="B247" s="33" t="s">
        <v>45</v>
      </c>
      <c r="C247" s="19"/>
      <c r="D247" s="56"/>
      <c r="E247" s="56"/>
      <c r="F247" s="41"/>
      <c r="G247" s="36"/>
      <c r="H247" s="10"/>
      <c r="I247" s="11"/>
      <c r="J247" s="13"/>
      <c r="K247" s="45"/>
      <c r="L247" s="37"/>
      <c r="M247" s="17"/>
      <c r="N247" s="11"/>
      <c r="O247" s="16"/>
      <c r="P247" s="16"/>
      <c r="Q247" s="18" t="str">
        <f t="shared" si="18"/>
        <v/>
      </c>
      <c r="R247" s="18" t="str">
        <f t="shared" si="19"/>
        <v/>
      </c>
      <c r="S247" s="18" t="str">
        <f t="shared" si="20"/>
        <v/>
      </c>
      <c r="T247" s="18" t="str">
        <f t="shared" si="21"/>
        <v/>
      </c>
      <c r="U247" s="18" t="str">
        <f t="shared" si="22"/>
        <v/>
      </c>
      <c r="V247" s="18" t="str">
        <f t="shared" si="23"/>
        <v/>
      </c>
      <c r="W247" s="14"/>
    </row>
    <row r="248" spans="1:23" x14ac:dyDescent="0.25">
      <c r="A248" s="6"/>
      <c r="B248" s="33"/>
      <c r="C248" s="19"/>
      <c r="D248" s="56"/>
      <c r="E248" s="56"/>
      <c r="F248" s="41"/>
      <c r="G248" s="36"/>
      <c r="H248" s="10"/>
      <c r="I248" s="11"/>
      <c r="J248" s="13"/>
      <c r="K248" s="45"/>
      <c r="L248" s="37"/>
      <c r="M248" s="17"/>
      <c r="N248" s="11"/>
      <c r="O248" s="16"/>
      <c r="P248" s="16"/>
      <c r="Q248" s="18" t="str">
        <f t="shared" si="18"/>
        <v/>
      </c>
      <c r="R248" s="18" t="str">
        <f t="shared" si="19"/>
        <v/>
      </c>
      <c r="S248" s="18" t="str">
        <f t="shared" si="20"/>
        <v/>
      </c>
      <c r="T248" s="18" t="str">
        <f t="shared" si="21"/>
        <v/>
      </c>
      <c r="U248" s="18" t="str">
        <f t="shared" si="22"/>
        <v/>
      </c>
      <c r="V248" s="18" t="str">
        <f t="shared" si="23"/>
        <v/>
      </c>
      <c r="W248" s="14"/>
    </row>
    <row r="249" spans="1:23" x14ac:dyDescent="0.25">
      <c r="A249" s="6">
        <v>27</v>
      </c>
      <c r="B249" s="33" t="s">
        <v>34</v>
      </c>
      <c r="C249" s="44"/>
      <c r="D249" s="62">
        <f>1+2.13-0.055+1</f>
        <v>4.0749999999999993</v>
      </c>
      <c r="E249" s="62"/>
      <c r="F249" s="41"/>
      <c r="G249" s="36">
        <v>0.25</v>
      </c>
      <c r="H249" s="10">
        <v>20</v>
      </c>
      <c r="I249" s="11">
        <v>1</v>
      </c>
      <c r="J249" s="13">
        <f>ROUND(3.935/G249+1,0)</f>
        <v>17</v>
      </c>
      <c r="K249" s="45">
        <f>D249</f>
        <v>4.0749999999999993</v>
      </c>
      <c r="L249" s="37" t="str">
        <f>IF(O249&lt;12,"0",0.049*H249)</f>
        <v>0</v>
      </c>
      <c r="M249" s="17">
        <v>0</v>
      </c>
      <c r="N249" s="11">
        <f>M249*2*H249/1000</f>
        <v>0</v>
      </c>
      <c r="O249" s="16">
        <f>(D249)-N249</f>
        <v>4.0749999999999993</v>
      </c>
      <c r="P249" s="16">
        <f>(I249*J249*O249)+L249</f>
        <v>69.274999999999991</v>
      </c>
      <c r="Q249" s="18" t="str">
        <f t="shared" si="18"/>
        <v/>
      </c>
      <c r="R249" s="18" t="str">
        <f t="shared" si="19"/>
        <v/>
      </c>
      <c r="S249" s="18" t="str">
        <f t="shared" si="20"/>
        <v/>
      </c>
      <c r="T249" s="18" t="str">
        <f t="shared" si="21"/>
        <v/>
      </c>
      <c r="U249" s="18">
        <f t="shared" si="22"/>
        <v>69.274999999999991</v>
      </c>
      <c r="V249" s="18" t="str">
        <f t="shared" si="23"/>
        <v/>
      </c>
      <c r="W249" s="14"/>
    </row>
    <row r="250" spans="1:23" x14ac:dyDescent="0.25">
      <c r="A250" s="6"/>
      <c r="B250" s="33" t="s">
        <v>45</v>
      </c>
      <c r="C250" s="19"/>
      <c r="D250" s="56"/>
      <c r="E250" s="56"/>
      <c r="F250" s="41"/>
      <c r="G250" s="36"/>
      <c r="H250" s="10"/>
      <c r="I250" s="11"/>
      <c r="J250" s="13"/>
      <c r="K250" s="45"/>
      <c r="L250" s="37"/>
      <c r="M250" s="17"/>
      <c r="N250" s="11"/>
      <c r="O250" s="16"/>
      <c r="P250" s="16"/>
      <c r="Q250" s="18" t="str">
        <f t="shared" si="18"/>
        <v/>
      </c>
      <c r="R250" s="18" t="str">
        <f t="shared" si="19"/>
        <v/>
      </c>
      <c r="S250" s="18" t="str">
        <f t="shared" si="20"/>
        <v/>
      </c>
      <c r="T250" s="18" t="str">
        <f t="shared" si="21"/>
        <v/>
      </c>
      <c r="U250" s="18" t="str">
        <f t="shared" si="22"/>
        <v/>
      </c>
      <c r="V250" s="18" t="str">
        <f t="shared" si="23"/>
        <v/>
      </c>
      <c r="W250" s="14"/>
    </row>
    <row r="251" spans="1:23" x14ac:dyDescent="0.25">
      <c r="A251" s="6"/>
      <c r="B251" s="33"/>
      <c r="C251" s="19"/>
      <c r="D251" s="56"/>
      <c r="E251" s="56"/>
      <c r="F251" s="41"/>
      <c r="G251" s="36"/>
      <c r="H251" s="10"/>
      <c r="I251" s="11"/>
      <c r="J251" s="13"/>
      <c r="K251" s="45"/>
      <c r="L251" s="37"/>
      <c r="M251" s="17"/>
      <c r="N251" s="11"/>
      <c r="O251" s="16"/>
      <c r="P251" s="16"/>
      <c r="Q251" s="18" t="str">
        <f t="shared" si="18"/>
        <v/>
      </c>
      <c r="R251" s="18" t="str">
        <f t="shared" si="19"/>
        <v/>
      </c>
      <c r="S251" s="18" t="str">
        <f t="shared" si="20"/>
        <v/>
      </c>
      <c r="T251" s="18" t="str">
        <f t="shared" si="21"/>
        <v/>
      </c>
      <c r="U251" s="18" t="str">
        <f t="shared" si="22"/>
        <v/>
      </c>
      <c r="V251" s="18" t="str">
        <f t="shared" si="23"/>
        <v/>
      </c>
      <c r="W251" s="14"/>
    </row>
    <row r="252" spans="1:23" x14ac:dyDescent="0.25">
      <c r="A252" s="6">
        <v>28</v>
      </c>
      <c r="B252" s="33" t="s">
        <v>33</v>
      </c>
      <c r="C252" s="44"/>
      <c r="D252" s="62">
        <f>0.8+0.23+0.8</f>
        <v>1.83</v>
      </c>
      <c r="E252" s="62"/>
      <c r="F252" s="41"/>
      <c r="G252" s="36">
        <v>0.25</v>
      </c>
      <c r="H252" s="10">
        <v>16</v>
      </c>
      <c r="I252" s="11">
        <v>1</v>
      </c>
      <c r="J252" s="13">
        <f>ROUND(3.185/G252+1,0)</f>
        <v>14</v>
      </c>
      <c r="K252" s="45">
        <f>D252</f>
        <v>1.83</v>
      </c>
      <c r="L252" s="37" t="str">
        <f>IF(O252&lt;12,"0",0.049*H252)</f>
        <v>0</v>
      </c>
      <c r="M252" s="17">
        <v>0</v>
      </c>
      <c r="N252" s="11">
        <f>M252*2*H252/1000</f>
        <v>0</v>
      </c>
      <c r="O252" s="16">
        <f>(D252)-N252</f>
        <v>1.83</v>
      </c>
      <c r="P252" s="16">
        <f>(I252*J252*O252)+L252</f>
        <v>25.62</v>
      </c>
      <c r="Q252" s="18" t="str">
        <f t="shared" si="18"/>
        <v/>
      </c>
      <c r="R252" s="18" t="str">
        <f t="shared" si="19"/>
        <v/>
      </c>
      <c r="S252" s="18" t="str">
        <f t="shared" si="20"/>
        <v/>
      </c>
      <c r="T252" s="18">
        <f t="shared" si="21"/>
        <v>25.62</v>
      </c>
      <c r="U252" s="18" t="str">
        <f t="shared" si="22"/>
        <v/>
      </c>
      <c r="V252" s="18" t="str">
        <f t="shared" si="23"/>
        <v/>
      </c>
      <c r="W252" s="14"/>
    </row>
    <row r="253" spans="1:23" x14ac:dyDescent="0.25">
      <c r="A253" s="6"/>
      <c r="B253" s="33" t="s">
        <v>46</v>
      </c>
      <c r="C253" s="19"/>
      <c r="D253" s="56"/>
      <c r="E253" s="56"/>
      <c r="F253" s="41"/>
      <c r="G253" s="36"/>
      <c r="H253" s="10"/>
      <c r="I253" s="11"/>
      <c r="J253" s="13"/>
      <c r="K253" s="45"/>
      <c r="L253" s="37"/>
      <c r="M253" s="17"/>
      <c r="N253" s="11"/>
      <c r="O253" s="16"/>
      <c r="P253" s="16"/>
      <c r="Q253" s="18" t="str">
        <f t="shared" si="18"/>
        <v/>
      </c>
      <c r="R253" s="18" t="str">
        <f t="shared" si="19"/>
        <v/>
      </c>
      <c r="S253" s="18" t="str">
        <f t="shared" si="20"/>
        <v/>
      </c>
      <c r="T253" s="18" t="str">
        <f t="shared" si="21"/>
        <v/>
      </c>
      <c r="U253" s="18" t="str">
        <f t="shared" si="22"/>
        <v/>
      </c>
      <c r="V253" s="18" t="str">
        <f t="shared" si="23"/>
        <v/>
      </c>
      <c r="W253" s="14"/>
    </row>
    <row r="254" spans="1:23" x14ac:dyDescent="0.25">
      <c r="A254" s="6"/>
      <c r="B254" s="33"/>
      <c r="C254" s="19"/>
      <c r="D254" s="56"/>
      <c r="E254" s="56"/>
      <c r="F254" s="41"/>
      <c r="G254" s="36"/>
      <c r="H254" s="10"/>
      <c r="I254" s="11"/>
      <c r="J254" s="13"/>
      <c r="K254" s="45"/>
      <c r="L254" s="37"/>
      <c r="M254" s="17"/>
      <c r="N254" s="11"/>
      <c r="O254" s="16"/>
      <c r="P254" s="16"/>
      <c r="Q254" s="18" t="str">
        <f t="shared" si="18"/>
        <v/>
      </c>
      <c r="R254" s="18" t="str">
        <f t="shared" si="19"/>
        <v/>
      </c>
      <c r="S254" s="18" t="str">
        <f t="shared" si="20"/>
        <v/>
      </c>
      <c r="T254" s="18" t="str">
        <f t="shared" si="21"/>
        <v/>
      </c>
      <c r="U254" s="18" t="str">
        <f t="shared" si="22"/>
        <v/>
      </c>
      <c r="V254" s="18" t="str">
        <f t="shared" si="23"/>
        <v/>
      </c>
      <c r="W254" s="14"/>
    </row>
    <row r="255" spans="1:23" x14ac:dyDescent="0.25">
      <c r="A255" s="6">
        <v>29</v>
      </c>
      <c r="B255" s="33" t="s">
        <v>34</v>
      </c>
      <c r="C255" s="44"/>
      <c r="D255" s="62">
        <f>1+1.185+1</f>
        <v>3.1850000000000001</v>
      </c>
      <c r="E255" s="62"/>
      <c r="F255" s="41"/>
      <c r="G255" s="36">
        <v>0.25</v>
      </c>
      <c r="H255" s="10">
        <v>20</v>
      </c>
      <c r="I255" s="11">
        <v>1</v>
      </c>
      <c r="J255" s="13">
        <f>ROUND(1.83/G255+1,0)</f>
        <v>8</v>
      </c>
      <c r="K255" s="45">
        <f>D255</f>
        <v>3.1850000000000001</v>
      </c>
      <c r="L255" s="37" t="str">
        <f>IF(O255&lt;12,"0",0.049*H255)</f>
        <v>0</v>
      </c>
      <c r="M255" s="17">
        <v>0</v>
      </c>
      <c r="N255" s="11">
        <f>M255*2*H255/1000</f>
        <v>0</v>
      </c>
      <c r="O255" s="16">
        <f>(D255)-N255</f>
        <v>3.1850000000000001</v>
      </c>
      <c r="P255" s="16">
        <f>(I255*J255*O255)+L255</f>
        <v>25.48</v>
      </c>
      <c r="Q255" s="18" t="str">
        <f t="shared" si="18"/>
        <v/>
      </c>
      <c r="R255" s="18" t="str">
        <f t="shared" si="19"/>
        <v/>
      </c>
      <c r="S255" s="18" t="str">
        <f t="shared" si="20"/>
        <v/>
      </c>
      <c r="T255" s="18" t="str">
        <f t="shared" si="21"/>
        <v/>
      </c>
      <c r="U255" s="18">
        <f t="shared" si="22"/>
        <v>25.48</v>
      </c>
      <c r="V255" s="18" t="str">
        <f t="shared" si="23"/>
        <v/>
      </c>
      <c r="W255" s="14"/>
    </row>
    <row r="256" spans="1:23" x14ac:dyDescent="0.25">
      <c r="A256" s="6"/>
      <c r="B256" s="33" t="s">
        <v>46</v>
      </c>
      <c r="C256" s="19"/>
      <c r="D256" s="56"/>
      <c r="E256" s="56"/>
      <c r="F256" s="41"/>
      <c r="G256" s="36"/>
      <c r="H256" s="10"/>
      <c r="I256" s="11"/>
      <c r="J256" s="13"/>
      <c r="K256" s="45"/>
      <c r="L256" s="37"/>
      <c r="M256" s="17"/>
      <c r="N256" s="11"/>
      <c r="O256" s="16"/>
      <c r="P256" s="16"/>
      <c r="Q256" s="18" t="str">
        <f t="shared" si="18"/>
        <v/>
      </c>
      <c r="R256" s="18" t="str">
        <f t="shared" si="19"/>
        <v/>
      </c>
      <c r="S256" s="18" t="str">
        <f t="shared" si="20"/>
        <v/>
      </c>
      <c r="T256" s="18" t="str">
        <f t="shared" si="21"/>
        <v/>
      </c>
      <c r="U256" s="18" t="str">
        <f t="shared" si="22"/>
        <v/>
      </c>
      <c r="V256" s="18" t="str">
        <f t="shared" si="23"/>
        <v/>
      </c>
      <c r="W256" s="14"/>
    </row>
    <row r="257" spans="1:23" x14ac:dyDescent="0.25">
      <c r="A257" s="6"/>
      <c r="B257" s="33"/>
      <c r="C257" s="19"/>
      <c r="D257" s="56"/>
      <c r="E257" s="56"/>
      <c r="F257" s="41"/>
      <c r="G257" s="36"/>
      <c r="H257" s="10"/>
      <c r="I257" s="11"/>
      <c r="J257" s="13"/>
      <c r="K257" s="45"/>
      <c r="L257" s="37"/>
      <c r="M257" s="17"/>
      <c r="N257" s="11"/>
      <c r="O257" s="16"/>
      <c r="P257" s="16"/>
      <c r="Q257" s="18" t="str">
        <f t="shared" si="18"/>
        <v/>
      </c>
      <c r="R257" s="18" t="str">
        <f t="shared" si="19"/>
        <v/>
      </c>
      <c r="S257" s="18" t="str">
        <f t="shared" si="20"/>
        <v/>
      </c>
      <c r="T257" s="18" t="str">
        <f t="shared" si="21"/>
        <v/>
      </c>
      <c r="U257" s="18" t="str">
        <f t="shared" si="22"/>
        <v/>
      </c>
      <c r="V257" s="18" t="str">
        <f t="shared" si="23"/>
        <v/>
      </c>
      <c r="W257" s="14"/>
    </row>
    <row r="258" spans="1:23" x14ac:dyDescent="0.25">
      <c r="A258" s="6">
        <v>30</v>
      </c>
      <c r="B258" s="33" t="s">
        <v>33</v>
      </c>
      <c r="C258" s="44"/>
      <c r="D258" s="62">
        <f>0.8+0.6+0.8</f>
        <v>2.2000000000000002</v>
      </c>
      <c r="E258" s="62"/>
      <c r="F258" s="41"/>
      <c r="G258" s="36">
        <v>0.25</v>
      </c>
      <c r="H258" s="10">
        <v>20</v>
      </c>
      <c r="I258" s="11">
        <v>1</v>
      </c>
      <c r="J258" s="13">
        <f>ROUND(2.8/G258+1,0)</f>
        <v>12</v>
      </c>
      <c r="K258" s="45">
        <f>D258</f>
        <v>2.2000000000000002</v>
      </c>
      <c r="L258" s="37" t="str">
        <f>IF(O258&lt;12,"0",0.049*H258)</f>
        <v>0</v>
      </c>
      <c r="M258" s="17">
        <v>0</v>
      </c>
      <c r="N258" s="11">
        <f>M258*2*H258/1000</f>
        <v>0</v>
      </c>
      <c r="O258" s="16">
        <f>(D258)-N258</f>
        <v>2.2000000000000002</v>
      </c>
      <c r="P258" s="16">
        <f>(I258*J258*O258)+L258</f>
        <v>26.400000000000002</v>
      </c>
      <c r="Q258" s="18" t="str">
        <f t="shared" si="18"/>
        <v/>
      </c>
      <c r="R258" s="18" t="str">
        <f t="shared" si="19"/>
        <v/>
      </c>
      <c r="S258" s="18" t="str">
        <f t="shared" si="20"/>
        <v/>
      </c>
      <c r="T258" s="18" t="str">
        <f t="shared" si="21"/>
        <v/>
      </c>
      <c r="U258" s="18">
        <f t="shared" si="22"/>
        <v>26.400000000000002</v>
      </c>
      <c r="V258" s="18" t="str">
        <f t="shared" si="23"/>
        <v/>
      </c>
      <c r="W258" s="14"/>
    </row>
    <row r="259" spans="1:23" x14ac:dyDescent="0.25">
      <c r="A259" s="6"/>
      <c r="B259" s="33" t="s">
        <v>47</v>
      </c>
      <c r="C259" s="19"/>
      <c r="D259" s="56"/>
      <c r="E259" s="56"/>
      <c r="F259" s="41"/>
      <c r="G259" s="36"/>
      <c r="H259" s="10"/>
      <c r="I259" s="11"/>
      <c r="J259" s="13"/>
      <c r="K259" s="45"/>
      <c r="L259" s="37"/>
      <c r="M259" s="17"/>
      <c r="N259" s="11"/>
      <c r="O259" s="16"/>
      <c r="P259" s="16"/>
      <c r="Q259" s="18" t="str">
        <f t="shared" si="18"/>
        <v/>
      </c>
      <c r="R259" s="18" t="str">
        <f t="shared" si="19"/>
        <v/>
      </c>
      <c r="S259" s="18" t="str">
        <f t="shared" si="20"/>
        <v/>
      </c>
      <c r="T259" s="18" t="str">
        <f t="shared" si="21"/>
        <v/>
      </c>
      <c r="U259" s="18" t="str">
        <f t="shared" si="22"/>
        <v/>
      </c>
      <c r="V259" s="18" t="str">
        <f t="shared" si="23"/>
        <v/>
      </c>
      <c r="W259" s="14"/>
    </row>
    <row r="260" spans="1:23" x14ac:dyDescent="0.25">
      <c r="A260" s="6"/>
      <c r="B260" s="33"/>
      <c r="C260" s="19"/>
      <c r="D260" s="56"/>
      <c r="E260" s="56"/>
      <c r="F260" s="41"/>
      <c r="G260" s="36"/>
      <c r="H260" s="10"/>
      <c r="I260" s="11"/>
      <c r="J260" s="13"/>
      <c r="K260" s="45"/>
      <c r="L260" s="37"/>
      <c r="M260" s="17"/>
      <c r="N260" s="11"/>
      <c r="O260" s="16"/>
      <c r="P260" s="16"/>
      <c r="Q260" s="18" t="str">
        <f t="shared" si="18"/>
        <v/>
      </c>
      <c r="R260" s="18" t="str">
        <f t="shared" si="19"/>
        <v/>
      </c>
      <c r="S260" s="18" t="str">
        <f t="shared" si="20"/>
        <v/>
      </c>
      <c r="T260" s="18" t="str">
        <f t="shared" si="21"/>
        <v/>
      </c>
      <c r="U260" s="18" t="str">
        <f t="shared" si="22"/>
        <v/>
      </c>
      <c r="V260" s="18" t="str">
        <f t="shared" si="23"/>
        <v/>
      </c>
      <c r="W260" s="14"/>
    </row>
    <row r="261" spans="1:23" x14ac:dyDescent="0.25">
      <c r="A261" s="6">
        <v>31</v>
      </c>
      <c r="B261" s="33" t="s">
        <v>34</v>
      </c>
      <c r="C261" s="44"/>
      <c r="D261" s="62">
        <f>1.25+0.3+1.25</f>
        <v>2.8</v>
      </c>
      <c r="E261" s="62"/>
      <c r="F261" s="41"/>
      <c r="G261" s="36">
        <v>0.25</v>
      </c>
      <c r="H261" s="10">
        <v>25</v>
      </c>
      <c r="I261" s="11">
        <v>1</v>
      </c>
      <c r="J261" s="13">
        <f>ROUND(2.2/G261+1,0)</f>
        <v>10</v>
      </c>
      <c r="K261" s="45">
        <f>D261</f>
        <v>2.8</v>
      </c>
      <c r="L261" s="37" t="str">
        <f>IF(O261&lt;12,"0",0.049*H261)</f>
        <v>0</v>
      </c>
      <c r="M261" s="17">
        <v>0</v>
      </c>
      <c r="N261" s="11">
        <f>M261*2*H261/1000</f>
        <v>0</v>
      </c>
      <c r="O261" s="16">
        <f>(D261)-N261</f>
        <v>2.8</v>
      </c>
      <c r="P261" s="16">
        <f>(I261*J261*O261)+L261</f>
        <v>28</v>
      </c>
      <c r="Q261" s="18" t="str">
        <f t="shared" si="18"/>
        <v/>
      </c>
      <c r="R261" s="18" t="str">
        <f t="shared" si="19"/>
        <v/>
      </c>
      <c r="S261" s="18" t="str">
        <f t="shared" si="20"/>
        <v/>
      </c>
      <c r="T261" s="18" t="str">
        <f t="shared" si="21"/>
        <v/>
      </c>
      <c r="U261" s="18" t="str">
        <f t="shared" si="22"/>
        <v/>
      </c>
      <c r="V261" s="18">
        <f t="shared" si="23"/>
        <v>28</v>
      </c>
      <c r="W261" s="14"/>
    </row>
    <row r="262" spans="1:23" x14ac:dyDescent="0.25">
      <c r="A262" s="6"/>
      <c r="B262" s="33" t="s">
        <v>47</v>
      </c>
      <c r="C262" s="19"/>
      <c r="D262" s="56"/>
      <c r="E262" s="56"/>
      <c r="F262" s="41"/>
      <c r="G262" s="36"/>
      <c r="H262" s="10"/>
      <c r="I262" s="11"/>
      <c r="J262" s="13"/>
      <c r="K262" s="45"/>
      <c r="L262" s="37"/>
      <c r="M262" s="17"/>
      <c r="N262" s="11"/>
      <c r="O262" s="16"/>
      <c r="P262" s="16"/>
      <c r="Q262" s="18" t="str">
        <f t="shared" si="18"/>
        <v/>
      </c>
      <c r="R262" s="18" t="str">
        <f t="shared" si="19"/>
        <v/>
      </c>
      <c r="S262" s="18" t="str">
        <f t="shared" si="20"/>
        <v/>
      </c>
      <c r="T262" s="18" t="str">
        <f t="shared" si="21"/>
        <v/>
      </c>
      <c r="U262" s="18" t="str">
        <f t="shared" si="22"/>
        <v/>
      </c>
      <c r="V262" s="18" t="str">
        <f t="shared" si="23"/>
        <v/>
      </c>
      <c r="W262" s="14"/>
    </row>
    <row r="263" spans="1:23" x14ac:dyDescent="0.25">
      <c r="A263" s="6"/>
      <c r="B263" s="33"/>
      <c r="C263" s="19"/>
      <c r="D263" s="56"/>
      <c r="E263" s="56"/>
      <c r="F263" s="41"/>
      <c r="G263" s="36"/>
      <c r="H263" s="10"/>
      <c r="I263" s="11"/>
      <c r="J263" s="13"/>
      <c r="K263" s="45"/>
      <c r="L263" s="37"/>
      <c r="M263" s="17"/>
      <c r="N263" s="11"/>
      <c r="O263" s="16"/>
      <c r="P263" s="16"/>
      <c r="Q263" s="18" t="str">
        <f t="shared" si="18"/>
        <v/>
      </c>
      <c r="R263" s="18" t="str">
        <f t="shared" si="19"/>
        <v/>
      </c>
      <c r="S263" s="18" t="str">
        <f t="shared" si="20"/>
        <v/>
      </c>
      <c r="T263" s="18" t="str">
        <f t="shared" si="21"/>
        <v/>
      </c>
      <c r="U263" s="18" t="str">
        <f t="shared" si="22"/>
        <v/>
      </c>
      <c r="V263" s="18" t="str">
        <f t="shared" si="23"/>
        <v/>
      </c>
      <c r="W263" s="14"/>
    </row>
    <row r="264" spans="1:23" x14ac:dyDescent="0.25">
      <c r="A264" s="6">
        <v>32</v>
      </c>
      <c r="B264" s="33" t="s">
        <v>33</v>
      </c>
      <c r="C264" s="44"/>
      <c r="D264" s="62">
        <f>1.25+0.3+1.25</f>
        <v>2.8</v>
      </c>
      <c r="E264" s="62"/>
      <c r="F264" s="41"/>
      <c r="G264" s="36">
        <v>0.25</v>
      </c>
      <c r="H264" s="10">
        <v>25</v>
      </c>
      <c r="I264" s="11">
        <v>1</v>
      </c>
      <c r="J264" s="13">
        <f>ROUND(2.6/G264+1,0)</f>
        <v>11</v>
      </c>
      <c r="K264" s="45">
        <f>D264</f>
        <v>2.8</v>
      </c>
      <c r="L264" s="37" t="str">
        <f>IF(O264&lt;12,"0",0.049*H264)</f>
        <v>0</v>
      </c>
      <c r="M264" s="17">
        <v>0</v>
      </c>
      <c r="N264" s="11">
        <f>M264*2*H264/1000</f>
        <v>0</v>
      </c>
      <c r="O264" s="16">
        <f>(D264)-N264</f>
        <v>2.8</v>
      </c>
      <c r="P264" s="16">
        <f>(I264*J264*O264)+L264</f>
        <v>30.799999999999997</v>
      </c>
      <c r="Q264" s="18" t="str">
        <f t="shared" si="18"/>
        <v/>
      </c>
      <c r="R264" s="18" t="str">
        <f t="shared" si="19"/>
        <v/>
      </c>
      <c r="S264" s="18" t="str">
        <f t="shared" si="20"/>
        <v/>
      </c>
      <c r="T264" s="18" t="str">
        <f t="shared" si="21"/>
        <v/>
      </c>
      <c r="U264" s="18" t="str">
        <f t="shared" si="22"/>
        <v/>
      </c>
      <c r="V264" s="18">
        <f t="shared" si="23"/>
        <v>30.799999999999997</v>
      </c>
      <c r="W264" s="14"/>
    </row>
    <row r="265" spans="1:23" x14ac:dyDescent="0.25">
      <c r="A265" s="6"/>
      <c r="B265" s="33" t="s">
        <v>48</v>
      </c>
      <c r="C265" s="19"/>
      <c r="D265" s="56"/>
      <c r="E265" s="56"/>
      <c r="F265" s="41"/>
      <c r="G265" s="36"/>
      <c r="H265" s="10"/>
      <c r="I265" s="11"/>
      <c r="J265" s="13"/>
      <c r="K265" s="45"/>
      <c r="L265" s="37"/>
      <c r="M265" s="17"/>
      <c r="N265" s="11"/>
      <c r="O265" s="16"/>
      <c r="P265" s="16"/>
      <c r="Q265" s="18" t="str">
        <f t="shared" si="18"/>
        <v/>
      </c>
      <c r="R265" s="18" t="str">
        <f t="shared" si="19"/>
        <v/>
      </c>
      <c r="S265" s="18" t="str">
        <f t="shared" si="20"/>
        <v/>
      </c>
      <c r="T265" s="18" t="str">
        <f t="shared" si="21"/>
        <v/>
      </c>
      <c r="U265" s="18" t="str">
        <f t="shared" si="22"/>
        <v/>
      </c>
      <c r="V265" s="18" t="str">
        <f t="shared" si="23"/>
        <v/>
      </c>
      <c r="W265" s="14"/>
    </row>
    <row r="266" spans="1:23" x14ac:dyDescent="0.25">
      <c r="A266" s="6"/>
      <c r="B266" s="33"/>
      <c r="C266" s="19"/>
      <c r="D266" s="56"/>
      <c r="E266" s="56"/>
      <c r="F266" s="41"/>
      <c r="G266" s="36"/>
      <c r="H266" s="10"/>
      <c r="I266" s="11"/>
      <c r="J266" s="13"/>
      <c r="K266" s="45"/>
      <c r="L266" s="37"/>
      <c r="M266" s="17"/>
      <c r="N266" s="11"/>
      <c r="O266" s="16"/>
      <c r="P266" s="16"/>
      <c r="Q266" s="18" t="str">
        <f t="shared" si="18"/>
        <v/>
      </c>
      <c r="R266" s="18" t="str">
        <f t="shared" si="19"/>
        <v/>
      </c>
      <c r="S266" s="18" t="str">
        <f t="shared" si="20"/>
        <v/>
      </c>
      <c r="T266" s="18" t="str">
        <f t="shared" si="21"/>
        <v/>
      </c>
      <c r="U266" s="18" t="str">
        <f t="shared" si="22"/>
        <v/>
      </c>
      <c r="V266" s="18" t="str">
        <f t="shared" si="23"/>
        <v/>
      </c>
      <c r="W266" s="14"/>
    </row>
    <row r="267" spans="1:23" x14ac:dyDescent="0.25">
      <c r="A267" s="6">
        <v>33</v>
      </c>
      <c r="B267" s="33" t="s">
        <v>34</v>
      </c>
      <c r="C267" s="44"/>
      <c r="D267" s="62">
        <f>1+0.6+1</f>
        <v>2.6</v>
      </c>
      <c r="E267" s="62"/>
      <c r="F267" s="41"/>
      <c r="G267" s="36">
        <v>0.25</v>
      </c>
      <c r="H267" s="10">
        <v>20</v>
      </c>
      <c r="I267" s="11">
        <v>1</v>
      </c>
      <c r="J267" s="13">
        <f>ROUND(2.8/G267+1,0)</f>
        <v>12</v>
      </c>
      <c r="K267" s="45">
        <f>D267</f>
        <v>2.6</v>
      </c>
      <c r="L267" s="37" t="str">
        <f>IF(O267&lt;12,"0",0.049*H267)</f>
        <v>0</v>
      </c>
      <c r="M267" s="17">
        <v>0</v>
      </c>
      <c r="N267" s="11">
        <f>M267*2*H267/1000</f>
        <v>0</v>
      </c>
      <c r="O267" s="16">
        <f>(D267)-N267</f>
        <v>2.6</v>
      </c>
      <c r="P267" s="16">
        <f>(I267*J267*O267)+L267</f>
        <v>31.200000000000003</v>
      </c>
      <c r="Q267" s="18" t="str">
        <f t="shared" si="18"/>
        <v/>
      </c>
      <c r="R267" s="18" t="str">
        <f t="shared" si="19"/>
        <v/>
      </c>
      <c r="S267" s="18" t="str">
        <f t="shared" si="20"/>
        <v/>
      </c>
      <c r="T267" s="18" t="str">
        <f t="shared" si="21"/>
        <v/>
      </c>
      <c r="U267" s="18">
        <f t="shared" si="22"/>
        <v>31.200000000000003</v>
      </c>
      <c r="V267" s="18" t="str">
        <f t="shared" si="23"/>
        <v/>
      </c>
      <c r="W267" s="14"/>
    </row>
    <row r="268" spans="1:23" x14ac:dyDescent="0.25">
      <c r="A268" s="6"/>
      <c r="B268" s="33" t="s">
        <v>48</v>
      </c>
      <c r="C268" s="19"/>
      <c r="D268" s="56"/>
      <c r="E268" s="56"/>
      <c r="F268" s="41"/>
      <c r="G268" s="36"/>
      <c r="H268" s="10"/>
      <c r="I268" s="11"/>
      <c r="J268" s="13"/>
      <c r="K268" s="45"/>
      <c r="L268" s="37"/>
      <c r="M268" s="17"/>
      <c r="N268" s="11"/>
      <c r="O268" s="16"/>
      <c r="P268" s="16"/>
      <c r="Q268" s="18" t="str">
        <f t="shared" si="18"/>
        <v/>
      </c>
      <c r="R268" s="18" t="str">
        <f t="shared" si="19"/>
        <v/>
      </c>
      <c r="S268" s="18" t="str">
        <f t="shared" si="20"/>
        <v/>
      </c>
      <c r="T268" s="18" t="str">
        <f t="shared" si="21"/>
        <v/>
      </c>
      <c r="U268" s="18" t="str">
        <f t="shared" si="22"/>
        <v/>
      </c>
      <c r="V268" s="18" t="str">
        <f t="shared" si="23"/>
        <v/>
      </c>
      <c r="W268" s="14"/>
    </row>
    <row r="269" spans="1:23" x14ac:dyDescent="0.25">
      <c r="A269" s="6"/>
      <c r="B269" s="33"/>
      <c r="C269" s="19"/>
      <c r="D269" s="56"/>
      <c r="E269" s="56"/>
      <c r="F269" s="41"/>
      <c r="G269" s="36"/>
      <c r="H269" s="10"/>
      <c r="I269" s="11"/>
      <c r="J269" s="13"/>
      <c r="K269" s="45"/>
      <c r="L269" s="37"/>
      <c r="M269" s="17"/>
      <c r="N269" s="11"/>
      <c r="O269" s="16"/>
      <c r="P269" s="16"/>
      <c r="Q269" s="18" t="str">
        <f t="shared" si="18"/>
        <v/>
      </c>
      <c r="R269" s="18" t="str">
        <f t="shared" si="19"/>
        <v/>
      </c>
      <c r="S269" s="18" t="str">
        <f t="shared" si="20"/>
        <v/>
      </c>
      <c r="T269" s="18" t="str">
        <f t="shared" si="21"/>
        <v/>
      </c>
      <c r="U269" s="18" t="str">
        <f t="shared" si="22"/>
        <v/>
      </c>
      <c r="V269" s="18" t="str">
        <f t="shared" si="23"/>
        <v/>
      </c>
      <c r="W269" s="14"/>
    </row>
    <row r="270" spans="1:23" x14ac:dyDescent="0.25">
      <c r="A270" s="6">
        <v>34</v>
      </c>
      <c r="B270" s="33" t="s">
        <v>33</v>
      </c>
      <c r="C270" s="44"/>
      <c r="D270" s="62">
        <f>1.25+0.3+1.25</f>
        <v>2.8</v>
      </c>
      <c r="E270" s="62"/>
      <c r="F270" s="41"/>
      <c r="G270" s="36">
        <v>0.25</v>
      </c>
      <c r="H270" s="10">
        <v>25</v>
      </c>
      <c r="I270" s="11">
        <v>1</v>
      </c>
      <c r="J270" s="13">
        <f>ROUND(3.1/G270+1,0)</f>
        <v>13</v>
      </c>
      <c r="K270" s="45">
        <f>D270</f>
        <v>2.8</v>
      </c>
      <c r="L270" s="37" t="str">
        <f>IF(O270&lt;12,"0",0.049*H270)</f>
        <v>0</v>
      </c>
      <c r="M270" s="17">
        <v>0</v>
      </c>
      <c r="N270" s="11">
        <f>M270*2*H270/1000</f>
        <v>0</v>
      </c>
      <c r="O270" s="16">
        <f>(D270)-N270</f>
        <v>2.8</v>
      </c>
      <c r="P270" s="16">
        <f>(I270*J270*O270)+L270</f>
        <v>36.4</v>
      </c>
      <c r="Q270" s="18" t="str">
        <f t="shared" si="18"/>
        <v/>
      </c>
      <c r="R270" s="18" t="str">
        <f t="shared" si="19"/>
        <v/>
      </c>
      <c r="S270" s="18" t="str">
        <f t="shared" si="20"/>
        <v/>
      </c>
      <c r="T270" s="18" t="str">
        <f t="shared" si="21"/>
        <v/>
      </c>
      <c r="U270" s="18" t="str">
        <f t="shared" si="22"/>
        <v/>
      </c>
      <c r="V270" s="18">
        <f t="shared" si="23"/>
        <v>36.4</v>
      </c>
      <c r="W270" s="14"/>
    </row>
    <row r="271" spans="1:23" x14ac:dyDescent="0.25">
      <c r="A271" s="6"/>
      <c r="B271" s="33" t="s">
        <v>49</v>
      </c>
      <c r="C271" s="19"/>
      <c r="D271" s="56"/>
      <c r="E271" s="56"/>
      <c r="F271" s="41"/>
      <c r="G271" s="36"/>
      <c r="H271" s="10"/>
      <c r="I271" s="11"/>
      <c r="J271" s="13"/>
      <c r="K271" s="45"/>
      <c r="L271" s="37"/>
      <c r="M271" s="17"/>
      <c r="N271" s="11"/>
      <c r="O271" s="16"/>
      <c r="P271" s="16"/>
      <c r="Q271" s="18" t="str">
        <f t="shared" si="18"/>
        <v/>
      </c>
      <c r="R271" s="18" t="str">
        <f t="shared" si="19"/>
        <v/>
      </c>
      <c r="S271" s="18" t="str">
        <f t="shared" si="20"/>
        <v/>
      </c>
      <c r="T271" s="18" t="str">
        <f t="shared" si="21"/>
        <v/>
      </c>
      <c r="U271" s="18" t="str">
        <f t="shared" si="22"/>
        <v/>
      </c>
      <c r="V271" s="18" t="str">
        <f t="shared" si="23"/>
        <v/>
      </c>
      <c r="W271" s="14"/>
    </row>
    <row r="272" spans="1:23" x14ac:dyDescent="0.25">
      <c r="A272" s="6"/>
      <c r="B272" s="33"/>
      <c r="C272" s="19"/>
      <c r="D272" s="56"/>
      <c r="E272" s="56"/>
      <c r="F272" s="41"/>
      <c r="G272" s="36"/>
      <c r="H272" s="10"/>
      <c r="I272" s="11"/>
      <c r="J272" s="13"/>
      <c r="K272" s="45"/>
      <c r="L272" s="37"/>
      <c r="M272" s="17"/>
      <c r="N272" s="11"/>
      <c r="O272" s="16"/>
      <c r="P272" s="16"/>
      <c r="Q272" s="18" t="str">
        <f t="shared" si="18"/>
        <v/>
      </c>
      <c r="R272" s="18" t="str">
        <f t="shared" si="19"/>
        <v/>
      </c>
      <c r="S272" s="18" t="str">
        <f t="shared" si="20"/>
        <v/>
      </c>
      <c r="T272" s="18" t="str">
        <f t="shared" si="21"/>
        <v/>
      </c>
      <c r="U272" s="18" t="str">
        <f t="shared" si="22"/>
        <v/>
      </c>
      <c r="V272" s="18" t="str">
        <f t="shared" si="23"/>
        <v/>
      </c>
      <c r="W272" s="14"/>
    </row>
    <row r="273" spans="1:23" x14ac:dyDescent="0.25">
      <c r="A273" s="6">
        <v>35</v>
      </c>
      <c r="B273" s="33" t="s">
        <v>34</v>
      </c>
      <c r="C273" s="44"/>
      <c r="D273" s="62">
        <f>1.25+0.6+1.25</f>
        <v>3.1</v>
      </c>
      <c r="E273" s="62"/>
      <c r="F273" s="41"/>
      <c r="G273" s="36">
        <v>0.25</v>
      </c>
      <c r="H273" s="10">
        <v>25</v>
      </c>
      <c r="I273" s="11">
        <v>1</v>
      </c>
      <c r="J273" s="13">
        <f>ROUND(2.8/G273+1,0)</f>
        <v>12</v>
      </c>
      <c r="K273" s="45">
        <f>D273</f>
        <v>3.1</v>
      </c>
      <c r="L273" s="37" t="str">
        <f>IF(O273&lt;12,"0",0.049*H273)</f>
        <v>0</v>
      </c>
      <c r="M273" s="17">
        <v>0</v>
      </c>
      <c r="N273" s="11">
        <f>M273*2*H273/1000</f>
        <v>0</v>
      </c>
      <c r="O273" s="16">
        <f>(D273)-N273</f>
        <v>3.1</v>
      </c>
      <c r="P273" s="16">
        <f>(I273*J273*O273)+L273</f>
        <v>37.200000000000003</v>
      </c>
      <c r="Q273" s="18" t="str">
        <f t="shared" si="18"/>
        <v/>
      </c>
      <c r="R273" s="18" t="str">
        <f t="shared" si="19"/>
        <v/>
      </c>
      <c r="S273" s="18" t="str">
        <f t="shared" si="20"/>
        <v/>
      </c>
      <c r="T273" s="18" t="str">
        <f t="shared" si="21"/>
        <v/>
      </c>
      <c r="U273" s="18" t="str">
        <f t="shared" si="22"/>
        <v/>
      </c>
      <c r="V273" s="18">
        <f t="shared" si="23"/>
        <v>37.200000000000003</v>
      </c>
      <c r="W273" s="14"/>
    </row>
    <row r="274" spans="1:23" x14ac:dyDescent="0.25">
      <c r="A274" s="6"/>
      <c r="B274" s="33" t="s">
        <v>49</v>
      </c>
      <c r="C274" s="19"/>
      <c r="D274" s="56"/>
      <c r="E274" s="56"/>
      <c r="F274" s="41"/>
      <c r="G274" s="36"/>
      <c r="H274" s="10"/>
      <c r="I274" s="11"/>
      <c r="J274" s="13"/>
      <c r="K274" s="45"/>
      <c r="L274" s="37"/>
      <c r="M274" s="17"/>
      <c r="N274" s="11"/>
      <c r="O274" s="16"/>
      <c r="P274" s="16"/>
      <c r="Q274" s="18" t="str">
        <f t="shared" si="18"/>
        <v/>
      </c>
      <c r="R274" s="18" t="str">
        <f t="shared" si="19"/>
        <v/>
      </c>
      <c r="S274" s="18" t="str">
        <f t="shared" si="20"/>
        <v/>
      </c>
      <c r="T274" s="18" t="str">
        <f t="shared" si="21"/>
        <v/>
      </c>
      <c r="U274" s="18" t="str">
        <f t="shared" si="22"/>
        <v/>
      </c>
      <c r="V274" s="18" t="str">
        <f t="shared" si="23"/>
        <v/>
      </c>
      <c r="W274" s="14"/>
    </row>
    <row r="275" spans="1:23" x14ac:dyDescent="0.25">
      <c r="A275" s="6"/>
      <c r="B275" s="33"/>
      <c r="C275" s="19"/>
      <c r="D275" s="56"/>
      <c r="E275" s="56"/>
      <c r="F275" s="41"/>
      <c r="G275" s="36"/>
      <c r="H275" s="10"/>
      <c r="I275" s="11"/>
      <c r="J275" s="13"/>
      <c r="K275" s="45"/>
      <c r="L275" s="37"/>
      <c r="M275" s="17"/>
      <c r="N275" s="11"/>
      <c r="O275" s="16"/>
      <c r="P275" s="16"/>
      <c r="Q275" s="18" t="str">
        <f t="shared" si="18"/>
        <v/>
      </c>
      <c r="R275" s="18" t="str">
        <f t="shared" si="19"/>
        <v/>
      </c>
      <c r="S275" s="18" t="str">
        <f t="shared" si="20"/>
        <v/>
      </c>
      <c r="T275" s="18" t="str">
        <f t="shared" si="21"/>
        <v/>
      </c>
      <c r="U275" s="18" t="str">
        <f t="shared" si="22"/>
        <v/>
      </c>
      <c r="V275" s="18" t="str">
        <f t="shared" si="23"/>
        <v/>
      </c>
      <c r="W275" s="14"/>
    </row>
    <row r="276" spans="1:23" x14ac:dyDescent="0.25">
      <c r="A276" s="6">
        <v>36</v>
      </c>
      <c r="B276" s="33" t="s">
        <v>33</v>
      </c>
      <c r="C276" s="44"/>
      <c r="D276" s="62">
        <f>0.75-0.05+0.115+0.47+0.515+1.17+1.935+0.055+1</f>
        <v>5.9599999999999991</v>
      </c>
      <c r="E276" s="62"/>
      <c r="F276" s="41"/>
      <c r="G276" s="36">
        <v>0.25</v>
      </c>
      <c r="H276" s="10">
        <v>25</v>
      </c>
      <c r="I276" s="11">
        <v>1</v>
      </c>
      <c r="J276" s="13">
        <f>ROUND(2.6/G276+1,0)</f>
        <v>11</v>
      </c>
      <c r="K276" s="45">
        <f>D276</f>
        <v>5.9599999999999991</v>
      </c>
      <c r="L276" s="37" t="str">
        <f>IF(O276&lt;12,"0",0.049*H276)</f>
        <v>0</v>
      </c>
      <c r="M276" s="17">
        <v>0</v>
      </c>
      <c r="N276" s="11">
        <f>M276*2*H276/1000</f>
        <v>0</v>
      </c>
      <c r="O276" s="16">
        <f>(D276)-N276</f>
        <v>5.9599999999999991</v>
      </c>
      <c r="P276" s="16">
        <f>(I276*J276*O276)+L276</f>
        <v>65.559999999999988</v>
      </c>
      <c r="Q276" s="18" t="str">
        <f t="shared" si="18"/>
        <v/>
      </c>
      <c r="R276" s="18" t="str">
        <f t="shared" si="19"/>
        <v/>
      </c>
      <c r="S276" s="18" t="str">
        <f t="shared" si="20"/>
        <v/>
      </c>
      <c r="T276" s="18" t="str">
        <f t="shared" si="21"/>
        <v/>
      </c>
      <c r="U276" s="18" t="str">
        <f t="shared" si="22"/>
        <v/>
      </c>
      <c r="V276" s="18">
        <f t="shared" si="23"/>
        <v>65.559999999999988</v>
      </c>
      <c r="W276" s="14"/>
    </row>
    <row r="277" spans="1:23" x14ac:dyDescent="0.25">
      <c r="A277" s="6"/>
      <c r="B277" s="33" t="s">
        <v>50</v>
      </c>
      <c r="C277" s="19"/>
      <c r="D277" s="56"/>
      <c r="E277" s="56"/>
      <c r="F277" s="41"/>
      <c r="G277" s="36"/>
      <c r="H277" s="10"/>
      <c r="I277" s="11"/>
      <c r="J277" s="13"/>
      <c r="K277" s="45"/>
      <c r="L277" s="37"/>
      <c r="M277" s="17"/>
      <c r="N277" s="11"/>
      <c r="O277" s="16"/>
      <c r="P277" s="16"/>
      <c r="Q277" s="18" t="str">
        <f t="shared" si="18"/>
        <v/>
      </c>
      <c r="R277" s="18" t="str">
        <f t="shared" si="19"/>
        <v/>
      </c>
      <c r="S277" s="18" t="str">
        <f t="shared" si="20"/>
        <v/>
      </c>
      <c r="T277" s="18" t="str">
        <f t="shared" si="21"/>
        <v/>
      </c>
      <c r="U277" s="18" t="str">
        <f t="shared" si="22"/>
        <v/>
      </c>
      <c r="V277" s="18" t="str">
        <f t="shared" si="23"/>
        <v/>
      </c>
      <c r="W277" s="14"/>
    </row>
    <row r="278" spans="1:23" x14ac:dyDescent="0.25">
      <c r="A278" s="6"/>
      <c r="B278" s="33"/>
      <c r="C278" s="19"/>
      <c r="D278" s="56"/>
      <c r="E278" s="56"/>
      <c r="F278" s="41"/>
      <c r="G278" s="36"/>
      <c r="H278" s="10"/>
      <c r="I278" s="11"/>
      <c r="J278" s="13"/>
      <c r="K278" s="45"/>
      <c r="L278" s="37"/>
      <c r="M278" s="17"/>
      <c r="N278" s="11"/>
      <c r="O278" s="16"/>
      <c r="P278" s="16"/>
      <c r="Q278" s="18" t="str">
        <f t="shared" si="18"/>
        <v/>
      </c>
      <c r="R278" s="18" t="str">
        <f t="shared" si="19"/>
        <v/>
      </c>
      <c r="S278" s="18" t="str">
        <f t="shared" si="20"/>
        <v/>
      </c>
      <c r="T278" s="18" t="str">
        <f t="shared" si="21"/>
        <v/>
      </c>
      <c r="U278" s="18" t="str">
        <f t="shared" si="22"/>
        <v/>
      </c>
      <c r="V278" s="18" t="str">
        <f t="shared" si="23"/>
        <v/>
      </c>
      <c r="W278" s="14"/>
    </row>
    <row r="279" spans="1:23" x14ac:dyDescent="0.25">
      <c r="A279" s="6">
        <v>37</v>
      </c>
      <c r="B279" s="33" t="s">
        <v>33</v>
      </c>
      <c r="C279" s="44"/>
      <c r="D279" s="62">
        <f>0.75-0.05+0.115+0.47+0.515+1.17+1.935+0.055+1</f>
        <v>5.9599999999999991</v>
      </c>
      <c r="E279" s="62"/>
      <c r="F279" s="41"/>
      <c r="G279" s="36">
        <v>0.25</v>
      </c>
      <c r="H279" s="10">
        <v>25</v>
      </c>
      <c r="I279" s="11">
        <v>1</v>
      </c>
      <c r="J279" s="13">
        <f>ROUND(2.6/G279+1,0)</f>
        <v>11</v>
      </c>
      <c r="K279" s="45">
        <f>D279</f>
        <v>5.9599999999999991</v>
      </c>
      <c r="L279" s="37" t="str">
        <f>IF(O279&lt;12,"0",0.049*H279)</f>
        <v>0</v>
      </c>
      <c r="M279" s="17">
        <v>0</v>
      </c>
      <c r="N279" s="11">
        <f>M279*2*H279/1000</f>
        <v>0</v>
      </c>
      <c r="O279" s="16">
        <f>(D279)-N279</f>
        <v>5.9599999999999991</v>
      </c>
      <c r="P279" s="16">
        <f>(I279*J279*O279)+L279</f>
        <v>65.559999999999988</v>
      </c>
      <c r="Q279" s="18" t="str">
        <f t="shared" si="18"/>
        <v/>
      </c>
      <c r="R279" s="18" t="str">
        <f t="shared" si="19"/>
        <v/>
      </c>
      <c r="S279" s="18" t="str">
        <f t="shared" si="20"/>
        <v/>
      </c>
      <c r="T279" s="18" t="str">
        <f t="shared" si="21"/>
        <v/>
      </c>
      <c r="U279" s="18" t="str">
        <f t="shared" si="22"/>
        <v/>
      </c>
      <c r="V279" s="18">
        <f t="shared" si="23"/>
        <v>65.559999999999988</v>
      </c>
      <c r="W279" s="14"/>
    </row>
    <row r="280" spans="1:23" x14ac:dyDescent="0.25">
      <c r="A280" s="6"/>
      <c r="B280" s="33" t="s">
        <v>50</v>
      </c>
      <c r="C280" s="19"/>
      <c r="D280" s="56"/>
      <c r="E280" s="56"/>
      <c r="F280" s="41"/>
      <c r="G280" s="36"/>
      <c r="H280" s="10"/>
      <c r="I280" s="11"/>
      <c r="J280" s="13"/>
      <c r="K280" s="45"/>
      <c r="L280" s="37"/>
      <c r="M280" s="17"/>
      <c r="N280" s="11"/>
      <c r="O280" s="16"/>
      <c r="P280" s="16"/>
      <c r="Q280" s="18" t="str">
        <f t="shared" si="18"/>
        <v/>
      </c>
      <c r="R280" s="18" t="str">
        <f t="shared" si="19"/>
        <v/>
      </c>
      <c r="S280" s="18" t="str">
        <f t="shared" si="20"/>
        <v/>
      </c>
      <c r="T280" s="18" t="str">
        <f t="shared" si="21"/>
        <v/>
      </c>
      <c r="U280" s="18" t="str">
        <f t="shared" si="22"/>
        <v/>
      </c>
      <c r="V280" s="18" t="str">
        <f t="shared" si="23"/>
        <v/>
      </c>
      <c r="W280" s="14"/>
    </row>
    <row r="281" spans="1:23" x14ac:dyDescent="0.25">
      <c r="A281" s="6"/>
      <c r="B281" s="33"/>
      <c r="C281" s="19"/>
      <c r="D281" s="56"/>
      <c r="E281" s="56"/>
      <c r="F281" s="41"/>
      <c r="G281" s="36"/>
      <c r="H281" s="10"/>
      <c r="I281" s="11"/>
      <c r="J281" s="13"/>
      <c r="K281" s="45"/>
      <c r="L281" s="37"/>
      <c r="M281" s="17"/>
      <c r="N281" s="11"/>
      <c r="O281" s="16"/>
      <c r="P281" s="16"/>
      <c r="Q281" s="18" t="str">
        <f t="shared" si="18"/>
        <v/>
      </c>
      <c r="R281" s="18" t="str">
        <f t="shared" si="19"/>
        <v/>
      </c>
      <c r="S281" s="18" t="str">
        <f t="shared" si="20"/>
        <v/>
      </c>
      <c r="T281" s="18" t="str">
        <f t="shared" si="21"/>
        <v/>
      </c>
      <c r="U281" s="18" t="str">
        <f t="shared" si="22"/>
        <v/>
      </c>
      <c r="V281" s="18" t="str">
        <f t="shared" si="23"/>
        <v/>
      </c>
      <c r="W281" s="14"/>
    </row>
    <row r="282" spans="1:23" x14ac:dyDescent="0.25">
      <c r="A282" s="6">
        <v>38</v>
      </c>
      <c r="B282" s="33" t="s">
        <v>34</v>
      </c>
      <c r="C282" s="44"/>
      <c r="D282" s="62">
        <f>0.75-0.05+0.65+1.25</f>
        <v>2.6</v>
      </c>
      <c r="E282" s="62"/>
      <c r="F282" s="41"/>
      <c r="G282" s="36">
        <v>0.25</v>
      </c>
      <c r="H282" s="10">
        <v>20</v>
      </c>
      <c r="I282" s="11">
        <v>1</v>
      </c>
      <c r="J282" s="13">
        <f>ROUND(5.96/G282+1,0)</f>
        <v>25</v>
      </c>
      <c r="K282" s="45">
        <f>D282</f>
        <v>2.6</v>
      </c>
      <c r="L282" s="37" t="str">
        <f>IF(O282&lt;12,"0",0.049*H282)</f>
        <v>0</v>
      </c>
      <c r="M282" s="17">
        <v>0</v>
      </c>
      <c r="N282" s="11">
        <f>M282*2*H282/1000</f>
        <v>0</v>
      </c>
      <c r="O282" s="16">
        <f>(D282)-N282</f>
        <v>2.6</v>
      </c>
      <c r="P282" s="16">
        <f>(I282*J282*O282)+L282</f>
        <v>65</v>
      </c>
      <c r="Q282" s="18" t="str">
        <f t="shared" si="18"/>
        <v/>
      </c>
      <c r="R282" s="18" t="str">
        <f t="shared" si="19"/>
        <v/>
      </c>
      <c r="S282" s="18" t="str">
        <f t="shared" si="20"/>
        <v/>
      </c>
      <c r="T282" s="18" t="str">
        <f t="shared" si="21"/>
        <v/>
      </c>
      <c r="U282" s="18">
        <f t="shared" si="22"/>
        <v>65</v>
      </c>
      <c r="V282" s="18" t="str">
        <f t="shared" si="23"/>
        <v/>
      </c>
      <c r="W282" s="14"/>
    </row>
    <row r="283" spans="1:23" x14ac:dyDescent="0.25">
      <c r="A283" s="6"/>
      <c r="B283" s="33" t="s">
        <v>50</v>
      </c>
      <c r="C283" s="19"/>
      <c r="D283" s="56"/>
      <c r="E283" s="56"/>
      <c r="F283" s="41"/>
      <c r="G283" s="36"/>
      <c r="H283" s="10"/>
      <c r="I283" s="11"/>
      <c r="J283" s="13"/>
      <c r="K283" s="45"/>
      <c r="L283" s="37"/>
      <c r="M283" s="17"/>
      <c r="N283" s="11"/>
      <c r="O283" s="16"/>
      <c r="P283" s="16"/>
      <c r="Q283" s="18" t="str">
        <f t="shared" si="18"/>
        <v/>
      </c>
      <c r="R283" s="18" t="str">
        <f t="shared" si="19"/>
        <v/>
      </c>
      <c r="S283" s="18" t="str">
        <f t="shared" si="20"/>
        <v/>
      </c>
      <c r="T283" s="18" t="str">
        <f t="shared" si="21"/>
        <v/>
      </c>
      <c r="U283" s="18" t="str">
        <f t="shared" si="22"/>
        <v/>
      </c>
      <c r="V283" s="18" t="str">
        <f t="shared" si="23"/>
        <v/>
      </c>
      <c r="W283" s="14"/>
    </row>
    <row r="284" spans="1:23" x14ac:dyDescent="0.25">
      <c r="A284" s="6"/>
      <c r="B284" s="33"/>
      <c r="C284" s="19"/>
      <c r="D284" s="56"/>
      <c r="E284" s="56"/>
      <c r="F284" s="41"/>
      <c r="G284" s="36"/>
      <c r="H284" s="10"/>
      <c r="I284" s="11"/>
      <c r="J284" s="13"/>
      <c r="K284" s="45"/>
      <c r="L284" s="37"/>
      <c r="M284" s="17"/>
      <c r="N284" s="11"/>
      <c r="O284" s="16"/>
      <c r="P284" s="16"/>
      <c r="Q284" s="18" t="str">
        <f t="shared" si="18"/>
        <v/>
      </c>
      <c r="R284" s="18" t="str">
        <f t="shared" si="19"/>
        <v/>
      </c>
      <c r="S284" s="18" t="str">
        <f t="shared" si="20"/>
        <v/>
      </c>
      <c r="T284" s="18" t="str">
        <f t="shared" si="21"/>
        <v/>
      </c>
      <c r="U284" s="18" t="str">
        <f t="shared" si="22"/>
        <v/>
      </c>
      <c r="V284" s="18" t="str">
        <f t="shared" si="23"/>
        <v/>
      </c>
      <c r="W284" s="14"/>
    </row>
    <row r="285" spans="1:23" x14ac:dyDescent="0.25">
      <c r="A285" s="6">
        <v>39</v>
      </c>
      <c r="B285" s="33" t="s">
        <v>33</v>
      </c>
      <c r="C285" s="44"/>
      <c r="D285" s="62">
        <f>0.75-0.05+0.6+1</f>
        <v>2.2999999999999998</v>
      </c>
      <c r="E285" s="62"/>
      <c r="F285" s="41"/>
      <c r="G285" s="36">
        <v>0.25</v>
      </c>
      <c r="H285" s="10">
        <v>20</v>
      </c>
      <c r="I285" s="11">
        <v>1</v>
      </c>
      <c r="J285" s="13">
        <f>ROUND(3.1/G285+1,0)</f>
        <v>13</v>
      </c>
      <c r="K285" s="45">
        <f>D285</f>
        <v>2.2999999999999998</v>
      </c>
      <c r="L285" s="37" t="str">
        <f>IF(O285&lt;12,"0",0.049*H285)</f>
        <v>0</v>
      </c>
      <c r="M285" s="17">
        <v>0</v>
      </c>
      <c r="N285" s="11">
        <f>M285*2*H285/1000</f>
        <v>0</v>
      </c>
      <c r="O285" s="16">
        <f>(D285)-N285</f>
        <v>2.2999999999999998</v>
      </c>
      <c r="P285" s="16">
        <f>(I285*J285*O285)+L285</f>
        <v>29.9</v>
      </c>
      <c r="Q285" s="18" t="str">
        <f t="shared" si="18"/>
        <v/>
      </c>
      <c r="R285" s="18" t="str">
        <f t="shared" si="19"/>
        <v/>
      </c>
      <c r="S285" s="18" t="str">
        <f t="shared" si="20"/>
        <v/>
      </c>
      <c r="T285" s="18" t="str">
        <f t="shared" si="21"/>
        <v/>
      </c>
      <c r="U285" s="18">
        <f t="shared" si="22"/>
        <v>29.9</v>
      </c>
      <c r="V285" s="18" t="str">
        <f t="shared" si="23"/>
        <v/>
      </c>
      <c r="W285" s="14"/>
    </row>
    <row r="286" spans="1:23" x14ac:dyDescent="0.25">
      <c r="A286" s="6"/>
      <c r="B286" s="33" t="s">
        <v>51</v>
      </c>
      <c r="C286" s="19"/>
      <c r="D286" s="56"/>
      <c r="E286" s="56"/>
      <c r="F286" s="41"/>
      <c r="G286" s="36"/>
      <c r="H286" s="10"/>
      <c r="I286" s="11"/>
      <c r="J286" s="13"/>
      <c r="K286" s="45"/>
      <c r="L286" s="37"/>
      <c r="M286" s="17"/>
      <c r="N286" s="11"/>
      <c r="O286" s="16"/>
      <c r="P286" s="16"/>
      <c r="Q286" s="18" t="str">
        <f t="shared" si="18"/>
        <v/>
      </c>
      <c r="R286" s="18" t="str">
        <f t="shared" si="19"/>
        <v/>
      </c>
      <c r="S286" s="18" t="str">
        <f t="shared" si="20"/>
        <v/>
      </c>
      <c r="T286" s="18" t="str">
        <f t="shared" si="21"/>
        <v/>
      </c>
      <c r="U286" s="18" t="str">
        <f t="shared" si="22"/>
        <v/>
      </c>
      <c r="V286" s="18" t="str">
        <f t="shared" si="23"/>
        <v/>
      </c>
      <c r="W286" s="14"/>
    </row>
    <row r="287" spans="1:23" x14ac:dyDescent="0.25">
      <c r="A287" s="6"/>
      <c r="B287" s="33"/>
      <c r="C287" s="19"/>
      <c r="D287" s="56"/>
      <c r="E287" s="56"/>
      <c r="F287" s="41"/>
      <c r="G287" s="36"/>
      <c r="H287" s="10"/>
      <c r="I287" s="11"/>
      <c r="J287" s="13"/>
      <c r="K287" s="45"/>
      <c r="L287" s="37"/>
      <c r="M287" s="17"/>
      <c r="N287" s="11"/>
      <c r="O287" s="16"/>
      <c r="P287" s="16"/>
      <c r="Q287" s="18" t="str">
        <f t="shared" si="18"/>
        <v/>
      </c>
      <c r="R287" s="18" t="str">
        <f t="shared" si="19"/>
        <v/>
      </c>
      <c r="S287" s="18" t="str">
        <f t="shared" si="20"/>
        <v/>
      </c>
      <c r="T287" s="18" t="str">
        <f t="shared" si="21"/>
        <v/>
      </c>
      <c r="U287" s="18" t="str">
        <f t="shared" si="22"/>
        <v/>
      </c>
      <c r="V287" s="18" t="str">
        <f t="shared" si="23"/>
        <v/>
      </c>
      <c r="W287" s="14"/>
    </row>
    <row r="288" spans="1:23" x14ac:dyDescent="0.25">
      <c r="A288" s="6">
        <v>40</v>
      </c>
      <c r="B288" s="33" t="s">
        <v>34</v>
      </c>
      <c r="C288" s="44"/>
      <c r="D288" s="62">
        <f>1.25+0.6+1.25</f>
        <v>3.1</v>
      </c>
      <c r="E288" s="62"/>
      <c r="F288" s="41"/>
      <c r="G288" s="36">
        <v>0.25</v>
      </c>
      <c r="H288" s="10">
        <v>25</v>
      </c>
      <c r="I288" s="11">
        <v>1</v>
      </c>
      <c r="J288" s="13">
        <f>ROUND(2.3/G288+1,0)</f>
        <v>10</v>
      </c>
      <c r="K288" s="45">
        <f>D288</f>
        <v>3.1</v>
      </c>
      <c r="L288" s="37" t="str">
        <f>IF(O288&lt;12,"0",0.049*H288)</f>
        <v>0</v>
      </c>
      <c r="M288" s="17">
        <v>0</v>
      </c>
      <c r="N288" s="11">
        <f>M288*2*H288/1000</f>
        <v>0</v>
      </c>
      <c r="O288" s="16">
        <f>(D288)-N288</f>
        <v>3.1</v>
      </c>
      <c r="P288" s="16">
        <f>(I288*J288*O288)+L288</f>
        <v>31</v>
      </c>
      <c r="Q288" s="18" t="str">
        <f t="shared" si="18"/>
        <v/>
      </c>
      <c r="R288" s="18" t="str">
        <f t="shared" si="19"/>
        <v/>
      </c>
      <c r="S288" s="18" t="str">
        <f t="shared" si="20"/>
        <v/>
      </c>
      <c r="T288" s="18" t="str">
        <f t="shared" si="21"/>
        <v/>
      </c>
      <c r="U288" s="18" t="str">
        <f t="shared" si="22"/>
        <v/>
      </c>
      <c r="V288" s="18">
        <f t="shared" si="23"/>
        <v>31</v>
      </c>
      <c r="W288" s="14"/>
    </row>
    <row r="289" spans="1:23" x14ac:dyDescent="0.25">
      <c r="A289" s="6"/>
      <c r="B289" s="33" t="s">
        <v>51</v>
      </c>
      <c r="C289" s="19"/>
      <c r="D289" s="56"/>
      <c r="E289" s="56"/>
      <c r="F289" s="41"/>
      <c r="G289" s="36"/>
      <c r="H289" s="10"/>
      <c r="I289" s="11"/>
      <c r="J289" s="13"/>
      <c r="K289" s="45"/>
      <c r="L289" s="37"/>
      <c r="M289" s="17"/>
      <c r="N289" s="11"/>
      <c r="O289" s="16"/>
      <c r="P289" s="16"/>
      <c r="Q289" s="18" t="str">
        <f t="shared" si="18"/>
        <v/>
      </c>
      <c r="R289" s="18" t="str">
        <f t="shared" si="19"/>
        <v/>
      </c>
      <c r="S289" s="18" t="str">
        <f t="shared" si="20"/>
        <v/>
      </c>
      <c r="T289" s="18" t="str">
        <f t="shared" si="21"/>
        <v/>
      </c>
      <c r="U289" s="18" t="str">
        <f t="shared" si="22"/>
        <v/>
      </c>
      <c r="V289" s="18" t="str">
        <f t="shared" si="23"/>
        <v/>
      </c>
      <c r="W289" s="14"/>
    </row>
    <row r="290" spans="1:23" x14ac:dyDescent="0.25">
      <c r="A290" s="6"/>
      <c r="B290" s="33"/>
      <c r="C290" s="19"/>
      <c r="D290" s="56"/>
      <c r="E290" s="56"/>
      <c r="F290" s="41"/>
      <c r="G290" s="36"/>
      <c r="H290" s="10"/>
      <c r="I290" s="11"/>
      <c r="J290" s="13"/>
      <c r="K290" s="45"/>
      <c r="L290" s="37"/>
      <c r="M290" s="17"/>
      <c r="N290" s="11"/>
      <c r="O290" s="16"/>
      <c r="P290" s="16"/>
      <c r="Q290" s="18" t="str">
        <f t="shared" si="18"/>
        <v/>
      </c>
      <c r="R290" s="18" t="str">
        <f t="shared" si="19"/>
        <v/>
      </c>
      <c r="S290" s="18" t="str">
        <f t="shared" si="20"/>
        <v/>
      </c>
      <c r="T290" s="18" t="str">
        <f t="shared" si="21"/>
        <v/>
      </c>
      <c r="U290" s="18" t="str">
        <f t="shared" si="22"/>
        <v/>
      </c>
      <c r="V290" s="18" t="str">
        <f t="shared" si="23"/>
        <v/>
      </c>
      <c r="W290" s="14"/>
    </row>
    <row r="291" spans="1:23" x14ac:dyDescent="0.25">
      <c r="A291" s="6">
        <v>41</v>
      </c>
      <c r="B291" s="33" t="s">
        <v>33</v>
      </c>
      <c r="C291" s="44"/>
      <c r="D291" s="62">
        <f>0.12+0.715+1</f>
        <v>1.835</v>
      </c>
      <c r="E291" s="62"/>
      <c r="F291" s="41"/>
      <c r="G291" s="36">
        <v>0.25</v>
      </c>
      <c r="H291" s="10">
        <v>20</v>
      </c>
      <c r="I291" s="11">
        <v>1</v>
      </c>
      <c r="J291" s="13">
        <f>ROUND(2.3/G291+1,0)</f>
        <v>10</v>
      </c>
      <c r="K291" s="45">
        <f>D291</f>
        <v>1.835</v>
      </c>
      <c r="L291" s="37" t="str">
        <f>IF(O291&lt;12,"0",0.049*H291)</f>
        <v>0</v>
      </c>
      <c r="M291" s="17">
        <v>0</v>
      </c>
      <c r="N291" s="11">
        <f>M291*2*H291/1000</f>
        <v>0</v>
      </c>
      <c r="O291" s="16">
        <f>(D291)-N291</f>
        <v>1.835</v>
      </c>
      <c r="P291" s="16">
        <f>(I291*J291*O291)+L291</f>
        <v>18.350000000000001</v>
      </c>
      <c r="Q291" s="18" t="str">
        <f t="shared" si="18"/>
        <v/>
      </c>
      <c r="R291" s="18" t="str">
        <f t="shared" si="19"/>
        <v/>
      </c>
      <c r="S291" s="18" t="str">
        <f t="shared" si="20"/>
        <v/>
      </c>
      <c r="T291" s="18" t="str">
        <f t="shared" si="21"/>
        <v/>
      </c>
      <c r="U291" s="18">
        <f t="shared" si="22"/>
        <v>18.350000000000001</v>
      </c>
      <c r="V291" s="18" t="str">
        <f t="shared" si="23"/>
        <v/>
      </c>
      <c r="W291" s="14"/>
    </row>
    <row r="292" spans="1:23" x14ac:dyDescent="0.25">
      <c r="A292" s="6"/>
      <c r="B292" s="33" t="s">
        <v>52</v>
      </c>
      <c r="C292" s="19"/>
      <c r="D292" s="56"/>
      <c r="E292" s="56"/>
      <c r="F292" s="41"/>
      <c r="G292" s="36"/>
      <c r="H292" s="10"/>
      <c r="I292" s="11"/>
      <c r="J292" s="13"/>
      <c r="K292" s="45"/>
      <c r="L292" s="37"/>
      <c r="M292" s="17"/>
      <c r="N292" s="11"/>
      <c r="O292" s="16"/>
      <c r="P292" s="16"/>
      <c r="Q292" s="18" t="str">
        <f t="shared" si="18"/>
        <v/>
      </c>
      <c r="R292" s="18" t="str">
        <f t="shared" si="19"/>
        <v/>
      </c>
      <c r="S292" s="18" t="str">
        <f t="shared" si="20"/>
        <v/>
      </c>
      <c r="T292" s="18" t="str">
        <f t="shared" si="21"/>
        <v/>
      </c>
      <c r="U292" s="18" t="str">
        <f t="shared" si="22"/>
        <v/>
      </c>
      <c r="V292" s="18" t="str">
        <f t="shared" si="23"/>
        <v/>
      </c>
      <c r="W292" s="14"/>
    </row>
    <row r="293" spans="1:23" x14ac:dyDescent="0.25">
      <c r="A293" s="6"/>
      <c r="B293" s="33"/>
      <c r="C293" s="19"/>
      <c r="D293" s="56"/>
      <c r="E293" s="56"/>
      <c r="F293" s="41"/>
      <c r="G293" s="36"/>
      <c r="H293" s="10"/>
      <c r="I293" s="11"/>
      <c r="J293" s="13"/>
      <c r="K293" s="45"/>
      <c r="L293" s="37"/>
      <c r="M293" s="17"/>
      <c r="N293" s="11"/>
      <c r="O293" s="16"/>
      <c r="P293" s="16"/>
      <c r="Q293" s="18" t="str">
        <f t="shared" si="18"/>
        <v/>
      </c>
      <c r="R293" s="18" t="str">
        <f t="shared" si="19"/>
        <v/>
      </c>
      <c r="S293" s="18" t="str">
        <f t="shared" si="20"/>
        <v/>
      </c>
      <c r="T293" s="18" t="str">
        <f t="shared" si="21"/>
        <v/>
      </c>
      <c r="U293" s="18" t="str">
        <f t="shared" si="22"/>
        <v/>
      </c>
      <c r="V293" s="18" t="str">
        <f t="shared" si="23"/>
        <v/>
      </c>
      <c r="W293" s="14"/>
    </row>
    <row r="294" spans="1:23" x14ac:dyDescent="0.25">
      <c r="A294" s="6">
        <v>42</v>
      </c>
      <c r="B294" s="33" t="s">
        <v>34</v>
      </c>
      <c r="C294" s="44"/>
      <c r="D294" s="62">
        <f>1+0.3+1</f>
        <v>2.2999999999999998</v>
      </c>
      <c r="E294" s="62"/>
      <c r="F294" s="41"/>
      <c r="G294" s="36">
        <v>0.25</v>
      </c>
      <c r="H294" s="10">
        <v>20</v>
      </c>
      <c r="I294" s="11">
        <v>1</v>
      </c>
      <c r="J294" s="13">
        <f>ROUND(1.835/G294+1,0)</f>
        <v>8</v>
      </c>
      <c r="K294" s="45">
        <f>D294</f>
        <v>2.2999999999999998</v>
      </c>
      <c r="L294" s="37" t="str">
        <f>IF(O294&lt;12,"0",0.049*H294)</f>
        <v>0</v>
      </c>
      <c r="M294" s="17">
        <v>0</v>
      </c>
      <c r="N294" s="11">
        <f>M294*2*H294/1000</f>
        <v>0</v>
      </c>
      <c r="O294" s="16">
        <f>(D294)-N294</f>
        <v>2.2999999999999998</v>
      </c>
      <c r="P294" s="16">
        <f>(I294*J294*O294)+L294</f>
        <v>18.399999999999999</v>
      </c>
      <c r="Q294" s="18" t="str">
        <f t="shared" si="18"/>
        <v/>
      </c>
      <c r="R294" s="18" t="str">
        <f t="shared" si="19"/>
        <v/>
      </c>
      <c r="S294" s="18" t="str">
        <f t="shared" si="20"/>
        <v/>
      </c>
      <c r="T294" s="18" t="str">
        <f t="shared" si="21"/>
        <v/>
      </c>
      <c r="U294" s="18">
        <f t="shared" si="22"/>
        <v>18.399999999999999</v>
      </c>
      <c r="V294" s="18" t="str">
        <f t="shared" si="23"/>
        <v/>
      </c>
      <c r="W294" s="14"/>
    </row>
    <row r="295" spans="1:23" x14ac:dyDescent="0.25">
      <c r="A295" s="6"/>
      <c r="B295" s="33" t="s">
        <v>52</v>
      </c>
      <c r="C295" s="19"/>
      <c r="D295" s="56"/>
      <c r="E295" s="56"/>
      <c r="F295" s="41"/>
      <c r="G295" s="36"/>
      <c r="H295" s="10"/>
      <c r="I295" s="11"/>
      <c r="J295" s="13"/>
      <c r="K295" s="45"/>
      <c r="L295" s="37"/>
      <c r="M295" s="17"/>
      <c r="N295" s="11"/>
      <c r="O295" s="16"/>
      <c r="P295" s="16"/>
      <c r="Q295" s="18" t="str">
        <f t="shared" si="18"/>
        <v/>
      </c>
      <c r="R295" s="18" t="str">
        <f t="shared" si="19"/>
        <v/>
      </c>
      <c r="S295" s="18" t="str">
        <f t="shared" si="20"/>
        <v/>
      </c>
      <c r="T295" s="18" t="str">
        <f t="shared" si="21"/>
        <v/>
      </c>
      <c r="U295" s="18" t="str">
        <f t="shared" si="22"/>
        <v/>
      </c>
      <c r="V295" s="18" t="str">
        <f t="shared" si="23"/>
        <v/>
      </c>
      <c r="W295" s="14"/>
    </row>
    <row r="296" spans="1:23" x14ac:dyDescent="0.25">
      <c r="A296" s="6"/>
      <c r="B296" s="33"/>
      <c r="C296" s="19"/>
      <c r="D296" s="56"/>
      <c r="E296" s="56"/>
      <c r="F296" s="41"/>
      <c r="G296" s="36"/>
      <c r="H296" s="10"/>
      <c r="I296" s="11"/>
      <c r="J296" s="13"/>
      <c r="K296" s="45"/>
      <c r="L296" s="37"/>
      <c r="M296" s="17"/>
      <c r="N296" s="11"/>
      <c r="O296" s="16"/>
      <c r="P296" s="16"/>
      <c r="Q296" s="18" t="str">
        <f t="shared" si="18"/>
        <v/>
      </c>
      <c r="R296" s="18" t="str">
        <f t="shared" si="19"/>
        <v/>
      </c>
      <c r="S296" s="18" t="str">
        <f t="shared" si="20"/>
        <v/>
      </c>
      <c r="T296" s="18" t="str">
        <f t="shared" si="21"/>
        <v/>
      </c>
      <c r="U296" s="18" t="str">
        <f t="shared" si="22"/>
        <v/>
      </c>
      <c r="V296" s="18" t="str">
        <f t="shared" si="23"/>
        <v/>
      </c>
      <c r="W296" s="14"/>
    </row>
    <row r="297" spans="1:23" x14ac:dyDescent="0.25">
      <c r="A297" s="6">
        <v>43</v>
      </c>
      <c r="B297" s="33" t="s">
        <v>33</v>
      </c>
      <c r="C297" s="44"/>
      <c r="D297" s="62">
        <f>1.25+0.75+1.25</f>
        <v>3.25</v>
      </c>
      <c r="E297" s="62"/>
      <c r="F297" s="41"/>
      <c r="G297" s="36">
        <v>0.25</v>
      </c>
      <c r="H297" s="10">
        <v>25</v>
      </c>
      <c r="I297" s="11">
        <v>1</v>
      </c>
      <c r="J297" s="13">
        <f>ROUND(2.8/G297+1,0)</f>
        <v>12</v>
      </c>
      <c r="K297" s="45">
        <f>D297</f>
        <v>3.25</v>
      </c>
      <c r="L297" s="37" t="str">
        <f>IF(O297&lt;12,"0",0.049*H297)</f>
        <v>0</v>
      </c>
      <c r="M297" s="17">
        <v>0</v>
      </c>
      <c r="N297" s="11">
        <f>M297*2*H297/1000</f>
        <v>0</v>
      </c>
      <c r="O297" s="16">
        <f>(D297)-N297</f>
        <v>3.25</v>
      </c>
      <c r="P297" s="16">
        <f>(I297*J297*O297)+L297</f>
        <v>39</v>
      </c>
      <c r="Q297" s="18" t="str">
        <f t="shared" si="18"/>
        <v/>
      </c>
      <c r="R297" s="18" t="str">
        <f t="shared" si="19"/>
        <v/>
      </c>
      <c r="S297" s="18" t="str">
        <f t="shared" si="20"/>
        <v/>
      </c>
      <c r="T297" s="18" t="str">
        <f t="shared" si="21"/>
        <v/>
      </c>
      <c r="U297" s="18" t="str">
        <f t="shared" si="22"/>
        <v/>
      </c>
      <c r="V297" s="18">
        <f t="shared" si="23"/>
        <v>39</v>
      </c>
      <c r="W297" s="14"/>
    </row>
    <row r="298" spans="1:23" x14ac:dyDescent="0.25">
      <c r="A298" s="6"/>
      <c r="B298" s="33" t="s">
        <v>53</v>
      </c>
      <c r="C298" s="19"/>
      <c r="D298" s="56"/>
      <c r="E298" s="56"/>
      <c r="F298" s="41"/>
      <c r="G298" s="36"/>
      <c r="H298" s="10"/>
      <c r="I298" s="11"/>
      <c r="J298" s="13"/>
      <c r="K298" s="45"/>
      <c r="L298" s="37"/>
      <c r="M298" s="17"/>
      <c r="N298" s="11"/>
      <c r="O298" s="16"/>
      <c r="P298" s="16"/>
      <c r="Q298" s="18" t="str">
        <f t="shared" si="18"/>
        <v/>
      </c>
      <c r="R298" s="18" t="str">
        <f t="shared" si="19"/>
        <v/>
      </c>
      <c r="S298" s="18" t="str">
        <f t="shared" si="20"/>
        <v/>
      </c>
      <c r="T298" s="18" t="str">
        <f t="shared" si="21"/>
        <v/>
      </c>
      <c r="U298" s="18" t="str">
        <f t="shared" si="22"/>
        <v/>
      </c>
      <c r="V298" s="18" t="str">
        <f t="shared" si="23"/>
        <v/>
      </c>
      <c r="W298" s="14"/>
    </row>
    <row r="299" spans="1:23" x14ac:dyDescent="0.25">
      <c r="A299" s="6"/>
      <c r="B299" s="33"/>
      <c r="C299" s="19"/>
      <c r="D299" s="56"/>
      <c r="E299" s="56"/>
      <c r="F299" s="41"/>
      <c r="G299" s="36"/>
      <c r="H299" s="10"/>
      <c r="I299" s="11"/>
      <c r="J299" s="13"/>
      <c r="K299" s="45"/>
      <c r="L299" s="37"/>
      <c r="M299" s="17"/>
      <c r="N299" s="11"/>
      <c r="O299" s="16"/>
      <c r="P299" s="16"/>
      <c r="Q299" s="18" t="str">
        <f t="shared" si="18"/>
        <v/>
      </c>
      <c r="R299" s="18" t="str">
        <f t="shared" si="19"/>
        <v/>
      </c>
      <c r="S299" s="18" t="str">
        <f t="shared" si="20"/>
        <v/>
      </c>
      <c r="T299" s="18" t="str">
        <f t="shared" si="21"/>
        <v/>
      </c>
      <c r="U299" s="18" t="str">
        <f t="shared" si="22"/>
        <v/>
      </c>
      <c r="V299" s="18" t="str">
        <f t="shared" si="23"/>
        <v/>
      </c>
      <c r="W299" s="14"/>
    </row>
    <row r="300" spans="1:23" x14ac:dyDescent="0.25">
      <c r="A300" s="6">
        <v>44</v>
      </c>
      <c r="B300" s="33" t="s">
        <v>34</v>
      </c>
      <c r="C300" s="44"/>
      <c r="D300" s="62">
        <f>1.25+0.3+1.25</f>
        <v>2.8</v>
      </c>
      <c r="E300" s="62"/>
      <c r="F300" s="41"/>
      <c r="G300" s="36">
        <v>0.25</v>
      </c>
      <c r="H300" s="10">
        <v>25</v>
      </c>
      <c r="I300" s="11">
        <v>1</v>
      </c>
      <c r="J300" s="13">
        <f>ROUND(3.25/G300+1,0)</f>
        <v>14</v>
      </c>
      <c r="K300" s="45">
        <f>D300</f>
        <v>2.8</v>
      </c>
      <c r="L300" s="37" t="str">
        <f>IF(O300&lt;12,"0",0.049*H300)</f>
        <v>0</v>
      </c>
      <c r="M300" s="17">
        <v>0</v>
      </c>
      <c r="N300" s="11">
        <f>M300*2*H300/1000</f>
        <v>0</v>
      </c>
      <c r="O300" s="16">
        <f>(D300)-N300</f>
        <v>2.8</v>
      </c>
      <c r="P300" s="16">
        <f>(I300*J300*O300)+L300</f>
        <v>39.199999999999996</v>
      </c>
      <c r="Q300" s="18" t="str">
        <f t="shared" si="18"/>
        <v/>
      </c>
      <c r="R300" s="18" t="str">
        <f t="shared" si="19"/>
        <v/>
      </c>
      <c r="S300" s="18" t="str">
        <f t="shared" si="20"/>
        <v/>
      </c>
      <c r="T300" s="18" t="str">
        <f t="shared" si="21"/>
        <v/>
      </c>
      <c r="U300" s="18" t="str">
        <f t="shared" si="22"/>
        <v/>
      </c>
      <c r="V300" s="18">
        <f t="shared" si="23"/>
        <v>39.199999999999996</v>
      </c>
      <c r="W300" s="14"/>
    </row>
    <row r="301" spans="1:23" x14ac:dyDescent="0.25">
      <c r="A301" s="6"/>
      <c r="B301" s="33" t="s">
        <v>53</v>
      </c>
      <c r="C301" s="19"/>
      <c r="D301" s="56"/>
      <c r="E301" s="56"/>
      <c r="F301" s="41"/>
      <c r="G301" s="36"/>
      <c r="H301" s="10"/>
      <c r="I301" s="11"/>
      <c r="J301" s="13"/>
      <c r="K301" s="45"/>
      <c r="L301" s="37"/>
      <c r="M301" s="17"/>
      <c r="N301" s="11"/>
      <c r="O301" s="16"/>
      <c r="P301" s="16"/>
      <c r="Q301" s="18" t="str">
        <f t="shared" ref="Q301:Q364" si="24">IF($H301=8,$P301,"")</f>
        <v/>
      </c>
      <c r="R301" s="18" t="str">
        <f t="shared" ref="R301:R364" si="25">IF($H301=10,$P301,"")</f>
        <v/>
      </c>
      <c r="S301" s="18" t="str">
        <f t="shared" ref="S301:S364" si="26">IF($H301=12,$P301,"")</f>
        <v/>
      </c>
      <c r="T301" s="18" t="str">
        <f t="shared" ref="T301:T364" si="27">IF($H301=16,$P301,"")</f>
        <v/>
      </c>
      <c r="U301" s="18" t="str">
        <f t="shared" ref="U301:U364" si="28">IF($H301=20,$P301,"")</f>
        <v/>
      </c>
      <c r="V301" s="18" t="str">
        <f t="shared" ref="V301:V364" si="29">IF($H301=25,$P301,"")</f>
        <v/>
      </c>
      <c r="W301" s="14"/>
    </row>
    <row r="302" spans="1:23" x14ac:dyDescent="0.25">
      <c r="A302" s="6"/>
      <c r="B302" s="33"/>
      <c r="C302" s="19"/>
      <c r="D302" s="56"/>
      <c r="E302" s="56"/>
      <c r="F302" s="41"/>
      <c r="G302" s="36"/>
      <c r="H302" s="10"/>
      <c r="I302" s="11"/>
      <c r="J302" s="13"/>
      <c r="K302" s="45"/>
      <c r="L302" s="37"/>
      <c r="M302" s="17"/>
      <c r="N302" s="11"/>
      <c r="O302" s="16"/>
      <c r="P302" s="16"/>
      <c r="Q302" s="18" t="str">
        <f t="shared" si="24"/>
        <v/>
      </c>
      <c r="R302" s="18" t="str">
        <f t="shared" si="25"/>
        <v/>
      </c>
      <c r="S302" s="18" t="str">
        <f t="shared" si="26"/>
        <v/>
      </c>
      <c r="T302" s="18" t="str">
        <f t="shared" si="27"/>
        <v/>
      </c>
      <c r="U302" s="18" t="str">
        <f t="shared" si="28"/>
        <v/>
      </c>
      <c r="V302" s="18" t="str">
        <f t="shared" si="29"/>
        <v/>
      </c>
      <c r="W302" s="14"/>
    </row>
    <row r="303" spans="1:23" x14ac:dyDescent="0.25">
      <c r="A303" s="6">
        <v>45</v>
      </c>
      <c r="B303" s="33" t="s">
        <v>33</v>
      </c>
      <c r="C303" s="44"/>
      <c r="D303" s="62">
        <f>1.25+0.23+1.25</f>
        <v>2.73</v>
      </c>
      <c r="E303" s="62"/>
      <c r="F303" s="41"/>
      <c r="G303" s="36">
        <v>0.25</v>
      </c>
      <c r="H303" s="10">
        <v>25</v>
      </c>
      <c r="I303" s="11">
        <v>1</v>
      </c>
      <c r="J303" s="13">
        <f>ROUND(3.7/G303+1,0)</f>
        <v>16</v>
      </c>
      <c r="K303" s="45">
        <f>D303</f>
        <v>2.73</v>
      </c>
      <c r="L303" s="37" t="str">
        <f>IF(O303&lt;12,"0",0.049*H303)</f>
        <v>0</v>
      </c>
      <c r="M303" s="17">
        <v>0</v>
      </c>
      <c r="N303" s="11">
        <f>M303*2*H303/1000</f>
        <v>0</v>
      </c>
      <c r="O303" s="16">
        <f>(D303)-N303</f>
        <v>2.73</v>
      </c>
      <c r="P303" s="16">
        <f>(I303*J303*O303)+L303</f>
        <v>43.68</v>
      </c>
      <c r="Q303" s="18" t="str">
        <f t="shared" si="24"/>
        <v/>
      </c>
      <c r="R303" s="18" t="str">
        <f t="shared" si="25"/>
        <v/>
      </c>
      <c r="S303" s="18" t="str">
        <f t="shared" si="26"/>
        <v/>
      </c>
      <c r="T303" s="18" t="str">
        <f t="shared" si="27"/>
        <v/>
      </c>
      <c r="U303" s="18" t="str">
        <f t="shared" si="28"/>
        <v/>
      </c>
      <c r="V303" s="18">
        <f t="shared" si="29"/>
        <v>43.68</v>
      </c>
      <c r="W303" s="14"/>
    </row>
    <row r="304" spans="1:23" x14ac:dyDescent="0.25">
      <c r="A304" s="6"/>
      <c r="B304" s="33" t="s">
        <v>54</v>
      </c>
      <c r="C304" s="19"/>
      <c r="D304" s="56"/>
      <c r="E304" s="56"/>
      <c r="F304" s="41"/>
      <c r="G304" s="36"/>
      <c r="H304" s="10"/>
      <c r="I304" s="11"/>
      <c r="J304" s="13"/>
      <c r="K304" s="45"/>
      <c r="L304" s="37"/>
      <c r="M304" s="17"/>
      <c r="N304" s="11"/>
      <c r="O304" s="16"/>
      <c r="P304" s="16"/>
      <c r="Q304" s="18" t="str">
        <f t="shared" si="24"/>
        <v/>
      </c>
      <c r="R304" s="18" t="str">
        <f t="shared" si="25"/>
        <v/>
      </c>
      <c r="S304" s="18" t="str">
        <f t="shared" si="26"/>
        <v/>
      </c>
      <c r="T304" s="18" t="str">
        <f t="shared" si="27"/>
        <v/>
      </c>
      <c r="U304" s="18" t="str">
        <f t="shared" si="28"/>
        <v/>
      </c>
      <c r="V304" s="18" t="str">
        <f t="shared" si="29"/>
        <v/>
      </c>
      <c r="W304" s="14"/>
    </row>
    <row r="305" spans="1:23" x14ac:dyDescent="0.25">
      <c r="A305" s="6"/>
      <c r="B305" s="33"/>
      <c r="C305" s="19"/>
      <c r="D305" s="56"/>
      <c r="E305" s="56"/>
      <c r="F305" s="41"/>
      <c r="G305" s="36"/>
      <c r="H305" s="10"/>
      <c r="I305" s="11"/>
      <c r="J305" s="13"/>
      <c r="K305" s="45"/>
      <c r="L305" s="37"/>
      <c r="M305" s="17"/>
      <c r="N305" s="11"/>
      <c r="O305" s="16"/>
      <c r="P305" s="16"/>
      <c r="Q305" s="18" t="str">
        <f t="shared" si="24"/>
        <v/>
      </c>
      <c r="R305" s="18" t="str">
        <f t="shared" si="25"/>
        <v/>
      </c>
      <c r="S305" s="18" t="str">
        <f t="shared" si="26"/>
        <v/>
      </c>
      <c r="T305" s="18" t="str">
        <f t="shared" si="27"/>
        <v/>
      </c>
      <c r="U305" s="18" t="str">
        <f t="shared" si="28"/>
        <v/>
      </c>
      <c r="V305" s="18" t="str">
        <f t="shared" si="29"/>
        <v/>
      </c>
      <c r="W305" s="14"/>
    </row>
    <row r="306" spans="1:23" x14ac:dyDescent="0.25">
      <c r="A306" s="6">
        <v>46</v>
      </c>
      <c r="B306" s="33" t="s">
        <v>34</v>
      </c>
      <c r="C306" s="44"/>
      <c r="D306" s="62">
        <f>1+1.7+1</f>
        <v>3.7</v>
      </c>
      <c r="E306" s="62"/>
      <c r="F306" s="41"/>
      <c r="G306" s="36">
        <v>0.25</v>
      </c>
      <c r="H306" s="10">
        <v>20</v>
      </c>
      <c r="I306" s="11">
        <v>1</v>
      </c>
      <c r="J306" s="13">
        <f>ROUND(2.73/G306+1,0)</f>
        <v>12</v>
      </c>
      <c r="K306" s="45">
        <f>D306</f>
        <v>3.7</v>
      </c>
      <c r="L306" s="37" t="str">
        <f>IF(O306&lt;12,"0",0.049*H306)</f>
        <v>0</v>
      </c>
      <c r="M306" s="17">
        <v>0</v>
      </c>
      <c r="N306" s="11">
        <f>M306*2*H306/1000</f>
        <v>0</v>
      </c>
      <c r="O306" s="16">
        <f>(D306)-N306</f>
        <v>3.7</v>
      </c>
      <c r="P306" s="16">
        <f>(I306*J306*O306)+L306</f>
        <v>44.400000000000006</v>
      </c>
      <c r="Q306" s="18" t="str">
        <f t="shared" si="24"/>
        <v/>
      </c>
      <c r="R306" s="18" t="str">
        <f t="shared" si="25"/>
        <v/>
      </c>
      <c r="S306" s="18" t="str">
        <f t="shared" si="26"/>
        <v/>
      </c>
      <c r="T306" s="18" t="str">
        <f t="shared" si="27"/>
        <v/>
      </c>
      <c r="U306" s="18">
        <f t="shared" si="28"/>
        <v>44.400000000000006</v>
      </c>
      <c r="V306" s="18" t="str">
        <f t="shared" si="29"/>
        <v/>
      </c>
      <c r="W306" s="14"/>
    </row>
    <row r="307" spans="1:23" x14ac:dyDescent="0.25">
      <c r="A307" s="6"/>
      <c r="B307" s="33" t="s">
        <v>54</v>
      </c>
      <c r="C307" s="19"/>
      <c r="D307" s="56"/>
      <c r="E307" s="56"/>
      <c r="F307" s="41"/>
      <c r="G307" s="36"/>
      <c r="H307" s="10"/>
      <c r="I307" s="11"/>
      <c r="J307" s="13"/>
      <c r="K307" s="45"/>
      <c r="L307" s="37"/>
      <c r="M307" s="17"/>
      <c r="N307" s="11"/>
      <c r="O307" s="16"/>
      <c r="P307" s="16"/>
      <c r="Q307" s="18" t="str">
        <f t="shared" si="24"/>
        <v/>
      </c>
      <c r="R307" s="18" t="str">
        <f t="shared" si="25"/>
        <v/>
      </c>
      <c r="S307" s="18" t="str">
        <f t="shared" si="26"/>
        <v/>
      </c>
      <c r="T307" s="18" t="str">
        <f t="shared" si="27"/>
        <v/>
      </c>
      <c r="U307" s="18" t="str">
        <f t="shared" si="28"/>
        <v/>
      </c>
      <c r="V307" s="18" t="str">
        <f t="shared" si="29"/>
        <v/>
      </c>
      <c r="W307" s="14"/>
    </row>
    <row r="308" spans="1:23" x14ac:dyDescent="0.25">
      <c r="A308" s="6"/>
      <c r="B308" s="33"/>
      <c r="C308" s="19"/>
      <c r="D308" s="56"/>
      <c r="E308" s="56"/>
      <c r="F308" s="41"/>
      <c r="G308" s="36"/>
      <c r="H308" s="10"/>
      <c r="I308" s="11"/>
      <c r="J308" s="13"/>
      <c r="K308" s="45"/>
      <c r="L308" s="37"/>
      <c r="M308" s="17"/>
      <c r="N308" s="11"/>
      <c r="O308" s="16"/>
      <c r="P308" s="16"/>
      <c r="Q308" s="18" t="str">
        <f t="shared" si="24"/>
        <v/>
      </c>
      <c r="R308" s="18" t="str">
        <f t="shared" si="25"/>
        <v/>
      </c>
      <c r="S308" s="18" t="str">
        <f t="shared" si="26"/>
        <v/>
      </c>
      <c r="T308" s="18" t="str">
        <f t="shared" si="27"/>
        <v/>
      </c>
      <c r="U308" s="18" t="str">
        <f t="shared" si="28"/>
        <v/>
      </c>
      <c r="V308" s="18" t="str">
        <f t="shared" si="29"/>
        <v/>
      </c>
      <c r="W308" s="14"/>
    </row>
    <row r="309" spans="1:23" x14ac:dyDescent="0.25">
      <c r="A309" s="6">
        <v>47</v>
      </c>
      <c r="B309" s="33" t="s">
        <v>33</v>
      </c>
      <c r="C309" s="44"/>
      <c r="D309" s="62">
        <f>1+0.23+1</f>
        <v>2.23</v>
      </c>
      <c r="E309" s="62"/>
      <c r="F309" s="41"/>
      <c r="G309" s="36">
        <v>0.25</v>
      </c>
      <c r="H309" s="10">
        <v>20</v>
      </c>
      <c r="I309" s="11">
        <v>1</v>
      </c>
      <c r="J309" s="13">
        <f>ROUND(3.7/G309+1,0)</f>
        <v>16</v>
      </c>
      <c r="K309" s="45">
        <f>D309</f>
        <v>2.23</v>
      </c>
      <c r="L309" s="37" t="str">
        <f>IF(O309&lt;12,"0",0.049*H309)</f>
        <v>0</v>
      </c>
      <c r="M309" s="17">
        <v>0</v>
      </c>
      <c r="N309" s="11">
        <f>M309*2*H309/1000</f>
        <v>0</v>
      </c>
      <c r="O309" s="16">
        <f>(D309)-N309</f>
        <v>2.23</v>
      </c>
      <c r="P309" s="16">
        <f>(I309*J309*O309)+L309</f>
        <v>35.68</v>
      </c>
      <c r="Q309" s="18" t="str">
        <f t="shared" si="24"/>
        <v/>
      </c>
      <c r="R309" s="18" t="str">
        <f t="shared" si="25"/>
        <v/>
      </c>
      <c r="S309" s="18" t="str">
        <f t="shared" si="26"/>
        <v/>
      </c>
      <c r="T309" s="18" t="str">
        <f t="shared" si="27"/>
        <v/>
      </c>
      <c r="U309" s="18">
        <f t="shared" si="28"/>
        <v>35.68</v>
      </c>
      <c r="V309" s="18" t="str">
        <f t="shared" si="29"/>
        <v/>
      </c>
      <c r="W309" s="14"/>
    </row>
    <row r="310" spans="1:23" x14ac:dyDescent="0.25">
      <c r="A310" s="6"/>
      <c r="B310" s="33" t="s">
        <v>55</v>
      </c>
      <c r="C310" s="19"/>
      <c r="D310" s="56"/>
      <c r="E310" s="56"/>
      <c r="F310" s="41"/>
      <c r="G310" s="36"/>
      <c r="H310" s="10"/>
      <c r="I310" s="11"/>
      <c r="J310" s="13"/>
      <c r="K310" s="45"/>
      <c r="L310" s="37"/>
      <c r="M310" s="17"/>
      <c r="N310" s="11"/>
      <c r="O310" s="16"/>
      <c r="P310" s="16"/>
      <c r="Q310" s="18" t="str">
        <f t="shared" si="24"/>
        <v/>
      </c>
      <c r="R310" s="18" t="str">
        <f t="shared" si="25"/>
        <v/>
      </c>
      <c r="S310" s="18" t="str">
        <f t="shared" si="26"/>
        <v/>
      </c>
      <c r="T310" s="18" t="str">
        <f t="shared" si="27"/>
        <v/>
      </c>
      <c r="U310" s="18" t="str">
        <f t="shared" si="28"/>
        <v/>
      </c>
      <c r="V310" s="18" t="str">
        <f t="shared" si="29"/>
        <v/>
      </c>
      <c r="W310" s="14"/>
    </row>
    <row r="311" spans="1:23" x14ac:dyDescent="0.25">
      <c r="A311" s="6"/>
      <c r="B311" s="33"/>
      <c r="C311" s="19"/>
      <c r="D311" s="56"/>
      <c r="E311" s="56"/>
      <c r="F311" s="41"/>
      <c r="G311" s="36"/>
      <c r="H311" s="10"/>
      <c r="I311" s="11"/>
      <c r="J311" s="13"/>
      <c r="K311" s="45"/>
      <c r="L311" s="37"/>
      <c r="M311" s="17"/>
      <c r="N311" s="11"/>
      <c r="O311" s="16"/>
      <c r="P311" s="16"/>
      <c r="Q311" s="18" t="str">
        <f t="shared" si="24"/>
        <v/>
      </c>
      <c r="R311" s="18" t="str">
        <f t="shared" si="25"/>
        <v/>
      </c>
      <c r="S311" s="18" t="str">
        <f t="shared" si="26"/>
        <v/>
      </c>
      <c r="T311" s="18" t="str">
        <f t="shared" si="27"/>
        <v/>
      </c>
      <c r="U311" s="18" t="str">
        <f t="shared" si="28"/>
        <v/>
      </c>
      <c r="V311" s="18" t="str">
        <f t="shared" si="29"/>
        <v/>
      </c>
      <c r="W311" s="14"/>
    </row>
    <row r="312" spans="1:23" x14ac:dyDescent="0.25">
      <c r="A312" s="6">
        <v>48</v>
      </c>
      <c r="B312" s="33" t="s">
        <v>34</v>
      </c>
      <c r="C312" s="44"/>
      <c r="D312" s="62">
        <f>1+1.7+1</f>
        <v>3.7</v>
      </c>
      <c r="E312" s="62"/>
      <c r="F312" s="41"/>
      <c r="G312" s="36">
        <v>0.25</v>
      </c>
      <c r="H312" s="10">
        <v>20</v>
      </c>
      <c r="I312" s="11">
        <v>1</v>
      </c>
      <c r="J312" s="13">
        <f>ROUND(2.23/G312+1,0)</f>
        <v>10</v>
      </c>
      <c r="K312" s="45">
        <f>D312</f>
        <v>3.7</v>
      </c>
      <c r="L312" s="37" t="str">
        <f>IF(O312&lt;12,"0",0.049*H312)</f>
        <v>0</v>
      </c>
      <c r="M312" s="17">
        <v>0</v>
      </c>
      <c r="N312" s="11">
        <f>M312*2*H312/1000</f>
        <v>0</v>
      </c>
      <c r="O312" s="16">
        <f>(D312)-N312</f>
        <v>3.7</v>
      </c>
      <c r="P312" s="16">
        <f>(I312*J312*O312)+L312</f>
        <v>37</v>
      </c>
      <c r="Q312" s="18" t="str">
        <f t="shared" si="24"/>
        <v/>
      </c>
      <c r="R312" s="18" t="str">
        <f t="shared" si="25"/>
        <v/>
      </c>
      <c r="S312" s="18" t="str">
        <f t="shared" si="26"/>
        <v/>
      </c>
      <c r="T312" s="18" t="str">
        <f t="shared" si="27"/>
        <v/>
      </c>
      <c r="U312" s="18">
        <f t="shared" si="28"/>
        <v>37</v>
      </c>
      <c r="V312" s="18" t="str">
        <f t="shared" si="29"/>
        <v/>
      </c>
      <c r="W312" s="14"/>
    </row>
    <row r="313" spans="1:23" x14ac:dyDescent="0.25">
      <c r="A313" s="6"/>
      <c r="B313" s="33" t="s">
        <v>55</v>
      </c>
      <c r="C313" s="19"/>
      <c r="D313" s="56"/>
      <c r="E313" s="56"/>
      <c r="F313" s="41"/>
      <c r="G313" s="36"/>
      <c r="H313" s="10"/>
      <c r="I313" s="11"/>
      <c r="J313" s="13"/>
      <c r="K313" s="45"/>
      <c r="L313" s="37"/>
      <c r="M313" s="17"/>
      <c r="N313" s="11"/>
      <c r="O313" s="16"/>
      <c r="P313" s="16"/>
      <c r="Q313" s="18" t="str">
        <f t="shared" si="24"/>
        <v/>
      </c>
      <c r="R313" s="18" t="str">
        <f t="shared" si="25"/>
        <v/>
      </c>
      <c r="S313" s="18" t="str">
        <f t="shared" si="26"/>
        <v/>
      </c>
      <c r="T313" s="18" t="str">
        <f t="shared" si="27"/>
        <v/>
      </c>
      <c r="U313" s="18" t="str">
        <f t="shared" si="28"/>
        <v/>
      </c>
      <c r="V313" s="18" t="str">
        <f t="shared" si="29"/>
        <v/>
      </c>
      <c r="W313" s="14"/>
    </row>
    <row r="314" spans="1:23" x14ac:dyDescent="0.25">
      <c r="A314" s="6"/>
      <c r="B314" s="33"/>
      <c r="C314" s="19"/>
      <c r="D314" s="56"/>
      <c r="E314" s="56"/>
      <c r="F314" s="41"/>
      <c r="G314" s="36"/>
      <c r="H314" s="10"/>
      <c r="I314" s="11"/>
      <c r="J314" s="13"/>
      <c r="K314" s="45"/>
      <c r="L314" s="37"/>
      <c r="M314" s="17"/>
      <c r="N314" s="11"/>
      <c r="O314" s="16"/>
      <c r="P314" s="16"/>
      <c r="Q314" s="18" t="str">
        <f t="shared" si="24"/>
        <v/>
      </c>
      <c r="R314" s="18" t="str">
        <f t="shared" si="25"/>
        <v/>
      </c>
      <c r="S314" s="18" t="str">
        <f t="shared" si="26"/>
        <v/>
      </c>
      <c r="T314" s="18" t="str">
        <f t="shared" si="27"/>
        <v/>
      </c>
      <c r="U314" s="18" t="str">
        <f t="shared" si="28"/>
        <v/>
      </c>
      <c r="V314" s="18" t="str">
        <f t="shared" si="29"/>
        <v/>
      </c>
      <c r="W314" s="14"/>
    </row>
    <row r="315" spans="1:23" x14ac:dyDescent="0.25">
      <c r="A315" s="6">
        <v>49</v>
      </c>
      <c r="B315" s="33" t="s">
        <v>33</v>
      </c>
      <c r="C315" s="44"/>
      <c r="D315" s="62">
        <f>1+1.5-0.17+0.47+0.515+1.17+0.115+1</f>
        <v>5.6</v>
      </c>
      <c r="E315" s="62"/>
      <c r="F315" s="41"/>
      <c r="G315" s="36">
        <v>0.25</v>
      </c>
      <c r="H315" s="10">
        <v>20</v>
      </c>
      <c r="I315" s="11">
        <v>1</v>
      </c>
      <c r="J315" s="13">
        <f>ROUND(4.725/G315+1,0)</f>
        <v>20</v>
      </c>
      <c r="K315" s="45">
        <f>D315</f>
        <v>5.6</v>
      </c>
      <c r="L315" s="37" t="str">
        <f>IF(O315&lt;12,"0",0.049*H315)</f>
        <v>0</v>
      </c>
      <c r="M315" s="17">
        <v>0</v>
      </c>
      <c r="N315" s="11">
        <f>M315*2*H315/1000</f>
        <v>0</v>
      </c>
      <c r="O315" s="16">
        <f>(D315)-N315</f>
        <v>5.6</v>
      </c>
      <c r="P315" s="16">
        <f>(I315*J315*O315)+L315</f>
        <v>112</v>
      </c>
      <c r="Q315" s="18" t="str">
        <f t="shared" si="24"/>
        <v/>
      </c>
      <c r="R315" s="18" t="str">
        <f t="shared" si="25"/>
        <v/>
      </c>
      <c r="S315" s="18" t="str">
        <f t="shared" si="26"/>
        <v/>
      </c>
      <c r="T315" s="18" t="str">
        <f t="shared" si="27"/>
        <v/>
      </c>
      <c r="U315" s="18">
        <f t="shared" si="28"/>
        <v>112</v>
      </c>
      <c r="V315" s="18" t="str">
        <f t="shared" si="29"/>
        <v/>
      </c>
      <c r="W315" s="14"/>
    </row>
    <row r="316" spans="1:23" x14ac:dyDescent="0.25">
      <c r="A316" s="6"/>
      <c r="B316" s="33" t="s">
        <v>56</v>
      </c>
      <c r="C316" s="19"/>
      <c r="D316" s="56"/>
      <c r="E316" s="56"/>
      <c r="F316" s="41"/>
      <c r="G316" s="36"/>
      <c r="H316" s="10"/>
      <c r="I316" s="11"/>
      <c r="J316" s="13"/>
      <c r="K316" s="45"/>
      <c r="L316" s="37"/>
      <c r="M316" s="17"/>
      <c r="N316" s="11"/>
      <c r="O316" s="16"/>
      <c r="P316" s="16"/>
      <c r="Q316" s="18" t="str">
        <f t="shared" si="24"/>
        <v/>
      </c>
      <c r="R316" s="18" t="str">
        <f t="shared" si="25"/>
        <v/>
      </c>
      <c r="S316" s="18" t="str">
        <f t="shared" si="26"/>
        <v/>
      </c>
      <c r="T316" s="18" t="str">
        <f t="shared" si="27"/>
        <v/>
      </c>
      <c r="U316" s="18" t="str">
        <f t="shared" si="28"/>
        <v/>
      </c>
      <c r="V316" s="18" t="str">
        <f t="shared" si="29"/>
        <v/>
      </c>
      <c r="W316" s="14"/>
    </row>
    <row r="317" spans="1:23" x14ac:dyDescent="0.25">
      <c r="A317" s="6"/>
      <c r="B317" s="33"/>
      <c r="C317" s="19"/>
      <c r="D317" s="56"/>
      <c r="E317" s="56"/>
      <c r="F317" s="41"/>
      <c r="G317" s="36"/>
      <c r="H317" s="10"/>
      <c r="I317" s="11"/>
      <c r="J317" s="13"/>
      <c r="K317" s="45"/>
      <c r="L317" s="37"/>
      <c r="M317" s="17"/>
      <c r="N317" s="11"/>
      <c r="O317" s="16"/>
      <c r="P317" s="16"/>
      <c r="Q317" s="18" t="str">
        <f t="shared" si="24"/>
        <v/>
      </c>
      <c r="R317" s="18" t="str">
        <f t="shared" si="25"/>
        <v/>
      </c>
      <c r="S317" s="18" t="str">
        <f t="shared" si="26"/>
        <v/>
      </c>
      <c r="T317" s="18" t="str">
        <f t="shared" si="27"/>
        <v/>
      </c>
      <c r="U317" s="18" t="str">
        <f t="shared" si="28"/>
        <v/>
      </c>
      <c r="V317" s="18" t="str">
        <f t="shared" si="29"/>
        <v/>
      </c>
      <c r="W317" s="14"/>
    </row>
    <row r="318" spans="1:23" x14ac:dyDescent="0.25">
      <c r="A318" s="6">
        <v>50</v>
      </c>
      <c r="B318" s="33" t="s">
        <v>34</v>
      </c>
      <c r="C318" s="44"/>
      <c r="D318" s="62">
        <f>1.25+1.855-0.23+0.6+1.25</f>
        <v>4.7249999999999996</v>
      </c>
      <c r="E318" s="62"/>
      <c r="F318" s="41"/>
      <c r="G318" s="36">
        <v>0.25</v>
      </c>
      <c r="H318" s="10">
        <v>25</v>
      </c>
      <c r="I318" s="11">
        <v>1</v>
      </c>
      <c r="J318" s="13">
        <f>ROUND(5.6/G318+1,0)</f>
        <v>23</v>
      </c>
      <c r="K318" s="45">
        <f>D318</f>
        <v>4.7249999999999996</v>
      </c>
      <c r="L318" s="37" t="str">
        <f>IF(O318&lt;12,"0",0.049*H318)</f>
        <v>0</v>
      </c>
      <c r="M318" s="17">
        <v>0</v>
      </c>
      <c r="N318" s="11">
        <f>M318*2*H318/1000</f>
        <v>0</v>
      </c>
      <c r="O318" s="16">
        <f>(D318)-N318</f>
        <v>4.7249999999999996</v>
      </c>
      <c r="P318" s="16">
        <f>(I318*J318*O318)+L318</f>
        <v>108.675</v>
      </c>
      <c r="Q318" s="18" t="str">
        <f t="shared" si="24"/>
        <v/>
      </c>
      <c r="R318" s="18" t="str">
        <f t="shared" si="25"/>
        <v/>
      </c>
      <c r="S318" s="18" t="str">
        <f t="shared" si="26"/>
        <v/>
      </c>
      <c r="T318" s="18" t="str">
        <f t="shared" si="27"/>
        <v/>
      </c>
      <c r="U318" s="18" t="str">
        <f t="shared" si="28"/>
        <v/>
      </c>
      <c r="V318" s="18">
        <f t="shared" si="29"/>
        <v>108.675</v>
      </c>
      <c r="W318" s="14"/>
    </row>
    <row r="319" spans="1:23" x14ac:dyDescent="0.25">
      <c r="A319" s="6"/>
      <c r="B319" s="33" t="s">
        <v>56</v>
      </c>
      <c r="C319" s="19"/>
      <c r="D319" s="56"/>
      <c r="E319" s="56"/>
      <c r="F319" s="41"/>
      <c r="G319" s="36"/>
      <c r="H319" s="10"/>
      <c r="I319" s="11"/>
      <c r="J319" s="13"/>
      <c r="K319" s="45"/>
      <c r="L319" s="37"/>
      <c r="M319" s="17"/>
      <c r="N319" s="11"/>
      <c r="O319" s="16"/>
      <c r="P319" s="16"/>
      <c r="Q319" s="18" t="str">
        <f t="shared" si="24"/>
        <v/>
      </c>
      <c r="R319" s="18" t="str">
        <f t="shared" si="25"/>
        <v/>
      </c>
      <c r="S319" s="18" t="str">
        <f t="shared" si="26"/>
        <v/>
      </c>
      <c r="T319" s="18" t="str">
        <f t="shared" si="27"/>
        <v/>
      </c>
      <c r="U319" s="18" t="str">
        <f t="shared" si="28"/>
        <v/>
      </c>
      <c r="V319" s="18" t="str">
        <f t="shared" si="29"/>
        <v/>
      </c>
      <c r="W319" s="14"/>
    </row>
    <row r="320" spans="1:23" x14ac:dyDescent="0.25">
      <c r="A320" s="6"/>
      <c r="B320" s="33"/>
      <c r="C320" s="19"/>
      <c r="D320" s="56"/>
      <c r="E320" s="56"/>
      <c r="F320" s="41"/>
      <c r="G320" s="36"/>
      <c r="H320" s="10"/>
      <c r="I320" s="11"/>
      <c r="J320" s="13"/>
      <c r="K320" s="45"/>
      <c r="L320" s="37"/>
      <c r="M320" s="17"/>
      <c r="N320" s="11"/>
      <c r="O320" s="16"/>
      <c r="P320" s="16"/>
      <c r="Q320" s="18" t="str">
        <f t="shared" si="24"/>
        <v/>
      </c>
      <c r="R320" s="18" t="str">
        <f t="shared" si="25"/>
        <v/>
      </c>
      <c r="S320" s="18" t="str">
        <f t="shared" si="26"/>
        <v/>
      </c>
      <c r="T320" s="18" t="str">
        <f t="shared" si="27"/>
        <v/>
      </c>
      <c r="U320" s="18" t="str">
        <f t="shared" si="28"/>
        <v/>
      </c>
      <c r="V320" s="18" t="str">
        <f t="shared" si="29"/>
        <v/>
      </c>
      <c r="W320" s="14"/>
    </row>
    <row r="321" spans="1:23" x14ac:dyDescent="0.25">
      <c r="A321" s="6">
        <v>51</v>
      </c>
      <c r="B321" s="33" t="s">
        <v>33</v>
      </c>
      <c r="C321" s="44"/>
      <c r="D321" s="62">
        <f>1.25+3.6+1.25</f>
        <v>6.1</v>
      </c>
      <c r="E321" s="62"/>
      <c r="F321" s="41"/>
      <c r="G321" s="36">
        <v>0.25</v>
      </c>
      <c r="H321" s="10">
        <v>25</v>
      </c>
      <c r="I321" s="11">
        <v>1</v>
      </c>
      <c r="J321" s="13">
        <f>ROUND(2.73/G321+1,0)</f>
        <v>12</v>
      </c>
      <c r="K321" s="45">
        <f>D321</f>
        <v>6.1</v>
      </c>
      <c r="L321" s="37" t="str">
        <f>IF(O321&lt;12,"0",0.049*H321)</f>
        <v>0</v>
      </c>
      <c r="M321" s="17">
        <v>0</v>
      </c>
      <c r="N321" s="11">
        <f>M321*2*H321/1000</f>
        <v>0</v>
      </c>
      <c r="O321" s="16">
        <f>(D321)-N321</f>
        <v>6.1</v>
      </c>
      <c r="P321" s="16">
        <f>(I321*J321*O321)+L321</f>
        <v>73.199999999999989</v>
      </c>
      <c r="Q321" s="18" t="str">
        <f t="shared" si="24"/>
        <v/>
      </c>
      <c r="R321" s="18" t="str">
        <f t="shared" si="25"/>
        <v/>
      </c>
      <c r="S321" s="18" t="str">
        <f t="shared" si="26"/>
        <v/>
      </c>
      <c r="T321" s="18" t="str">
        <f t="shared" si="27"/>
        <v/>
      </c>
      <c r="U321" s="18" t="str">
        <f t="shared" si="28"/>
        <v/>
      </c>
      <c r="V321" s="18">
        <f t="shared" si="29"/>
        <v>73.199999999999989</v>
      </c>
      <c r="W321" s="14"/>
    </row>
    <row r="322" spans="1:23" x14ac:dyDescent="0.25">
      <c r="A322" s="6"/>
      <c r="B322" s="33" t="s">
        <v>57</v>
      </c>
      <c r="C322" s="19"/>
      <c r="D322" s="56"/>
      <c r="E322" s="56"/>
      <c r="F322" s="41"/>
      <c r="G322" s="36"/>
      <c r="H322" s="10"/>
      <c r="I322" s="11"/>
      <c r="J322" s="13"/>
      <c r="K322" s="45"/>
      <c r="L322" s="37"/>
      <c r="M322" s="17"/>
      <c r="N322" s="11"/>
      <c r="O322" s="16"/>
      <c r="P322" s="16"/>
      <c r="Q322" s="18" t="str">
        <f t="shared" si="24"/>
        <v/>
      </c>
      <c r="R322" s="18" t="str">
        <f t="shared" si="25"/>
        <v/>
      </c>
      <c r="S322" s="18" t="str">
        <f t="shared" si="26"/>
        <v/>
      </c>
      <c r="T322" s="18" t="str">
        <f t="shared" si="27"/>
        <v/>
      </c>
      <c r="U322" s="18" t="str">
        <f t="shared" si="28"/>
        <v/>
      </c>
      <c r="V322" s="18" t="str">
        <f t="shared" si="29"/>
        <v/>
      </c>
      <c r="W322" s="14"/>
    </row>
    <row r="323" spans="1:23" x14ac:dyDescent="0.25">
      <c r="A323" s="6"/>
      <c r="B323" s="33"/>
      <c r="C323" s="19"/>
      <c r="D323" s="56"/>
      <c r="E323" s="56"/>
      <c r="F323" s="41"/>
      <c r="G323" s="36"/>
      <c r="H323" s="10"/>
      <c r="I323" s="11"/>
      <c r="J323" s="13"/>
      <c r="K323" s="45"/>
      <c r="L323" s="37"/>
      <c r="M323" s="17"/>
      <c r="N323" s="11"/>
      <c r="O323" s="16"/>
      <c r="P323" s="16"/>
      <c r="Q323" s="18" t="str">
        <f t="shared" si="24"/>
        <v/>
      </c>
      <c r="R323" s="18" t="str">
        <f t="shared" si="25"/>
        <v/>
      </c>
      <c r="S323" s="18" t="str">
        <f t="shared" si="26"/>
        <v/>
      </c>
      <c r="T323" s="18" t="str">
        <f t="shared" si="27"/>
        <v/>
      </c>
      <c r="U323" s="18" t="str">
        <f t="shared" si="28"/>
        <v/>
      </c>
      <c r="V323" s="18" t="str">
        <f t="shared" si="29"/>
        <v/>
      </c>
      <c r="W323" s="14"/>
    </row>
    <row r="324" spans="1:23" x14ac:dyDescent="0.25">
      <c r="A324" s="6">
        <v>52</v>
      </c>
      <c r="B324" s="33" t="s">
        <v>34</v>
      </c>
      <c r="C324" s="44"/>
      <c r="D324" s="62">
        <f>1.25+0.23+1.25</f>
        <v>2.73</v>
      </c>
      <c r="E324" s="62"/>
      <c r="F324" s="41"/>
      <c r="G324" s="36">
        <v>0.25</v>
      </c>
      <c r="H324" s="10">
        <v>25</v>
      </c>
      <c r="I324" s="11">
        <v>1</v>
      </c>
      <c r="J324" s="13">
        <f>ROUND(6.1/G324+1,0)</f>
        <v>25</v>
      </c>
      <c r="K324" s="45">
        <f>D324</f>
        <v>2.73</v>
      </c>
      <c r="L324" s="37" t="str">
        <f>IF(O324&lt;12,"0",0.049*H324)</f>
        <v>0</v>
      </c>
      <c r="M324" s="17">
        <v>0</v>
      </c>
      <c r="N324" s="11">
        <f>M324*2*H324/1000</f>
        <v>0</v>
      </c>
      <c r="O324" s="16">
        <f>(D324)-N324</f>
        <v>2.73</v>
      </c>
      <c r="P324" s="16">
        <f>(I324*J324*O324)+L324</f>
        <v>68.25</v>
      </c>
      <c r="Q324" s="18" t="str">
        <f t="shared" si="24"/>
        <v/>
      </c>
      <c r="R324" s="18" t="str">
        <f t="shared" si="25"/>
        <v/>
      </c>
      <c r="S324" s="18" t="str">
        <f t="shared" si="26"/>
        <v/>
      </c>
      <c r="T324" s="18" t="str">
        <f t="shared" si="27"/>
        <v/>
      </c>
      <c r="U324" s="18" t="str">
        <f t="shared" si="28"/>
        <v/>
      </c>
      <c r="V324" s="18">
        <f t="shared" si="29"/>
        <v>68.25</v>
      </c>
      <c r="W324" s="14"/>
    </row>
    <row r="325" spans="1:23" x14ac:dyDescent="0.25">
      <c r="A325" s="6"/>
      <c r="B325" s="33" t="s">
        <v>57</v>
      </c>
      <c r="C325" s="19"/>
      <c r="D325" s="56"/>
      <c r="E325" s="56"/>
      <c r="F325" s="41"/>
      <c r="G325" s="36"/>
      <c r="H325" s="10"/>
      <c r="I325" s="11"/>
      <c r="J325" s="13"/>
      <c r="K325" s="45"/>
      <c r="L325" s="37"/>
      <c r="M325" s="17"/>
      <c r="N325" s="11"/>
      <c r="O325" s="16"/>
      <c r="P325" s="16"/>
      <c r="Q325" s="18" t="str">
        <f t="shared" si="24"/>
        <v/>
      </c>
      <c r="R325" s="18" t="str">
        <f t="shared" si="25"/>
        <v/>
      </c>
      <c r="S325" s="18" t="str">
        <f t="shared" si="26"/>
        <v/>
      </c>
      <c r="T325" s="18" t="str">
        <f t="shared" si="27"/>
        <v/>
      </c>
      <c r="U325" s="18" t="str">
        <f t="shared" si="28"/>
        <v/>
      </c>
      <c r="V325" s="18" t="str">
        <f t="shared" si="29"/>
        <v/>
      </c>
      <c r="W325" s="14"/>
    </row>
    <row r="326" spans="1:23" x14ac:dyDescent="0.25">
      <c r="A326" s="6"/>
      <c r="B326" s="33"/>
      <c r="C326" s="19"/>
      <c r="D326" s="56"/>
      <c r="E326" s="56"/>
      <c r="F326" s="41"/>
      <c r="G326" s="36"/>
      <c r="H326" s="10"/>
      <c r="I326" s="11"/>
      <c r="J326" s="13"/>
      <c r="K326" s="45"/>
      <c r="L326" s="37"/>
      <c r="M326" s="17"/>
      <c r="N326" s="11"/>
      <c r="O326" s="16"/>
      <c r="P326" s="16"/>
      <c r="Q326" s="18" t="str">
        <f t="shared" si="24"/>
        <v/>
      </c>
      <c r="R326" s="18" t="str">
        <f t="shared" si="25"/>
        <v/>
      </c>
      <c r="S326" s="18" t="str">
        <f t="shared" si="26"/>
        <v/>
      </c>
      <c r="T326" s="18" t="str">
        <f t="shared" si="27"/>
        <v/>
      </c>
      <c r="U326" s="18" t="str">
        <f t="shared" si="28"/>
        <v/>
      </c>
      <c r="V326" s="18" t="str">
        <f t="shared" si="29"/>
        <v/>
      </c>
      <c r="W326" s="14"/>
    </row>
    <row r="327" spans="1:23" x14ac:dyDescent="0.25">
      <c r="A327" s="6">
        <v>53</v>
      </c>
      <c r="B327" s="33" t="s">
        <v>33</v>
      </c>
      <c r="C327" s="44"/>
      <c r="D327" s="62">
        <f>1+0.75+1</f>
        <v>2.75</v>
      </c>
      <c r="E327" s="62"/>
      <c r="F327" s="41"/>
      <c r="G327" s="36">
        <v>0.25</v>
      </c>
      <c r="H327" s="10">
        <v>25</v>
      </c>
      <c r="I327" s="11">
        <v>1</v>
      </c>
      <c r="J327" s="13">
        <f>ROUND(2.8/G327+1,0)</f>
        <v>12</v>
      </c>
      <c r="K327" s="45">
        <f>D327</f>
        <v>2.75</v>
      </c>
      <c r="L327" s="37" t="str">
        <f>IF(O327&lt;12,"0",0.049*H327)</f>
        <v>0</v>
      </c>
      <c r="M327" s="17">
        <v>0</v>
      </c>
      <c r="N327" s="11">
        <f>M327*2*H327/1000</f>
        <v>0</v>
      </c>
      <c r="O327" s="16">
        <f>(D327)-N327</f>
        <v>2.75</v>
      </c>
      <c r="P327" s="16">
        <f>(I327*J327*O327)+L327</f>
        <v>33</v>
      </c>
      <c r="Q327" s="18" t="str">
        <f t="shared" si="24"/>
        <v/>
      </c>
      <c r="R327" s="18" t="str">
        <f t="shared" si="25"/>
        <v/>
      </c>
      <c r="S327" s="18" t="str">
        <f t="shared" si="26"/>
        <v/>
      </c>
      <c r="T327" s="18" t="str">
        <f t="shared" si="27"/>
        <v/>
      </c>
      <c r="U327" s="18" t="str">
        <f t="shared" si="28"/>
        <v/>
      </c>
      <c r="V327" s="18">
        <f t="shared" si="29"/>
        <v>33</v>
      </c>
      <c r="W327" s="14"/>
    </row>
    <row r="328" spans="1:23" x14ac:dyDescent="0.25">
      <c r="A328" s="6"/>
      <c r="B328" s="33" t="s">
        <v>58</v>
      </c>
      <c r="C328" s="19"/>
      <c r="D328" s="56"/>
      <c r="E328" s="56"/>
      <c r="F328" s="41"/>
      <c r="G328" s="36"/>
      <c r="H328" s="10"/>
      <c r="I328" s="11"/>
      <c r="J328" s="13"/>
      <c r="K328" s="45"/>
      <c r="L328" s="37"/>
      <c r="M328" s="17"/>
      <c r="N328" s="11"/>
      <c r="O328" s="16"/>
      <c r="P328" s="16"/>
      <c r="Q328" s="18" t="str">
        <f t="shared" si="24"/>
        <v/>
      </c>
      <c r="R328" s="18" t="str">
        <f t="shared" si="25"/>
        <v/>
      </c>
      <c r="S328" s="18" t="str">
        <f t="shared" si="26"/>
        <v/>
      </c>
      <c r="T328" s="18" t="str">
        <f t="shared" si="27"/>
        <v/>
      </c>
      <c r="U328" s="18" t="str">
        <f t="shared" si="28"/>
        <v/>
      </c>
      <c r="V328" s="18" t="str">
        <f t="shared" si="29"/>
        <v/>
      </c>
      <c r="W328" s="14"/>
    </row>
    <row r="329" spans="1:23" x14ac:dyDescent="0.25">
      <c r="A329" s="6"/>
      <c r="B329" s="33"/>
      <c r="C329" s="19"/>
      <c r="D329" s="56"/>
      <c r="E329" s="56"/>
      <c r="F329" s="41"/>
      <c r="G329" s="36"/>
      <c r="H329" s="10"/>
      <c r="I329" s="11"/>
      <c r="J329" s="13"/>
      <c r="K329" s="45"/>
      <c r="L329" s="37"/>
      <c r="M329" s="17"/>
      <c r="N329" s="11"/>
      <c r="O329" s="16"/>
      <c r="P329" s="16"/>
      <c r="Q329" s="18" t="str">
        <f t="shared" si="24"/>
        <v/>
      </c>
      <c r="R329" s="18" t="str">
        <f t="shared" si="25"/>
        <v/>
      </c>
      <c r="S329" s="18" t="str">
        <f t="shared" si="26"/>
        <v/>
      </c>
      <c r="T329" s="18" t="str">
        <f t="shared" si="27"/>
        <v/>
      </c>
      <c r="U329" s="18" t="str">
        <f t="shared" si="28"/>
        <v/>
      </c>
      <c r="V329" s="18" t="str">
        <f t="shared" si="29"/>
        <v/>
      </c>
      <c r="W329" s="14"/>
    </row>
    <row r="330" spans="1:23" x14ac:dyDescent="0.25">
      <c r="A330" s="6">
        <v>54</v>
      </c>
      <c r="B330" s="33" t="s">
        <v>33</v>
      </c>
      <c r="C330" s="44"/>
      <c r="D330" s="62">
        <f>1+0.75+1</f>
        <v>2.75</v>
      </c>
      <c r="E330" s="62"/>
      <c r="F330" s="41"/>
      <c r="G330" s="36">
        <v>0.25</v>
      </c>
      <c r="H330" s="10">
        <v>20</v>
      </c>
      <c r="I330" s="11">
        <v>1</v>
      </c>
      <c r="J330" s="13">
        <f>ROUND(2.8/G330+1,0)</f>
        <v>12</v>
      </c>
      <c r="K330" s="45">
        <f>D330</f>
        <v>2.75</v>
      </c>
      <c r="L330" s="37" t="str">
        <f>IF(O330&lt;12,"0",0.049*H330)</f>
        <v>0</v>
      </c>
      <c r="M330" s="17">
        <v>0</v>
      </c>
      <c r="N330" s="11">
        <f>M330*2*H330/1000</f>
        <v>0</v>
      </c>
      <c r="O330" s="16">
        <f>(D330)-N330</f>
        <v>2.75</v>
      </c>
      <c r="P330" s="16">
        <f>(I330*J330*O330)+L330</f>
        <v>33</v>
      </c>
      <c r="Q330" s="18" t="str">
        <f t="shared" si="24"/>
        <v/>
      </c>
      <c r="R330" s="18" t="str">
        <f t="shared" si="25"/>
        <v/>
      </c>
      <c r="S330" s="18" t="str">
        <f t="shared" si="26"/>
        <v/>
      </c>
      <c r="T330" s="18" t="str">
        <f t="shared" si="27"/>
        <v/>
      </c>
      <c r="U330" s="18">
        <f t="shared" si="28"/>
        <v>33</v>
      </c>
      <c r="V330" s="18" t="str">
        <f t="shared" si="29"/>
        <v/>
      </c>
      <c r="W330" s="14"/>
    </row>
    <row r="331" spans="1:23" x14ac:dyDescent="0.25">
      <c r="A331" s="6"/>
      <c r="B331" s="33" t="s">
        <v>58</v>
      </c>
      <c r="C331" s="19"/>
      <c r="D331" s="56"/>
      <c r="E331" s="56"/>
      <c r="F331" s="41"/>
      <c r="G331" s="36"/>
      <c r="H331" s="10"/>
      <c r="I331" s="11"/>
      <c r="J331" s="13"/>
      <c r="K331" s="45"/>
      <c r="L331" s="37"/>
      <c r="M331" s="17"/>
      <c r="N331" s="11"/>
      <c r="O331" s="16"/>
      <c r="P331" s="16"/>
      <c r="Q331" s="18" t="str">
        <f t="shared" si="24"/>
        <v/>
      </c>
      <c r="R331" s="18" t="str">
        <f t="shared" si="25"/>
        <v/>
      </c>
      <c r="S331" s="18" t="str">
        <f t="shared" si="26"/>
        <v/>
      </c>
      <c r="T331" s="18" t="str">
        <f t="shared" si="27"/>
        <v/>
      </c>
      <c r="U331" s="18" t="str">
        <f t="shared" si="28"/>
        <v/>
      </c>
      <c r="V331" s="18" t="str">
        <f t="shared" si="29"/>
        <v/>
      </c>
      <c r="W331" s="14"/>
    </row>
    <row r="332" spans="1:23" x14ac:dyDescent="0.25">
      <c r="A332" s="6"/>
      <c r="B332" s="33"/>
      <c r="C332" s="19"/>
      <c r="D332" s="56"/>
      <c r="E332" s="56"/>
      <c r="F332" s="41"/>
      <c r="G332" s="36"/>
      <c r="H332" s="10"/>
      <c r="I332" s="11"/>
      <c r="J332" s="13"/>
      <c r="K332" s="45"/>
      <c r="L332" s="37"/>
      <c r="M332" s="17"/>
      <c r="N332" s="11"/>
      <c r="O332" s="16"/>
      <c r="P332" s="16"/>
      <c r="Q332" s="18" t="str">
        <f t="shared" si="24"/>
        <v/>
      </c>
      <c r="R332" s="18" t="str">
        <f t="shared" si="25"/>
        <v/>
      </c>
      <c r="S332" s="18" t="str">
        <f t="shared" si="26"/>
        <v/>
      </c>
      <c r="T332" s="18" t="str">
        <f t="shared" si="27"/>
        <v/>
      </c>
      <c r="U332" s="18" t="str">
        <f t="shared" si="28"/>
        <v/>
      </c>
      <c r="V332" s="18" t="str">
        <f t="shared" si="29"/>
        <v/>
      </c>
      <c r="W332" s="14"/>
    </row>
    <row r="333" spans="1:23" x14ac:dyDescent="0.25">
      <c r="A333" s="6">
        <v>55</v>
      </c>
      <c r="B333" s="33" t="s">
        <v>34</v>
      </c>
      <c r="C333" s="44"/>
      <c r="D333" s="62">
        <f>1.25+0.3+1.25</f>
        <v>2.8</v>
      </c>
      <c r="E333" s="62"/>
      <c r="F333" s="41"/>
      <c r="G333" s="36">
        <v>0.25</v>
      </c>
      <c r="H333" s="10">
        <v>25</v>
      </c>
      <c r="I333" s="11">
        <v>1</v>
      </c>
      <c r="J333" s="13">
        <f>ROUND(2.75/G333+1,0)</f>
        <v>12</v>
      </c>
      <c r="K333" s="45">
        <f>D333</f>
        <v>2.8</v>
      </c>
      <c r="L333" s="37" t="str">
        <f>IF(O333&lt;12,"0",0.049*H333)</f>
        <v>0</v>
      </c>
      <c r="M333" s="17">
        <v>0</v>
      </c>
      <c r="N333" s="11">
        <f>M333*2*H333/1000</f>
        <v>0</v>
      </c>
      <c r="O333" s="16">
        <f>(D333)-N333</f>
        <v>2.8</v>
      </c>
      <c r="P333" s="16">
        <f>(I333*J333*O333)+L333</f>
        <v>33.599999999999994</v>
      </c>
      <c r="Q333" s="18" t="str">
        <f t="shared" si="24"/>
        <v/>
      </c>
      <c r="R333" s="18" t="str">
        <f t="shared" si="25"/>
        <v/>
      </c>
      <c r="S333" s="18" t="str">
        <f t="shared" si="26"/>
        <v/>
      </c>
      <c r="T333" s="18" t="str">
        <f t="shared" si="27"/>
        <v/>
      </c>
      <c r="U333" s="18" t="str">
        <f t="shared" si="28"/>
        <v/>
      </c>
      <c r="V333" s="18">
        <f t="shared" si="29"/>
        <v>33.599999999999994</v>
      </c>
      <c r="W333" s="14"/>
    </row>
    <row r="334" spans="1:23" x14ac:dyDescent="0.25">
      <c r="A334" s="6"/>
      <c r="B334" s="33" t="s">
        <v>58</v>
      </c>
      <c r="C334" s="19"/>
      <c r="D334" s="56"/>
      <c r="E334" s="56"/>
      <c r="F334" s="41"/>
      <c r="G334" s="36"/>
      <c r="H334" s="10"/>
      <c r="I334" s="11"/>
      <c r="J334" s="13"/>
      <c r="K334" s="45"/>
      <c r="L334" s="37"/>
      <c r="M334" s="17"/>
      <c r="N334" s="11"/>
      <c r="O334" s="16"/>
      <c r="P334" s="16"/>
      <c r="Q334" s="18" t="str">
        <f t="shared" si="24"/>
        <v/>
      </c>
      <c r="R334" s="18" t="str">
        <f t="shared" si="25"/>
        <v/>
      </c>
      <c r="S334" s="18" t="str">
        <f t="shared" si="26"/>
        <v/>
      </c>
      <c r="T334" s="18" t="str">
        <f t="shared" si="27"/>
        <v/>
      </c>
      <c r="U334" s="18" t="str">
        <f t="shared" si="28"/>
        <v/>
      </c>
      <c r="V334" s="18" t="str">
        <f t="shared" si="29"/>
        <v/>
      </c>
      <c r="W334" s="14"/>
    </row>
    <row r="335" spans="1:23" x14ac:dyDescent="0.25">
      <c r="A335" s="6"/>
      <c r="B335" s="33"/>
      <c r="C335" s="19"/>
      <c r="D335" s="56"/>
      <c r="E335" s="56"/>
      <c r="F335" s="41"/>
      <c r="G335" s="36"/>
      <c r="H335" s="10"/>
      <c r="I335" s="11"/>
      <c r="J335" s="13"/>
      <c r="K335" s="45"/>
      <c r="L335" s="37"/>
      <c r="M335" s="17"/>
      <c r="N335" s="11"/>
      <c r="O335" s="16"/>
      <c r="P335" s="16"/>
      <c r="Q335" s="18" t="str">
        <f t="shared" si="24"/>
        <v/>
      </c>
      <c r="R335" s="18" t="str">
        <f t="shared" si="25"/>
        <v/>
      </c>
      <c r="S335" s="18" t="str">
        <f t="shared" si="26"/>
        <v/>
      </c>
      <c r="T335" s="18" t="str">
        <f t="shared" si="27"/>
        <v/>
      </c>
      <c r="U335" s="18" t="str">
        <f t="shared" si="28"/>
        <v/>
      </c>
      <c r="V335" s="18" t="str">
        <f t="shared" si="29"/>
        <v/>
      </c>
      <c r="W335" s="14"/>
    </row>
    <row r="336" spans="1:23" x14ac:dyDescent="0.25">
      <c r="A336" s="6">
        <v>56</v>
      </c>
      <c r="B336" s="33" t="s">
        <v>34</v>
      </c>
      <c r="C336" s="44"/>
      <c r="D336" s="62">
        <f>1.25+0.3+1.25</f>
        <v>2.8</v>
      </c>
      <c r="E336" s="62"/>
      <c r="F336" s="41"/>
      <c r="G336" s="36">
        <v>0.25</v>
      </c>
      <c r="H336" s="10">
        <v>20</v>
      </c>
      <c r="I336" s="11">
        <v>1</v>
      </c>
      <c r="J336" s="13">
        <f>ROUND(2.75/G336+1,0)</f>
        <v>12</v>
      </c>
      <c r="K336" s="45">
        <f>D336</f>
        <v>2.8</v>
      </c>
      <c r="L336" s="37" t="str">
        <f>IF(O336&lt;12,"0",0.049*H336)</f>
        <v>0</v>
      </c>
      <c r="M336" s="17">
        <v>0</v>
      </c>
      <c r="N336" s="11">
        <f>M336*2*H336/1000</f>
        <v>0</v>
      </c>
      <c r="O336" s="16">
        <f>(D336)-N336</f>
        <v>2.8</v>
      </c>
      <c r="P336" s="16">
        <f>(I336*J336*O336)+L336</f>
        <v>33.599999999999994</v>
      </c>
      <c r="Q336" s="18" t="str">
        <f t="shared" si="24"/>
        <v/>
      </c>
      <c r="R336" s="18" t="str">
        <f t="shared" si="25"/>
        <v/>
      </c>
      <c r="S336" s="18" t="str">
        <f t="shared" si="26"/>
        <v/>
      </c>
      <c r="T336" s="18" t="str">
        <f t="shared" si="27"/>
        <v/>
      </c>
      <c r="U336" s="18">
        <f t="shared" si="28"/>
        <v>33.599999999999994</v>
      </c>
      <c r="V336" s="18" t="str">
        <f t="shared" si="29"/>
        <v/>
      </c>
      <c r="W336" s="14"/>
    </row>
    <row r="337" spans="1:23" x14ac:dyDescent="0.25">
      <c r="A337" s="6"/>
      <c r="B337" s="33" t="s">
        <v>58</v>
      </c>
      <c r="C337" s="19"/>
      <c r="D337" s="56"/>
      <c r="E337" s="56"/>
      <c r="F337" s="41"/>
      <c r="G337" s="36"/>
      <c r="H337" s="10"/>
      <c r="I337" s="11"/>
      <c r="J337" s="13"/>
      <c r="K337" s="45"/>
      <c r="L337" s="37"/>
      <c r="M337" s="17"/>
      <c r="N337" s="11"/>
      <c r="O337" s="16"/>
      <c r="P337" s="16"/>
      <c r="Q337" s="18" t="str">
        <f t="shared" si="24"/>
        <v/>
      </c>
      <c r="R337" s="18" t="str">
        <f t="shared" si="25"/>
        <v/>
      </c>
      <c r="S337" s="18" t="str">
        <f t="shared" si="26"/>
        <v/>
      </c>
      <c r="T337" s="18" t="str">
        <f t="shared" si="27"/>
        <v/>
      </c>
      <c r="U337" s="18" t="str">
        <f t="shared" si="28"/>
        <v/>
      </c>
      <c r="V337" s="18" t="str">
        <f t="shared" si="29"/>
        <v/>
      </c>
      <c r="W337" s="14"/>
    </row>
    <row r="338" spans="1:23" x14ac:dyDescent="0.25">
      <c r="A338" s="6"/>
      <c r="B338" s="33"/>
      <c r="C338" s="19"/>
      <c r="D338" s="56"/>
      <c r="E338" s="56"/>
      <c r="F338" s="41"/>
      <c r="G338" s="36"/>
      <c r="H338" s="10"/>
      <c r="I338" s="11"/>
      <c r="J338" s="13"/>
      <c r="K338" s="45"/>
      <c r="L338" s="37"/>
      <c r="M338" s="17"/>
      <c r="N338" s="11"/>
      <c r="O338" s="16"/>
      <c r="P338" s="16"/>
      <c r="Q338" s="18" t="str">
        <f t="shared" si="24"/>
        <v/>
      </c>
      <c r="R338" s="18" t="str">
        <f t="shared" si="25"/>
        <v/>
      </c>
      <c r="S338" s="18" t="str">
        <f t="shared" si="26"/>
        <v/>
      </c>
      <c r="T338" s="18" t="str">
        <f t="shared" si="27"/>
        <v/>
      </c>
      <c r="U338" s="18" t="str">
        <f t="shared" si="28"/>
        <v/>
      </c>
      <c r="V338" s="18" t="str">
        <f t="shared" si="29"/>
        <v/>
      </c>
      <c r="W338" s="14"/>
    </row>
    <row r="339" spans="1:23" x14ac:dyDescent="0.25">
      <c r="A339" s="6">
        <v>57</v>
      </c>
      <c r="B339" s="33" t="s">
        <v>33</v>
      </c>
      <c r="C339" s="44"/>
      <c r="D339" s="62">
        <f>1.25+0.75+1.25</f>
        <v>3.25</v>
      </c>
      <c r="E339" s="62"/>
      <c r="F339" s="41"/>
      <c r="G339" s="36">
        <v>0.25</v>
      </c>
      <c r="H339" s="10">
        <v>25</v>
      </c>
      <c r="I339" s="11">
        <v>1</v>
      </c>
      <c r="J339" s="13">
        <f>ROUND(2.3/G339+1,0)</f>
        <v>10</v>
      </c>
      <c r="K339" s="45">
        <f>D339</f>
        <v>3.25</v>
      </c>
      <c r="L339" s="37" t="str">
        <f>IF(O339&lt;12,"0",0.049*H339)</f>
        <v>0</v>
      </c>
      <c r="M339" s="17">
        <v>0</v>
      </c>
      <c r="N339" s="11">
        <f>M339*2*H339/1000</f>
        <v>0</v>
      </c>
      <c r="O339" s="16">
        <f>(D339)-N339</f>
        <v>3.25</v>
      </c>
      <c r="P339" s="16">
        <f>(I339*J339*O339)+L339</f>
        <v>32.5</v>
      </c>
      <c r="Q339" s="18" t="str">
        <f t="shared" si="24"/>
        <v/>
      </c>
      <c r="R339" s="18" t="str">
        <f t="shared" si="25"/>
        <v/>
      </c>
      <c r="S339" s="18" t="str">
        <f t="shared" si="26"/>
        <v/>
      </c>
      <c r="T339" s="18" t="str">
        <f t="shared" si="27"/>
        <v/>
      </c>
      <c r="U339" s="18" t="str">
        <f t="shared" si="28"/>
        <v/>
      </c>
      <c r="V339" s="18">
        <f t="shared" si="29"/>
        <v>32.5</v>
      </c>
      <c r="W339" s="14"/>
    </row>
    <row r="340" spans="1:23" x14ac:dyDescent="0.25">
      <c r="A340" s="6"/>
      <c r="B340" s="33" t="s">
        <v>59</v>
      </c>
      <c r="C340" s="19"/>
      <c r="D340" s="56"/>
      <c r="E340" s="56"/>
      <c r="F340" s="41"/>
      <c r="G340" s="36"/>
      <c r="H340" s="10"/>
      <c r="I340" s="11"/>
      <c r="J340" s="13"/>
      <c r="K340" s="45"/>
      <c r="L340" s="37"/>
      <c r="M340" s="17"/>
      <c r="N340" s="11"/>
      <c r="O340" s="16"/>
      <c r="P340" s="16"/>
      <c r="Q340" s="18" t="str">
        <f t="shared" si="24"/>
        <v/>
      </c>
      <c r="R340" s="18" t="str">
        <f t="shared" si="25"/>
        <v/>
      </c>
      <c r="S340" s="18" t="str">
        <f t="shared" si="26"/>
        <v/>
      </c>
      <c r="T340" s="18" t="str">
        <f t="shared" si="27"/>
        <v/>
      </c>
      <c r="U340" s="18" t="str">
        <f t="shared" si="28"/>
        <v/>
      </c>
      <c r="V340" s="18" t="str">
        <f t="shared" si="29"/>
        <v/>
      </c>
      <c r="W340" s="14"/>
    </row>
    <row r="341" spans="1:23" x14ac:dyDescent="0.25">
      <c r="A341" s="6"/>
      <c r="B341" s="33"/>
      <c r="C341" s="19"/>
      <c r="D341" s="56"/>
      <c r="E341" s="56"/>
      <c r="F341" s="41"/>
      <c r="G341" s="36"/>
      <c r="H341" s="10"/>
      <c r="I341" s="11"/>
      <c r="J341" s="13"/>
      <c r="K341" s="45"/>
      <c r="L341" s="37"/>
      <c r="M341" s="17"/>
      <c r="N341" s="11"/>
      <c r="O341" s="16"/>
      <c r="P341" s="16"/>
      <c r="Q341" s="18" t="str">
        <f t="shared" si="24"/>
        <v/>
      </c>
      <c r="R341" s="18" t="str">
        <f t="shared" si="25"/>
        <v/>
      </c>
      <c r="S341" s="18" t="str">
        <f t="shared" si="26"/>
        <v/>
      </c>
      <c r="T341" s="18" t="str">
        <f t="shared" si="27"/>
        <v/>
      </c>
      <c r="U341" s="18" t="str">
        <f t="shared" si="28"/>
        <v/>
      </c>
      <c r="V341" s="18" t="str">
        <f t="shared" si="29"/>
        <v/>
      </c>
      <c r="W341" s="14"/>
    </row>
    <row r="342" spans="1:23" x14ac:dyDescent="0.25">
      <c r="A342" s="6">
        <v>58</v>
      </c>
      <c r="B342" s="33" t="s">
        <v>34</v>
      </c>
      <c r="C342" s="44"/>
      <c r="D342" s="62">
        <f>1+0.3+1</f>
        <v>2.2999999999999998</v>
      </c>
      <c r="E342" s="62"/>
      <c r="F342" s="41"/>
      <c r="G342" s="36">
        <v>0.25</v>
      </c>
      <c r="H342" s="10">
        <v>20</v>
      </c>
      <c r="I342" s="11">
        <v>1</v>
      </c>
      <c r="J342" s="13">
        <f>ROUND(3.25/G342+1,0)</f>
        <v>14</v>
      </c>
      <c r="K342" s="45">
        <f>D342</f>
        <v>2.2999999999999998</v>
      </c>
      <c r="L342" s="37" t="str">
        <f>IF(O342&lt;12,"0",0.049*H342)</f>
        <v>0</v>
      </c>
      <c r="M342" s="17">
        <v>0</v>
      </c>
      <c r="N342" s="11">
        <f>M342*2*H342/1000</f>
        <v>0</v>
      </c>
      <c r="O342" s="16">
        <f>(D342)-N342</f>
        <v>2.2999999999999998</v>
      </c>
      <c r="P342" s="16">
        <f>(I342*J342*O342)+L342</f>
        <v>32.199999999999996</v>
      </c>
      <c r="Q342" s="18" t="str">
        <f t="shared" si="24"/>
        <v/>
      </c>
      <c r="R342" s="18" t="str">
        <f t="shared" si="25"/>
        <v/>
      </c>
      <c r="S342" s="18" t="str">
        <f t="shared" si="26"/>
        <v/>
      </c>
      <c r="T342" s="18" t="str">
        <f t="shared" si="27"/>
        <v/>
      </c>
      <c r="U342" s="18">
        <f t="shared" si="28"/>
        <v>32.199999999999996</v>
      </c>
      <c r="V342" s="18" t="str">
        <f t="shared" si="29"/>
        <v/>
      </c>
      <c r="W342" s="14"/>
    </row>
    <row r="343" spans="1:23" x14ac:dyDescent="0.25">
      <c r="A343" s="6"/>
      <c r="B343" s="33" t="s">
        <v>59</v>
      </c>
      <c r="C343" s="19"/>
      <c r="D343" s="56"/>
      <c r="E343" s="56"/>
      <c r="F343" s="41"/>
      <c r="G343" s="36"/>
      <c r="H343" s="10"/>
      <c r="I343" s="11"/>
      <c r="J343" s="13"/>
      <c r="K343" s="45"/>
      <c r="L343" s="37"/>
      <c r="M343" s="17"/>
      <c r="N343" s="11"/>
      <c r="O343" s="16"/>
      <c r="P343" s="16"/>
      <c r="Q343" s="18" t="str">
        <f t="shared" si="24"/>
        <v/>
      </c>
      <c r="R343" s="18" t="str">
        <f t="shared" si="25"/>
        <v/>
      </c>
      <c r="S343" s="18" t="str">
        <f t="shared" si="26"/>
        <v/>
      </c>
      <c r="T343" s="18" t="str">
        <f t="shared" si="27"/>
        <v/>
      </c>
      <c r="U343" s="18" t="str">
        <f t="shared" si="28"/>
        <v/>
      </c>
      <c r="V343" s="18" t="str">
        <f t="shared" si="29"/>
        <v/>
      </c>
      <c r="W343" s="14"/>
    </row>
    <row r="344" spans="1:23" x14ac:dyDescent="0.25">
      <c r="A344" s="6"/>
      <c r="B344" s="33"/>
      <c r="C344" s="19"/>
      <c r="D344" s="56"/>
      <c r="E344" s="56"/>
      <c r="F344" s="41"/>
      <c r="G344" s="36"/>
      <c r="H344" s="10"/>
      <c r="I344" s="11"/>
      <c r="J344" s="13"/>
      <c r="K344" s="45"/>
      <c r="L344" s="37"/>
      <c r="M344" s="17"/>
      <c r="N344" s="11"/>
      <c r="O344" s="16"/>
      <c r="P344" s="16"/>
      <c r="Q344" s="18" t="str">
        <f t="shared" si="24"/>
        <v/>
      </c>
      <c r="R344" s="18" t="str">
        <f t="shared" si="25"/>
        <v/>
      </c>
      <c r="S344" s="18" t="str">
        <f t="shared" si="26"/>
        <v/>
      </c>
      <c r="T344" s="18" t="str">
        <f t="shared" si="27"/>
        <v/>
      </c>
      <c r="U344" s="18" t="str">
        <f t="shared" si="28"/>
        <v/>
      </c>
      <c r="V344" s="18" t="str">
        <f t="shared" si="29"/>
        <v/>
      </c>
      <c r="W344" s="14"/>
    </row>
    <row r="345" spans="1:23" x14ac:dyDescent="0.25">
      <c r="A345" s="6">
        <v>59</v>
      </c>
      <c r="B345" s="33" t="s">
        <v>33</v>
      </c>
      <c r="C345" s="44"/>
      <c r="D345" s="62">
        <f>1+0.75+1</f>
        <v>2.75</v>
      </c>
      <c r="E345" s="62"/>
      <c r="F345" s="41"/>
      <c r="G345" s="36">
        <v>0.25</v>
      </c>
      <c r="H345" s="10">
        <v>20</v>
      </c>
      <c r="I345" s="11">
        <v>1</v>
      </c>
      <c r="J345" s="13">
        <f>ROUND(2.8/G345+1,0)</f>
        <v>12</v>
      </c>
      <c r="K345" s="45">
        <f>D345</f>
        <v>2.75</v>
      </c>
      <c r="L345" s="37" t="str">
        <f>IF(O345&lt;12,"0",0.049*H345)</f>
        <v>0</v>
      </c>
      <c r="M345" s="17">
        <v>0</v>
      </c>
      <c r="N345" s="11">
        <f>M345*2*H345/1000</f>
        <v>0</v>
      </c>
      <c r="O345" s="16">
        <f>(D345)-N345</f>
        <v>2.75</v>
      </c>
      <c r="P345" s="16">
        <f>(I345*J345*O345)+L345</f>
        <v>33</v>
      </c>
      <c r="Q345" s="18" t="str">
        <f t="shared" si="24"/>
        <v/>
      </c>
      <c r="R345" s="18" t="str">
        <f t="shared" si="25"/>
        <v/>
      </c>
      <c r="S345" s="18" t="str">
        <f t="shared" si="26"/>
        <v/>
      </c>
      <c r="T345" s="18" t="str">
        <f t="shared" si="27"/>
        <v/>
      </c>
      <c r="U345" s="18">
        <f t="shared" si="28"/>
        <v>33</v>
      </c>
      <c r="V345" s="18" t="str">
        <f t="shared" si="29"/>
        <v/>
      </c>
      <c r="W345" s="14"/>
    </row>
    <row r="346" spans="1:23" x14ac:dyDescent="0.25">
      <c r="A346" s="6"/>
      <c r="B346" s="33" t="s">
        <v>60</v>
      </c>
      <c r="C346" s="19"/>
      <c r="D346" s="56"/>
      <c r="E346" s="56"/>
      <c r="F346" s="41"/>
      <c r="G346" s="36"/>
      <c r="H346" s="10"/>
      <c r="I346" s="11"/>
      <c r="J346" s="13"/>
      <c r="K346" s="45"/>
      <c r="L346" s="37"/>
      <c r="M346" s="17"/>
      <c r="N346" s="11"/>
      <c r="O346" s="16"/>
      <c r="P346" s="16"/>
      <c r="Q346" s="18" t="str">
        <f t="shared" si="24"/>
        <v/>
      </c>
      <c r="R346" s="18" t="str">
        <f t="shared" si="25"/>
        <v/>
      </c>
      <c r="S346" s="18" t="str">
        <f t="shared" si="26"/>
        <v/>
      </c>
      <c r="T346" s="18" t="str">
        <f t="shared" si="27"/>
        <v/>
      </c>
      <c r="U346" s="18" t="str">
        <f t="shared" si="28"/>
        <v/>
      </c>
      <c r="V346" s="18" t="str">
        <f t="shared" si="29"/>
        <v/>
      </c>
      <c r="W346" s="14"/>
    </row>
    <row r="347" spans="1:23" x14ac:dyDescent="0.25">
      <c r="A347" s="6"/>
      <c r="B347" s="33"/>
      <c r="C347" s="19"/>
      <c r="D347" s="56"/>
      <c r="E347" s="56"/>
      <c r="F347" s="41"/>
      <c r="G347" s="36"/>
      <c r="H347" s="10"/>
      <c r="I347" s="11"/>
      <c r="J347" s="13"/>
      <c r="K347" s="45"/>
      <c r="L347" s="37"/>
      <c r="M347" s="17"/>
      <c r="N347" s="11"/>
      <c r="O347" s="16"/>
      <c r="P347" s="16"/>
      <c r="Q347" s="18" t="str">
        <f t="shared" si="24"/>
        <v/>
      </c>
      <c r="R347" s="18" t="str">
        <f t="shared" si="25"/>
        <v/>
      </c>
      <c r="S347" s="18" t="str">
        <f t="shared" si="26"/>
        <v/>
      </c>
      <c r="T347" s="18" t="str">
        <f t="shared" si="27"/>
        <v/>
      </c>
      <c r="U347" s="18" t="str">
        <f t="shared" si="28"/>
        <v/>
      </c>
      <c r="V347" s="18" t="str">
        <f t="shared" si="29"/>
        <v/>
      </c>
      <c r="W347" s="14"/>
    </row>
    <row r="348" spans="1:23" x14ac:dyDescent="0.25">
      <c r="A348" s="6">
        <v>60</v>
      </c>
      <c r="B348" s="33" t="s">
        <v>34</v>
      </c>
      <c r="C348" s="44"/>
      <c r="D348" s="62">
        <f>1.25+0.3+1.25</f>
        <v>2.8</v>
      </c>
      <c r="E348" s="62"/>
      <c r="F348" s="41"/>
      <c r="G348" s="36">
        <v>0.25</v>
      </c>
      <c r="H348" s="10">
        <v>25</v>
      </c>
      <c r="I348" s="11">
        <v>1</v>
      </c>
      <c r="J348" s="13">
        <f>ROUND(2.75/G348+1,0)</f>
        <v>12</v>
      </c>
      <c r="K348" s="45">
        <f>D348</f>
        <v>2.8</v>
      </c>
      <c r="L348" s="37" t="str">
        <f>IF(O348&lt;12,"0",0.049*H348)</f>
        <v>0</v>
      </c>
      <c r="M348" s="17">
        <v>0</v>
      </c>
      <c r="N348" s="11">
        <f>M348*2*H348/1000</f>
        <v>0</v>
      </c>
      <c r="O348" s="16">
        <f>(D348)-N348</f>
        <v>2.8</v>
      </c>
      <c r="P348" s="16">
        <f>(I348*J348*O348)+L348</f>
        <v>33.599999999999994</v>
      </c>
      <c r="Q348" s="18" t="str">
        <f t="shared" si="24"/>
        <v/>
      </c>
      <c r="R348" s="18" t="str">
        <f t="shared" si="25"/>
        <v/>
      </c>
      <c r="S348" s="18" t="str">
        <f t="shared" si="26"/>
        <v/>
      </c>
      <c r="T348" s="18" t="str">
        <f t="shared" si="27"/>
        <v/>
      </c>
      <c r="U348" s="18" t="str">
        <f t="shared" si="28"/>
        <v/>
      </c>
      <c r="V348" s="18">
        <f t="shared" si="29"/>
        <v>33.599999999999994</v>
      </c>
      <c r="W348" s="14"/>
    </row>
    <row r="349" spans="1:23" x14ac:dyDescent="0.25">
      <c r="A349" s="6"/>
      <c r="B349" s="33" t="s">
        <v>60</v>
      </c>
      <c r="C349" s="19"/>
      <c r="D349" s="56"/>
      <c r="E349" s="56"/>
      <c r="F349" s="41"/>
      <c r="G349" s="36"/>
      <c r="H349" s="10"/>
      <c r="I349" s="11"/>
      <c r="J349" s="13"/>
      <c r="K349" s="45"/>
      <c r="L349" s="37"/>
      <c r="M349" s="17"/>
      <c r="N349" s="11"/>
      <c r="O349" s="16"/>
      <c r="P349" s="16"/>
      <c r="Q349" s="18" t="str">
        <f t="shared" si="24"/>
        <v/>
      </c>
      <c r="R349" s="18" t="str">
        <f t="shared" si="25"/>
        <v/>
      </c>
      <c r="S349" s="18" t="str">
        <f t="shared" si="26"/>
        <v/>
      </c>
      <c r="T349" s="18" t="str">
        <f t="shared" si="27"/>
        <v/>
      </c>
      <c r="U349" s="18" t="str">
        <f t="shared" si="28"/>
        <v/>
      </c>
      <c r="V349" s="18" t="str">
        <f t="shared" si="29"/>
        <v/>
      </c>
      <c r="W349" s="14"/>
    </row>
    <row r="350" spans="1:23" x14ac:dyDescent="0.25">
      <c r="A350" s="6"/>
      <c r="B350" s="33"/>
      <c r="C350" s="19"/>
      <c r="D350" s="56"/>
      <c r="E350" s="56"/>
      <c r="F350" s="41"/>
      <c r="G350" s="36"/>
      <c r="H350" s="10"/>
      <c r="I350" s="11"/>
      <c r="J350" s="13"/>
      <c r="K350" s="45"/>
      <c r="L350" s="37"/>
      <c r="M350" s="17"/>
      <c r="N350" s="11"/>
      <c r="O350" s="16"/>
      <c r="P350" s="16"/>
      <c r="Q350" s="18" t="str">
        <f t="shared" si="24"/>
        <v/>
      </c>
      <c r="R350" s="18" t="str">
        <f t="shared" si="25"/>
        <v/>
      </c>
      <c r="S350" s="18" t="str">
        <f t="shared" si="26"/>
        <v/>
      </c>
      <c r="T350" s="18" t="str">
        <f t="shared" si="27"/>
        <v/>
      </c>
      <c r="U350" s="18" t="str">
        <f t="shared" si="28"/>
        <v/>
      </c>
      <c r="V350" s="18" t="str">
        <f t="shared" si="29"/>
        <v/>
      </c>
      <c r="W350" s="14"/>
    </row>
    <row r="351" spans="1:23" x14ac:dyDescent="0.25">
      <c r="A351" s="6">
        <v>61</v>
      </c>
      <c r="B351" s="33" t="s">
        <v>34</v>
      </c>
      <c r="C351" s="44"/>
      <c r="D351" s="62">
        <f>1.25+0.3+1.25</f>
        <v>2.8</v>
      </c>
      <c r="E351" s="62"/>
      <c r="F351" s="41"/>
      <c r="G351" s="36">
        <v>0.25</v>
      </c>
      <c r="H351" s="10">
        <v>20</v>
      </c>
      <c r="I351" s="11">
        <v>1</v>
      </c>
      <c r="J351" s="13">
        <f>ROUND(2.75/G351+1,0)</f>
        <v>12</v>
      </c>
      <c r="K351" s="45">
        <f>D351</f>
        <v>2.8</v>
      </c>
      <c r="L351" s="37" t="str">
        <f>IF(O351&lt;12,"0",0.049*H351)</f>
        <v>0</v>
      </c>
      <c r="M351" s="17">
        <v>0</v>
      </c>
      <c r="N351" s="11">
        <f>M351*2*H351/1000</f>
        <v>0</v>
      </c>
      <c r="O351" s="16">
        <f>(D351)-N351</f>
        <v>2.8</v>
      </c>
      <c r="P351" s="16">
        <f>(I351*J351*O351)+L351</f>
        <v>33.599999999999994</v>
      </c>
      <c r="Q351" s="18" t="str">
        <f t="shared" si="24"/>
        <v/>
      </c>
      <c r="R351" s="18" t="str">
        <f t="shared" si="25"/>
        <v/>
      </c>
      <c r="S351" s="18" t="str">
        <f t="shared" si="26"/>
        <v/>
      </c>
      <c r="T351" s="18" t="str">
        <f t="shared" si="27"/>
        <v/>
      </c>
      <c r="U351" s="18">
        <f t="shared" si="28"/>
        <v>33.599999999999994</v>
      </c>
      <c r="V351" s="18" t="str">
        <f t="shared" si="29"/>
        <v/>
      </c>
      <c r="W351" s="14"/>
    </row>
    <row r="352" spans="1:23" x14ac:dyDescent="0.25">
      <c r="A352" s="6"/>
      <c r="B352" s="33" t="s">
        <v>60</v>
      </c>
      <c r="C352" s="19"/>
      <c r="D352" s="56"/>
      <c r="E352" s="56"/>
      <c r="F352" s="41"/>
      <c r="G352" s="36"/>
      <c r="H352" s="10"/>
      <c r="I352" s="11"/>
      <c r="J352" s="13"/>
      <c r="K352" s="45"/>
      <c r="L352" s="37"/>
      <c r="M352" s="17"/>
      <c r="N352" s="11"/>
      <c r="O352" s="16"/>
      <c r="P352" s="16"/>
      <c r="Q352" s="18" t="str">
        <f t="shared" si="24"/>
        <v/>
      </c>
      <c r="R352" s="18" t="str">
        <f t="shared" si="25"/>
        <v/>
      </c>
      <c r="S352" s="18" t="str">
        <f t="shared" si="26"/>
        <v/>
      </c>
      <c r="T352" s="18" t="str">
        <f t="shared" si="27"/>
        <v/>
      </c>
      <c r="U352" s="18" t="str">
        <f t="shared" si="28"/>
        <v/>
      </c>
      <c r="V352" s="18" t="str">
        <f t="shared" si="29"/>
        <v/>
      </c>
      <c r="W352" s="14"/>
    </row>
    <row r="353" spans="1:23" x14ac:dyDescent="0.25">
      <c r="A353" s="6"/>
      <c r="B353" s="33"/>
      <c r="C353" s="19"/>
      <c r="D353" s="56"/>
      <c r="E353" s="56"/>
      <c r="F353" s="41"/>
      <c r="G353" s="36"/>
      <c r="H353" s="10"/>
      <c r="I353" s="11"/>
      <c r="J353" s="13"/>
      <c r="K353" s="45"/>
      <c r="L353" s="37"/>
      <c r="M353" s="17"/>
      <c r="N353" s="11"/>
      <c r="O353" s="16"/>
      <c r="P353" s="16"/>
      <c r="Q353" s="18" t="str">
        <f t="shared" si="24"/>
        <v/>
      </c>
      <c r="R353" s="18" t="str">
        <f t="shared" si="25"/>
        <v/>
      </c>
      <c r="S353" s="18" t="str">
        <f t="shared" si="26"/>
        <v/>
      </c>
      <c r="T353" s="18" t="str">
        <f t="shared" si="27"/>
        <v/>
      </c>
      <c r="U353" s="18" t="str">
        <f t="shared" si="28"/>
        <v/>
      </c>
      <c r="V353" s="18" t="str">
        <f t="shared" si="29"/>
        <v/>
      </c>
      <c r="W353" s="14"/>
    </row>
    <row r="354" spans="1:23" x14ac:dyDescent="0.25">
      <c r="A354" s="6">
        <v>62</v>
      </c>
      <c r="B354" s="33" t="s">
        <v>33</v>
      </c>
      <c r="C354" s="44"/>
      <c r="D354" s="62">
        <f>1+0.75+1</f>
        <v>2.75</v>
      </c>
      <c r="E354" s="62"/>
      <c r="F354" s="41"/>
      <c r="G354" s="36">
        <v>0.25</v>
      </c>
      <c r="H354" s="10">
        <v>20</v>
      </c>
      <c r="I354" s="11">
        <v>1</v>
      </c>
      <c r="J354" s="13">
        <f>ROUND(2.8/G354+1,0)</f>
        <v>12</v>
      </c>
      <c r="K354" s="45">
        <f>D354</f>
        <v>2.75</v>
      </c>
      <c r="L354" s="37" t="str">
        <f>IF(O354&lt;12,"0",0.049*H354)</f>
        <v>0</v>
      </c>
      <c r="M354" s="17">
        <v>0</v>
      </c>
      <c r="N354" s="11">
        <f>M354*2*H354/1000</f>
        <v>0</v>
      </c>
      <c r="O354" s="16">
        <f>(D354)-N354</f>
        <v>2.75</v>
      </c>
      <c r="P354" s="16">
        <f>(I354*J354*O354)+L354</f>
        <v>33</v>
      </c>
      <c r="Q354" s="18" t="str">
        <f t="shared" si="24"/>
        <v/>
      </c>
      <c r="R354" s="18" t="str">
        <f t="shared" si="25"/>
        <v/>
      </c>
      <c r="S354" s="18" t="str">
        <f t="shared" si="26"/>
        <v/>
      </c>
      <c r="T354" s="18" t="str">
        <f t="shared" si="27"/>
        <v/>
      </c>
      <c r="U354" s="18">
        <f t="shared" si="28"/>
        <v>33</v>
      </c>
      <c r="V354" s="18" t="str">
        <f t="shared" si="29"/>
        <v/>
      </c>
      <c r="W354" s="14"/>
    </row>
    <row r="355" spans="1:23" x14ac:dyDescent="0.25">
      <c r="A355" s="6"/>
      <c r="B355" s="33" t="s">
        <v>61</v>
      </c>
      <c r="C355" s="19"/>
      <c r="D355" s="56"/>
      <c r="E355" s="56"/>
      <c r="F355" s="41"/>
      <c r="G355" s="36"/>
      <c r="H355" s="10"/>
      <c r="I355" s="11"/>
      <c r="J355" s="13"/>
      <c r="K355" s="45"/>
      <c r="L355" s="37"/>
      <c r="M355" s="17"/>
      <c r="N355" s="11"/>
      <c r="O355" s="16"/>
      <c r="P355" s="16"/>
      <c r="Q355" s="18" t="str">
        <f t="shared" si="24"/>
        <v/>
      </c>
      <c r="R355" s="18" t="str">
        <f t="shared" si="25"/>
        <v/>
      </c>
      <c r="S355" s="18" t="str">
        <f t="shared" si="26"/>
        <v/>
      </c>
      <c r="T355" s="18" t="str">
        <f t="shared" si="27"/>
        <v/>
      </c>
      <c r="U355" s="18" t="str">
        <f t="shared" si="28"/>
        <v/>
      </c>
      <c r="V355" s="18" t="str">
        <f t="shared" si="29"/>
        <v/>
      </c>
      <c r="W355" s="14"/>
    </row>
    <row r="356" spans="1:23" x14ac:dyDescent="0.25">
      <c r="A356" s="6"/>
      <c r="B356" s="33"/>
      <c r="C356" s="19"/>
      <c r="D356" s="56"/>
      <c r="E356" s="56"/>
      <c r="F356" s="41"/>
      <c r="G356" s="36"/>
      <c r="H356" s="10"/>
      <c r="I356" s="11"/>
      <c r="J356" s="13"/>
      <c r="K356" s="45"/>
      <c r="L356" s="37"/>
      <c r="M356" s="17"/>
      <c r="N356" s="11"/>
      <c r="O356" s="16"/>
      <c r="P356" s="16"/>
      <c r="Q356" s="18" t="str">
        <f t="shared" si="24"/>
        <v/>
      </c>
      <c r="R356" s="18" t="str">
        <f t="shared" si="25"/>
        <v/>
      </c>
      <c r="S356" s="18" t="str">
        <f t="shared" si="26"/>
        <v/>
      </c>
      <c r="T356" s="18" t="str">
        <f t="shared" si="27"/>
        <v/>
      </c>
      <c r="U356" s="18" t="str">
        <f t="shared" si="28"/>
        <v/>
      </c>
      <c r="V356" s="18" t="str">
        <f t="shared" si="29"/>
        <v/>
      </c>
      <c r="W356" s="14"/>
    </row>
    <row r="357" spans="1:23" x14ac:dyDescent="0.25">
      <c r="A357" s="6">
        <v>63</v>
      </c>
      <c r="B357" s="33" t="s">
        <v>34</v>
      </c>
      <c r="C357" s="44"/>
      <c r="D357" s="62">
        <f>1.25+0.3+1.25</f>
        <v>2.8</v>
      </c>
      <c r="E357" s="62"/>
      <c r="F357" s="41"/>
      <c r="G357" s="36">
        <v>0.25</v>
      </c>
      <c r="H357" s="10">
        <v>25</v>
      </c>
      <c r="I357" s="11">
        <v>1</v>
      </c>
      <c r="J357" s="13">
        <f>ROUND(2.75/G357+1,0)</f>
        <v>12</v>
      </c>
      <c r="K357" s="45">
        <f>D357</f>
        <v>2.8</v>
      </c>
      <c r="L357" s="37" t="str">
        <f>IF(O357&lt;12,"0",0.049*H357)</f>
        <v>0</v>
      </c>
      <c r="M357" s="17">
        <v>0</v>
      </c>
      <c r="N357" s="11">
        <f>M357*2*H357/1000</f>
        <v>0</v>
      </c>
      <c r="O357" s="16">
        <f>(D357)-N357</f>
        <v>2.8</v>
      </c>
      <c r="P357" s="16">
        <f>(I357*J357*O357)+L357</f>
        <v>33.599999999999994</v>
      </c>
      <c r="Q357" s="18" t="str">
        <f t="shared" si="24"/>
        <v/>
      </c>
      <c r="R357" s="18" t="str">
        <f t="shared" si="25"/>
        <v/>
      </c>
      <c r="S357" s="18" t="str">
        <f t="shared" si="26"/>
        <v/>
      </c>
      <c r="T357" s="18" t="str">
        <f t="shared" si="27"/>
        <v/>
      </c>
      <c r="U357" s="18" t="str">
        <f t="shared" si="28"/>
        <v/>
      </c>
      <c r="V357" s="18">
        <f t="shared" si="29"/>
        <v>33.599999999999994</v>
      </c>
      <c r="W357" s="14"/>
    </row>
    <row r="358" spans="1:23" x14ac:dyDescent="0.25">
      <c r="A358" s="6"/>
      <c r="B358" s="33" t="s">
        <v>61</v>
      </c>
      <c r="C358" s="19"/>
      <c r="D358" s="56"/>
      <c r="E358" s="56"/>
      <c r="F358" s="41"/>
      <c r="G358" s="36"/>
      <c r="H358" s="10"/>
      <c r="I358" s="11"/>
      <c r="J358" s="13"/>
      <c r="K358" s="45"/>
      <c r="L358" s="37"/>
      <c r="M358" s="17"/>
      <c r="N358" s="11"/>
      <c r="O358" s="16"/>
      <c r="P358" s="16"/>
      <c r="Q358" s="18" t="str">
        <f t="shared" si="24"/>
        <v/>
      </c>
      <c r="R358" s="18" t="str">
        <f t="shared" si="25"/>
        <v/>
      </c>
      <c r="S358" s="18" t="str">
        <f t="shared" si="26"/>
        <v/>
      </c>
      <c r="T358" s="18" t="str">
        <f t="shared" si="27"/>
        <v/>
      </c>
      <c r="U358" s="18" t="str">
        <f t="shared" si="28"/>
        <v/>
      </c>
      <c r="V358" s="18" t="str">
        <f t="shared" si="29"/>
        <v/>
      </c>
      <c r="W358" s="14"/>
    </row>
    <row r="359" spans="1:23" x14ac:dyDescent="0.25">
      <c r="A359" s="6"/>
      <c r="B359" s="33"/>
      <c r="C359" s="19"/>
      <c r="D359" s="56"/>
      <c r="E359" s="56"/>
      <c r="F359" s="41"/>
      <c r="G359" s="36"/>
      <c r="H359" s="10"/>
      <c r="I359" s="11"/>
      <c r="J359" s="13"/>
      <c r="K359" s="45"/>
      <c r="L359" s="37"/>
      <c r="M359" s="17"/>
      <c r="N359" s="11"/>
      <c r="O359" s="16"/>
      <c r="P359" s="16"/>
      <c r="Q359" s="18" t="str">
        <f t="shared" si="24"/>
        <v/>
      </c>
      <c r="R359" s="18" t="str">
        <f t="shared" si="25"/>
        <v/>
      </c>
      <c r="S359" s="18" t="str">
        <f t="shared" si="26"/>
        <v/>
      </c>
      <c r="T359" s="18" t="str">
        <f t="shared" si="27"/>
        <v/>
      </c>
      <c r="U359" s="18" t="str">
        <f t="shared" si="28"/>
        <v/>
      </c>
      <c r="V359" s="18" t="str">
        <f t="shared" si="29"/>
        <v/>
      </c>
      <c r="W359" s="14"/>
    </row>
    <row r="360" spans="1:23" x14ac:dyDescent="0.25">
      <c r="A360" s="6">
        <v>64</v>
      </c>
      <c r="B360" s="33" t="s">
        <v>34</v>
      </c>
      <c r="C360" s="44"/>
      <c r="D360" s="62">
        <f>1.25+0.3+1.25</f>
        <v>2.8</v>
      </c>
      <c r="E360" s="62"/>
      <c r="F360" s="41"/>
      <c r="G360" s="36">
        <v>0.25</v>
      </c>
      <c r="H360" s="10">
        <v>20</v>
      </c>
      <c r="I360" s="11">
        <v>1</v>
      </c>
      <c r="J360" s="13">
        <f>ROUND(2.75/G360+1,0)</f>
        <v>12</v>
      </c>
      <c r="K360" s="45">
        <f>D360</f>
        <v>2.8</v>
      </c>
      <c r="L360" s="37" t="str">
        <f>IF(O360&lt;12,"0",0.049*H360)</f>
        <v>0</v>
      </c>
      <c r="M360" s="17">
        <v>0</v>
      </c>
      <c r="N360" s="11">
        <f>M360*2*H360/1000</f>
        <v>0</v>
      </c>
      <c r="O360" s="16">
        <f>(D360)-N360</f>
        <v>2.8</v>
      </c>
      <c r="P360" s="16">
        <f>(I360*J360*O360)+L360</f>
        <v>33.599999999999994</v>
      </c>
      <c r="Q360" s="18" t="str">
        <f t="shared" si="24"/>
        <v/>
      </c>
      <c r="R360" s="18" t="str">
        <f t="shared" si="25"/>
        <v/>
      </c>
      <c r="S360" s="18" t="str">
        <f t="shared" si="26"/>
        <v/>
      </c>
      <c r="T360" s="18" t="str">
        <f t="shared" si="27"/>
        <v/>
      </c>
      <c r="U360" s="18">
        <f t="shared" si="28"/>
        <v>33.599999999999994</v>
      </c>
      <c r="V360" s="18" t="str">
        <f t="shared" si="29"/>
        <v/>
      </c>
      <c r="W360" s="14"/>
    </row>
    <row r="361" spans="1:23" x14ac:dyDescent="0.25">
      <c r="A361" s="6"/>
      <c r="B361" s="33" t="s">
        <v>61</v>
      </c>
      <c r="C361" s="19"/>
      <c r="D361" s="56"/>
      <c r="E361" s="56"/>
      <c r="F361" s="41"/>
      <c r="G361" s="36"/>
      <c r="H361" s="10"/>
      <c r="I361" s="11"/>
      <c r="J361" s="13"/>
      <c r="K361" s="45"/>
      <c r="L361" s="37"/>
      <c r="M361" s="17"/>
      <c r="N361" s="11"/>
      <c r="O361" s="16"/>
      <c r="P361" s="16"/>
      <c r="Q361" s="18" t="str">
        <f t="shared" si="24"/>
        <v/>
      </c>
      <c r="R361" s="18" t="str">
        <f t="shared" si="25"/>
        <v/>
      </c>
      <c r="S361" s="18" t="str">
        <f t="shared" si="26"/>
        <v/>
      </c>
      <c r="T361" s="18" t="str">
        <f t="shared" si="27"/>
        <v/>
      </c>
      <c r="U361" s="18" t="str">
        <f t="shared" si="28"/>
        <v/>
      </c>
      <c r="V361" s="18" t="str">
        <f t="shared" si="29"/>
        <v/>
      </c>
      <c r="W361" s="14"/>
    </row>
    <row r="362" spans="1:23" x14ac:dyDescent="0.25">
      <c r="A362" s="6"/>
      <c r="B362" s="33"/>
      <c r="C362" s="19"/>
      <c r="D362" s="56"/>
      <c r="E362" s="56"/>
      <c r="F362" s="41"/>
      <c r="G362" s="36"/>
      <c r="H362" s="10"/>
      <c r="I362" s="11"/>
      <c r="J362" s="13"/>
      <c r="K362" s="45"/>
      <c r="L362" s="37"/>
      <c r="M362" s="17"/>
      <c r="N362" s="11"/>
      <c r="O362" s="16"/>
      <c r="P362" s="16"/>
      <c r="Q362" s="18" t="str">
        <f t="shared" si="24"/>
        <v/>
      </c>
      <c r="R362" s="18" t="str">
        <f t="shared" si="25"/>
        <v/>
      </c>
      <c r="S362" s="18" t="str">
        <f t="shared" si="26"/>
        <v/>
      </c>
      <c r="T362" s="18" t="str">
        <f t="shared" si="27"/>
        <v/>
      </c>
      <c r="U362" s="18" t="str">
        <f t="shared" si="28"/>
        <v/>
      </c>
      <c r="V362" s="18" t="str">
        <f t="shared" si="29"/>
        <v/>
      </c>
      <c r="W362" s="14"/>
    </row>
    <row r="363" spans="1:23" x14ac:dyDescent="0.25">
      <c r="A363" s="6">
        <v>65</v>
      </c>
      <c r="B363" s="33" t="s">
        <v>33</v>
      </c>
      <c r="C363" s="44"/>
      <c r="D363" s="62">
        <f>0.8+0.23+0.8</f>
        <v>1.83</v>
      </c>
      <c r="E363" s="62"/>
      <c r="F363" s="41"/>
      <c r="G363" s="36">
        <v>0.25</v>
      </c>
      <c r="H363" s="10">
        <v>16</v>
      </c>
      <c r="I363" s="11">
        <v>1</v>
      </c>
      <c r="J363" s="13">
        <f>ROUND(D366/G363+1,0)</f>
        <v>14</v>
      </c>
      <c r="K363" s="45">
        <f>D363</f>
        <v>1.83</v>
      </c>
      <c r="L363" s="37" t="str">
        <f>IF(O363&lt;12,"0",0.049*H363)</f>
        <v>0</v>
      </c>
      <c r="M363" s="17">
        <v>0</v>
      </c>
      <c r="N363" s="11">
        <f>M363*2*H363/1000</f>
        <v>0</v>
      </c>
      <c r="O363" s="16">
        <f>(D363)-N363</f>
        <v>1.83</v>
      </c>
      <c r="P363" s="16">
        <f>(I363*J363*O363)+L363</f>
        <v>25.62</v>
      </c>
      <c r="Q363" s="18" t="str">
        <f t="shared" si="24"/>
        <v/>
      </c>
      <c r="R363" s="18" t="str">
        <f t="shared" si="25"/>
        <v/>
      </c>
      <c r="S363" s="18" t="str">
        <f t="shared" si="26"/>
        <v/>
      </c>
      <c r="T363" s="18">
        <f t="shared" si="27"/>
        <v>25.62</v>
      </c>
      <c r="U363" s="18" t="str">
        <f t="shared" si="28"/>
        <v/>
      </c>
      <c r="V363" s="18" t="str">
        <f t="shared" si="29"/>
        <v/>
      </c>
      <c r="W363" s="14"/>
    </row>
    <row r="364" spans="1:23" x14ac:dyDescent="0.25">
      <c r="A364" s="6"/>
      <c r="B364" s="33" t="s">
        <v>62</v>
      </c>
      <c r="C364" s="19"/>
      <c r="D364" s="56"/>
      <c r="E364" s="56"/>
      <c r="F364" s="41"/>
      <c r="G364" s="36"/>
      <c r="H364" s="10"/>
      <c r="I364" s="11"/>
      <c r="J364" s="13"/>
      <c r="K364" s="45"/>
      <c r="L364" s="37"/>
      <c r="M364" s="17"/>
      <c r="N364" s="11"/>
      <c r="O364" s="16"/>
      <c r="P364" s="16"/>
      <c r="Q364" s="18" t="str">
        <f t="shared" si="24"/>
        <v/>
      </c>
      <c r="R364" s="18" t="str">
        <f t="shared" si="25"/>
        <v/>
      </c>
      <c r="S364" s="18" t="str">
        <f t="shared" si="26"/>
        <v/>
      </c>
      <c r="T364" s="18" t="str">
        <f t="shared" si="27"/>
        <v/>
      </c>
      <c r="U364" s="18" t="str">
        <f t="shared" si="28"/>
        <v/>
      </c>
      <c r="V364" s="18" t="str">
        <f t="shared" si="29"/>
        <v/>
      </c>
      <c r="W364" s="14"/>
    </row>
    <row r="365" spans="1:23" x14ac:dyDescent="0.25">
      <c r="A365" s="6"/>
      <c r="B365" s="33"/>
      <c r="C365" s="19"/>
      <c r="D365" s="56"/>
      <c r="E365" s="56"/>
      <c r="F365" s="41"/>
      <c r="G365" s="36"/>
      <c r="H365" s="10"/>
      <c r="I365" s="11"/>
      <c r="J365" s="13"/>
      <c r="K365" s="45"/>
      <c r="L365" s="37"/>
      <c r="M365" s="17"/>
      <c r="N365" s="11"/>
      <c r="O365" s="16"/>
      <c r="P365" s="16"/>
      <c r="Q365" s="18" t="str">
        <f t="shared" ref="Q365:Q428" si="30">IF($H365=8,$P365,"")</f>
        <v/>
      </c>
      <c r="R365" s="18" t="str">
        <f t="shared" ref="R365:R428" si="31">IF($H365=10,$P365,"")</f>
        <v/>
      </c>
      <c r="S365" s="18" t="str">
        <f t="shared" ref="S365:S428" si="32">IF($H365=12,$P365,"")</f>
        <v/>
      </c>
      <c r="T365" s="18" t="str">
        <f t="shared" ref="T365:T428" si="33">IF($H365=16,$P365,"")</f>
        <v/>
      </c>
      <c r="U365" s="18" t="str">
        <f t="shared" ref="U365:U428" si="34">IF($H365=20,$P365,"")</f>
        <v/>
      </c>
      <c r="V365" s="18" t="str">
        <f t="shared" ref="V365:V428" si="35">IF($H365=25,$P365,"")</f>
        <v/>
      </c>
      <c r="W365" s="14"/>
    </row>
    <row r="366" spans="1:23" x14ac:dyDescent="0.25">
      <c r="A366" s="6">
        <v>66</v>
      </c>
      <c r="B366" s="33" t="s">
        <v>34</v>
      </c>
      <c r="C366" s="44"/>
      <c r="D366" s="62">
        <f>1+1.185+1</f>
        <v>3.1850000000000001</v>
      </c>
      <c r="E366" s="62"/>
      <c r="F366" s="41"/>
      <c r="G366" s="36">
        <v>0.25</v>
      </c>
      <c r="H366" s="10">
        <v>20</v>
      </c>
      <c r="I366" s="11">
        <v>1</v>
      </c>
      <c r="J366" s="13">
        <f>ROUND(D363/G366+1,0)</f>
        <v>8</v>
      </c>
      <c r="K366" s="45">
        <f>D366</f>
        <v>3.1850000000000001</v>
      </c>
      <c r="L366" s="37" t="str">
        <f>IF(O366&lt;12,"0",0.049*H366)</f>
        <v>0</v>
      </c>
      <c r="M366" s="17">
        <v>0</v>
      </c>
      <c r="N366" s="11">
        <f>M366*2*H366/1000</f>
        <v>0</v>
      </c>
      <c r="O366" s="16">
        <f>(D366)-N366</f>
        <v>3.1850000000000001</v>
      </c>
      <c r="P366" s="16">
        <f>(I366*J366*O366)+L366</f>
        <v>25.48</v>
      </c>
      <c r="Q366" s="18" t="str">
        <f t="shared" si="30"/>
        <v/>
      </c>
      <c r="R366" s="18" t="str">
        <f t="shared" si="31"/>
        <v/>
      </c>
      <c r="S366" s="18" t="str">
        <f t="shared" si="32"/>
        <v/>
      </c>
      <c r="T366" s="18" t="str">
        <f t="shared" si="33"/>
        <v/>
      </c>
      <c r="U366" s="18">
        <f t="shared" si="34"/>
        <v>25.48</v>
      </c>
      <c r="V366" s="18" t="str">
        <f t="shared" si="35"/>
        <v/>
      </c>
      <c r="W366" s="14"/>
    </row>
    <row r="367" spans="1:23" x14ac:dyDescent="0.25">
      <c r="A367" s="6"/>
      <c r="B367" s="33" t="s">
        <v>62</v>
      </c>
      <c r="C367" s="19"/>
      <c r="D367" s="56"/>
      <c r="E367" s="56"/>
      <c r="F367" s="41"/>
      <c r="G367" s="36"/>
      <c r="H367" s="10"/>
      <c r="I367" s="11"/>
      <c r="J367" s="13"/>
      <c r="K367" s="45"/>
      <c r="L367" s="37"/>
      <c r="M367" s="17"/>
      <c r="N367" s="11"/>
      <c r="O367" s="16"/>
      <c r="P367" s="16"/>
      <c r="Q367" s="18" t="str">
        <f t="shared" si="30"/>
        <v/>
      </c>
      <c r="R367" s="18" t="str">
        <f t="shared" si="31"/>
        <v/>
      </c>
      <c r="S367" s="18" t="str">
        <f t="shared" si="32"/>
        <v/>
      </c>
      <c r="T367" s="18" t="str">
        <f t="shared" si="33"/>
        <v/>
      </c>
      <c r="U367" s="18" t="str">
        <f t="shared" si="34"/>
        <v/>
      </c>
      <c r="V367" s="18" t="str">
        <f t="shared" si="35"/>
        <v/>
      </c>
      <c r="W367" s="14"/>
    </row>
    <row r="368" spans="1:23" x14ac:dyDescent="0.25">
      <c r="A368" s="6"/>
      <c r="B368" s="33"/>
      <c r="C368" s="19"/>
      <c r="D368" s="56"/>
      <c r="E368" s="56"/>
      <c r="F368" s="41"/>
      <c r="G368" s="36"/>
      <c r="H368" s="10"/>
      <c r="I368" s="11"/>
      <c r="J368" s="13"/>
      <c r="K368" s="45"/>
      <c r="L368" s="37"/>
      <c r="M368" s="17"/>
      <c r="N368" s="11"/>
      <c r="O368" s="16"/>
      <c r="P368" s="16"/>
      <c r="Q368" s="18" t="str">
        <f t="shared" si="30"/>
        <v/>
      </c>
      <c r="R368" s="18" t="str">
        <f t="shared" si="31"/>
        <v/>
      </c>
      <c r="S368" s="18" t="str">
        <f t="shared" si="32"/>
        <v/>
      </c>
      <c r="T368" s="18" t="str">
        <f t="shared" si="33"/>
        <v/>
      </c>
      <c r="U368" s="18" t="str">
        <f t="shared" si="34"/>
        <v/>
      </c>
      <c r="V368" s="18" t="str">
        <f t="shared" si="35"/>
        <v/>
      </c>
      <c r="W368" s="14"/>
    </row>
    <row r="369" spans="1:23" x14ac:dyDescent="0.25">
      <c r="A369" s="6">
        <v>67</v>
      </c>
      <c r="B369" s="33" t="s">
        <v>33</v>
      </c>
      <c r="C369" s="44"/>
      <c r="D369" s="62">
        <f>1+0.6+1</f>
        <v>2.6</v>
      </c>
      <c r="E369" s="62"/>
      <c r="F369" s="41"/>
      <c r="G369" s="36">
        <v>0.25</v>
      </c>
      <c r="H369" s="10">
        <v>20</v>
      </c>
      <c r="I369" s="11">
        <v>1</v>
      </c>
      <c r="J369" s="13">
        <f>ROUND(D372/G369+1,0)</f>
        <v>12</v>
      </c>
      <c r="K369" s="45">
        <f>D369</f>
        <v>2.6</v>
      </c>
      <c r="L369" s="37" t="str">
        <f>IF(O369&lt;12,"0",0.049*H369)</f>
        <v>0</v>
      </c>
      <c r="M369" s="17">
        <v>0</v>
      </c>
      <c r="N369" s="11">
        <f>M369*2*H369/1000</f>
        <v>0</v>
      </c>
      <c r="O369" s="16">
        <f>(D369)-N369</f>
        <v>2.6</v>
      </c>
      <c r="P369" s="16">
        <f>(I369*J369*O369)+L369</f>
        <v>31.200000000000003</v>
      </c>
      <c r="Q369" s="18" t="str">
        <f t="shared" si="30"/>
        <v/>
      </c>
      <c r="R369" s="18" t="str">
        <f t="shared" si="31"/>
        <v/>
      </c>
      <c r="S369" s="18" t="str">
        <f t="shared" si="32"/>
        <v/>
      </c>
      <c r="T369" s="18" t="str">
        <f t="shared" si="33"/>
        <v/>
      </c>
      <c r="U369" s="18">
        <f t="shared" si="34"/>
        <v>31.200000000000003</v>
      </c>
      <c r="V369" s="18" t="str">
        <f t="shared" si="35"/>
        <v/>
      </c>
      <c r="W369" s="14"/>
    </row>
    <row r="370" spans="1:23" x14ac:dyDescent="0.25">
      <c r="A370" s="6"/>
      <c r="B370" s="33" t="s">
        <v>63</v>
      </c>
      <c r="C370" s="19"/>
      <c r="D370" s="56"/>
      <c r="E370" s="56"/>
      <c r="F370" s="41"/>
      <c r="G370" s="36"/>
      <c r="H370" s="10"/>
      <c r="I370" s="11"/>
      <c r="J370" s="13"/>
      <c r="K370" s="45"/>
      <c r="L370" s="37"/>
      <c r="M370" s="17"/>
      <c r="N370" s="11"/>
      <c r="O370" s="16"/>
      <c r="P370" s="16"/>
      <c r="Q370" s="18" t="str">
        <f t="shared" si="30"/>
        <v/>
      </c>
      <c r="R370" s="18" t="str">
        <f t="shared" si="31"/>
        <v/>
      </c>
      <c r="S370" s="18" t="str">
        <f t="shared" si="32"/>
        <v/>
      </c>
      <c r="T370" s="18" t="str">
        <f t="shared" si="33"/>
        <v/>
      </c>
      <c r="U370" s="18" t="str">
        <f t="shared" si="34"/>
        <v/>
      </c>
      <c r="V370" s="18" t="str">
        <f t="shared" si="35"/>
        <v/>
      </c>
      <c r="W370" s="14"/>
    </row>
    <row r="371" spans="1:23" x14ac:dyDescent="0.25">
      <c r="A371" s="6"/>
      <c r="B371" s="33"/>
      <c r="C371" s="19"/>
      <c r="D371" s="56"/>
      <c r="E371" s="56"/>
      <c r="F371" s="41"/>
      <c r="G371" s="36"/>
      <c r="H371" s="10"/>
      <c r="I371" s="11"/>
      <c r="J371" s="13"/>
      <c r="K371" s="45"/>
      <c r="L371" s="37"/>
      <c r="M371" s="17"/>
      <c r="N371" s="11"/>
      <c r="O371" s="16"/>
      <c r="P371" s="16"/>
      <c r="Q371" s="18" t="str">
        <f t="shared" si="30"/>
        <v/>
      </c>
      <c r="R371" s="18" t="str">
        <f t="shared" si="31"/>
        <v/>
      </c>
      <c r="S371" s="18" t="str">
        <f t="shared" si="32"/>
        <v/>
      </c>
      <c r="T371" s="18" t="str">
        <f t="shared" si="33"/>
        <v/>
      </c>
      <c r="U371" s="18" t="str">
        <f t="shared" si="34"/>
        <v/>
      </c>
      <c r="V371" s="18" t="str">
        <f t="shared" si="35"/>
        <v/>
      </c>
      <c r="W371" s="14"/>
    </row>
    <row r="372" spans="1:23" x14ac:dyDescent="0.25">
      <c r="A372" s="6">
        <v>68</v>
      </c>
      <c r="B372" s="33" t="s">
        <v>34</v>
      </c>
      <c r="C372" s="44"/>
      <c r="D372" s="62">
        <f>1.25+0.2+1.25</f>
        <v>2.7</v>
      </c>
      <c r="E372" s="62"/>
      <c r="F372" s="41"/>
      <c r="G372" s="36">
        <v>0.25</v>
      </c>
      <c r="H372" s="10">
        <v>25</v>
      </c>
      <c r="I372" s="11">
        <v>1</v>
      </c>
      <c r="J372" s="13">
        <f>ROUND(D369/G372+1,0)</f>
        <v>11</v>
      </c>
      <c r="K372" s="45">
        <f>D372</f>
        <v>2.7</v>
      </c>
      <c r="L372" s="37" t="str">
        <f>IF(O372&lt;12,"0",0.049*H372)</f>
        <v>0</v>
      </c>
      <c r="M372" s="17">
        <v>0</v>
      </c>
      <c r="N372" s="11">
        <f>M372*2*H372/1000</f>
        <v>0</v>
      </c>
      <c r="O372" s="16">
        <f>(D372)-N372</f>
        <v>2.7</v>
      </c>
      <c r="P372" s="16">
        <f>(I372*J372*O372)+L372</f>
        <v>29.700000000000003</v>
      </c>
      <c r="Q372" s="18" t="str">
        <f t="shared" si="30"/>
        <v/>
      </c>
      <c r="R372" s="18" t="str">
        <f t="shared" si="31"/>
        <v/>
      </c>
      <c r="S372" s="18" t="str">
        <f t="shared" si="32"/>
        <v/>
      </c>
      <c r="T372" s="18" t="str">
        <f t="shared" si="33"/>
        <v/>
      </c>
      <c r="U372" s="18" t="str">
        <f t="shared" si="34"/>
        <v/>
      </c>
      <c r="V372" s="18">
        <f t="shared" si="35"/>
        <v>29.700000000000003</v>
      </c>
      <c r="W372" s="14"/>
    </row>
    <row r="373" spans="1:23" x14ac:dyDescent="0.25">
      <c r="A373" s="6"/>
      <c r="B373" s="33" t="s">
        <v>63</v>
      </c>
      <c r="C373" s="19"/>
      <c r="D373" s="56"/>
      <c r="E373" s="56"/>
      <c r="F373" s="41"/>
      <c r="G373" s="36"/>
      <c r="H373" s="10"/>
      <c r="I373" s="11"/>
      <c r="J373" s="13"/>
      <c r="K373" s="45"/>
      <c r="L373" s="37"/>
      <c r="M373" s="17"/>
      <c r="N373" s="11"/>
      <c r="O373" s="16"/>
      <c r="P373" s="16"/>
      <c r="Q373" s="18" t="str">
        <f t="shared" si="30"/>
        <v/>
      </c>
      <c r="R373" s="18" t="str">
        <f t="shared" si="31"/>
        <v/>
      </c>
      <c r="S373" s="18" t="str">
        <f t="shared" si="32"/>
        <v/>
      </c>
      <c r="T373" s="18" t="str">
        <f t="shared" si="33"/>
        <v/>
      </c>
      <c r="U373" s="18" t="str">
        <f t="shared" si="34"/>
        <v/>
      </c>
      <c r="V373" s="18" t="str">
        <f t="shared" si="35"/>
        <v/>
      </c>
      <c r="W373" s="14"/>
    </row>
    <row r="374" spans="1:23" x14ac:dyDescent="0.25">
      <c r="A374" s="6"/>
      <c r="B374" s="33"/>
      <c r="C374" s="19"/>
      <c r="D374" s="56"/>
      <c r="E374" s="56"/>
      <c r="F374" s="41"/>
      <c r="G374" s="36"/>
      <c r="H374" s="10"/>
      <c r="I374" s="11"/>
      <c r="J374" s="13"/>
      <c r="K374" s="45"/>
      <c r="L374" s="37"/>
      <c r="M374" s="17"/>
      <c r="N374" s="11"/>
      <c r="O374" s="16"/>
      <c r="P374" s="16"/>
      <c r="Q374" s="18" t="str">
        <f t="shared" si="30"/>
        <v/>
      </c>
      <c r="R374" s="18" t="str">
        <f t="shared" si="31"/>
        <v/>
      </c>
      <c r="S374" s="18" t="str">
        <f t="shared" si="32"/>
        <v/>
      </c>
      <c r="T374" s="18" t="str">
        <f t="shared" si="33"/>
        <v/>
      </c>
      <c r="U374" s="18" t="str">
        <f t="shared" si="34"/>
        <v/>
      </c>
      <c r="V374" s="18" t="str">
        <f t="shared" si="35"/>
        <v/>
      </c>
      <c r="W374" s="14"/>
    </row>
    <row r="375" spans="1:23" x14ac:dyDescent="0.25">
      <c r="A375" s="6">
        <v>69</v>
      </c>
      <c r="B375" s="33" t="s">
        <v>33</v>
      </c>
      <c r="C375" s="44"/>
      <c r="D375" s="62">
        <f>1.25+0.3+1.25</f>
        <v>2.8</v>
      </c>
      <c r="E375" s="62"/>
      <c r="F375" s="41"/>
      <c r="G375" s="36">
        <v>0.25</v>
      </c>
      <c r="H375" s="10">
        <v>20</v>
      </c>
      <c r="I375" s="11">
        <v>1</v>
      </c>
      <c r="J375" s="13">
        <f>ROUND(D378/G375+1,0)</f>
        <v>11</v>
      </c>
      <c r="K375" s="45">
        <f>D375</f>
        <v>2.8</v>
      </c>
      <c r="L375" s="37" t="str">
        <f>IF(O375&lt;12,"0",0.049*H375)</f>
        <v>0</v>
      </c>
      <c r="M375" s="17">
        <v>0</v>
      </c>
      <c r="N375" s="11">
        <f>M375*2*H375/1000</f>
        <v>0</v>
      </c>
      <c r="O375" s="16">
        <f>(D375)-N375</f>
        <v>2.8</v>
      </c>
      <c r="P375" s="16">
        <f>(I375*J375*O375)+L375</f>
        <v>30.799999999999997</v>
      </c>
      <c r="Q375" s="18" t="str">
        <f t="shared" si="30"/>
        <v/>
      </c>
      <c r="R375" s="18" t="str">
        <f t="shared" si="31"/>
        <v/>
      </c>
      <c r="S375" s="18" t="str">
        <f t="shared" si="32"/>
        <v/>
      </c>
      <c r="T375" s="18" t="str">
        <f t="shared" si="33"/>
        <v/>
      </c>
      <c r="U375" s="18">
        <f t="shared" si="34"/>
        <v>30.799999999999997</v>
      </c>
      <c r="V375" s="18" t="str">
        <f t="shared" si="35"/>
        <v/>
      </c>
      <c r="W375" s="14"/>
    </row>
    <row r="376" spans="1:23" x14ac:dyDescent="0.25">
      <c r="A376" s="6"/>
      <c r="B376" s="33" t="s">
        <v>64</v>
      </c>
      <c r="C376" s="19"/>
      <c r="D376" s="56"/>
      <c r="E376" s="56"/>
      <c r="F376" s="41"/>
      <c r="G376" s="36"/>
      <c r="H376" s="10"/>
      <c r="I376" s="11"/>
      <c r="J376" s="13"/>
      <c r="K376" s="45"/>
      <c r="L376" s="37"/>
      <c r="M376" s="17"/>
      <c r="N376" s="11"/>
      <c r="O376" s="16"/>
      <c r="P376" s="16"/>
      <c r="Q376" s="18" t="str">
        <f t="shared" si="30"/>
        <v/>
      </c>
      <c r="R376" s="18" t="str">
        <f t="shared" si="31"/>
        <v/>
      </c>
      <c r="S376" s="18" t="str">
        <f t="shared" si="32"/>
        <v/>
      </c>
      <c r="T376" s="18" t="str">
        <f t="shared" si="33"/>
        <v/>
      </c>
      <c r="U376" s="18" t="str">
        <f t="shared" si="34"/>
        <v/>
      </c>
      <c r="V376" s="18" t="str">
        <f t="shared" si="35"/>
        <v/>
      </c>
      <c r="W376" s="14"/>
    </row>
    <row r="377" spans="1:23" x14ac:dyDescent="0.25">
      <c r="A377" s="6"/>
      <c r="B377" s="33"/>
      <c r="C377" s="19"/>
      <c r="D377" s="56"/>
      <c r="E377" s="56"/>
      <c r="F377" s="41"/>
      <c r="G377" s="36"/>
      <c r="H377" s="10"/>
      <c r="I377" s="11"/>
      <c r="J377" s="13"/>
      <c r="K377" s="45"/>
      <c r="L377" s="37"/>
      <c r="M377" s="17"/>
      <c r="N377" s="11"/>
      <c r="O377" s="16"/>
      <c r="P377" s="16"/>
      <c r="Q377" s="18" t="str">
        <f t="shared" si="30"/>
        <v/>
      </c>
      <c r="R377" s="18" t="str">
        <f t="shared" si="31"/>
        <v/>
      </c>
      <c r="S377" s="18" t="str">
        <f t="shared" si="32"/>
        <v/>
      </c>
      <c r="T377" s="18" t="str">
        <f t="shared" si="33"/>
        <v/>
      </c>
      <c r="U377" s="18" t="str">
        <f t="shared" si="34"/>
        <v/>
      </c>
      <c r="V377" s="18" t="str">
        <f t="shared" si="35"/>
        <v/>
      </c>
      <c r="W377" s="14"/>
    </row>
    <row r="378" spans="1:23" x14ac:dyDescent="0.25">
      <c r="A378" s="6">
        <v>70</v>
      </c>
      <c r="B378" s="33" t="s">
        <v>34</v>
      </c>
      <c r="C378" s="44"/>
      <c r="D378" s="62">
        <f>1+0.6+1</f>
        <v>2.6</v>
      </c>
      <c r="E378" s="62"/>
      <c r="F378" s="41"/>
      <c r="G378" s="36">
        <v>0.25</v>
      </c>
      <c r="H378" s="10">
        <v>25</v>
      </c>
      <c r="I378" s="11">
        <v>1</v>
      </c>
      <c r="J378" s="13">
        <f>ROUND(D375/G378+1,0)</f>
        <v>12</v>
      </c>
      <c r="K378" s="45">
        <f>D378</f>
        <v>2.6</v>
      </c>
      <c r="L378" s="37" t="str">
        <f>IF(O378&lt;12,"0",0.049*H378)</f>
        <v>0</v>
      </c>
      <c r="M378" s="17">
        <v>0</v>
      </c>
      <c r="N378" s="11">
        <f>M378*2*H378/1000</f>
        <v>0</v>
      </c>
      <c r="O378" s="16">
        <f>(D378)-N378</f>
        <v>2.6</v>
      </c>
      <c r="P378" s="16">
        <f>(I378*J378*O378)+L378</f>
        <v>31.200000000000003</v>
      </c>
      <c r="Q378" s="18" t="str">
        <f t="shared" si="30"/>
        <v/>
      </c>
      <c r="R378" s="18" t="str">
        <f t="shared" si="31"/>
        <v/>
      </c>
      <c r="S378" s="18" t="str">
        <f t="shared" si="32"/>
        <v/>
      </c>
      <c r="T378" s="18" t="str">
        <f t="shared" si="33"/>
        <v/>
      </c>
      <c r="U378" s="18" t="str">
        <f t="shared" si="34"/>
        <v/>
      </c>
      <c r="V378" s="18">
        <f t="shared" si="35"/>
        <v>31.200000000000003</v>
      </c>
      <c r="W378" s="14"/>
    </row>
    <row r="379" spans="1:23" x14ac:dyDescent="0.25">
      <c r="A379" s="6"/>
      <c r="B379" s="33" t="s">
        <v>64</v>
      </c>
      <c r="C379" s="19"/>
      <c r="D379" s="56"/>
      <c r="E379" s="56"/>
      <c r="F379" s="41"/>
      <c r="G379" s="36"/>
      <c r="H379" s="10"/>
      <c r="I379" s="11"/>
      <c r="J379" s="13"/>
      <c r="K379" s="45"/>
      <c r="L379" s="37"/>
      <c r="M379" s="17"/>
      <c r="N379" s="11"/>
      <c r="O379" s="16"/>
      <c r="P379" s="16"/>
      <c r="Q379" s="18" t="str">
        <f t="shared" si="30"/>
        <v/>
      </c>
      <c r="R379" s="18" t="str">
        <f t="shared" si="31"/>
        <v/>
      </c>
      <c r="S379" s="18" t="str">
        <f t="shared" si="32"/>
        <v/>
      </c>
      <c r="T379" s="18" t="str">
        <f t="shared" si="33"/>
        <v/>
      </c>
      <c r="U379" s="18" t="str">
        <f t="shared" si="34"/>
        <v/>
      </c>
      <c r="V379" s="18" t="str">
        <f t="shared" si="35"/>
        <v/>
      </c>
      <c r="W379" s="14"/>
    </row>
    <row r="380" spans="1:23" x14ac:dyDescent="0.25">
      <c r="A380" s="6"/>
      <c r="B380" s="33"/>
      <c r="C380" s="19"/>
      <c r="D380" s="56"/>
      <c r="E380" s="56"/>
      <c r="F380" s="41"/>
      <c r="G380" s="36"/>
      <c r="H380" s="10"/>
      <c r="I380" s="11"/>
      <c r="J380" s="13"/>
      <c r="K380" s="45"/>
      <c r="L380" s="37"/>
      <c r="M380" s="17"/>
      <c r="N380" s="11"/>
      <c r="O380" s="16"/>
      <c r="P380" s="16"/>
      <c r="Q380" s="18" t="str">
        <f t="shared" si="30"/>
        <v/>
      </c>
      <c r="R380" s="18" t="str">
        <f t="shared" si="31"/>
        <v/>
      </c>
      <c r="S380" s="18" t="str">
        <f t="shared" si="32"/>
        <v/>
      </c>
      <c r="T380" s="18" t="str">
        <f t="shared" si="33"/>
        <v/>
      </c>
      <c r="U380" s="18" t="str">
        <f t="shared" si="34"/>
        <v/>
      </c>
      <c r="V380" s="18" t="str">
        <f t="shared" si="35"/>
        <v/>
      </c>
      <c r="W380" s="14"/>
    </row>
    <row r="381" spans="1:23" x14ac:dyDescent="0.25">
      <c r="A381" s="6">
        <v>71</v>
      </c>
      <c r="B381" s="33" t="s">
        <v>33</v>
      </c>
      <c r="C381" s="44"/>
      <c r="D381" s="62">
        <f>1.25+0.3+1.25</f>
        <v>2.8</v>
      </c>
      <c r="E381" s="62"/>
      <c r="F381" s="41"/>
      <c r="G381" s="36">
        <v>0.25</v>
      </c>
      <c r="H381" s="10">
        <v>25</v>
      </c>
      <c r="I381" s="11">
        <v>1</v>
      </c>
      <c r="J381" s="13">
        <f>ROUND(3.1/G381+1,0)</f>
        <v>13</v>
      </c>
      <c r="K381" s="45">
        <f>D381</f>
        <v>2.8</v>
      </c>
      <c r="L381" s="37" t="str">
        <f>IF(O381&lt;12,"0",0.049*H381)</f>
        <v>0</v>
      </c>
      <c r="M381" s="17">
        <v>0</v>
      </c>
      <c r="N381" s="11">
        <f>M381*2*H381/1000</f>
        <v>0</v>
      </c>
      <c r="O381" s="16">
        <f>(D381)-N381</f>
        <v>2.8</v>
      </c>
      <c r="P381" s="16">
        <f>(I381*J381*O381)+L381</f>
        <v>36.4</v>
      </c>
      <c r="Q381" s="18" t="str">
        <f t="shared" si="30"/>
        <v/>
      </c>
      <c r="R381" s="18" t="str">
        <f t="shared" si="31"/>
        <v/>
      </c>
      <c r="S381" s="18" t="str">
        <f t="shared" si="32"/>
        <v/>
      </c>
      <c r="T381" s="18" t="str">
        <f t="shared" si="33"/>
        <v/>
      </c>
      <c r="U381" s="18" t="str">
        <f t="shared" si="34"/>
        <v/>
      </c>
      <c r="V381" s="18">
        <f t="shared" si="35"/>
        <v>36.4</v>
      </c>
      <c r="W381" s="14"/>
    </row>
    <row r="382" spans="1:23" x14ac:dyDescent="0.25">
      <c r="A382" s="6"/>
      <c r="B382" s="33" t="s">
        <v>65</v>
      </c>
      <c r="C382" s="19"/>
      <c r="D382" s="56"/>
      <c r="E382" s="56"/>
      <c r="F382" s="41"/>
      <c r="G382" s="36"/>
      <c r="H382" s="10"/>
      <c r="I382" s="11"/>
      <c r="J382" s="13"/>
      <c r="K382" s="45"/>
      <c r="L382" s="37"/>
      <c r="M382" s="17"/>
      <c r="N382" s="11"/>
      <c r="O382" s="16"/>
      <c r="P382" s="16"/>
      <c r="Q382" s="18" t="str">
        <f t="shared" si="30"/>
        <v/>
      </c>
      <c r="R382" s="18" t="str">
        <f t="shared" si="31"/>
        <v/>
      </c>
      <c r="S382" s="18" t="str">
        <f t="shared" si="32"/>
        <v/>
      </c>
      <c r="T382" s="18" t="str">
        <f t="shared" si="33"/>
        <v/>
      </c>
      <c r="U382" s="18" t="str">
        <f t="shared" si="34"/>
        <v/>
      </c>
      <c r="V382" s="18" t="str">
        <f t="shared" si="35"/>
        <v/>
      </c>
      <c r="W382" s="14"/>
    </row>
    <row r="383" spans="1:23" x14ac:dyDescent="0.25">
      <c r="A383" s="6"/>
      <c r="B383" s="33"/>
      <c r="C383" s="19"/>
      <c r="D383" s="56"/>
      <c r="E383" s="56"/>
      <c r="F383" s="41"/>
      <c r="G383" s="36"/>
      <c r="H383" s="10"/>
      <c r="I383" s="11"/>
      <c r="J383" s="13"/>
      <c r="K383" s="45"/>
      <c r="L383" s="37"/>
      <c r="M383" s="17"/>
      <c r="N383" s="11"/>
      <c r="O383" s="16"/>
      <c r="P383" s="16"/>
      <c r="Q383" s="18" t="str">
        <f t="shared" si="30"/>
        <v/>
      </c>
      <c r="R383" s="18" t="str">
        <f t="shared" si="31"/>
        <v/>
      </c>
      <c r="S383" s="18" t="str">
        <f t="shared" si="32"/>
        <v/>
      </c>
      <c r="T383" s="18" t="str">
        <f t="shared" si="33"/>
        <v/>
      </c>
      <c r="U383" s="18" t="str">
        <f t="shared" si="34"/>
        <v/>
      </c>
      <c r="V383" s="18" t="str">
        <f t="shared" si="35"/>
        <v/>
      </c>
      <c r="W383" s="14"/>
    </row>
    <row r="384" spans="1:23" x14ac:dyDescent="0.25">
      <c r="A384" s="6">
        <v>72</v>
      </c>
      <c r="B384" s="33" t="s">
        <v>34</v>
      </c>
      <c r="C384" s="44"/>
      <c r="D384" s="62">
        <f>1.25+0.6+1.25</f>
        <v>3.1</v>
      </c>
      <c r="E384" s="62"/>
      <c r="F384" s="41"/>
      <c r="G384" s="36">
        <v>0.25</v>
      </c>
      <c r="H384" s="10">
        <v>25</v>
      </c>
      <c r="I384" s="11">
        <v>1</v>
      </c>
      <c r="J384" s="13">
        <f>ROUND(2.8/G384+1,0)</f>
        <v>12</v>
      </c>
      <c r="K384" s="45">
        <f>D384</f>
        <v>3.1</v>
      </c>
      <c r="L384" s="37" t="str">
        <f>IF(O384&lt;12,"0",0.049*H384)</f>
        <v>0</v>
      </c>
      <c r="M384" s="17">
        <v>0</v>
      </c>
      <c r="N384" s="11">
        <f>M384*2*H384/1000</f>
        <v>0</v>
      </c>
      <c r="O384" s="16">
        <f>(D384)-N384</f>
        <v>3.1</v>
      </c>
      <c r="P384" s="16">
        <f>(I384*J384*O384)+L384</f>
        <v>37.200000000000003</v>
      </c>
      <c r="Q384" s="18" t="str">
        <f t="shared" si="30"/>
        <v/>
      </c>
      <c r="R384" s="18" t="str">
        <f t="shared" si="31"/>
        <v/>
      </c>
      <c r="S384" s="18" t="str">
        <f t="shared" si="32"/>
        <v/>
      </c>
      <c r="T384" s="18" t="str">
        <f t="shared" si="33"/>
        <v/>
      </c>
      <c r="U384" s="18" t="str">
        <f t="shared" si="34"/>
        <v/>
      </c>
      <c r="V384" s="18">
        <f t="shared" si="35"/>
        <v>37.200000000000003</v>
      </c>
      <c r="W384" s="14"/>
    </row>
    <row r="385" spans="1:23" x14ac:dyDescent="0.25">
      <c r="A385" s="6"/>
      <c r="B385" s="33" t="s">
        <v>65</v>
      </c>
      <c r="C385" s="19"/>
      <c r="D385" s="56"/>
      <c r="E385" s="56"/>
      <c r="F385" s="41"/>
      <c r="G385" s="36"/>
      <c r="H385" s="10"/>
      <c r="I385" s="11"/>
      <c r="J385" s="13"/>
      <c r="K385" s="45"/>
      <c r="L385" s="37"/>
      <c r="M385" s="17"/>
      <c r="N385" s="11"/>
      <c r="O385" s="16"/>
      <c r="P385" s="16"/>
      <c r="Q385" s="18" t="str">
        <f t="shared" si="30"/>
        <v/>
      </c>
      <c r="R385" s="18" t="str">
        <f t="shared" si="31"/>
        <v/>
      </c>
      <c r="S385" s="18" t="str">
        <f t="shared" si="32"/>
        <v/>
      </c>
      <c r="T385" s="18" t="str">
        <f t="shared" si="33"/>
        <v/>
      </c>
      <c r="U385" s="18" t="str">
        <f t="shared" si="34"/>
        <v/>
      </c>
      <c r="V385" s="18" t="str">
        <f t="shared" si="35"/>
        <v/>
      </c>
      <c r="W385" s="14"/>
    </row>
    <row r="386" spans="1:23" x14ac:dyDescent="0.25">
      <c r="A386" s="6"/>
      <c r="B386" s="33"/>
      <c r="C386" s="19"/>
      <c r="D386" s="56"/>
      <c r="E386" s="56"/>
      <c r="F386" s="41"/>
      <c r="G386" s="36"/>
      <c r="H386" s="10"/>
      <c r="I386" s="11"/>
      <c r="J386" s="13"/>
      <c r="K386" s="45"/>
      <c r="L386" s="37"/>
      <c r="M386" s="17"/>
      <c r="N386" s="11"/>
      <c r="O386" s="16"/>
      <c r="P386" s="16"/>
      <c r="Q386" s="18" t="str">
        <f t="shared" si="30"/>
        <v/>
      </c>
      <c r="R386" s="18" t="str">
        <f t="shared" si="31"/>
        <v/>
      </c>
      <c r="S386" s="18" t="str">
        <f t="shared" si="32"/>
        <v/>
      </c>
      <c r="T386" s="18" t="str">
        <f t="shared" si="33"/>
        <v/>
      </c>
      <c r="U386" s="18" t="str">
        <f t="shared" si="34"/>
        <v/>
      </c>
      <c r="V386" s="18" t="str">
        <f t="shared" si="35"/>
        <v/>
      </c>
      <c r="W386" s="14"/>
    </row>
    <row r="387" spans="1:23" x14ac:dyDescent="0.25">
      <c r="A387" s="6">
        <v>73</v>
      </c>
      <c r="B387" s="33" t="s">
        <v>33</v>
      </c>
      <c r="C387" s="44"/>
      <c r="D387" s="62">
        <f>1+0.3+1</f>
        <v>2.2999999999999998</v>
      </c>
      <c r="E387" s="62"/>
      <c r="F387" s="41"/>
      <c r="G387" s="36">
        <v>0.25</v>
      </c>
      <c r="H387" s="10">
        <v>20</v>
      </c>
      <c r="I387" s="11">
        <v>1</v>
      </c>
      <c r="J387" s="13">
        <f>ROUND(2.6/G387+1,0)</f>
        <v>11</v>
      </c>
      <c r="K387" s="45">
        <f>D387</f>
        <v>2.2999999999999998</v>
      </c>
      <c r="L387" s="37" t="str">
        <f>IF(O387&lt;12,"0",0.049*H387)</f>
        <v>0</v>
      </c>
      <c r="M387" s="17">
        <v>0</v>
      </c>
      <c r="N387" s="11">
        <f>M387*2*H387/1000</f>
        <v>0</v>
      </c>
      <c r="O387" s="16">
        <f>(D387)-N387</f>
        <v>2.2999999999999998</v>
      </c>
      <c r="P387" s="16">
        <f>(I387*J387*O387)+L387</f>
        <v>25.299999999999997</v>
      </c>
      <c r="Q387" s="18" t="str">
        <f t="shared" si="30"/>
        <v/>
      </c>
      <c r="R387" s="18" t="str">
        <f t="shared" si="31"/>
        <v/>
      </c>
      <c r="S387" s="18" t="str">
        <f t="shared" si="32"/>
        <v/>
      </c>
      <c r="T387" s="18" t="str">
        <f t="shared" si="33"/>
        <v/>
      </c>
      <c r="U387" s="18">
        <f t="shared" si="34"/>
        <v>25.299999999999997</v>
      </c>
      <c r="V387" s="18" t="str">
        <f t="shared" si="35"/>
        <v/>
      </c>
      <c r="W387" s="14"/>
    </row>
    <row r="388" spans="1:23" x14ac:dyDescent="0.25">
      <c r="A388" s="6"/>
      <c r="B388" s="33" t="s">
        <v>66</v>
      </c>
      <c r="C388" s="19"/>
      <c r="D388" s="56"/>
      <c r="E388" s="56"/>
      <c r="F388" s="41"/>
      <c r="G388" s="36"/>
      <c r="H388" s="10"/>
      <c r="I388" s="11"/>
      <c r="J388" s="13"/>
      <c r="K388" s="45"/>
      <c r="L388" s="37"/>
      <c r="M388" s="17"/>
      <c r="N388" s="11"/>
      <c r="O388" s="16"/>
      <c r="P388" s="16"/>
      <c r="Q388" s="18" t="str">
        <f t="shared" si="30"/>
        <v/>
      </c>
      <c r="R388" s="18" t="str">
        <f t="shared" si="31"/>
        <v/>
      </c>
      <c r="S388" s="18" t="str">
        <f t="shared" si="32"/>
        <v/>
      </c>
      <c r="T388" s="18" t="str">
        <f t="shared" si="33"/>
        <v/>
      </c>
      <c r="U388" s="18" t="str">
        <f t="shared" si="34"/>
        <v/>
      </c>
      <c r="V388" s="18" t="str">
        <f t="shared" si="35"/>
        <v/>
      </c>
      <c r="W388" s="14"/>
    </row>
    <row r="389" spans="1:23" x14ac:dyDescent="0.25">
      <c r="A389" s="6"/>
      <c r="B389" s="33"/>
      <c r="C389" s="19"/>
      <c r="D389" s="56"/>
      <c r="E389" s="56"/>
      <c r="F389" s="41"/>
      <c r="G389" s="36"/>
      <c r="H389" s="10"/>
      <c r="I389" s="11"/>
      <c r="J389" s="13"/>
      <c r="K389" s="45"/>
      <c r="L389" s="37"/>
      <c r="M389" s="17"/>
      <c r="N389" s="11"/>
      <c r="O389" s="16"/>
      <c r="P389" s="16"/>
      <c r="Q389" s="18" t="str">
        <f t="shared" si="30"/>
        <v/>
      </c>
      <c r="R389" s="18" t="str">
        <f t="shared" si="31"/>
        <v/>
      </c>
      <c r="S389" s="18" t="str">
        <f t="shared" si="32"/>
        <v/>
      </c>
      <c r="T389" s="18" t="str">
        <f t="shared" si="33"/>
        <v/>
      </c>
      <c r="U389" s="18" t="str">
        <f t="shared" si="34"/>
        <v/>
      </c>
      <c r="V389" s="18" t="str">
        <f t="shared" si="35"/>
        <v/>
      </c>
      <c r="W389" s="14"/>
    </row>
    <row r="390" spans="1:23" x14ac:dyDescent="0.25">
      <c r="A390" s="6">
        <v>74</v>
      </c>
      <c r="B390" s="33" t="s">
        <v>34</v>
      </c>
      <c r="C390" s="44"/>
      <c r="D390" s="62">
        <f>1+0.6+1</f>
        <v>2.6</v>
      </c>
      <c r="E390" s="62"/>
      <c r="F390" s="41"/>
      <c r="G390" s="36">
        <v>0.25</v>
      </c>
      <c r="H390" s="10">
        <v>20</v>
      </c>
      <c r="I390" s="11">
        <v>1</v>
      </c>
      <c r="J390" s="13">
        <f>ROUND(2.3/G390+1,0)</f>
        <v>10</v>
      </c>
      <c r="K390" s="45">
        <f>D390</f>
        <v>2.6</v>
      </c>
      <c r="L390" s="37" t="str">
        <f>IF(O390&lt;12,"0",0.049*H390)</f>
        <v>0</v>
      </c>
      <c r="M390" s="17">
        <v>0</v>
      </c>
      <c r="N390" s="11">
        <f>M390*2*H390/1000</f>
        <v>0</v>
      </c>
      <c r="O390" s="16">
        <f>(D390)-N390</f>
        <v>2.6</v>
      </c>
      <c r="P390" s="16">
        <f>(I390*J390*O390)+L390</f>
        <v>26</v>
      </c>
      <c r="Q390" s="18" t="str">
        <f t="shared" si="30"/>
        <v/>
      </c>
      <c r="R390" s="18" t="str">
        <f t="shared" si="31"/>
        <v/>
      </c>
      <c r="S390" s="18" t="str">
        <f t="shared" si="32"/>
        <v/>
      </c>
      <c r="T390" s="18" t="str">
        <f t="shared" si="33"/>
        <v/>
      </c>
      <c r="U390" s="18">
        <f t="shared" si="34"/>
        <v>26</v>
      </c>
      <c r="V390" s="18" t="str">
        <f t="shared" si="35"/>
        <v/>
      </c>
      <c r="W390" s="14"/>
    </row>
    <row r="391" spans="1:23" x14ac:dyDescent="0.25">
      <c r="A391" s="6"/>
      <c r="B391" s="33" t="s">
        <v>66</v>
      </c>
      <c r="C391" s="19"/>
      <c r="D391" s="56"/>
      <c r="E391" s="56"/>
      <c r="F391" s="41"/>
      <c r="G391" s="36"/>
      <c r="H391" s="10"/>
      <c r="I391" s="11"/>
      <c r="J391" s="13"/>
      <c r="K391" s="45"/>
      <c r="L391" s="37"/>
      <c r="M391" s="17"/>
      <c r="N391" s="11"/>
      <c r="O391" s="16"/>
      <c r="P391" s="16"/>
      <c r="Q391" s="18" t="str">
        <f t="shared" si="30"/>
        <v/>
      </c>
      <c r="R391" s="18" t="str">
        <f t="shared" si="31"/>
        <v/>
      </c>
      <c r="S391" s="18" t="str">
        <f t="shared" si="32"/>
        <v/>
      </c>
      <c r="T391" s="18" t="str">
        <f t="shared" si="33"/>
        <v/>
      </c>
      <c r="U391" s="18" t="str">
        <f t="shared" si="34"/>
        <v/>
      </c>
      <c r="V391" s="18" t="str">
        <f t="shared" si="35"/>
        <v/>
      </c>
      <c r="W391" s="14"/>
    </row>
    <row r="392" spans="1:23" x14ac:dyDescent="0.25">
      <c r="A392" s="6"/>
      <c r="B392" s="33"/>
      <c r="C392" s="19"/>
      <c r="D392" s="56"/>
      <c r="E392" s="56"/>
      <c r="F392" s="41"/>
      <c r="G392" s="36"/>
      <c r="H392" s="10"/>
      <c r="I392" s="11"/>
      <c r="J392" s="13"/>
      <c r="K392" s="45"/>
      <c r="L392" s="37"/>
      <c r="M392" s="17"/>
      <c r="N392" s="11"/>
      <c r="O392" s="16"/>
      <c r="P392" s="16"/>
      <c r="Q392" s="18" t="str">
        <f t="shared" si="30"/>
        <v/>
      </c>
      <c r="R392" s="18" t="str">
        <f t="shared" si="31"/>
        <v/>
      </c>
      <c r="S392" s="18" t="str">
        <f t="shared" si="32"/>
        <v/>
      </c>
      <c r="T392" s="18" t="str">
        <f t="shared" si="33"/>
        <v/>
      </c>
      <c r="U392" s="18" t="str">
        <f t="shared" si="34"/>
        <v/>
      </c>
      <c r="V392" s="18" t="str">
        <f t="shared" si="35"/>
        <v/>
      </c>
      <c r="W392" s="14"/>
    </row>
    <row r="393" spans="1:23" x14ac:dyDescent="0.25">
      <c r="A393" s="6">
        <v>75</v>
      </c>
      <c r="B393" s="33" t="s">
        <v>33</v>
      </c>
      <c r="C393" s="44"/>
      <c r="D393" s="62">
        <f>1.25+0.3+1.25</f>
        <v>2.8</v>
      </c>
      <c r="E393" s="62"/>
      <c r="F393" s="41"/>
      <c r="G393" s="36">
        <v>0.25</v>
      </c>
      <c r="H393" s="10">
        <v>25</v>
      </c>
      <c r="I393" s="11">
        <v>1</v>
      </c>
      <c r="J393" s="13">
        <f>ROUND(3.1/G393+1,0)</f>
        <v>13</v>
      </c>
      <c r="K393" s="45">
        <f>D393</f>
        <v>2.8</v>
      </c>
      <c r="L393" s="37" t="str">
        <f>IF(O393&lt;12,"0",0.049*H393)</f>
        <v>0</v>
      </c>
      <c r="M393" s="17">
        <v>0</v>
      </c>
      <c r="N393" s="11">
        <f>M393*2*H393/1000</f>
        <v>0</v>
      </c>
      <c r="O393" s="16">
        <f>(D393)-N393</f>
        <v>2.8</v>
      </c>
      <c r="P393" s="16">
        <f>(I393*J393*O393)+L393</f>
        <v>36.4</v>
      </c>
      <c r="Q393" s="18" t="str">
        <f t="shared" si="30"/>
        <v/>
      </c>
      <c r="R393" s="18" t="str">
        <f t="shared" si="31"/>
        <v/>
      </c>
      <c r="S393" s="18" t="str">
        <f t="shared" si="32"/>
        <v/>
      </c>
      <c r="T393" s="18" t="str">
        <f t="shared" si="33"/>
        <v/>
      </c>
      <c r="U393" s="18" t="str">
        <f t="shared" si="34"/>
        <v/>
      </c>
      <c r="V393" s="18">
        <f t="shared" si="35"/>
        <v>36.4</v>
      </c>
      <c r="W393" s="14"/>
    </row>
    <row r="394" spans="1:23" x14ac:dyDescent="0.25">
      <c r="A394" s="6"/>
      <c r="B394" s="33" t="s">
        <v>43</v>
      </c>
      <c r="C394" s="19"/>
      <c r="D394" s="56"/>
      <c r="E394" s="56"/>
      <c r="F394" s="41"/>
      <c r="G394" s="36"/>
      <c r="H394" s="10"/>
      <c r="I394" s="11"/>
      <c r="J394" s="13"/>
      <c r="K394" s="45"/>
      <c r="L394" s="37"/>
      <c r="M394" s="17"/>
      <c r="N394" s="11"/>
      <c r="O394" s="16"/>
      <c r="P394" s="16"/>
      <c r="Q394" s="18" t="str">
        <f t="shared" si="30"/>
        <v/>
      </c>
      <c r="R394" s="18" t="str">
        <f t="shared" si="31"/>
        <v/>
      </c>
      <c r="S394" s="18" t="str">
        <f t="shared" si="32"/>
        <v/>
      </c>
      <c r="T394" s="18" t="str">
        <f t="shared" si="33"/>
        <v/>
      </c>
      <c r="U394" s="18" t="str">
        <f t="shared" si="34"/>
        <v/>
      </c>
      <c r="V394" s="18" t="str">
        <f t="shared" si="35"/>
        <v/>
      </c>
      <c r="W394" s="14"/>
    </row>
    <row r="395" spans="1:23" x14ac:dyDescent="0.25">
      <c r="A395" s="6"/>
      <c r="B395" s="33"/>
      <c r="C395" s="19"/>
      <c r="D395" s="56"/>
      <c r="E395" s="56"/>
      <c r="F395" s="41"/>
      <c r="G395" s="36"/>
      <c r="H395" s="10"/>
      <c r="I395" s="11"/>
      <c r="J395" s="13"/>
      <c r="K395" s="45"/>
      <c r="L395" s="37"/>
      <c r="M395" s="17"/>
      <c r="N395" s="11"/>
      <c r="O395" s="16"/>
      <c r="P395" s="16"/>
      <c r="Q395" s="18" t="str">
        <f t="shared" si="30"/>
        <v/>
      </c>
      <c r="R395" s="18" t="str">
        <f t="shared" si="31"/>
        <v/>
      </c>
      <c r="S395" s="18" t="str">
        <f t="shared" si="32"/>
        <v/>
      </c>
      <c r="T395" s="18" t="str">
        <f t="shared" si="33"/>
        <v/>
      </c>
      <c r="U395" s="18" t="str">
        <f t="shared" si="34"/>
        <v/>
      </c>
      <c r="V395" s="18" t="str">
        <f t="shared" si="35"/>
        <v/>
      </c>
      <c r="W395" s="14"/>
    </row>
    <row r="396" spans="1:23" x14ac:dyDescent="0.25">
      <c r="A396" s="6">
        <v>76</v>
      </c>
      <c r="B396" s="33" t="s">
        <v>34</v>
      </c>
      <c r="C396" s="44"/>
      <c r="D396" s="62">
        <f>1.25+0.6+1.25</f>
        <v>3.1</v>
      </c>
      <c r="E396" s="62"/>
      <c r="F396" s="41"/>
      <c r="G396" s="36">
        <v>0.25</v>
      </c>
      <c r="H396" s="10">
        <v>25</v>
      </c>
      <c r="I396" s="11">
        <v>1</v>
      </c>
      <c r="J396" s="13">
        <f>ROUND(2.8/G396+1,0)</f>
        <v>12</v>
      </c>
      <c r="K396" s="45">
        <f>D396</f>
        <v>3.1</v>
      </c>
      <c r="L396" s="37" t="str">
        <f>IF(O396&lt;12,"0",0.049*H396)</f>
        <v>0</v>
      </c>
      <c r="M396" s="17">
        <v>0</v>
      </c>
      <c r="N396" s="11">
        <f>M396*2*H396/1000</f>
        <v>0</v>
      </c>
      <c r="O396" s="16">
        <f>(D396)-N396</f>
        <v>3.1</v>
      </c>
      <c r="P396" s="16">
        <f>(I396*J396*O396)+L396</f>
        <v>37.200000000000003</v>
      </c>
      <c r="Q396" s="18" t="str">
        <f t="shared" si="30"/>
        <v/>
      </c>
      <c r="R396" s="18" t="str">
        <f t="shared" si="31"/>
        <v/>
      </c>
      <c r="S396" s="18" t="str">
        <f t="shared" si="32"/>
        <v/>
      </c>
      <c r="T396" s="18" t="str">
        <f t="shared" si="33"/>
        <v/>
      </c>
      <c r="U396" s="18" t="str">
        <f t="shared" si="34"/>
        <v/>
      </c>
      <c r="V396" s="18">
        <f t="shared" si="35"/>
        <v>37.200000000000003</v>
      </c>
      <c r="W396" s="14"/>
    </row>
    <row r="397" spans="1:23" x14ac:dyDescent="0.25">
      <c r="A397" s="6"/>
      <c r="B397" s="33" t="s">
        <v>43</v>
      </c>
      <c r="C397" s="19"/>
      <c r="D397" s="56"/>
      <c r="E397" s="56"/>
      <c r="F397" s="41"/>
      <c r="G397" s="36"/>
      <c r="H397" s="10"/>
      <c r="I397" s="11"/>
      <c r="J397" s="13"/>
      <c r="K397" s="45"/>
      <c r="L397" s="37"/>
      <c r="M397" s="17"/>
      <c r="N397" s="11"/>
      <c r="O397" s="16"/>
      <c r="P397" s="16"/>
      <c r="Q397" s="18" t="str">
        <f t="shared" si="30"/>
        <v/>
      </c>
      <c r="R397" s="18" t="str">
        <f t="shared" si="31"/>
        <v/>
      </c>
      <c r="S397" s="18" t="str">
        <f t="shared" si="32"/>
        <v/>
      </c>
      <c r="T397" s="18" t="str">
        <f t="shared" si="33"/>
        <v/>
      </c>
      <c r="U397" s="18" t="str">
        <f t="shared" si="34"/>
        <v/>
      </c>
      <c r="V397" s="18" t="str">
        <f t="shared" si="35"/>
        <v/>
      </c>
      <c r="W397" s="14"/>
    </row>
    <row r="398" spans="1:23" x14ac:dyDescent="0.25">
      <c r="A398" s="6"/>
      <c r="B398" s="33"/>
      <c r="C398" s="19"/>
      <c r="D398" s="56"/>
      <c r="E398" s="56"/>
      <c r="F398" s="41"/>
      <c r="G398" s="36"/>
      <c r="H398" s="10"/>
      <c r="I398" s="11"/>
      <c r="J398" s="13"/>
      <c r="K398" s="45"/>
      <c r="L398" s="37"/>
      <c r="M398" s="17"/>
      <c r="N398" s="11"/>
      <c r="O398" s="16"/>
      <c r="P398" s="16"/>
      <c r="Q398" s="18" t="str">
        <f t="shared" si="30"/>
        <v/>
      </c>
      <c r="R398" s="18" t="str">
        <f t="shared" si="31"/>
        <v/>
      </c>
      <c r="S398" s="18" t="str">
        <f t="shared" si="32"/>
        <v/>
      </c>
      <c r="T398" s="18" t="str">
        <f t="shared" si="33"/>
        <v/>
      </c>
      <c r="U398" s="18" t="str">
        <f t="shared" si="34"/>
        <v/>
      </c>
      <c r="V398" s="18" t="str">
        <f t="shared" si="35"/>
        <v/>
      </c>
      <c r="W398" s="14"/>
    </row>
    <row r="399" spans="1:23" x14ac:dyDescent="0.25">
      <c r="A399" s="6">
        <v>77</v>
      </c>
      <c r="B399" s="33" t="s">
        <v>33</v>
      </c>
      <c r="C399" s="44"/>
      <c r="D399" s="62">
        <f>0.75-0.05+0.3+1.25</f>
        <v>2.25</v>
      </c>
      <c r="E399" s="62"/>
      <c r="F399" s="41"/>
      <c r="G399" s="36">
        <v>0.25</v>
      </c>
      <c r="H399" s="10">
        <v>25</v>
      </c>
      <c r="I399" s="11">
        <v>1</v>
      </c>
      <c r="J399" s="13">
        <f>ROUND(2.6/G399+1,0)</f>
        <v>11</v>
      </c>
      <c r="K399" s="45">
        <f>D399</f>
        <v>2.25</v>
      </c>
      <c r="L399" s="37" t="str">
        <f>IF(O399&lt;12,"0",0.049*H399)</f>
        <v>0</v>
      </c>
      <c r="M399" s="17">
        <v>0</v>
      </c>
      <c r="N399" s="11">
        <f>M399*2*H399/1000</f>
        <v>0</v>
      </c>
      <c r="O399" s="16">
        <f>(D399)-N399</f>
        <v>2.25</v>
      </c>
      <c r="P399" s="16">
        <f>(I399*J399*O399)+L399</f>
        <v>24.75</v>
      </c>
      <c r="Q399" s="18" t="str">
        <f t="shared" si="30"/>
        <v/>
      </c>
      <c r="R399" s="18" t="str">
        <f t="shared" si="31"/>
        <v/>
      </c>
      <c r="S399" s="18" t="str">
        <f t="shared" si="32"/>
        <v/>
      </c>
      <c r="T399" s="18" t="str">
        <f t="shared" si="33"/>
        <v/>
      </c>
      <c r="U399" s="18" t="str">
        <f t="shared" si="34"/>
        <v/>
      </c>
      <c r="V399" s="18">
        <f t="shared" si="35"/>
        <v>24.75</v>
      </c>
      <c r="W399" s="14"/>
    </row>
    <row r="400" spans="1:23" x14ac:dyDescent="0.25">
      <c r="A400" s="6"/>
      <c r="B400" s="33" t="s">
        <v>67</v>
      </c>
      <c r="C400" s="19"/>
      <c r="D400" s="56"/>
      <c r="E400" s="56"/>
      <c r="F400" s="41"/>
      <c r="G400" s="36"/>
      <c r="H400" s="10"/>
      <c r="I400" s="11"/>
      <c r="J400" s="13"/>
      <c r="K400" s="45"/>
      <c r="L400" s="37"/>
      <c r="M400" s="17"/>
      <c r="N400" s="11"/>
      <c r="O400" s="16"/>
      <c r="P400" s="16"/>
      <c r="Q400" s="18" t="str">
        <f t="shared" si="30"/>
        <v/>
      </c>
      <c r="R400" s="18" t="str">
        <f t="shared" si="31"/>
        <v/>
      </c>
      <c r="S400" s="18" t="str">
        <f t="shared" si="32"/>
        <v/>
      </c>
      <c r="T400" s="18" t="str">
        <f t="shared" si="33"/>
        <v/>
      </c>
      <c r="U400" s="18" t="str">
        <f t="shared" si="34"/>
        <v/>
      </c>
      <c r="V400" s="18" t="str">
        <f t="shared" si="35"/>
        <v/>
      </c>
      <c r="W400" s="14"/>
    </row>
    <row r="401" spans="1:23" x14ac:dyDescent="0.25">
      <c r="A401" s="6"/>
      <c r="B401" s="33"/>
      <c r="C401" s="19"/>
      <c r="D401" s="56"/>
      <c r="E401" s="56"/>
      <c r="F401" s="41"/>
      <c r="G401" s="36"/>
      <c r="H401" s="10"/>
      <c r="I401" s="11"/>
      <c r="J401" s="13"/>
      <c r="K401" s="45"/>
      <c r="L401" s="37"/>
      <c r="M401" s="17"/>
      <c r="N401" s="11"/>
      <c r="O401" s="16"/>
      <c r="P401" s="16"/>
      <c r="Q401" s="18" t="str">
        <f t="shared" si="30"/>
        <v/>
      </c>
      <c r="R401" s="18" t="str">
        <f t="shared" si="31"/>
        <v/>
      </c>
      <c r="S401" s="18" t="str">
        <f t="shared" si="32"/>
        <v/>
      </c>
      <c r="T401" s="18" t="str">
        <f t="shared" si="33"/>
        <v/>
      </c>
      <c r="U401" s="18" t="str">
        <f t="shared" si="34"/>
        <v/>
      </c>
      <c r="V401" s="18" t="str">
        <f t="shared" si="35"/>
        <v/>
      </c>
      <c r="W401" s="14"/>
    </row>
    <row r="402" spans="1:23" x14ac:dyDescent="0.25">
      <c r="A402" s="6">
        <v>78</v>
      </c>
      <c r="B402" s="33" t="s">
        <v>34</v>
      </c>
      <c r="C402" s="44"/>
      <c r="D402" s="62">
        <f>1+0.6+1</f>
        <v>2.6</v>
      </c>
      <c r="E402" s="62"/>
      <c r="F402" s="41"/>
      <c r="G402" s="36">
        <v>0.25</v>
      </c>
      <c r="H402" s="10">
        <v>20</v>
      </c>
      <c r="I402" s="11">
        <v>1</v>
      </c>
      <c r="J402" s="13">
        <f>ROUND(2.25/G402+1,0)</f>
        <v>10</v>
      </c>
      <c r="K402" s="45">
        <f>D402</f>
        <v>2.6</v>
      </c>
      <c r="L402" s="37" t="str">
        <f>IF(O402&lt;12,"0",0.049*H402)</f>
        <v>0</v>
      </c>
      <c r="M402" s="17">
        <v>0</v>
      </c>
      <c r="N402" s="11">
        <f>M402*2*H402/1000</f>
        <v>0</v>
      </c>
      <c r="O402" s="16">
        <f>(D402)-N402</f>
        <v>2.6</v>
      </c>
      <c r="P402" s="16">
        <f>(I402*J402*O402)+L402</f>
        <v>26</v>
      </c>
      <c r="Q402" s="18" t="str">
        <f t="shared" si="30"/>
        <v/>
      </c>
      <c r="R402" s="18" t="str">
        <f t="shared" si="31"/>
        <v/>
      </c>
      <c r="S402" s="18" t="str">
        <f t="shared" si="32"/>
        <v/>
      </c>
      <c r="T402" s="18" t="str">
        <f t="shared" si="33"/>
        <v/>
      </c>
      <c r="U402" s="18">
        <f t="shared" si="34"/>
        <v>26</v>
      </c>
      <c r="V402" s="18" t="str">
        <f t="shared" si="35"/>
        <v/>
      </c>
      <c r="W402" s="14"/>
    </row>
    <row r="403" spans="1:23" x14ac:dyDescent="0.25">
      <c r="A403" s="6"/>
      <c r="B403" s="33" t="s">
        <v>67</v>
      </c>
      <c r="C403" s="19"/>
      <c r="D403" s="56"/>
      <c r="E403" s="56"/>
      <c r="F403" s="41"/>
      <c r="G403" s="36"/>
      <c r="H403" s="10"/>
      <c r="I403" s="11"/>
      <c r="J403" s="13"/>
      <c r="K403" s="45"/>
      <c r="L403" s="37"/>
      <c r="M403" s="17"/>
      <c r="N403" s="11"/>
      <c r="O403" s="16"/>
      <c r="P403" s="16"/>
      <c r="Q403" s="18" t="str">
        <f t="shared" si="30"/>
        <v/>
      </c>
      <c r="R403" s="18" t="str">
        <f t="shared" si="31"/>
        <v/>
      </c>
      <c r="S403" s="18" t="str">
        <f t="shared" si="32"/>
        <v/>
      </c>
      <c r="T403" s="18" t="str">
        <f t="shared" si="33"/>
        <v/>
      </c>
      <c r="U403" s="18" t="str">
        <f t="shared" si="34"/>
        <v/>
      </c>
      <c r="V403" s="18" t="str">
        <f t="shared" si="35"/>
        <v/>
      </c>
      <c r="W403" s="14"/>
    </row>
    <row r="404" spans="1:23" x14ac:dyDescent="0.25">
      <c r="A404" s="6"/>
      <c r="B404" s="33"/>
      <c r="C404" s="19"/>
      <c r="D404" s="56"/>
      <c r="E404" s="56"/>
      <c r="F404" s="41"/>
      <c r="G404" s="36"/>
      <c r="H404" s="10"/>
      <c r="I404" s="11"/>
      <c r="J404" s="13"/>
      <c r="K404" s="45"/>
      <c r="L404" s="37"/>
      <c r="M404" s="17"/>
      <c r="N404" s="11"/>
      <c r="O404" s="16"/>
      <c r="P404" s="16"/>
      <c r="Q404" s="18" t="str">
        <f t="shared" si="30"/>
        <v/>
      </c>
      <c r="R404" s="18" t="str">
        <f t="shared" si="31"/>
        <v/>
      </c>
      <c r="S404" s="18" t="str">
        <f t="shared" si="32"/>
        <v/>
      </c>
      <c r="T404" s="18" t="str">
        <f t="shared" si="33"/>
        <v/>
      </c>
      <c r="U404" s="18" t="str">
        <f t="shared" si="34"/>
        <v/>
      </c>
      <c r="V404" s="18" t="str">
        <f t="shared" si="35"/>
        <v/>
      </c>
      <c r="W404" s="14"/>
    </row>
    <row r="405" spans="1:23" x14ac:dyDescent="0.25">
      <c r="A405" s="6">
        <v>79</v>
      </c>
      <c r="B405" s="33" t="s">
        <v>33</v>
      </c>
      <c r="C405" s="44"/>
      <c r="D405" s="62">
        <f>0.75-0.05+0.3+1.25</f>
        <v>2.25</v>
      </c>
      <c r="E405" s="62"/>
      <c r="F405" s="41"/>
      <c r="G405" s="36">
        <v>0.25</v>
      </c>
      <c r="H405" s="10">
        <v>25</v>
      </c>
      <c r="I405" s="11">
        <v>1</v>
      </c>
      <c r="J405" s="13">
        <f>ROUND(3.1/G405+1,0)</f>
        <v>13</v>
      </c>
      <c r="K405" s="45">
        <f>D405</f>
        <v>2.25</v>
      </c>
      <c r="L405" s="37" t="str">
        <f>IF(O405&lt;12,"0",0.049*H405)</f>
        <v>0</v>
      </c>
      <c r="M405" s="17">
        <v>0</v>
      </c>
      <c r="N405" s="11">
        <f>M405*2*H405/1000</f>
        <v>0</v>
      </c>
      <c r="O405" s="16">
        <f>(D405)-N405</f>
        <v>2.25</v>
      </c>
      <c r="P405" s="16">
        <f>(I405*J405*O405)+L405</f>
        <v>29.25</v>
      </c>
      <c r="Q405" s="18" t="str">
        <f t="shared" si="30"/>
        <v/>
      </c>
      <c r="R405" s="18" t="str">
        <f t="shared" si="31"/>
        <v/>
      </c>
      <c r="S405" s="18" t="str">
        <f t="shared" si="32"/>
        <v/>
      </c>
      <c r="T405" s="18" t="str">
        <f t="shared" si="33"/>
        <v/>
      </c>
      <c r="U405" s="18" t="str">
        <f t="shared" si="34"/>
        <v/>
      </c>
      <c r="V405" s="18">
        <f t="shared" si="35"/>
        <v>29.25</v>
      </c>
      <c r="W405" s="14"/>
    </row>
    <row r="406" spans="1:23" x14ac:dyDescent="0.25">
      <c r="A406" s="6"/>
      <c r="B406" s="33" t="s">
        <v>68</v>
      </c>
      <c r="C406" s="19"/>
      <c r="D406" s="56"/>
      <c r="E406" s="56"/>
      <c r="F406" s="41"/>
      <c r="G406" s="36"/>
      <c r="H406" s="10"/>
      <c r="I406" s="11"/>
      <c r="J406" s="13"/>
      <c r="K406" s="45"/>
      <c r="L406" s="37"/>
      <c r="M406" s="17"/>
      <c r="N406" s="11"/>
      <c r="O406" s="16"/>
      <c r="P406" s="16"/>
      <c r="Q406" s="18" t="str">
        <f t="shared" si="30"/>
        <v/>
      </c>
      <c r="R406" s="18" t="str">
        <f t="shared" si="31"/>
        <v/>
      </c>
      <c r="S406" s="18" t="str">
        <f t="shared" si="32"/>
        <v/>
      </c>
      <c r="T406" s="18" t="str">
        <f t="shared" si="33"/>
        <v/>
      </c>
      <c r="U406" s="18" t="str">
        <f t="shared" si="34"/>
        <v/>
      </c>
      <c r="V406" s="18" t="str">
        <f t="shared" si="35"/>
        <v/>
      </c>
      <c r="W406" s="14"/>
    </row>
    <row r="407" spans="1:23" x14ac:dyDescent="0.25">
      <c r="A407" s="6"/>
      <c r="B407" s="33"/>
      <c r="C407" s="19"/>
      <c r="D407" s="56"/>
      <c r="E407" s="56"/>
      <c r="F407" s="41"/>
      <c r="G407" s="36"/>
      <c r="H407" s="10"/>
      <c r="I407" s="11"/>
      <c r="J407" s="13"/>
      <c r="K407" s="45"/>
      <c r="L407" s="37"/>
      <c r="M407" s="17"/>
      <c r="N407" s="11"/>
      <c r="O407" s="16"/>
      <c r="P407" s="16"/>
      <c r="Q407" s="18" t="str">
        <f t="shared" si="30"/>
        <v/>
      </c>
      <c r="R407" s="18" t="str">
        <f t="shared" si="31"/>
        <v/>
      </c>
      <c r="S407" s="18" t="str">
        <f t="shared" si="32"/>
        <v/>
      </c>
      <c r="T407" s="18" t="str">
        <f t="shared" si="33"/>
        <v/>
      </c>
      <c r="U407" s="18" t="str">
        <f t="shared" si="34"/>
        <v/>
      </c>
      <c r="V407" s="18" t="str">
        <f t="shared" si="35"/>
        <v/>
      </c>
      <c r="W407" s="14"/>
    </row>
    <row r="408" spans="1:23" x14ac:dyDescent="0.25">
      <c r="A408" s="6">
        <v>80</v>
      </c>
      <c r="B408" s="33" t="s">
        <v>34</v>
      </c>
      <c r="C408" s="44"/>
      <c r="D408" s="62">
        <f>1.25+0.6+1.25</f>
        <v>3.1</v>
      </c>
      <c r="E408" s="62"/>
      <c r="F408" s="41"/>
      <c r="G408" s="36">
        <v>0.25</v>
      </c>
      <c r="H408" s="10">
        <v>25</v>
      </c>
      <c r="I408" s="11">
        <v>1</v>
      </c>
      <c r="J408" s="13">
        <f>ROUND(2.25/G408+1,0)</f>
        <v>10</v>
      </c>
      <c r="K408" s="45">
        <f>D408</f>
        <v>3.1</v>
      </c>
      <c r="L408" s="37" t="str">
        <f>IF(O408&lt;12,"0",0.049*H408)</f>
        <v>0</v>
      </c>
      <c r="M408" s="17">
        <v>0</v>
      </c>
      <c r="N408" s="11">
        <f>M408*2*H408/1000</f>
        <v>0</v>
      </c>
      <c r="O408" s="16">
        <f>(D408)-N408</f>
        <v>3.1</v>
      </c>
      <c r="P408" s="16">
        <f>(I408*J408*O408)+L408</f>
        <v>31</v>
      </c>
      <c r="Q408" s="18" t="str">
        <f t="shared" si="30"/>
        <v/>
      </c>
      <c r="R408" s="18" t="str">
        <f t="shared" si="31"/>
        <v/>
      </c>
      <c r="S408" s="18" t="str">
        <f t="shared" si="32"/>
        <v/>
      </c>
      <c r="T408" s="18" t="str">
        <f t="shared" si="33"/>
        <v/>
      </c>
      <c r="U408" s="18" t="str">
        <f t="shared" si="34"/>
        <v/>
      </c>
      <c r="V408" s="18">
        <f t="shared" si="35"/>
        <v>31</v>
      </c>
      <c r="W408" s="14"/>
    </row>
    <row r="409" spans="1:23" x14ac:dyDescent="0.25">
      <c r="A409" s="6"/>
      <c r="B409" s="33" t="s">
        <v>68</v>
      </c>
      <c r="C409" s="19"/>
      <c r="D409" s="56"/>
      <c r="E409" s="56"/>
      <c r="F409" s="41"/>
      <c r="G409" s="36"/>
      <c r="H409" s="10"/>
      <c r="I409" s="11"/>
      <c r="J409" s="13"/>
      <c r="K409" s="45"/>
      <c r="L409" s="37"/>
      <c r="M409" s="17"/>
      <c r="N409" s="11"/>
      <c r="O409" s="16"/>
      <c r="P409" s="16"/>
      <c r="Q409" s="18" t="str">
        <f t="shared" si="30"/>
        <v/>
      </c>
      <c r="R409" s="18" t="str">
        <f t="shared" si="31"/>
        <v/>
      </c>
      <c r="S409" s="18" t="str">
        <f t="shared" si="32"/>
        <v/>
      </c>
      <c r="T409" s="18" t="str">
        <f t="shared" si="33"/>
        <v/>
      </c>
      <c r="U409" s="18" t="str">
        <f t="shared" si="34"/>
        <v/>
      </c>
      <c r="V409" s="18" t="str">
        <f t="shared" si="35"/>
        <v/>
      </c>
      <c r="W409" s="14"/>
    </row>
    <row r="410" spans="1:23" x14ac:dyDescent="0.25">
      <c r="A410" s="6"/>
      <c r="B410" s="33"/>
      <c r="C410" s="19"/>
      <c r="D410" s="56"/>
      <c r="E410" s="56"/>
      <c r="F410" s="41"/>
      <c r="G410" s="36"/>
      <c r="H410" s="10"/>
      <c r="I410" s="11"/>
      <c r="J410" s="13"/>
      <c r="K410" s="45"/>
      <c r="L410" s="37"/>
      <c r="M410" s="17"/>
      <c r="N410" s="11"/>
      <c r="O410" s="16"/>
      <c r="P410" s="16"/>
      <c r="Q410" s="18" t="str">
        <f t="shared" si="30"/>
        <v/>
      </c>
      <c r="R410" s="18" t="str">
        <f t="shared" si="31"/>
        <v/>
      </c>
      <c r="S410" s="18" t="str">
        <f t="shared" si="32"/>
        <v/>
      </c>
      <c r="T410" s="18" t="str">
        <f t="shared" si="33"/>
        <v/>
      </c>
      <c r="U410" s="18" t="str">
        <f t="shared" si="34"/>
        <v/>
      </c>
      <c r="V410" s="18" t="str">
        <f t="shared" si="35"/>
        <v/>
      </c>
      <c r="W410" s="14"/>
    </row>
    <row r="411" spans="1:23" x14ac:dyDescent="0.25">
      <c r="A411" s="6">
        <v>81</v>
      </c>
      <c r="B411" s="33" t="s">
        <v>33</v>
      </c>
      <c r="C411" s="44"/>
      <c r="D411" s="62">
        <f>1+1.535+1</f>
        <v>3.5350000000000001</v>
      </c>
      <c r="E411" s="62"/>
      <c r="F411" s="41"/>
      <c r="G411" s="36">
        <v>0.25</v>
      </c>
      <c r="H411" s="10">
        <v>20</v>
      </c>
      <c r="I411" s="11">
        <v>1</v>
      </c>
      <c r="J411" s="13">
        <f>ROUND(4.045/G411+1,0)</f>
        <v>17</v>
      </c>
      <c r="K411" s="45">
        <f>D411</f>
        <v>3.5350000000000001</v>
      </c>
      <c r="L411" s="37" t="str">
        <f>IF(O411&lt;12,"0",0.049*H411)</f>
        <v>0</v>
      </c>
      <c r="M411" s="17">
        <v>0</v>
      </c>
      <c r="N411" s="11">
        <f>M411*2*H411/1000</f>
        <v>0</v>
      </c>
      <c r="O411" s="16">
        <f>(D411)-N411</f>
        <v>3.5350000000000001</v>
      </c>
      <c r="P411" s="16">
        <f>(I411*J411*O411)+L411</f>
        <v>60.094999999999999</v>
      </c>
      <c r="Q411" s="18" t="str">
        <f t="shared" si="30"/>
        <v/>
      </c>
      <c r="R411" s="18" t="str">
        <f t="shared" si="31"/>
        <v/>
      </c>
      <c r="S411" s="18" t="str">
        <f t="shared" si="32"/>
        <v/>
      </c>
      <c r="T411" s="18" t="str">
        <f t="shared" si="33"/>
        <v/>
      </c>
      <c r="U411" s="18">
        <f t="shared" si="34"/>
        <v>60.094999999999999</v>
      </c>
      <c r="V411" s="18" t="str">
        <f t="shared" si="35"/>
        <v/>
      </c>
      <c r="W411" s="14"/>
    </row>
    <row r="412" spans="1:23" x14ac:dyDescent="0.25">
      <c r="A412" s="6"/>
      <c r="B412" s="33" t="s">
        <v>69</v>
      </c>
      <c r="C412" s="19"/>
      <c r="D412" s="56"/>
      <c r="E412" s="56"/>
      <c r="F412" s="41"/>
      <c r="G412" s="36"/>
      <c r="H412" s="10"/>
      <c r="I412" s="11"/>
      <c r="J412" s="13"/>
      <c r="K412" s="45"/>
      <c r="L412" s="37"/>
      <c r="M412" s="17"/>
      <c r="N412" s="11"/>
      <c r="O412" s="16"/>
      <c r="P412" s="16"/>
      <c r="Q412" s="18" t="str">
        <f t="shared" si="30"/>
        <v/>
      </c>
      <c r="R412" s="18" t="str">
        <f t="shared" si="31"/>
        <v/>
      </c>
      <c r="S412" s="18" t="str">
        <f t="shared" si="32"/>
        <v/>
      </c>
      <c r="T412" s="18" t="str">
        <f t="shared" si="33"/>
        <v/>
      </c>
      <c r="U412" s="18" t="str">
        <f t="shared" si="34"/>
        <v/>
      </c>
      <c r="V412" s="18" t="str">
        <f t="shared" si="35"/>
        <v/>
      </c>
      <c r="W412" s="14"/>
    </row>
    <row r="413" spans="1:23" x14ac:dyDescent="0.25">
      <c r="A413" s="6"/>
      <c r="B413" s="33"/>
      <c r="C413" s="19"/>
      <c r="D413" s="56"/>
      <c r="E413" s="56"/>
      <c r="F413" s="41"/>
      <c r="G413" s="36"/>
      <c r="H413" s="10"/>
      <c r="I413" s="11"/>
      <c r="J413" s="13"/>
      <c r="K413" s="45"/>
      <c r="L413" s="37"/>
      <c r="M413" s="17"/>
      <c r="N413" s="11"/>
      <c r="O413" s="16"/>
      <c r="P413" s="16"/>
      <c r="Q413" s="18" t="str">
        <f t="shared" si="30"/>
        <v/>
      </c>
      <c r="R413" s="18" t="str">
        <f t="shared" si="31"/>
        <v/>
      </c>
      <c r="S413" s="18" t="str">
        <f t="shared" si="32"/>
        <v/>
      </c>
      <c r="T413" s="18" t="str">
        <f t="shared" si="33"/>
        <v/>
      </c>
      <c r="U413" s="18" t="str">
        <f t="shared" si="34"/>
        <v/>
      </c>
      <c r="V413" s="18" t="str">
        <f t="shared" si="35"/>
        <v/>
      </c>
      <c r="W413" s="14"/>
    </row>
    <row r="414" spans="1:23" x14ac:dyDescent="0.25">
      <c r="A414" s="6">
        <v>82</v>
      </c>
      <c r="B414" s="33" t="s">
        <v>34</v>
      </c>
      <c r="C414" s="44"/>
      <c r="D414" s="62">
        <f>1+0.65+1.975-0.115-0.165+0.75-0.05</f>
        <v>4.0449999999999999</v>
      </c>
      <c r="E414" s="62"/>
      <c r="F414" s="41"/>
      <c r="G414" s="36">
        <v>0.25</v>
      </c>
      <c r="H414" s="10">
        <v>20</v>
      </c>
      <c r="I414" s="11">
        <v>1</v>
      </c>
      <c r="J414" s="13">
        <f>ROUND(3.535/G414+1,0)</f>
        <v>15</v>
      </c>
      <c r="K414" s="45">
        <f>D414</f>
        <v>4.0449999999999999</v>
      </c>
      <c r="L414" s="37" t="str">
        <f>IF(O414&lt;12,"0",0.049*H414)</f>
        <v>0</v>
      </c>
      <c r="M414" s="17">
        <v>0</v>
      </c>
      <c r="N414" s="11">
        <f>M414*2*H414/1000</f>
        <v>0</v>
      </c>
      <c r="O414" s="16">
        <f>(D414)-N414</f>
        <v>4.0449999999999999</v>
      </c>
      <c r="P414" s="16">
        <f>(I414*J414*O414)+L414</f>
        <v>60.674999999999997</v>
      </c>
      <c r="Q414" s="18" t="str">
        <f t="shared" si="30"/>
        <v/>
      </c>
      <c r="R414" s="18" t="str">
        <f t="shared" si="31"/>
        <v/>
      </c>
      <c r="S414" s="18" t="str">
        <f t="shared" si="32"/>
        <v/>
      </c>
      <c r="T414" s="18" t="str">
        <f t="shared" si="33"/>
        <v/>
      </c>
      <c r="U414" s="18">
        <f t="shared" si="34"/>
        <v>60.674999999999997</v>
      </c>
      <c r="V414" s="18" t="str">
        <f t="shared" si="35"/>
        <v/>
      </c>
      <c r="W414" s="14"/>
    </row>
    <row r="415" spans="1:23" x14ac:dyDescent="0.25">
      <c r="A415" s="6"/>
      <c r="B415" s="33" t="s">
        <v>69</v>
      </c>
      <c r="C415" s="19"/>
      <c r="D415" s="56"/>
      <c r="E415" s="56"/>
      <c r="F415" s="41"/>
      <c r="G415" s="36"/>
      <c r="H415" s="10"/>
      <c r="I415" s="11"/>
      <c r="J415" s="13"/>
      <c r="K415" s="45"/>
      <c r="L415" s="37"/>
      <c r="M415" s="17"/>
      <c r="N415" s="11"/>
      <c r="O415" s="16"/>
      <c r="P415" s="16"/>
      <c r="Q415" s="18" t="str">
        <f t="shared" si="30"/>
        <v/>
      </c>
      <c r="R415" s="18" t="str">
        <f t="shared" si="31"/>
        <v/>
      </c>
      <c r="S415" s="18" t="str">
        <f t="shared" si="32"/>
        <v/>
      </c>
      <c r="T415" s="18" t="str">
        <f t="shared" si="33"/>
        <v/>
      </c>
      <c r="U415" s="18" t="str">
        <f t="shared" si="34"/>
        <v/>
      </c>
      <c r="V415" s="18" t="str">
        <f t="shared" si="35"/>
        <v/>
      </c>
      <c r="W415" s="14"/>
    </row>
    <row r="416" spans="1:23" x14ac:dyDescent="0.25">
      <c r="A416" s="6"/>
      <c r="B416" s="33"/>
      <c r="C416" s="19"/>
      <c r="D416" s="56"/>
      <c r="E416" s="56"/>
      <c r="F416" s="41"/>
      <c r="G416" s="36"/>
      <c r="H416" s="10"/>
      <c r="I416" s="11"/>
      <c r="J416" s="13"/>
      <c r="K416" s="45"/>
      <c r="L416" s="37"/>
      <c r="M416" s="17"/>
      <c r="N416" s="11"/>
      <c r="O416" s="16"/>
      <c r="P416" s="16"/>
      <c r="Q416" s="18" t="str">
        <f t="shared" si="30"/>
        <v/>
      </c>
      <c r="R416" s="18" t="str">
        <f t="shared" si="31"/>
        <v/>
      </c>
      <c r="S416" s="18" t="str">
        <f t="shared" si="32"/>
        <v/>
      </c>
      <c r="T416" s="18" t="str">
        <f t="shared" si="33"/>
        <v/>
      </c>
      <c r="U416" s="18" t="str">
        <f t="shared" si="34"/>
        <v/>
      </c>
      <c r="V416" s="18" t="str">
        <f t="shared" si="35"/>
        <v/>
      </c>
      <c r="W416" s="14"/>
    </row>
    <row r="417" spans="1:23" x14ac:dyDescent="0.25">
      <c r="A417" s="6">
        <v>83</v>
      </c>
      <c r="B417" s="33" t="s">
        <v>33</v>
      </c>
      <c r="C417" s="44"/>
      <c r="D417" s="62">
        <f>0.6+0.715+0.6</f>
        <v>1.915</v>
      </c>
      <c r="E417" s="62"/>
      <c r="F417" s="41"/>
      <c r="G417" s="36">
        <v>0.25</v>
      </c>
      <c r="H417" s="10">
        <v>12</v>
      </c>
      <c r="I417" s="11">
        <v>1</v>
      </c>
      <c r="J417" s="13">
        <f>ROUND(D420/G417+1,0)</f>
        <v>7</v>
      </c>
      <c r="K417" s="45">
        <f>D417</f>
        <v>1.915</v>
      </c>
      <c r="L417" s="37" t="str">
        <f>IF(O417&lt;12,"0",0.049*H417)</f>
        <v>0</v>
      </c>
      <c r="M417" s="17">
        <v>0</v>
      </c>
      <c r="N417" s="11">
        <f>M417*2*H417/1000</f>
        <v>0</v>
      </c>
      <c r="O417" s="16">
        <f>(D417)-N417</f>
        <v>1.915</v>
      </c>
      <c r="P417" s="16">
        <f>(I417*J417*O417)+L417</f>
        <v>13.405000000000001</v>
      </c>
      <c r="Q417" s="18" t="str">
        <f t="shared" si="30"/>
        <v/>
      </c>
      <c r="R417" s="18" t="str">
        <f t="shared" si="31"/>
        <v/>
      </c>
      <c r="S417" s="18">
        <f t="shared" si="32"/>
        <v>13.405000000000001</v>
      </c>
      <c r="T417" s="18" t="str">
        <f t="shared" si="33"/>
        <v/>
      </c>
      <c r="U417" s="18" t="str">
        <f t="shared" si="34"/>
        <v/>
      </c>
      <c r="V417" s="18" t="str">
        <f t="shared" si="35"/>
        <v/>
      </c>
      <c r="W417" s="14"/>
    </row>
    <row r="418" spans="1:23" x14ac:dyDescent="0.25">
      <c r="A418" s="6"/>
      <c r="B418" s="33" t="s">
        <v>70</v>
      </c>
      <c r="C418" s="19"/>
      <c r="D418" s="56"/>
      <c r="E418" s="56"/>
      <c r="F418" s="41"/>
      <c r="G418" s="36"/>
      <c r="H418" s="10"/>
      <c r="I418" s="11"/>
      <c r="J418" s="13"/>
      <c r="K418" s="45"/>
      <c r="L418" s="37"/>
      <c r="M418" s="17"/>
      <c r="N418" s="11"/>
      <c r="O418" s="16"/>
      <c r="P418" s="16"/>
      <c r="Q418" s="18" t="str">
        <f t="shared" si="30"/>
        <v/>
      </c>
      <c r="R418" s="18" t="str">
        <f t="shared" si="31"/>
        <v/>
      </c>
      <c r="S418" s="18" t="str">
        <f t="shared" si="32"/>
        <v/>
      </c>
      <c r="T418" s="18" t="str">
        <f t="shared" si="33"/>
        <v/>
      </c>
      <c r="U418" s="18" t="str">
        <f t="shared" si="34"/>
        <v/>
      </c>
      <c r="V418" s="18" t="str">
        <f t="shared" si="35"/>
        <v/>
      </c>
      <c r="W418" s="14"/>
    </row>
    <row r="419" spans="1:23" x14ac:dyDescent="0.25">
      <c r="A419" s="6"/>
      <c r="B419" s="33"/>
      <c r="C419" s="19"/>
      <c r="D419" s="56"/>
      <c r="E419" s="56"/>
      <c r="F419" s="41"/>
      <c r="G419" s="36"/>
      <c r="H419" s="10"/>
      <c r="I419" s="11"/>
      <c r="J419" s="13"/>
      <c r="K419" s="45"/>
      <c r="L419" s="37"/>
      <c r="M419" s="17"/>
      <c r="N419" s="11"/>
      <c r="O419" s="16"/>
      <c r="P419" s="16"/>
      <c r="Q419" s="18" t="str">
        <f t="shared" si="30"/>
        <v/>
      </c>
      <c r="R419" s="18" t="str">
        <f t="shared" si="31"/>
        <v/>
      </c>
      <c r="S419" s="18" t="str">
        <f t="shared" si="32"/>
        <v/>
      </c>
      <c r="T419" s="18" t="str">
        <f t="shared" si="33"/>
        <v/>
      </c>
      <c r="U419" s="18" t="str">
        <f t="shared" si="34"/>
        <v/>
      </c>
      <c r="V419" s="18" t="str">
        <f t="shared" si="35"/>
        <v/>
      </c>
      <c r="W419" s="14"/>
    </row>
    <row r="420" spans="1:23" x14ac:dyDescent="0.25">
      <c r="A420" s="6">
        <v>84</v>
      </c>
      <c r="B420" s="33" t="s">
        <v>34</v>
      </c>
      <c r="C420" s="44"/>
      <c r="D420" s="62">
        <f>0.75-0.05+0.3+0.6</f>
        <v>1.6</v>
      </c>
      <c r="E420" s="62"/>
      <c r="F420" s="41"/>
      <c r="G420" s="36">
        <v>0.25</v>
      </c>
      <c r="H420" s="10">
        <v>12</v>
      </c>
      <c r="I420" s="11">
        <v>1</v>
      </c>
      <c r="J420" s="13">
        <f>ROUND(D417/G420+1,0)</f>
        <v>9</v>
      </c>
      <c r="K420" s="45">
        <f>D420</f>
        <v>1.6</v>
      </c>
      <c r="L420" s="37" t="str">
        <f>IF(O420&lt;12,"0",0.049*H420)</f>
        <v>0</v>
      </c>
      <c r="M420" s="17">
        <v>0</v>
      </c>
      <c r="N420" s="11">
        <f>M420*2*H420/1000</f>
        <v>0</v>
      </c>
      <c r="O420" s="16">
        <f>(D420)-N420</f>
        <v>1.6</v>
      </c>
      <c r="P420" s="16">
        <f>(I420*J420*O420)+L420</f>
        <v>14.4</v>
      </c>
      <c r="Q420" s="18" t="str">
        <f t="shared" si="30"/>
        <v/>
      </c>
      <c r="R420" s="18" t="str">
        <f t="shared" si="31"/>
        <v/>
      </c>
      <c r="S420" s="18">
        <f t="shared" si="32"/>
        <v>14.4</v>
      </c>
      <c r="T420" s="18" t="str">
        <f t="shared" si="33"/>
        <v/>
      </c>
      <c r="U420" s="18" t="str">
        <f t="shared" si="34"/>
        <v/>
      </c>
      <c r="V420" s="18" t="str">
        <f t="shared" si="35"/>
        <v/>
      </c>
      <c r="W420" s="14"/>
    </row>
    <row r="421" spans="1:23" x14ac:dyDescent="0.25">
      <c r="A421" s="6"/>
      <c r="B421" s="33" t="s">
        <v>70</v>
      </c>
      <c r="C421" s="19"/>
      <c r="D421" s="56"/>
      <c r="E421" s="56"/>
      <c r="F421" s="41"/>
      <c r="G421" s="36"/>
      <c r="H421" s="10"/>
      <c r="I421" s="11"/>
      <c r="J421" s="13"/>
      <c r="K421" s="45"/>
      <c r="L421" s="37"/>
      <c r="M421" s="17"/>
      <c r="N421" s="11"/>
      <c r="O421" s="16"/>
      <c r="P421" s="16"/>
      <c r="Q421" s="18" t="str">
        <f t="shared" si="30"/>
        <v/>
      </c>
      <c r="R421" s="18" t="str">
        <f t="shared" si="31"/>
        <v/>
      </c>
      <c r="S421" s="18" t="str">
        <f t="shared" si="32"/>
        <v/>
      </c>
      <c r="T421" s="18" t="str">
        <f t="shared" si="33"/>
        <v/>
      </c>
      <c r="U421" s="18" t="str">
        <f t="shared" si="34"/>
        <v/>
      </c>
      <c r="V421" s="18" t="str">
        <f t="shared" si="35"/>
        <v/>
      </c>
      <c r="W421" s="14"/>
    </row>
    <row r="422" spans="1:23" x14ac:dyDescent="0.25">
      <c r="A422" s="6"/>
      <c r="B422" s="33"/>
      <c r="C422" s="19"/>
      <c r="D422" s="56"/>
      <c r="E422" s="56"/>
      <c r="F422" s="41"/>
      <c r="G422" s="36"/>
      <c r="H422" s="10"/>
      <c r="I422" s="11"/>
      <c r="J422" s="13"/>
      <c r="K422" s="45"/>
      <c r="L422" s="37"/>
      <c r="M422" s="17"/>
      <c r="N422" s="11"/>
      <c r="O422" s="16"/>
      <c r="P422" s="16"/>
      <c r="Q422" s="18" t="str">
        <f t="shared" si="30"/>
        <v/>
      </c>
      <c r="R422" s="18" t="str">
        <f t="shared" si="31"/>
        <v/>
      </c>
      <c r="S422" s="18" t="str">
        <f t="shared" si="32"/>
        <v/>
      </c>
      <c r="T422" s="18" t="str">
        <f t="shared" si="33"/>
        <v/>
      </c>
      <c r="U422" s="18" t="str">
        <f t="shared" si="34"/>
        <v/>
      </c>
      <c r="V422" s="18" t="str">
        <f t="shared" si="35"/>
        <v/>
      </c>
      <c r="W422" s="14"/>
    </row>
    <row r="423" spans="1:23" x14ac:dyDescent="0.25">
      <c r="A423" s="6">
        <v>85</v>
      </c>
      <c r="B423" s="33" t="s">
        <v>33</v>
      </c>
      <c r="C423" s="44"/>
      <c r="D423" s="62">
        <f>0.6+0.715+0.6</f>
        <v>1.915</v>
      </c>
      <c r="E423" s="62"/>
      <c r="F423" s="41"/>
      <c r="G423" s="36">
        <v>0.25</v>
      </c>
      <c r="H423" s="10">
        <v>12</v>
      </c>
      <c r="I423" s="11">
        <v>1</v>
      </c>
      <c r="J423" s="13">
        <f>ROUND(D426/G423+1,0)</f>
        <v>7</v>
      </c>
      <c r="K423" s="45">
        <f>D423</f>
        <v>1.915</v>
      </c>
      <c r="L423" s="37" t="str">
        <f>IF(O423&lt;12,"0",0.049*H423)</f>
        <v>0</v>
      </c>
      <c r="M423" s="17">
        <v>0</v>
      </c>
      <c r="N423" s="11">
        <f>M423*2*H423/1000</f>
        <v>0</v>
      </c>
      <c r="O423" s="16">
        <f>(D423)-N423</f>
        <v>1.915</v>
      </c>
      <c r="P423" s="16">
        <f>(I423*J423*O423)+L423</f>
        <v>13.405000000000001</v>
      </c>
      <c r="Q423" s="18" t="str">
        <f t="shared" si="30"/>
        <v/>
      </c>
      <c r="R423" s="18" t="str">
        <f t="shared" si="31"/>
        <v/>
      </c>
      <c r="S423" s="18">
        <f t="shared" si="32"/>
        <v>13.405000000000001</v>
      </c>
      <c r="T423" s="18" t="str">
        <f t="shared" si="33"/>
        <v/>
      </c>
      <c r="U423" s="18" t="str">
        <f t="shared" si="34"/>
        <v/>
      </c>
      <c r="V423" s="18" t="str">
        <f t="shared" si="35"/>
        <v/>
      </c>
      <c r="W423" s="14"/>
    </row>
    <row r="424" spans="1:23" x14ac:dyDescent="0.25">
      <c r="A424" s="6"/>
      <c r="B424" s="33" t="s">
        <v>71</v>
      </c>
      <c r="C424" s="19"/>
      <c r="D424" s="56"/>
      <c r="E424" s="56"/>
      <c r="F424" s="41"/>
      <c r="G424" s="36"/>
      <c r="H424" s="10"/>
      <c r="I424" s="11"/>
      <c r="J424" s="13"/>
      <c r="K424" s="45"/>
      <c r="L424" s="37"/>
      <c r="M424" s="17"/>
      <c r="N424" s="11"/>
      <c r="O424" s="16"/>
      <c r="P424" s="16"/>
      <c r="Q424" s="18" t="str">
        <f t="shared" si="30"/>
        <v/>
      </c>
      <c r="R424" s="18" t="str">
        <f t="shared" si="31"/>
        <v/>
      </c>
      <c r="S424" s="18" t="str">
        <f t="shared" si="32"/>
        <v/>
      </c>
      <c r="T424" s="18" t="str">
        <f t="shared" si="33"/>
        <v/>
      </c>
      <c r="U424" s="18" t="str">
        <f t="shared" si="34"/>
        <v/>
      </c>
      <c r="V424" s="18" t="str">
        <f t="shared" si="35"/>
        <v/>
      </c>
      <c r="W424" s="14"/>
    </row>
    <row r="425" spans="1:23" x14ac:dyDescent="0.25">
      <c r="A425" s="6"/>
      <c r="B425" s="33"/>
      <c r="C425" s="19"/>
      <c r="D425" s="56"/>
      <c r="E425" s="56"/>
      <c r="F425" s="41"/>
      <c r="G425" s="36"/>
      <c r="H425" s="10"/>
      <c r="I425" s="11"/>
      <c r="J425" s="13"/>
      <c r="K425" s="45"/>
      <c r="L425" s="37"/>
      <c r="M425" s="17"/>
      <c r="N425" s="11"/>
      <c r="O425" s="16"/>
      <c r="P425" s="16"/>
      <c r="Q425" s="18" t="str">
        <f t="shared" si="30"/>
        <v/>
      </c>
      <c r="R425" s="18" t="str">
        <f t="shared" si="31"/>
        <v/>
      </c>
      <c r="S425" s="18" t="str">
        <f t="shared" si="32"/>
        <v/>
      </c>
      <c r="T425" s="18" t="str">
        <f t="shared" si="33"/>
        <v/>
      </c>
      <c r="U425" s="18" t="str">
        <f t="shared" si="34"/>
        <v/>
      </c>
      <c r="V425" s="18" t="str">
        <f t="shared" si="35"/>
        <v/>
      </c>
      <c r="W425" s="14"/>
    </row>
    <row r="426" spans="1:23" x14ac:dyDescent="0.25">
      <c r="A426" s="6">
        <v>86</v>
      </c>
      <c r="B426" s="33" t="s">
        <v>34</v>
      </c>
      <c r="C426" s="44"/>
      <c r="D426" s="62">
        <f>0.75-0.05+0.3+0.6</f>
        <v>1.6</v>
      </c>
      <c r="E426" s="62"/>
      <c r="F426" s="41"/>
      <c r="G426" s="36">
        <v>0.25</v>
      </c>
      <c r="H426" s="10">
        <v>12</v>
      </c>
      <c r="I426" s="11">
        <v>1</v>
      </c>
      <c r="J426" s="13">
        <f>ROUND(D423/G426+1,0)</f>
        <v>9</v>
      </c>
      <c r="K426" s="45">
        <f>D426</f>
        <v>1.6</v>
      </c>
      <c r="L426" s="37" t="str">
        <f>IF(O426&lt;12,"0",0.049*H426)</f>
        <v>0</v>
      </c>
      <c r="M426" s="17">
        <v>0</v>
      </c>
      <c r="N426" s="11">
        <f>M426*2*H426/1000</f>
        <v>0</v>
      </c>
      <c r="O426" s="16">
        <f>(D426)-N426</f>
        <v>1.6</v>
      </c>
      <c r="P426" s="16">
        <f>(I426*J426*O426)+L426</f>
        <v>14.4</v>
      </c>
      <c r="Q426" s="18" t="str">
        <f t="shared" si="30"/>
        <v/>
      </c>
      <c r="R426" s="18" t="str">
        <f t="shared" si="31"/>
        <v/>
      </c>
      <c r="S426" s="18">
        <f t="shared" si="32"/>
        <v>14.4</v>
      </c>
      <c r="T426" s="18" t="str">
        <f t="shared" si="33"/>
        <v/>
      </c>
      <c r="U426" s="18" t="str">
        <f t="shared" si="34"/>
        <v/>
      </c>
      <c r="V426" s="18" t="str">
        <f t="shared" si="35"/>
        <v/>
      </c>
      <c r="W426" s="14"/>
    </row>
    <row r="427" spans="1:23" x14ac:dyDescent="0.25">
      <c r="A427" s="6"/>
      <c r="B427" s="33" t="s">
        <v>71</v>
      </c>
      <c r="C427" s="19"/>
      <c r="D427" s="56"/>
      <c r="E427" s="56"/>
      <c r="F427" s="41"/>
      <c r="G427" s="36"/>
      <c r="H427" s="10"/>
      <c r="I427" s="11"/>
      <c r="J427" s="13"/>
      <c r="K427" s="45"/>
      <c r="L427" s="37"/>
      <c r="M427" s="17"/>
      <c r="N427" s="11"/>
      <c r="O427" s="16"/>
      <c r="P427" s="16"/>
      <c r="Q427" s="18" t="str">
        <f t="shared" si="30"/>
        <v/>
      </c>
      <c r="R427" s="18" t="str">
        <f t="shared" si="31"/>
        <v/>
      </c>
      <c r="S427" s="18" t="str">
        <f t="shared" si="32"/>
        <v/>
      </c>
      <c r="T427" s="18" t="str">
        <f t="shared" si="33"/>
        <v/>
      </c>
      <c r="U427" s="18" t="str">
        <f t="shared" si="34"/>
        <v/>
      </c>
      <c r="V427" s="18" t="str">
        <f t="shared" si="35"/>
        <v/>
      </c>
      <c r="W427" s="14"/>
    </row>
    <row r="428" spans="1:23" x14ac:dyDescent="0.25">
      <c r="A428" s="6"/>
      <c r="B428" s="33"/>
      <c r="C428" s="19"/>
      <c r="D428" s="56"/>
      <c r="E428" s="56"/>
      <c r="F428" s="41"/>
      <c r="G428" s="36"/>
      <c r="H428" s="10"/>
      <c r="I428" s="11"/>
      <c r="J428" s="13"/>
      <c r="K428" s="45"/>
      <c r="L428" s="37"/>
      <c r="M428" s="17"/>
      <c r="N428" s="11"/>
      <c r="O428" s="16"/>
      <c r="P428" s="16"/>
      <c r="Q428" s="18" t="str">
        <f t="shared" si="30"/>
        <v/>
      </c>
      <c r="R428" s="18" t="str">
        <f t="shared" si="31"/>
        <v/>
      </c>
      <c r="S428" s="18" t="str">
        <f t="shared" si="32"/>
        <v/>
      </c>
      <c r="T428" s="18" t="str">
        <f t="shared" si="33"/>
        <v/>
      </c>
      <c r="U428" s="18" t="str">
        <f t="shared" si="34"/>
        <v/>
      </c>
      <c r="V428" s="18" t="str">
        <f t="shared" si="35"/>
        <v/>
      </c>
      <c r="W428" s="14"/>
    </row>
    <row r="429" spans="1:23" x14ac:dyDescent="0.25">
      <c r="A429" s="6">
        <v>87</v>
      </c>
      <c r="B429" s="33" t="s">
        <v>33</v>
      </c>
      <c r="C429" s="44"/>
      <c r="D429" s="62">
        <f>1+0.3+1</f>
        <v>2.2999999999999998</v>
      </c>
      <c r="E429" s="62"/>
      <c r="F429" s="41"/>
      <c r="G429" s="36">
        <v>0.25</v>
      </c>
      <c r="H429" s="10">
        <v>25</v>
      </c>
      <c r="I429" s="11">
        <v>1</v>
      </c>
      <c r="J429" s="13">
        <f>ROUND(D432/G429+1,0)</f>
        <v>10</v>
      </c>
      <c r="K429" s="45">
        <f>D429</f>
        <v>2.2999999999999998</v>
      </c>
      <c r="L429" s="37" t="str">
        <f>IF(O429&lt;12,"0",0.049*H429)</f>
        <v>0</v>
      </c>
      <c r="M429" s="17">
        <v>0</v>
      </c>
      <c r="N429" s="11">
        <f>M429*2*H429/1000</f>
        <v>0</v>
      </c>
      <c r="O429" s="16">
        <f>(D429)-N429</f>
        <v>2.2999999999999998</v>
      </c>
      <c r="P429" s="16">
        <f>(I429*J429*O429)+L429</f>
        <v>23</v>
      </c>
      <c r="Q429" s="18" t="str">
        <f t="shared" ref="Q429:Q492" si="36">IF($H429=8,$P429,"")</f>
        <v/>
      </c>
      <c r="R429" s="18" t="str">
        <f t="shared" ref="R429:R492" si="37">IF($H429=10,$P429,"")</f>
        <v/>
      </c>
      <c r="S429" s="18" t="str">
        <f t="shared" ref="S429:S492" si="38">IF($H429=12,$P429,"")</f>
        <v/>
      </c>
      <c r="T429" s="18" t="str">
        <f t="shared" ref="T429:T492" si="39">IF($H429=16,$P429,"")</f>
        <v/>
      </c>
      <c r="U429" s="18" t="str">
        <f t="shared" ref="U429:U492" si="40">IF($H429=20,$P429,"")</f>
        <v/>
      </c>
      <c r="V429" s="18">
        <f t="shared" ref="V429:V492" si="41">IF($H429=25,$P429,"")</f>
        <v>23</v>
      </c>
      <c r="W429" s="14"/>
    </row>
    <row r="430" spans="1:23" x14ac:dyDescent="0.25">
      <c r="A430" s="6"/>
      <c r="B430" s="33" t="s">
        <v>72</v>
      </c>
      <c r="C430" s="19"/>
      <c r="D430" s="56"/>
      <c r="E430" s="56"/>
      <c r="F430" s="41"/>
      <c r="G430" s="36"/>
      <c r="H430" s="10"/>
      <c r="I430" s="11"/>
      <c r="J430" s="13"/>
      <c r="K430" s="45"/>
      <c r="L430" s="37"/>
      <c r="M430" s="17"/>
      <c r="N430" s="11"/>
      <c r="O430" s="16"/>
      <c r="P430" s="16"/>
      <c r="Q430" s="18" t="str">
        <f t="shared" si="36"/>
        <v/>
      </c>
      <c r="R430" s="18" t="str">
        <f t="shared" si="37"/>
        <v/>
      </c>
      <c r="S430" s="18" t="str">
        <f t="shared" si="38"/>
        <v/>
      </c>
      <c r="T430" s="18" t="str">
        <f t="shared" si="39"/>
        <v/>
      </c>
      <c r="U430" s="18" t="str">
        <f t="shared" si="40"/>
        <v/>
      </c>
      <c r="V430" s="18" t="str">
        <f t="shared" si="41"/>
        <v/>
      </c>
      <c r="W430" s="14"/>
    </row>
    <row r="431" spans="1:23" x14ac:dyDescent="0.25">
      <c r="A431" s="6"/>
      <c r="B431" s="33"/>
      <c r="C431" s="19"/>
      <c r="D431" s="56"/>
      <c r="E431" s="56"/>
      <c r="F431" s="41"/>
      <c r="G431" s="36"/>
      <c r="H431" s="10"/>
      <c r="I431" s="11"/>
      <c r="J431" s="13"/>
      <c r="K431" s="45"/>
      <c r="L431" s="37"/>
      <c r="M431" s="17"/>
      <c r="N431" s="11"/>
      <c r="O431" s="16"/>
      <c r="P431" s="16"/>
      <c r="Q431" s="18" t="str">
        <f t="shared" si="36"/>
        <v/>
      </c>
      <c r="R431" s="18" t="str">
        <f t="shared" si="37"/>
        <v/>
      </c>
      <c r="S431" s="18" t="str">
        <f t="shared" si="38"/>
        <v/>
      </c>
      <c r="T431" s="18" t="str">
        <f t="shared" si="39"/>
        <v/>
      </c>
      <c r="U431" s="18" t="str">
        <f t="shared" si="40"/>
        <v/>
      </c>
      <c r="V431" s="18" t="str">
        <f t="shared" si="41"/>
        <v/>
      </c>
      <c r="W431" s="14"/>
    </row>
    <row r="432" spans="1:23" x14ac:dyDescent="0.25">
      <c r="A432" s="6">
        <v>88</v>
      </c>
      <c r="B432" s="33" t="s">
        <v>34</v>
      </c>
      <c r="C432" s="44"/>
      <c r="D432" s="62">
        <f>0.8+0.6+0.8</f>
        <v>2.2000000000000002</v>
      </c>
      <c r="E432" s="62"/>
      <c r="F432" s="41"/>
      <c r="G432" s="36">
        <v>0.25</v>
      </c>
      <c r="H432" s="10">
        <v>16</v>
      </c>
      <c r="I432" s="11">
        <v>1</v>
      </c>
      <c r="J432" s="13">
        <f>ROUND(D429/G432+1,0)</f>
        <v>10</v>
      </c>
      <c r="K432" s="45">
        <f>D432</f>
        <v>2.2000000000000002</v>
      </c>
      <c r="L432" s="37" t="str">
        <f>IF(O432&lt;12,"0",0.049*H432)</f>
        <v>0</v>
      </c>
      <c r="M432" s="17">
        <v>0</v>
      </c>
      <c r="N432" s="11">
        <f>M432*2*H432/1000</f>
        <v>0</v>
      </c>
      <c r="O432" s="16">
        <f>(D432)-N432</f>
        <v>2.2000000000000002</v>
      </c>
      <c r="P432" s="16">
        <f>(I432*J432*O432)+L432</f>
        <v>22</v>
      </c>
      <c r="Q432" s="18" t="str">
        <f t="shared" si="36"/>
        <v/>
      </c>
      <c r="R432" s="18" t="str">
        <f t="shared" si="37"/>
        <v/>
      </c>
      <c r="S432" s="18" t="str">
        <f t="shared" si="38"/>
        <v/>
      </c>
      <c r="T432" s="18">
        <f t="shared" si="39"/>
        <v>22</v>
      </c>
      <c r="U432" s="18" t="str">
        <f t="shared" si="40"/>
        <v/>
      </c>
      <c r="V432" s="18" t="str">
        <f t="shared" si="41"/>
        <v/>
      </c>
      <c r="W432" s="14"/>
    </row>
    <row r="433" spans="1:23" x14ac:dyDescent="0.25">
      <c r="A433" s="6"/>
      <c r="B433" s="33" t="s">
        <v>72</v>
      </c>
      <c r="C433" s="19"/>
      <c r="D433" s="56"/>
      <c r="E433" s="56"/>
      <c r="F433" s="41"/>
      <c r="G433" s="36"/>
      <c r="H433" s="10"/>
      <c r="I433" s="11"/>
      <c r="J433" s="13"/>
      <c r="K433" s="45"/>
      <c r="L433" s="37"/>
      <c r="M433" s="17"/>
      <c r="N433" s="11"/>
      <c r="O433" s="16"/>
      <c r="P433" s="16"/>
      <c r="Q433" s="18" t="str">
        <f t="shared" si="36"/>
        <v/>
      </c>
      <c r="R433" s="18" t="str">
        <f t="shared" si="37"/>
        <v/>
      </c>
      <c r="S433" s="18" t="str">
        <f t="shared" si="38"/>
        <v/>
      </c>
      <c r="T433" s="18" t="str">
        <f t="shared" si="39"/>
        <v/>
      </c>
      <c r="U433" s="18" t="str">
        <f t="shared" si="40"/>
        <v/>
      </c>
      <c r="V433" s="18" t="str">
        <f t="shared" si="41"/>
        <v/>
      </c>
      <c r="W433" s="14"/>
    </row>
    <row r="434" spans="1:23" x14ac:dyDescent="0.25">
      <c r="A434" s="6"/>
      <c r="B434" s="33"/>
      <c r="C434" s="19"/>
      <c r="D434" s="56"/>
      <c r="E434" s="56"/>
      <c r="F434" s="41"/>
      <c r="G434" s="36"/>
      <c r="H434" s="10"/>
      <c r="I434" s="11"/>
      <c r="J434" s="13"/>
      <c r="K434" s="45"/>
      <c r="L434" s="37"/>
      <c r="M434" s="17"/>
      <c r="N434" s="11"/>
      <c r="O434" s="16"/>
      <c r="P434" s="16"/>
      <c r="Q434" s="18" t="str">
        <f t="shared" si="36"/>
        <v/>
      </c>
      <c r="R434" s="18" t="str">
        <f t="shared" si="37"/>
        <v/>
      </c>
      <c r="S434" s="18" t="str">
        <f t="shared" si="38"/>
        <v/>
      </c>
      <c r="T434" s="18" t="str">
        <f t="shared" si="39"/>
        <v/>
      </c>
      <c r="U434" s="18" t="str">
        <f t="shared" si="40"/>
        <v/>
      </c>
      <c r="V434" s="18" t="str">
        <f t="shared" si="41"/>
        <v/>
      </c>
      <c r="W434" s="14"/>
    </row>
    <row r="435" spans="1:23" x14ac:dyDescent="0.25">
      <c r="A435" s="6">
        <v>89</v>
      </c>
      <c r="B435" s="33" t="s">
        <v>33</v>
      </c>
      <c r="C435" s="44"/>
      <c r="D435" s="62">
        <f>1+0.3+1</f>
        <v>2.2999999999999998</v>
      </c>
      <c r="E435" s="62"/>
      <c r="F435" s="41"/>
      <c r="G435" s="36">
        <v>0.25</v>
      </c>
      <c r="H435" s="10">
        <v>25</v>
      </c>
      <c r="I435" s="11">
        <v>1</v>
      </c>
      <c r="J435" s="13">
        <f>ROUND(D438/G435+1,0)</f>
        <v>10</v>
      </c>
      <c r="K435" s="45">
        <f>D435</f>
        <v>2.2999999999999998</v>
      </c>
      <c r="L435" s="37" t="str">
        <f>IF(O435&lt;12,"0",0.049*H435)</f>
        <v>0</v>
      </c>
      <c r="M435" s="17">
        <v>0</v>
      </c>
      <c r="N435" s="11">
        <f>M435*2*H435/1000</f>
        <v>0</v>
      </c>
      <c r="O435" s="16">
        <f>(D435)-N435</f>
        <v>2.2999999999999998</v>
      </c>
      <c r="P435" s="16">
        <f>(I435*J435*O435)+L435</f>
        <v>23</v>
      </c>
      <c r="Q435" s="18" t="str">
        <f t="shared" si="36"/>
        <v/>
      </c>
      <c r="R435" s="18" t="str">
        <f t="shared" si="37"/>
        <v/>
      </c>
      <c r="S435" s="18" t="str">
        <f t="shared" si="38"/>
        <v/>
      </c>
      <c r="T435" s="18" t="str">
        <f t="shared" si="39"/>
        <v/>
      </c>
      <c r="U435" s="18" t="str">
        <f t="shared" si="40"/>
        <v/>
      </c>
      <c r="V435" s="18">
        <f t="shared" si="41"/>
        <v>23</v>
      </c>
      <c r="W435" s="14"/>
    </row>
    <row r="436" spans="1:23" x14ac:dyDescent="0.25">
      <c r="A436" s="6"/>
      <c r="B436" s="33" t="s">
        <v>73</v>
      </c>
      <c r="C436" s="19"/>
      <c r="D436" s="56"/>
      <c r="E436" s="56"/>
      <c r="F436" s="41"/>
      <c r="G436" s="36"/>
      <c r="H436" s="10"/>
      <c r="I436" s="11"/>
      <c r="J436" s="13"/>
      <c r="K436" s="45"/>
      <c r="L436" s="37"/>
      <c r="M436" s="17"/>
      <c r="N436" s="11"/>
      <c r="O436" s="16"/>
      <c r="P436" s="16"/>
      <c r="Q436" s="18" t="str">
        <f t="shared" si="36"/>
        <v/>
      </c>
      <c r="R436" s="18" t="str">
        <f t="shared" si="37"/>
        <v/>
      </c>
      <c r="S436" s="18" t="str">
        <f t="shared" si="38"/>
        <v/>
      </c>
      <c r="T436" s="18" t="str">
        <f t="shared" si="39"/>
        <v/>
      </c>
      <c r="U436" s="18" t="str">
        <f t="shared" si="40"/>
        <v/>
      </c>
      <c r="V436" s="18" t="str">
        <f t="shared" si="41"/>
        <v/>
      </c>
      <c r="W436" s="14"/>
    </row>
    <row r="437" spans="1:23" x14ac:dyDescent="0.25">
      <c r="A437" s="6"/>
      <c r="B437" s="33"/>
      <c r="C437" s="19"/>
      <c r="D437" s="56"/>
      <c r="E437" s="56"/>
      <c r="F437" s="41"/>
      <c r="G437" s="36"/>
      <c r="H437" s="10"/>
      <c r="I437" s="11"/>
      <c r="J437" s="13"/>
      <c r="K437" s="45"/>
      <c r="L437" s="37"/>
      <c r="M437" s="17"/>
      <c r="N437" s="11"/>
      <c r="O437" s="16"/>
      <c r="P437" s="16"/>
      <c r="Q437" s="18" t="str">
        <f t="shared" si="36"/>
        <v/>
      </c>
      <c r="R437" s="18" t="str">
        <f t="shared" si="37"/>
        <v/>
      </c>
      <c r="S437" s="18" t="str">
        <f t="shared" si="38"/>
        <v/>
      </c>
      <c r="T437" s="18" t="str">
        <f t="shared" si="39"/>
        <v/>
      </c>
      <c r="U437" s="18" t="str">
        <f t="shared" si="40"/>
        <v/>
      </c>
      <c r="V437" s="18" t="str">
        <f t="shared" si="41"/>
        <v/>
      </c>
      <c r="W437" s="14"/>
    </row>
    <row r="438" spans="1:23" x14ac:dyDescent="0.25">
      <c r="A438" s="6">
        <v>90</v>
      </c>
      <c r="B438" s="33" t="s">
        <v>34</v>
      </c>
      <c r="C438" s="44"/>
      <c r="D438" s="62">
        <f>0.8+0.6+0.8</f>
        <v>2.2000000000000002</v>
      </c>
      <c r="E438" s="62"/>
      <c r="F438" s="41"/>
      <c r="G438" s="36">
        <v>0.25</v>
      </c>
      <c r="H438" s="10">
        <v>16</v>
      </c>
      <c r="I438" s="11">
        <v>1</v>
      </c>
      <c r="J438" s="13">
        <f>ROUND(D435/G438+1,0)</f>
        <v>10</v>
      </c>
      <c r="K438" s="45">
        <f>D438</f>
        <v>2.2000000000000002</v>
      </c>
      <c r="L438" s="37" t="str">
        <f>IF(O438&lt;12,"0",0.049*H438)</f>
        <v>0</v>
      </c>
      <c r="M438" s="17">
        <v>0</v>
      </c>
      <c r="N438" s="11">
        <f>M438*2*H438/1000</f>
        <v>0</v>
      </c>
      <c r="O438" s="16">
        <f>(D438)-N438</f>
        <v>2.2000000000000002</v>
      </c>
      <c r="P438" s="16">
        <f>(I438*J438*O438)+L438</f>
        <v>22</v>
      </c>
      <c r="Q438" s="18" t="str">
        <f t="shared" si="36"/>
        <v/>
      </c>
      <c r="R438" s="18" t="str">
        <f t="shared" si="37"/>
        <v/>
      </c>
      <c r="S438" s="18" t="str">
        <f t="shared" si="38"/>
        <v/>
      </c>
      <c r="T438" s="18">
        <f t="shared" si="39"/>
        <v>22</v>
      </c>
      <c r="U438" s="18" t="str">
        <f t="shared" si="40"/>
        <v/>
      </c>
      <c r="V438" s="18" t="str">
        <f t="shared" si="41"/>
        <v/>
      </c>
      <c r="W438" s="14"/>
    </row>
    <row r="439" spans="1:23" x14ac:dyDescent="0.25">
      <c r="A439" s="6"/>
      <c r="B439" s="33" t="s">
        <v>73</v>
      </c>
      <c r="C439" s="19"/>
      <c r="D439" s="56"/>
      <c r="E439" s="56"/>
      <c r="F439" s="41"/>
      <c r="G439" s="36"/>
      <c r="H439" s="10"/>
      <c r="I439" s="11"/>
      <c r="J439" s="13"/>
      <c r="K439" s="45"/>
      <c r="L439" s="37"/>
      <c r="M439" s="17"/>
      <c r="N439" s="11"/>
      <c r="O439" s="16"/>
      <c r="P439" s="16"/>
      <c r="Q439" s="18" t="str">
        <f t="shared" si="36"/>
        <v/>
      </c>
      <c r="R439" s="18" t="str">
        <f t="shared" si="37"/>
        <v/>
      </c>
      <c r="S439" s="18" t="str">
        <f t="shared" si="38"/>
        <v/>
      </c>
      <c r="T439" s="18" t="str">
        <f t="shared" si="39"/>
        <v/>
      </c>
      <c r="U439" s="18" t="str">
        <f t="shared" si="40"/>
        <v/>
      </c>
      <c r="V439" s="18" t="str">
        <f t="shared" si="41"/>
        <v/>
      </c>
      <c r="W439" s="14"/>
    </row>
    <row r="440" spans="1:23" x14ac:dyDescent="0.25">
      <c r="A440" s="6"/>
      <c r="B440" s="33"/>
      <c r="C440" s="19"/>
      <c r="D440" s="56"/>
      <c r="E440" s="56"/>
      <c r="F440" s="41"/>
      <c r="G440" s="36"/>
      <c r="H440" s="10"/>
      <c r="I440" s="11"/>
      <c r="J440" s="13"/>
      <c r="K440" s="45"/>
      <c r="L440" s="37"/>
      <c r="M440" s="17"/>
      <c r="N440" s="11"/>
      <c r="O440" s="16"/>
      <c r="P440" s="16"/>
      <c r="Q440" s="18" t="str">
        <f t="shared" si="36"/>
        <v/>
      </c>
      <c r="R440" s="18" t="str">
        <f t="shared" si="37"/>
        <v/>
      </c>
      <c r="S440" s="18" t="str">
        <f t="shared" si="38"/>
        <v/>
      </c>
      <c r="T440" s="18" t="str">
        <f t="shared" si="39"/>
        <v/>
      </c>
      <c r="U440" s="18" t="str">
        <f t="shared" si="40"/>
        <v/>
      </c>
      <c r="V440" s="18" t="str">
        <f t="shared" si="41"/>
        <v/>
      </c>
      <c r="W440" s="14"/>
    </row>
    <row r="441" spans="1:23" x14ac:dyDescent="0.25">
      <c r="A441" s="6">
        <v>91</v>
      </c>
      <c r="B441" s="33" t="s">
        <v>33</v>
      </c>
      <c r="C441" s="44"/>
      <c r="D441" s="62">
        <f>1.25+0.75+1.25</f>
        <v>3.25</v>
      </c>
      <c r="E441" s="62"/>
      <c r="F441" s="41"/>
      <c r="G441" s="36">
        <v>0.25</v>
      </c>
      <c r="H441" s="10">
        <v>25</v>
      </c>
      <c r="I441" s="11">
        <v>1</v>
      </c>
      <c r="J441" s="13">
        <f>ROUND(D444/G441+1,0)</f>
        <v>12</v>
      </c>
      <c r="K441" s="45">
        <f>D441</f>
        <v>3.25</v>
      </c>
      <c r="L441" s="37" t="str">
        <f>IF(O441&lt;12,"0",0.049*H441)</f>
        <v>0</v>
      </c>
      <c r="M441" s="17">
        <v>0</v>
      </c>
      <c r="N441" s="11">
        <f>M441*2*H441/1000</f>
        <v>0</v>
      </c>
      <c r="O441" s="16">
        <f>(D441)-N441</f>
        <v>3.25</v>
      </c>
      <c r="P441" s="16">
        <f>(I441*J441*O441)+L441</f>
        <v>39</v>
      </c>
      <c r="Q441" s="18" t="str">
        <f t="shared" si="36"/>
        <v/>
      </c>
      <c r="R441" s="18" t="str">
        <f t="shared" si="37"/>
        <v/>
      </c>
      <c r="S441" s="18" t="str">
        <f t="shared" si="38"/>
        <v/>
      </c>
      <c r="T441" s="18" t="str">
        <f t="shared" si="39"/>
        <v/>
      </c>
      <c r="U441" s="18" t="str">
        <f t="shared" si="40"/>
        <v/>
      </c>
      <c r="V441" s="18">
        <f t="shared" si="41"/>
        <v>39</v>
      </c>
      <c r="W441" s="14"/>
    </row>
    <row r="442" spans="1:23" x14ac:dyDescent="0.25">
      <c r="A442" s="6"/>
      <c r="B442" s="33" t="s">
        <v>74</v>
      </c>
      <c r="C442" s="19"/>
      <c r="D442" s="56"/>
      <c r="E442" s="56"/>
      <c r="F442" s="41"/>
      <c r="G442" s="36"/>
      <c r="H442" s="10"/>
      <c r="I442" s="11"/>
      <c r="J442" s="13"/>
      <c r="K442" s="45"/>
      <c r="L442" s="37"/>
      <c r="M442" s="17"/>
      <c r="N442" s="11"/>
      <c r="O442" s="16"/>
      <c r="P442" s="16"/>
      <c r="Q442" s="18" t="str">
        <f t="shared" si="36"/>
        <v/>
      </c>
      <c r="R442" s="18" t="str">
        <f t="shared" si="37"/>
        <v/>
      </c>
      <c r="S442" s="18" t="str">
        <f t="shared" si="38"/>
        <v/>
      </c>
      <c r="T442" s="18" t="str">
        <f t="shared" si="39"/>
        <v/>
      </c>
      <c r="U442" s="18" t="str">
        <f t="shared" si="40"/>
        <v/>
      </c>
      <c r="V442" s="18" t="str">
        <f t="shared" si="41"/>
        <v/>
      </c>
      <c r="W442" s="14"/>
    </row>
    <row r="443" spans="1:23" x14ac:dyDescent="0.25">
      <c r="A443" s="6"/>
      <c r="B443" s="33"/>
      <c r="C443" s="19"/>
      <c r="D443" s="56"/>
      <c r="E443" s="56"/>
      <c r="F443" s="41"/>
      <c r="G443" s="36"/>
      <c r="H443" s="10"/>
      <c r="I443" s="11"/>
      <c r="J443" s="13"/>
      <c r="K443" s="45"/>
      <c r="L443" s="37"/>
      <c r="M443" s="17"/>
      <c r="N443" s="11"/>
      <c r="O443" s="16"/>
      <c r="P443" s="16"/>
      <c r="Q443" s="18" t="str">
        <f t="shared" si="36"/>
        <v/>
      </c>
      <c r="R443" s="18" t="str">
        <f t="shared" si="37"/>
        <v/>
      </c>
      <c r="S443" s="18" t="str">
        <f t="shared" si="38"/>
        <v/>
      </c>
      <c r="T443" s="18" t="str">
        <f t="shared" si="39"/>
        <v/>
      </c>
      <c r="U443" s="18" t="str">
        <f t="shared" si="40"/>
        <v/>
      </c>
      <c r="V443" s="18" t="str">
        <f t="shared" si="41"/>
        <v/>
      </c>
      <c r="W443" s="14"/>
    </row>
    <row r="444" spans="1:23" x14ac:dyDescent="0.25">
      <c r="A444" s="6">
        <v>92</v>
      </c>
      <c r="B444" s="33" t="s">
        <v>34</v>
      </c>
      <c r="C444" s="44"/>
      <c r="D444" s="62">
        <f>1.25+0.3+1.25</f>
        <v>2.8</v>
      </c>
      <c r="E444" s="62"/>
      <c r="F444" s="41"/>
      <c r="G444" s="36">
        <v>0.25</v>
      </c>
      <c r="H444" s="10">
        <v>25</v>
      </c>
      <c r="I444" s="11">
        <v>1</v>
      </c>
      <c r="J444" s="13">
        <f>ROUND(D441/G444+1,0)</f>
        <v>14</v>
      </c>
      <c r="K444" s="45">
        <f>D444</f>
        <v>2.8</v>
      </c>
      <c r="L444" s="37" t="str">
        <f>IF(O444&lt;12,"0",0.049*H444)</f>
        <v>0</v>
      </c>
      <c r="M444" s="17">
        <v>0</v>
      </c>
      <c r="N444" s="11">
        <f>M444*2*H444/1000</f>
        <v>0</v>
      </c>
      <c r="O444" s="16">
        <f>(D444)-N444</f>
        <v>2.8</v>
      </c>
      <c r="P444" s="16">
        <f>(I444*J444*O444)+L444</f>
        <v>39.199999999999996</v>
      </c>
      <c r="Q444" s="18" t="str">
        <f t="shared" si="36"/>
        <v/>
      </c>
      <c r="R444" s="18" t="str">
        <f t="shared" si="37"/>
        <v/>
      </c>
      <c r="S444" s="18" t="str">
        <f t="shared" si="38"/>
        <v/>
      </c>
      <c r="T444" s="18" t="str">
        <f t="shared" si="39"/>
        <v/>
      </c>
      <c r="U444" s="18" t="str">
        <f t="shared" si="40"/>
        <v/>
      </c>
      <c r="V444" s="18">
        <f t="shared" si="41"/>
        <v>39.199999999999996</v>
      </c>
      <c r="W444" s="14"/>
    </row>
    <row r="445" spans="1:23" x14ac:dyDescent="0.25">
      <c r="A445" s="6"/>
      <c r="B445" s="33" t="s">
        <v>72</v>
      </c>
      <c r="C445" s="19"/>
      <c r="D445" s="56"/>
      <c r="E445" s="56"/>
      <c r="F445" s="41"/>
      <c r="G445" s="36"/>
      <c r="H445" s="10"/>
      <c r="I445" s="11"/>
      <c r="J445" s="13"/>
      <c r="K445" s="45"/>
      <c r="L445" s="37"/>
      <c r="M445" s="17"/>
      <c r="N445" s="11"/>
      <c r="O445" s="16"/>
      <c r="P445" s="16"/>
      <c r="Q445" s="18" t="str">
        <f t="shared" si="36"/>
        <v/>
      </c>
      <c r="R445" s="18" t="str">
        <f t="shared" si="37"/>
        <v/>
      </c>
      <c r="S445" s="18" t="str">
        <f t="shared" si="38"/>
        <v/>
      </c>
      <c r="T445" s="18" t="str">
        <f t="shared" si="39"/>
        <v/>
      </c>
      <c r="U445" s="18" t="str">
        <f t="shared" si="40"/>
        <v/>
      </c>
      <c r="V445" s="18" t="str">
        <f t="shared" si="41"/>
        <v/>
      </c>
      <c r="W445" s="14"/>
    </row>
    <row r="446" spans="1:23" x14ac:dyDescent="0.25">
      <c r="A446" s="6"/>
      <c r="B446" s="33"/>
      <c r="C446" s="19"/>
      <c r="D446" s="56"/>
      <c r="E446" s="56"/>
      <c r="F446" s="41"/>
      <c r="G446" s="36"/>
      <c r="H446" s="10"/>
      <c r="I446" s="11"/>
      <c r="J446" s="13"/>
      <c r="K446" s="45"/>
      <c r="L446" s="37"/>
      <c r="M446" s="17"/>
      <c r="N446" s="11"/>
      <c r="O446" s="16"/>
      <c r="P446" s="16"/>
      <c r="Q446" s="18" t="str">
        <f t="shared" si="36"/>
        <v/>
      </c>
      <c r="R446" s="18" t="str">
        <f t="shared" si="37"/>
        <v/>
      </c>
      <c r="S446" s="18" t="str">
        <f t="shared" si="38"/>
        <v/>
      </c>
      <c r="T446" s="18" t="str">
        <f t="shared" si="39"/>
        <v/>
      </c>
      <c r="U446" s="18" t="str">
        <f t="shared" si="40"/>
        <v/>
      </c>
      <c r="V446" s="18" t="str">
        <f t="shared" si="41"/>
        <v/>
      </c>
      <c r="W446" s="14"/>
    </row>
    <row r="447" spans="1:23" x14ac:dyDescent="0.25">
      <c r="A447" s="6">
        <v>91</v>
      </c>
      <c r="B447" s="33" t="s">
        <v>33</v>
      </c>
      <c r="C447" s="44"/>
      <c r="D447" s="62">
        <f>1.25+0.75+1.25</f>
        <v>3.25</v>
      </c>
      <c r="E447" s="62"/>
      <c r="F447" s="41"/>
      <c r="G447" s="36">
        <v>0.25</v>
      </c>
      <c r="H447" s="10">
        <v>25</v>
      </c>
      <c r="I447" s="11">
        <v>1</v>
      </c>
      <c r="J447" s="13">
        <f>ROUND(D450/G447+1,0)</f>
        <v>12</v>
      </c>
      <c r="K447" s="45">
        <f>D447</f>
        <v>3.25</v>
      </c>
      <c r="L447" s="37" t="str">
        <f>IF(O447&lt;12,"0",0.049*H447)</f>
        <v>0</v>
      </c>
      <c r="M447" s="17">
        <v>0</v>
      </c>
      <c r="N447" s="11">
        <f>M447*2*H447/1000</f>
        <v>0</v>
      </c>
      <c r="O447" s="16">
        <f>(D447)-N447</f>
        <v>3.25</v>
      </c>
      <c r="P447" s="16">
        <f>(I447*J447*O447)+L447</f>
        <v>39</v>
      </c>
      <c r="Q447" s="18" t="str">
        <f t="shared" si="36"/>
        <v/>
      </c>
      <c r="R447" s="18" t="str">
        <f t="shared" si="37"/>
        <v/>
      </c>
      <c r="S447" s="18" t="str">
        <f t="shared" si="38"/>
        <v/>
      </c>
      <c r="T447" s="18" t="str">
        <f t="shared" si="39"/>
        <v/>
      </c>
      <c r="U447" s="18" t="str">
        <f t="shared" si="40"/>
        <v/>
      </c>
      <c r="V447" s="18">
        <f t="shared" si="41"/>
        <v>39</v>
      </c>
      <c r="W447" s="14"/>
    </row>
    <row r="448" spans="1:23" x14ac:dyDescent="0.25">
      <c r="A448" s="6"/>
      <c r="B448" s="33" t="s">
        <v>75</v>
      </c>
      <c r="C448" s="19"/>
      <c r="D448" s="56"/>
      <c r="E448" s="56"/>
      <c r="F448" s="41"/>
      <c r="G448" s="36"/>
      <c r="H448" s="10"/>
      <c r="I448" s="11"/>
      <c r="J448" s="13"/>
      <c r="K448" s="45"/>
      <c r="L448" s="37"/>
      <c r="M448" s="17"/>
      <c r="N448" s="11"/>
      <c r="O448" s="16"/>
      <c r="P448" s="16"/>
      <c r="Q448" s="18" t="str">
        <f t="shared" si="36"/>
        <v/>
      </c>
      <c r="R448" s="18" t="str">
        <f t="shared" si="37"/>
        <v/>
      </c>
      <c r="S448" s="18" t="str">
        <f t="shared" si="38"/>
        <v/>
      </c>
      <c r="T448" s="18" t="str">
        <f t="shared" si="39"/>
        <v/>
      </c>
      <c r="U448" s="18" t="str">
        <f t="shared" si="40"/>
        <v/>
      </c>
      <c r="V448" s="18" t="str">
        <f t="shared" si="41"/>
        <v/>
      </c>
      <c r="W448" s="14"/>
    </row>
    <row r="449" spans="1:23" x14ac:dyDescent="0.25">
      <c r="A449" s="6"/>
      <c r="B449" s="33"/>
      <c r="C449" s="19"/>
      <c r="D449" s="56"/>
      <c r="E449" s="56"/>
      <c r="F449" s="41"/>
      <c r="G449" s="36"/>
      <c r="H449" s="10"/>
      <c r="I449" s="11"/>
      <c r="J449" s="13"/>
      <c r="K449" s="45"/>
      <c r="L449" s="37"/>
      <c r="M449" s="17"/>
      <c r="N449" s="11"/>
      <c r="O449" s="16"/>
      <c r="P449" s="16"/>
      <c r="Q449" s="18" t="str">
        <f t="shared" si="36"/>
        <v/>
      </c>
      <c r="R449" s="18" t="str">
        <f t="shared" si="37"/>
        <v/>
      </c>
      <c r="S449" s="18" t="str">
        <f t="shared" si="38"/>
        <v/>
      </c>
      <c r="T449" s="18" t="str">
        <f t="shared" si="39"/>
        <v/>
      </c>
      <c r="U449" s="18" t="str">
        <f t="shared" si="40"/>
        <v/>
      </c>
      <c r="V449" s="18" t="str">
        <f t="shared" si="41"/>
        <v/>
      </c>
      <c r="W449" s="14"/>
    </row>
    <row r="450" spans="1:23" x14ac:dyDescent="0.25">
      <c r="A450" s="6">
        <v>92</v>
      </c>
      <c r="B450" s="33" t="s">
        <v>34</v>
      </c>
      <c r="C450" s="44"/>
      <c r="D450" s="62">
        <f>1.25+0.3+1.25</f>
        <v>2.8</v>
      </c>
      <c r="E450" s="62"/>
      <c r="F450" s="41"/>
      <c r="G450" s="36">
        <v>0.25</v>
      </c>
      <c r="H450" s="10">
        <v>20</v>
      </c>
      <c r="I450" s="11">
        <v>1</v>
      </c>
      <c r="J450" s="13">
        <f>ROUND(D447/G450+1,0)</f>
        <v>14</v>
      </c>
      <c r="K450" s="45">
        <f>D450</f>
        <v>2.8</v>
      </c>
      <c r="L450" s="37" t="str">
        <f>IF(O450&lt;12,"0",0.049*H450)</f>
        <v>0</v>
      </c>
      <c r="M450" s="17">
        <v>0</v>
      </c>
      <c r="N450" s="11">
        <f>M450*2*H450/1000</f>
        <v>0</v>
      </c>
      <c r="O450" s="16">
        <f>(D450)-N450</f>
        <v>2.8</v>
      </c>
      <c r="P450" s="16">
        <f>(I450*J450*O450)+L450</f>
        <v>39.199999999999996</v>
      </c>
      <c r="Q450" s="18" t="str">
        <f t="shared" si="36"/>
        <v/>
      </c>
      <c r="R450" s="18" t="str">
        <f t="shared" si="37"/>
        <v/>
      </c>
      <c r="S450" s="18" t="str">
        <f t="shared" si="38"/>
        <v/>
      </c>
      <c r="T450" s="18" t="str">
        <f t="shared" si="39"/>
        <v/>
      </c>
      <c r="U450" s="18">
        <f t="shared" si="40"/>
        <v>39.199999999999996</v>
      </c>
      <c r="V450" s="18" t="str">
        <f t="shared" si="41"/>
        <v/>
      </c>
      <c r="W450" s="14"/>
    </row>
    <row r="451" spans="1:23" x14ac:dyDescent="0.25">
      <c r="A451" s="6"/>
      <c r="B451" s="33" t="s">
        <v>75</v>
      </c>
      <c r="C451" s="19"/>
      <c r="D451" s="56"/>
      <c r="E451" s="56"/>
      <c r="F451" s="41"/>
      <c r="G451" s="36"/>
      <c r="H451" s="10"/>
      <c r="I451" s="11"/>
      <c r="J451" s="13"/>
      <c r="K451" s="45"/>
      <c r="L451" s="37"/>
      <c r="M451" s="17"/>
      <c r="N451" s="11"/>
      <c r="O451" s="16"/>
      <c r="P451" s="16"/>
      <c r="Q451" s="18" t="str">
        <f t="shared" si="36"/>
        <v/>
      </c>
      <c r="R451" s="18" t="str">
        <f t="shared" si="37"/>
        <v/>
      </c>
      <c r="S451" s="18" t="str">
        <f t="shared" si="38"/>
        <v/>
      </c>
      <c r="T451" s="18" t="str">
        <f t="shared" si="39"/>
        <v/>
      </c>
      <c r="U451" s="18" t="str">
        <f t="shared" si="40"/>
        <v/>
      </c>
      <c r="V451" s="18" t="str">
        <f t="shared" si="41"/>
        <v/>
      </c>
      <c r="W451" s="14"/>
    </row>
    <row r="452" spans="1:23" x14ac:dyDescent="0.25">
      <c r="A452" s="6"/>
      <c r="B452" s="33"/>
      <c r="C452" s="19"/>
      <c r="D452" s="56"/>
      <c r="E452" s="56"/>
      <c r="F452" s="41"/>
      <c r="G452" s="36"/>
      <c r="H452" s="10"/>
      <c r="I452" s="11"/>
      <c r="J452" s="13"/>
      <c r="K452" s="45"/>
      <c r="L452" s="37"/>
      <c r="M452" s="17"/>
      <c r="N452" s="11"/>
      <c r="O452" s="16"/>
      <c r="P452" s="16"/>
      <c r="Q452" s="18" t="str">
        <f t="shared" si="36"/>
        <v/>
      </c>
      <c r="R452" s="18" t="str">
        <f t="shared" si="37"/>
        <v/>
      </c>
      <c r="S452" s="18" t="str">
        <f t="shared" si="38"/>
        <v/>
      </c>
      <c r="T452" s="18" t="str">
        <f t="shared" si="39"/>
        <v/>
      </c>
      <c r="U452" s="18" t="str">
        <f t="shared" si="40"/>
        <v/>
      </c>
      <c r="V452" s="18" t="str">
        <f t="shared" si="41"/>
        <v/>
      </c>
      <c r="W452" s="14"/>
    </row>
    <row r="453" spans="1:23" x14ac:dyDescent="0.25">
      <c r="A453" s="6">
        <v>93</v>
      </c>
      <c r="B453" s="33" t="s">
        <v>34</v>
      </c>
      <c r="C453" s="44"/>
      <c r="D453" s="62">
        <f>1.25+0.3+1.25</f>
        <v>2.8</v>
      </c>
      <c r="E453" s="62"/>
      <c r="F453" s="41"/>
      <c r="G453" s="36">
        <v>0.25</v>
      </c>
      <c r="H453" s="10">
        <v>20</v>
      </c>
      <c r="I453" s="11">
        <v>1</v>
      </c>
      <c r="J453" s="13">
        <f>ROUND(D450/G453+1,0)</f>
        <v>12</v>
      </c>
      <c r="K453" s="45">
        <f>D453</f>
        <v>2.8</v>
      </c>
      <c r="L453" s="37" t="str">
        <f>IF(O453&lt;12,"0",0.049*H453)</f>
        <v>0</v>
      </c>
      <c r="M453" s="17">
        <v>0</v>
      </c>
      <c r="N453" s="11">
        <f>M453*2*H453/1000</f>
        <v>0</v>
      </c>
      <c r="O453" s="16">
        <f>(D453)-N453</f>
        <v>2.8</v>
      </c>
      <c r="P453" s="16">
        <f>(I453*J453*O453)+L453</f>
        <v>33.599999999999994</v>
      </c>
      <c r="Q453" s="18" t="str">
        <f t="shared" si="36"/>
        <v/>
      </c>
      <c r="R453" s="18" t="str">
        <f t="shared" si="37"/>
        <v/>
      </c>
      <c r="S453" s="18" t="str">
        <f t="shared" si="38"/>
        <v/>
      </c>
      <c r="T453" s="18" t="str">
        <f t="shared" si="39"/>
        <v/>
      </c>
      <c r="U453" s="18">
        <f t="shared" si="40"/>
        <v>33.599999999999994</v>
      </c>
      <c r="V453" s="18" t="str">
        <f t="shared" si="41"/>
        <v/>
      </c>
      <c r="W453" s="14"/>
    </row>
    <row r="454" spans="1:23" x14ac:dyDescent="0.25">
      <c r="A454" s="6"/>
      <c r="B454" s="33" t="s">
        <v>75</v>
      </c>
      <c r="C454" s="19"/>
      <c r="D454" s="56"/>
      <c r="E454" s="56"/>
      <c r="F454" s="41"/>
      <c r="G454" s="36"/>
      <c r="H454" s="10"/>
      <c r="I454" s="11"/>
      <c r="J454" s="13"/>
      <c r="K454" s="45"/>
      <c r="L454" s="37"/>
      <c r="M454" s="17"/>
      <c r="N454" s="11"/>
      <c r="O454" s="16"/>
      <c r="P454" s="16"/>
      <c r="Q454" s="18" t="str">
        <f t="shared" si="36"/>
        <v/>
      </c>
      <c r="R454" s="18" t="str">
        <f t="shared" si="37"/>
        <v/>
      </c>
      <c r="S454" s="18" t="str">
        <f t="shared" si="38"/>
        <v/>
      </c>
      <c r="T454" s="18" t="str">
        <f t="shared" si="39"/>
        <v/>
      </c>
      <c r="U454" s="18" t="str">
        <f t="shared" si="40"/>
        <v/>
      </c>
      <c r="V454" s="18" t="str">
        <f t="shared" si="41"/>
        <v/>
      </c>
      <c r="W454" s="14"/>
    </row>
    <row r="455" spans="1:23" x14ac:dyDescent="0.25">
      <c r="A455" s="6"/>
      <c r="B455" s="33"/>
      <c r="C455" s="19"/>
      <c r="D455" s="56"/>
      <c r="E455" s="56"/>
      <c r="F455" s="41"/>
      <c r="G455" s="36"/>
      <c r="H455" s="10"/>
      <c r="I455" s="11"/>
      <c r="J455" s="13"/>
      <c r="K455" s="45"/>
      <c r="L455" s="37"/>
      <c r="M455" s="17"/>
      <c r="N455" s="11"/>
      <c r="O455" s="16"/>
      <c r="P455" s="16"/>
      <c r="Q455" s="18" t="str">
        <f t="shared" si="36"/>
        <v/>
      </c>
      <c r="R455" s="18" t="str">
        <f t="shared" si="37"/>
        <v/>
      </c>
      <c r="S455" s="18" t="str">
        <f t="shared" si="38"/>
        <v/>
      </c>
      <c r="T455" s="18" t="str">
        <f t="shared" si="39"/>
        <v/>
      </c>
      <c r="U455" s="18" t="str">
        <f t="shared" si="40"/>
        <v/>
      </c>
      <c r="V455" s="18" t="str">
        <f t="shared" si="41"/>
        <v/>
      </c>
      <c r="W455" s="14"/>
    </row>
    <row r="456" spans="1:23" x14ac:dyDescent="0.25">
      <c r="A456" s="6">
        <v>94</v>
      </c>
      <c r="B456" s="33" t="s">
        <v>33</v>
      </c>
      <c r="C456" s="44"/>
      <c r="D456" s="62">
        <f>1.25+0.3+1.25</f>
        <v>2.8</v>
      </c>
      <c r="E456" s="62"/>
      <c r="F456" s="41"/>
      <c r="G456" s="36">
        <v>0.25</v>
      </c>
      <c r="H456" s="10">
        <v>25</v>
      </c>
      <c r="I456" s="11">
        <v>1</v>
      </c>
      <c r="J456" s="13">
        <f>ROUND(D459/G456+1,0)</f>
        <v>13</v>
      </c>
      <c r="K456" s="45">
        <f>D456</f>
        <v>2.8</v>
      </c>
      <c r="L456" s="37" t="str">
        <f>IF(O456&lt;12,"0",0.049*H456)</f>
        <v>0</v>
      </c>
      <c r="M456" s="17">
        <v>0</v>
      </c>
      <c r="N456" s="11">
        <f>M456*2*H456/1000</f>
        <v>0</v>
      </c>
      <c r="O456" s="16">
        <f>(D456)-N456</f>
        <v>2.8</v>
      </c>
      <c r="P456" s="16">
        <f>(I456*J456*O456)+L456</f>
        <v>36.4</v>
      </c>
      <c r="Q456" s="18" t="str">
        <f t="shared" si="36"/>
        <v/>
      </c>
      <c r="R456" s="18" t="str">
        <f t="shared" si="37"/>
        <v/>
      </c>
      <c r="S456" s="18" t="str">
        <f t="shared" si="38"/>
        <v/>
      </c>
      <c r="T456" s="18" t="str">
        <f t="shared" si="39"/>
        <v/>
      </c>
      <c r="U456" s="18" t="str">
        <f t="shared" si="40"/>
        <v/>
      </c>
      <c r="V456" s="18">
        <f t="shared" si="41"/>
        <v>36.4</v>
      </c>
      <c r="W456" s="14"/>
    </row>
    <row r="457" spans="1:23" x14ac:dyDescent="0.25">
      <c r="A457" s="6"/>
      <c r="B457" s="33" t="s">
        <v>76</v>
      </c>
      <c r="C457" s="19"/>
      <c r="D457" s="56"/>
      <c r="E457" s="56"/>
      <c r="F457" s="41"/>
      <c r="G457" s="36"/>
      <c r="H457" s="10"/>
      <c r="I457" s="11"/>
      <c r="J457" s="13"/>
      <c r="K457" s="45"/>
      <c r="L457" s="37"/>
      <c r="M457" s="17"/>
      <c r="N457" s="11"/>
      <c r="O457" s="16"/>
      <c r="P457" s="16"/>
      <c r="Q457" s="18" t="str">
        <f t="shared" si="36"/>
        <v/>
      </c>
      <c r="R457" s="18" t="str">
        <f t="shared" si="37"/>
        <v/>
      </c>
      <c r="S457" s="18" t="str">
        <f t="shared" si="38"/>
        <v/>
      </c>
      <c r="T457" s="18" t="str">
        <f t="shared" si="39"/>
        <v/>
      </c>
      <c r="U457" s="18" t="str">
        <f t="shared" si="40"/>
        <v/>
      </c>
      <c r="V457" s="18" t="str">
        <f t="shared" si="41"/>
        <v/>
      </c>
      <c r="W457" s="14"/>
    </row>
    <row r="458" spans="1:23" x14ac:dyDescent="0.25">
      <c r="A458" s="6"/>
      <c r="B458" s="33"/>
      <c r="C458" s="19"/>
      <c r="D458" s="56"/>
      <c r="E458" s="56"/>
      <c r="F458" s="41"/>
      <c r="G458" s="36"/>
      <c r="H458" s="10"/>
      <c r="I458" s="11"/>
      <c r="J458" s="13"/>
      <c r="K458" s="45"/>
      <c r="L458" s="37"/>
      <c r="M458" s="17"/>
      <c r="N458" s="11"/>
      <c r="O458" s="16"/>
      <c r="P458" s="16"/>
      <c r="Q458" s="18" t="str">
        <f t="shared" si="36"/>
        <v/>
      </c>
      <c r="R458" s="18" t="str">
        <f t="shared" si="37"/>
        <v/>
      </c>
      <c r="S458" s="18" t="str">
        <f t="shared" si="38"/>
        <v/>
      </c>
      <c r="T458" s="18" t="str">
        <f t="shared" si="39"/>
        <v/>
      </c>
      <c r="U458" s="18" t="str">
        <f t="shared" si="40"/>
        <v/>
      </c>
      <c r="V458" s="18" t="str">
        <f t="shared" si="41"/>
        <v/>
      </c>
      <c r="W458" s="14"/>
    </row>
    <row r="459" spans="1:23" x14ac:dyDescent="0.25">
      <c r="A459" s="6">
        <v>95</v>
      </c>
      <c r="B459" s="33" t="s">
        <v>34</v>
      </c>
      <c r="C459" s="44"/>
      <c r="D459" s="62">
        <f>1.25+0.6+1.25</f>
        <v>3.1</v>
      </c>
      <c r="E459" s="62"/>
      <c r="F459" s="41"/>
      <c r="G459" s="36">
        <v>0.25</v>
      </c>
      <c r="H459" s="10">
        <v>25</v>
      </c>
      <c r="I459" s="11">
        <v>1</v>
      </c>
      <c r="J459" s="13">
        <f>ROUND(D456/G459+1,0)</f>
        <v>12</v>
      </c>
      <c r="K459" s="45">
        <f>D459</f>
        <v>3.1</v>
      </c>
      <c r="L459" s="37" t="str">
        <f>IF(O459&lt;12,"0",0.049*H459)</f>
        <v>0</v>
      </c>
      <c r="M459" s="17">
        <v>0</v>
      </c>
      <c r="N459" s="11">
        <f>M459*2*H459/1000</f>
        <v>0</v>
      </c>
      <c r="O459" s="16">
        <f>(D459)-N459</f>
        <v>3.1</v>
      </c>
      <c r="P459" s="16">
        <f>(I459*J459*O459)+L459</f>
        <v>37.200000000000003</v>
      </c>
      <c r="Q459" s="18" t="str">
        <f t="shared" si="36"/>
        <v/>
      </c>
      <c r="R459" s="18" t="str">
        <f t="shared" si="37"/>
        <v/>
      </c>
      <c r="S459" s="18" t="str">
        <f t="shared" si="38"/>
        <v/>
      </c>
      <c r="T459" s="18" t="str">
        <f t="shared" si="39"/>
        <v/>
      </c>
      <c r="U459" s="18" t="str">
        <f t="shared" si="40"/>
        <v/>
      </c>
      <c r="V459" s="18">
        <f t="shared" si="41"/>
        <v>37.200000000000003</v>
      </c>
      <c r="W459" s="14"/>
    </row>
    <row r="460" spans="1:23" x14ac:dyDescent="0.25">
      <c r="A460" s="6"/>
      <c r="B460" s="33" t="s">
        <v>76</v>
      </c>
      <c r="C460" s="19"/>
      <c r="D460" s="56"/>
      <c r="E460" s="56"/>
      <c r="F460" s="41"/>
      <c r="G460" s="36"/>
      <c r="H460" s="10"/>
      <c r="I460" s="11"/>
      <c r="J460" s="13"/>
      <c r="K460" s="45"/>
      <c r="L460" s="37"/>
      <c r="M460" s="17"/>
      <c r="N460" s="11"/>
      <c r="O460" s="16"/>
      <c r="P460" s="16"/>
      <c r="Q460" s="18" t="str">
        <f t="shared" si="36"/>
        <v/>
      </c>
      <c r="R460" s="18" t="str">
        <f t="shared" si="37"/>
        <v/>
      </c>
      <c r="S460" s="18" t="str">
        <f t="shared" si="38"/>
        <v/>
      </c>
      <c r="T460" s="18" t="str">
        <f t="shared" si="39"/>
        <v/>
      </c>
      <c r="U460" s="18" t="str">
        <f t="shared" si="40"/>
        <v/>
      </c>
      <c r="V460" s="18" t="str">
        <f t="shared" si="41"/>
        <v/>
      </c>
      <c r="W460" s="14"/>
    </row>
    <row r="461" spans="1:23" x14ac:dyDescent="0.25">
      <c r="A461" s="6"/>
      <c r="B461" s="33"/>
      <c r="C461" s="19"/>
      <c r="D461" s="56"/>
      <c r="E461" s="56"/>
      <c r="F461" s="41"/>
      <c r="G461" s="36"/>
      <c r="H461" s="10"/>
      <c r="I461" s="11"/>
      <c r="J461" s="13"/>
      <c r="K461" s="45"/>
      <c r="L461" s="37"/>
      <c r="M461" s="17"/>
      <c r="N461" s="11"/>
      <c r="O461" s="16"/>
      <c r="P461" s="16"/>
      <c r="Q461" s="18" t="str">
        <f t="shared" si="36"/>
        <v/>
      </c>
      <c r="R461" s="18" t="str">
        <f t="shared" si="37"/>
        <v/>
      </c>
      <c r="S461" s="18" t="str">
        <f t="shared" si="38"/>
        <v/>
      </c>
      <c r="T461" s="18" t="str">
        <f t="shared" si="39"/>
        <v/>
      </c>
      <c r="U461" s="18" t="str">
        <f t="shared" si="40"/>
        <v/>
      </c>
      <c r="V461" s="18" t="str">
        <f t="shared" si="41"/>
        <v/>
      </c>
      <c r="W461" s="14"/>
    </row>
    <row r="462" spans="1:23" x14ac:dyDescent="0.25">
      <c r="A462" s="6">
        <v>96</v>
      </c>
      <c r="B462" s="33" t="s">
        <v>33</v>
      </c>
      <c r="C462" s="44"/>
      <c r="D462" s="62">
        <f>1+0.75+1</f>
        <v>2.75</v>
      </c>
      <c r="E462" s="62"/>
      <c r="F462" s="41"/>
      <c r="G462" s="36">
        <v>0.25</v>
      </c>
      <c r="H462" s="10">
        <v>20</v>
      </c>
      <c r="I462" s="11">
        <v>1</v>
      </c>
      <c r="J462" s="13">
        <f>ROUND(D465/G462+1,0)</f>
        <v>12</v>
      </c>
      <c r="K462" s="45">
        <f>D462</f>
        <v>2.75</v>
      </c>
      <c r="L462" s="37" t="str">
        <f>IF(O462&lt;12,"0",0.049*H462)</f>
        <v>0</v>
      </c>
      <c r="M462" s="17">
        <v>0</v>
      </c>
      <c r="N462" s="11">
        <f>M462*2*H462/1000</f>
        <v>0</v>
      </c>
      <c r="O462" s="16">
        <f>(D462)-N462</f>
        <v>2.75</v>
      </c>
      <c r="P462" s="16">
        <f>(I462*J462*O462)+L462</f>
        <v>33</v>
      </c>
      <c r="Q462" s="18" t="str">
        <f t="shared" si="36"/>
        <v/>
      </c>
      <c r="R462" s="18" t="str">
        <f t="shared" si="37"/>
        <v/>
      </c>
      <c r="S462" s="18" t="str">
        <f t="shared" si="38"/>
        <v/>
      </c>
      <c r="T462" s="18" t="str">
        <f t="shared" si="39"/>
        <v/>
      </c>
      <c r="U462" s="18">
        <f t="shared" si="40"/>
        <v>33</v>
      </c>
      <c r="V462" s="18" t="str">
        <f t="shared" si="41"/>
        <v/>
      </c>
      <c r="W462" s="14"/>
    </row>
    <row r="463" spans="1:23" x14ac:dyDescent="0.25">
      <c r="A463" s="6"/>
      <c r="B463" s="33" t="s">
        <v>77</v>
      </c>
      <c r="C463" s="19"/>
      <c r="D463" s="56"/>
      <c r="E463" s="56"/>
      <c r="F463" s="41"/>
      <c r="G463" s="36"/>
      <c r="H463" s="10"/>
      <c r="I463" s="11"/>
      <c r="J463" s="13"/>
      <c r="K463" s="45"/>
      <c r="L463" s="37"/>
      <c r="M463" s="17"/>
      <c r="N463" s="11"/>
      <c r="O463" s="16"/>
      <c r="P463" s="16"/>
      <c r="Q463" s="18" t="str">
        <f t="shared" si="36"/>
        <v/>
      </c>
      <c r="R463" s="18" t="str">
        <f t="shared" si="37"/>
        <v/>
      </c>
      <c r="S463" s="18" t="str">
        <f t="shared" si="38"/>
        <v/>
      </c>
      <c r="T463" s="18" t="str">
        <f t="shared" si="39"/>
        <v/>
      </c>
      <c r="U463" s="18" t="str">
        <f t="shared" si="40"/>
        <v/>
      </c>
      <c r="V463" s="18" t="str">
        <f t="shared" si="41"/>
        <v/>
      </c>
      <c r="W463" s="14"/>
    </row>
    <row r="464" spans="1:23" x14ac:dyDescent="0.25">
      <c r="A464" s="6"/>
      <c r="B464" s="33"/>
      <c r="C464" s="19"/>
      <c r="D464" s="56"/>
      <c r="E464" s="56"/>
      <c r="F464" s="41"/>
      <c r="G464" s="36"/>
      <c r="H464" s="10"/>
      <c r="I464" s="11"/>
      <c r="J464" s="13"/>
      <c r="K464" s="45"/>
      <c r="L464" s="37"/>
      <c r="M464" s="17"/>
      <c r="N464" s="11"/>
      <c r="O464" s="16"/>
      <c r="P464" s="16"/>
      <c r="Q464" s="18" t="str">
        <f t="shared" si="36"/>
        <v/>
      </c>
      <c r="R464" s="18" t="str">
        <f t="shared" si="37"/>
        <v/>
      </c>
      <c r="S464" s="18" t="str">
        <f t="shared" si="38"/>
        <v/>
      </c>
      <c r="T464" s="18" t="str">
        <f t="shared" si="39"/>
        <v/>
      </c>
      <c r="U464" s="18" t="str">
        <f t="shared" si="40"/>
        <v/>
      </c>
      <c r="V464" s="18" t="str">
        <f t="shared" si="41"/>
        <v/>
      </c>
      <c r="W464" s="14"/>
    </row>
    <row r="465" spans="1:23" x14ac:dyDescent="0.25">
      <c r="A465" s="6">
        <v>97</v>
      </c>
      <c r="B465" s="33" t="s">
        <v>34</v>
      </c>
      <c r="C465" s="44"/>
      <c r="D465" s="62">
        <f>1+0.3+1.385</f>
        <v>2.6850000000000001</v>
      </c>
      <c r="E465" s="62"/>
      <c r="F465" s="41"/>
      <c r="G465" s="36">
        <v>0.25</v>
      </c>
      <c r="H465" s="10">
        <v>20</v>
      </c>
      <c r="I465" s="11">
        <v>1</v>
      </c>
      <c r="J465" s="13">
        <f>ROUND(D462/G465+1,0)</f>
        <v>12</v>
      </c>
      <c r="K465" s="45">
        <f>D465</f>
        <v>2.6850000000000001</v>
      </c>
      <c r="L465" s="37" t="str">
        <f>IF(O465&lt;12,"0",0.049*H465)</f>
        <v>0</v>
      </c>
      <c r="M465" s="17">
        <v>0</v>
      </c>
      <c r="N465" s="11">
        <f>M465*2*H465/1000</f>
        <v>0</v>
      </c>
      <c r="O465" s="16">
        <f>(D465)-N465</f>
        <v>2.6850000000000001</v>
      </c>
      <c r="P465" s="16">
        <f>(I465*J465*O465)+L465</f>
        <v>32.22</v>
      </c>
      <c r="Q465" s="18" t="str">
        <f t="shared" si="36"/>
        <v/>
      </c>
      <c r="R465" s="18" t="str">
        <f t="shared" si="37"/>
        <v/>
      </c>
      <c r="S465" s="18" t="str">
        <f t="shared" si="38"/>
        <v/>
      </c>
      <c r="T465" s="18" t="str">
        <f t="shared" si="39"/>
        <v/>
      </c>
      <c r="U465" s="18">
        <f t="shared" si="40"/>
        <v>32.22</v>
      </c>
      <c r="V465" s="18" t="str">
        <f t="shared" si="41"/>
        <v/>
      </c>
      <c r="W465" s="14"/>
    </row>
    <row r="466" spans="1:23" x14ac:dyDescent="0.25">
      <c r="A466" s="6"/>
      <c r="B466" s="33" t="s">
        <v>77</v>
      </c>
      <c r="C466" s="19"/>
      <c r="D466" s="56"/>
      <c r="E466" s="56"/>
      <c r="F466" s="41"/>
      <c r="G466" s="36"/>
      <c r="H466" s="10"/>
      <c r="I466" s="11"/>
      <c r="J466" s="13"/>
      <c r="K466" s="45"/>
      <c r="L466" s="37"/>
      <c r="M466" s="17"/>
      <c r="N466" s="11"/>
      <c r="O466" s="16"/>
      <c r="P466" s="16"/>
      <c r="Q466" s="18" t="str">
        <f t="shared" si="36"/>
        <v/>
      </c>
      <c r="R466" s="18" t="str">
        <f t="shared" si="37"/>
        <v/>
      </c>
      <c r="S466" s="18" t="str">
        <f t="shared" si="38"/>
        <v/>
      </c>
      <c r="T466" s="18" t="str">
        <f t="shared" si="39"/>
        <v/>
      </c>
      <c r="U466" s="18" t="str">
        <f t="shared" si="40"/>
        <v/>
      </c>
      <c r="V466" s="18" t="str">
        <f t="shared" si="41"/>
        <v/>
      </c>
      <c r="W466" s="14"/>
    </row>
    <row r="467" spans="1:23" x14ac:dyDescent="0.25">
      <c r="A467" s="6"/>
      <c r="B467" s="33"/>
      <c r="C467" s="19"/>
      <c r="D467" s="56"/>
      <c r="E467" s="56"/>
      <c r="F467" s="41"/>
      <c r="G467" s="36"/>
      <c r="H467" s="10"/>
      <c r="I467" s="11"/>
      <c r="J467" s="13"/>
      <c r="K467" s="45"/>
      <c r="L467" s="37"/>
      <c r="M467" s="17"/>
      <c r="N467" s="11"/>
      <c r="O467" s="16"/>
      <c r="P467" s="16"/>
      <c r="Q467" s="18" t="str">
        <f t="shared" si="36"/>
        <v/>
      </c>
      <c r="R467" s="18" t="str">
        <f t="shared" si="37"/>
        <v/>
      </c>
      <c r="S467" s="18" t="str">
        <f t="shared" si="38"/>
        <v/>
      </c>
      <c r="T467" s="18" t="str">
        <f t="shared" si="39"/>
        <v/>
      </c>
      <c r="U467" s="18" t="str">
        <f t="shared" si="40"/>
        <v/>
      </c>
      <c r="V467" s="18" t="str">
        <f t="shared" si="41"/>
        <v/>
      </c>
      <c r="W467" s="14"/>
    </row>
    <row r="468" spans="1:23" x14ac:dyDescent="0.25">
      <c r="A468" s="6">
        <v>98</v>
      </c>
      <c r="B468" s="33" t="s">
        <v>34</v>
      </c>
      <c r="C468" s="44"/>
      <c r="D468" s="62">
        <f>1+0.3+1.385</f>
        <v>2.6850000000000001</v>
      </c>
      <c r="E468" s="62"/>
      <c r="F468" s="41"/>
      <c r="G468" s="36">
        <v>0.25</v>
      </c>
      <c r="H468" s="10">
        <v>20</v>
      </c>
      <c r="I468" s="11">
        <v>1</v>
      </c>
      <c r="J468" s="13">
        <f>ROUND(D465/G468+1,0)</f>
        <v>12</v>
      </c>
      <c r="K468" s="45">
        <f>D468</f>
        <v>2.6850000000000001</v>
      </c>
      <c r="L468" s="37" t="str">
        <f>IF(O468&lt;12,"0",0.049*H468)</f>
        <v>0</v>
      </c>
      <c r="M468" s="17">
        <v>0</v>
      </c>
      <c r="N468" s="11">
        <f>M468*2*H468/1000</f>
        <v>0</v>
      </c>
      <c r="O468" s="16">
        <f>(D468)-N468</f>
        <v>2.6850000000000001</v>
      </c>
      <c r="P468" s="16">
        <f>(I468*J468*O468)+L468</f>
        <v>32.22</v>
      </c>
      <c r="Q468" s="18" t="str">
        <f t="shared" si="36"/>
        <v/>
      </c>
      <c r="R468" s="18" t="str">
        <f t="shared" si="37"/>
        <v/>
      </c>
      <c r="S468" s="18" t="str">
        <f t="shared" si="38"/>
        <v/>
      </c>
      <c r="T468" s="18" t="str">
        <f t="shared" si="39"/>
        <v/>
      </c>
      <c r="U468" s="18">
        <f t="shared" si="40"/>
        <v>32.22</v>
      </c>
      <c r="V468" s="18" t="str">
        <f t="shared" si="41"/>
        <v/>
      </c>
      <c r="W468" s="14"/>
    </row>
    <row r="469" spans="1:23" x14ac:dyDescent="0.25">
      <c r="A469" s="6"/>
      <c r="B469" s="33" t="s">
        <v>77</v>
      </c>
      <c r="C469" s="19"/>
      <c r="D469" s="56"/>
      <c r="E469" s="56"/>
      <c r="F469" s="41"/>
      <c r="G469" s="36"/>
      <c r="H469" s="10"/>
      <c r="I469" s="11"/>
      <c r="J469" s="13"/>
      <c r="K469" s="45"/>
      <c r="L469" s="37"/>
      <c r="M469" s="17"/>
      <c r="N469" s="11"/>
      <c r="O469" s="16"/>
      <c r="P469" s="16"/>
      <c r="Q469" s="18" t="str">
        <f t="shared" si="36"/>
        <v/>
      </c>
      <c r="R469" s="18" t="str">
        <f t="shared" si="37"/>
        <v/>
      </c>
      <c r="S469" s="18" t="str">
        <f t="shared" si="38"/>
        <v/>
      </c>
      <c r="T469" s="18" t="str">
        <f t="shared" si="39"/>
        <v/>
      </c>
      <c r="U469" s="18" t="str">
        <f t="shared" si="40"/>
        <v/>
      </c>
      <c r="V469" s="18" t="str">
        <f t="shared" si="41"/>
        <v/>
      </c>
      <c r="W469" s="14"/>
    </row>
    <row r="470" spans="1:23" x14ac:dyDescent="0.25">
      <c r="A470" s="6"/>
      <c r="B470" s="33"/>
      <c r="C470" s="19"/>
      <c r="D470" s="56"/>
      <c r="E470" s="56"/>
      <c r="F470" s="41"/>
      <c r="G470" s="36"/>
      <c r="H470" s="10"/>
      <c r="I470" s="11"/>
      <c r="J470" s="13"/>
      <c r="K470" s="45"/>
      <c r="L470" s="37"/>
      <c r="M470" s="17"/>
      <c r="N470" s="11"/>
      <c r="O470" s="16"/>
      <c r="P470" s="16"/>
      <c r="Q470" s="18" t="str">
        <f t="shared" si="36"/>
        <v/>
      </c>
      <c r="R470" s="18" t="str">
        <f t="shared" si="37"/>
        <v/>
      </c>
      <c r="S470" s="18" t="str">
        <f t="shared" si="38"/>
        <v/>
      </c>
      <c r="T470" s="18" t="str">
        <f t="shared" si="39"/>
        <v/>
      </c>
      <c r="U470" s="18" t="str">
        <f t="shared" si="40"/>
        <v/>
      </c>
      <c r="V470" s="18" t="str">
        <f t="shared" si="41"/>
        <v/>
      </c>
      <c r="W470" s="14"/>
    </row>
    <row r="471" spans="1:23" x14ac:dyDescent="0.25">
      <c r="A471" s="6">
        <v>99</v>
      </c>
      <c r="B471" s="33" t="s">
        <v>33</v>
      </c>
      <c r="C471" s="44"/>
      <c r="D471" s="62">
        <f>1.25+0.75+1.25</f>
        <v>3.25</v>
      </c>
      <c r="E471" s="62"/>
      <c r="F471" s="41"/>
      <c r="G471" s="36">
        <v>0.25</v>
      </c>
      <c r="H471" s="10">
        <v>25</v>
      </c>
      <c r="I471" s="11">
        <v>1</v>
      </c>
      <c r="J471" s="13">
        <f>ROUND(D474/G471+1,0)</f>
        <v>10</v>
      </c>
      <c r="K471" s="45">
        <f>D471</f>
        <v>3.25</v>
      </c>
      <c r="L471" s="37" t="str">
        <f>IF(O471&lt;12,"0",0.049*H471)</f>
        <v>0</v>
      </c>
      <c r="M471" s="17">
        <v>0</v>
      </c>
      <c r="N471" s="11">
        <f>M471*2*H471/1000</f>
        <v>0</v>
      </c>
      <c r="O471" s="16">
        <f>(D471)-N471</f>
        <v>3.25</v>
      </c>
      <c r="P471" s="16">
        <f>(I471*J471*O471)+L471</f>
        <v>32.5</v>
      </c>
      <c r="Q471" s="18" t="str">
        <f t="shared" si="36"/>
        <v/>
      </c>
      <c r="R471" s="18" t="str">
        <f t="shared" si="37"/>
        <v/>
      </c>
      <c r="S471" s="18" t="str">
        <f t="shared" si="38"/>
        <v/>
      </c>
      <c r="T471" s="18" t="str">
        <f t="shared" si="39"/>
        <v/>
      </c>
      <c r="U471" s="18" t="str">
        <f t="shared" si="40"/>
        <v/>
      </c>
      <c r="V471" s="18">
        <f t="shared" si="41"/>
        <v>32.5</v>
      </c>
      <c r="W471" s="14"/>
    </row>
    <row r="472" spans="1:23" x14ac:dyDescent="0.25">
      <c r="A472" s="6"/>
      <c r="B472" s="33" t="s">
        <v>78</v>
      </c>
      <c r="C472" s="19"/>
      <c r="D472" s="56"/>
      <c r="E472" s="56"/>
      <c r="F472" s="41"/>
      <c r="G472" s="36"/>
      <c r="H472" s="10"/>
      <c r="I472" s="11"/>
      <c r="J472" s="13"/>
      <c r="K472" s="45"/>
      <c r="L472" s="37"/>
      <c r="M472" s="17"/>
      <c r="N472" s="11"/>
      <c r="O472" s="16"/>
      <c r="P472" s="16"/>
      <c r="Q472" s="18" t="str">
        <f t="shared" si="36"/>
        <v/>
      </c>
      <c r="R472" s="18" t="str">
        <f t="shared" si="37"/>
        <v/>
      </c>
      <c r="S472" s="18" t="str">
        <f t="shared" si="38"/>
        <v/>
      </c>
      <c r="T472" s="18" t="str">
        <f t="shared" si="39"/>
        <v/>
      </c>
      <c r="U472" s="18" t="str">
        <f t="shared" si="40"/>
        <v/>
      </c>
      <c r="V472" s="18" t="str">
        <f t="shared" si="41"/>
        <v/>
      </c>
      <c r="W472" s="14"/>
    </row>
    <row r="473" spans="1:23" x14ac:dyDescent="0.25">
      <c r="A473" s="6"/>
      <c r="B473" s="33"/>
      <c r="C473" s="19"/>
      <c r="D473" s="56"/>
      <c r="E473" s="56"/>
      <c r="F473" s="41"/>
      <c r="G473" s="36"/>
      <c r="H473" s="10"/>
      <c r="I473" s="11"/>
      <c r="J473" s="13"/>
      <c r="K473" s="45"/>
      <c r="L473" s="37"/>
      <c r="M473" s="17"/>
      <c r="N473" s="11"/>
      <c r="O473" s="16"/>
      <c r="P473" s="16"/>
      <c r="Q473" s="18" t="str">
        <f t="shared" si="36"/>
        <v/>
      </c>
      <c r="R473" s="18" t="str">
        <f t="shared" si="37"/>
        <v/>
      </c>
      <c r="S473" s="18" t="str">
        <f t="shared" si="38"/>
        <v/>
      </c>
      <c r="T473" s="18" t="str">
        <f t="shared" si="39"/>
        <v/>
      </c>
      <c r="U473" s="18" t="str">
        <f t="shared" si="40"/>
        <v/>
      </c>
      <c r="V473" s="18" t="str">
        <f t="shared" si="41"/>
        <v/>
      </c>
      <c r="W473" s="14"/>
    </row>
    <row r="474" spans="1:23" x14ac:dyDescent="0.25">
      <c r="A474" s="6">
        <v>100</v>
      </c>
      <c r="B474" s="33" t="s">
        <v>34</v>
      </c>
      <c r="C474" s="44"/>
      <c r="D474" s="62">
        <f>1+0.3+1</f>
        <v>2.2999999999999998</v>
      </c>
      <c r="E474" s="62"/>
      <c r="F474" s="41"/>
      <c r="G474" s="36">
        <v>0.25</v>
      </c>
      <c r="H474" s="10">
        <v>20</v>
      </c>
      <c r="I474" s="11">
        <v>1</v>
      </c>
      <c r="J474" s="13">
        <f>ROUND(D471/G474+1,0)</f>
        <v>14</v>
      </c>
      <c r="K474" s="45">
        <f>D474</f>
        <v>2.2999999999999998</v>
      </c>
      <c r="L474" s="37" t="str">
        <f>IF(O474&lt;12,"0",0.049*H474)</f>
        <v>0</v>
      </c>
      <c r="M474" s="17">
        <v>0</v>
      </c>
      <c r="N474" s="11">
        <f>M474*2*H474/1000</f>
        <v>0</v>
      </c>
      <c r="O474" s="16">
        <f>(D474)-N474</f>
        <v>2.2999999999999998</v>
      </c>
      <c r="P474" s="16">
        <f>(I474*J474*O474)+L474</f>
        <v>32.199999999999996</v>
      </c>
      <c r="Q474" s="18" t="str">
        <f t="shared" si="36"/>
        <v/>
      </c>
      <c r="R474" s="18" t="str">
        <f t="shared" si="37"/>
        <v/>
      </c>
      <c r="S474" s="18" t="str">
        <f t="shared" si="38"/>
        <v/>
      </c>
      <c r="T474" s="18" t="str">
        <f t="shared" si="39"/>
        <v/>
      </c>
      <c r="U474" s="18">
        <f t="shared" si="40"/>
        <v>32.199999999999996</v>
      </c>
      <c r="V474" s="18" t="str">
        <f t="shared" si="41"/>
        <v/>
      </c>
      <c r="W474" s="14"/>
    </row>
    <row r="475" spans="1:23" x14ac:dyDescent="0.25">
      <c r="A475" s="6"/>
      <c r="B475" s="33" t="s">
        <v>78</v>
      </c>
      <c r="C475" s="19"/>
      <c r="D475" s="56"/>
      <c r="E475" s="56"/>
      <c r="F475" s="41"/>
      <c r="G475" s="36"/>
      <c r="H475" s="10"/>
      <c r="I475" s="11"/>
      <c r="J475" s="13"/>
      <c r="K475" s="45"/>
      <c r="L475" s="37"/>
      <c r="M475" s="17"/>
      <c r="N475" s="11"/>
      <c r="O475" s="16"/>
      <c r="P475" s="16"/>
      <c r="Q475" s="18" t="str">
        <f t="shared" si="36"/>
        <v/>
      </c>
      <c r="R475" s="18" t="str">
        <f t="shared" si="37"/>
        <v/>
      </c>
      <c r="S475" s="18" t="str">
        <f t="shared" si="38"/>
        <v/>
      </c>
      <c r="T475" s="18" t="str">
        <f t="shared" si="39"/>
        <v/>
      </c>
      <c r="U475" s="18" t="str">
        <f t="shared" si="40"/>
        <v/>
      </c>
      <c r="V475" s="18" t="str">
        <f t="shared" si="41"/>
        <v/>
      </c>
      <c r="W475" s="14"/>
    </row>
    <row r="476" spans="1:23" x14ac:dyDescent="0.25">
      <c r="A476" s="6"/>
      <c r="B476" s="33"/>
      <c r="C476" s="19"/>
      <c r="D476" s="56"/>
      <c r="E476" s="56"/>
      <c r="F476" s="41"/>
      <c r="G476" s="36"/>
      <c r="H476" s="10"/>
      <c r="I476" s="11"/>
      <c r="J476" s="13"/>
      <c r="K476" s="45"/>
      <c r="L476" s="37"/>
      <c r="M476" s="17"/>
      <c r="N476" s="11"/>
      <c r="O476" s="16"/>
      <c r="P476" s="16"/>
      <c r="Q476" s="18" t="str">
        <f t="shared" si="36"/>
        <v/>
      </c>
      <c r="R476" s="18" t="str">
        <f t="shared" si="37"/>
        <v/>
      </c>
      <c r="S476" s="18" t="str">
        <f t="shared" si="38"/>
        <v/>
      </c>
      <c r="T476" s="18" t="str">
        <f t="shared" si="39"/>
        <v/>
      </c>
      <c r="U476" s="18" t="str">
        <f t="shared" si="40"/>
        <v/>
      </c>
      <c r="V476" s="18" t="str">
        <f t="shared" si="41"/>
        <v/>
      </c>
      <c r="W476" s="14"/>
    </row>
    <row r="477" spans="1:23" x14ac:dyDescent="0.25">
      <c r="A477" s="6">
        <v>101</v>
      </c>
      <c r="B477" s="33" t="s">
        <v>33</v>
      </c>
      <c r="C477" s="44"/>
      <c r="D477" s="62">
        <f>1+0.75+1</f>
        <v>2.75</v>
      </c>
      <c r="E477" s="62"/>
      <c r="F477" s="41"/>
      <c r="G477" s="36">
        <v>0.25</v>
      </c>
      <c r="H477" s="10">
        <v>20</v>
      </c>
      <c r="I477" s="11">
        <v>1</v>
      </c>
      <c r="J477" s="13">
        <f>ROUND(D480/G477+1,0)</f>
        <v>10</v>
      </c>
      <c r="K477" s="45">
        <f>D477</f>
        <v>2.75</v>
      </c>
      <c r="L477" s="37" t="str">
        <f>IF(O477&lt;12,"0",0.049*H477)</f>
        <v>0</v>
      </c>
      <c r="M477" s="17">
        <v>0</v>
      </c>
      <c r="N477" s="11">
        <f>M477*2*H477/1000</f>
        <v>0</v>
      </c>
      <c r="O477" s="16">
        <f>(D477)-N477</f>
        <v>2.75</v>
      </c>
      <c r="P477" s="16">
        <f>(I477*J477*O477)+L477</f>
        <v>27.5</v>
      </c>
      <c r="Q477" s="18" t="str">
        <f t="shared" si="36"/>
        <v/>
      </c>
      <c r="R477" s="18" t="str">
        <f t="shared" si="37"/>
        <v/>
      </c>
      <c r="S477" s="18" t="str">
        <f t="shared" si="38"/>
        <v/>
      </c>
      <c r="T477" s="18" t="str">
        <f t="shared" si="39"/>
        <v/>
      </c>
      <c r="U477" s="18">
        <f t="shared" si="40"/>
        <v>27.5</v>
      </c>
      <c r="V477" s="18" t="str">
        <f t="shared" si="41"/>
        <v/>
      </c>
      <c r="W477" s="14"/>
    </row>
    <row r="478" spans="1:23" x14ac:dyDescent="0.25">
      <c r="A478" s="6"/>
      <c r="B478" s="33" t="s">
        <v>79</v>
      </c>
      <c r="C478" s="19"/>
      <c r="D478" s="56"/>
      <c r="E478" s="56"/>
      <c r="F478" s="41"/>
      <c r="G478" s="36"/>
      <c r="H478" s="10"/>
      <c r="I478" s="11"/>
      <c r="J478" s="13"/>
      <c r="K478" s="45"/>
      <c r="L478" s="37"/>
      <c r="M478" s="17"/>
      <c r="N478" s="11"/>
      <c r="O478" s="16"/>
      <c r="P478" s="16"/>
      <c r="Q478" s="18" t="str">
        <f t="shared" si="36"/>
        <v/>
      </c>
      <c r="R478" s="18" t="str">
        <f t="shared" si="37"/>
        <v/>
      </c>
      <c r="S478" s="18" t="str">
        <f t="shared" si="38"/>
        <v/>
      </c>
      <c r="T478" s="18" t="str">
        <f t="shared" si="39"/>
        <v/>
      </c>
      <c r="U478" s="18" t="str">
        <f t="shared" si="40"/>
        <v/>
      </c>
      <c r="V478" s="18" t="str">
        <f t="shared" si="41"/>
        <v/>
      </c>
      <c r="W478" s="14"/>
    </row>
    <row r="479" spans="1:23" x14ac:dyDescent="0.25">
      <c r="A479" s="6"/>
      <c r="B479" s="33"/>
      <c r="C479" s="19"/>
      <c r="D479" s="56"/>
      <c r="E479" s="56"/>
      <c r="F479" s="41"/>
      <c r="G479" s="36"/>
      <c r="H479" s="10"/>
      <c r="I479" s="11"/>
      <c r="J479" s="13"/>
      <c r="K479" s="45"/>
      <c r="L479" s="37"/>
      <c r="M479" s="17"/>
      <c r="N479" s="11"/>
      <c r="O479" s="16"/>
      <c r="P479" s="16"/>
      <c r="Q479" s="18" t="str">
        <f t="shared" si="36"/>
        <v/>
      </c>
      <c r="R479" s="18" t="str">
        <f t="shared" si="37"/>
        <v/>
      </c>
      <c r="S479" s="18" t="str">
        <f t="shared" si="38"/>
        <v/>
      </c>
      <c r="T479" s="18" t="str">
        <f t="shared" si="39"/>
        <v/>
      </c>
      <c r="U479" s="18" t="str">
        <f t="shared" si="40"/>
        <v/>
      </c>
      <c r="V479" s="18" t="str">
        <f t="shared" si="41"/>
        <v/>
      </c>
      <c r="W479" s="14"/>
    </row>
    <row r="480" spans="1:23" x14ac:dyDescent="0.25">
      <c r="A480" s="6">
        <v>102</v>
      </c>
      <c r="B480" s="33" t="s">
        <v>34</v>
      </c>
      <c r="C480" s="44"/>
      <c r="D480" s="62">
        <f>1+0.3+1</f>
        <v>2.2999999999999998</v>
      </c>
      <c r="E480" s="62"/>
      <c r="F480" s="41"/>
      <c r="G480" s="36">
        <v>0.25</v>
      </c>
      <c r="H480" s="10">
        <v>20</v>
      </c>
      <c r="I480" s="11">
        <v>1</v>
      </c>
      <c r="J480" s="13">
        <f>ROUND(D477/G480+1,0)</f>
        <v>12</v>
      </c>
      <c r="K480" s="45">
        <f>D480</f>
        <v>2.2999999999999998</v>
      </c>
      <c r="L480" s="37" t="str">
        <f>IF(O480&lt;12,"0",0.049*H480)</f>
        <v>0</v>
      </c>
      <c r="M480" s="17">
        <v>0</v>
      </c>
      <c r="N480" s="11">
        <f>M480*2*H480/1000</f>
        <v>0</v>
      </c>
      <c r="O480" s="16">
        <f>(D480)-N480</f>
        <v>2.2999999999999998</v>
      </c>
      <c r="P480" s="16">
        <f>(I480*J480*O480)+L480</f>
        <v>27.599999999999998</v>
      </c>
      <c r="Q480" s="18" t="str">
        <f t="shared" si="36"/>
        <v/>
      </c>
      <c r="R480" s="18" t="str">
        <f t="shared" si="37"/>
        <v/>
      </c>
      <c r="S480" s="18" t="str">
        <f t="shared" si="38"/>
        <v/>
      </c>
      <c r="T480" s="18" t="str">
        <f t="shared" si="39"/>
        <v/>
      </c>
      <c r="U480" s="18">
        <f t="shared" si="40"/>
        <v>27.599999999999998</v>
      </c>
      <c r="V480" s="18" t="str">
        <f t="shared" si="41"/>
        <v/>
      </c>
      <c r="W480" s="14"/>
    </row>
    <row r="481" spans="1:23" x14ac:dyDescent="0.25">
      <c r="A481" s="6"/>
      <c r="B481" s="33" t="s">
        <v>79</v>
      </c>
      <c r="C481" s="19"/>
      <c r="D481" s="56"/>
      <c r="E481" s="56"/>
      <c r="F481" s="41"/>
      <c r="G481" s="36"/>
      <c r="H481" s="10"/>
      <c r="I481" s="11"/>
      <c r="J481" s="13"/>
      <c r="K481" s="45"/>
      <c r="L481" s="37"/>
      <c r="M481" s="17"/>
      <c r="N481" s="11"/>
      <c r="O481" s="16"/>
      <c r="P481" s="16"/>
      <c r="Q481" s="18" t="str">
        <f t="shared" si="36"/>
        <v/>
      </c>
      <c r="R481" s="18" t="str">
        <f t="shared" si="37"/>
        <v/>
      </c>
      <c r="S481" s="18" t="str">
        <f t="shared" si="38"/>
        <v/>
      </c>
      <c r="T481" s="18" t="str">
        <f t="shared" si="39"/>
        <v/>
      </c>
      <c r="U481" s="18" t="str">
        <f t="shared" si="40"/>
        <v/>
      </c>
      <c r="V481" s="18" t="str">
        <f t="shared" si="41"/>
        <v/>
      </c>
      <c r="W481" s="14"/>
    </row>
    <row r="482" spans="1:23" x14ac:dyDescent="0.25">
      <c r="A482" s="6"/>
      <c r="B482" s="33"/>
      <c r="C482" s="19"/>
      <c r="D482" s="56"/>
      <c r="E482" s="56"/>
      <c r="F482" s="41"/>
      <c r="G482" s="36"/>
      <c r="H482" s="10"/>
      <c r="I482" s="11"/>
      <c r="J482" s="13"/>
      <c r="K482" s="45"/>
      <c r="L482" s="37"/>
      <c r="M482" s="17"/>
      <c r="N482" s="11"/>
      <c r="O482" s="16"/>
      <c r="P482" s="16"/>
      <c r="Q482" s="18" t="str">
        <f t="shared" si="36"/>
        <v/>
      </c>
      <c r="R482" s="18" t="str">
        <f t="shared" si="37"/>
        <v/>
      </c>
      <c r="S482" s="18" t="str">
        <f t="shared" si="38"/>
        <v/>
      </c>
      <c r="T482" s="18" t="str">
        <f t="shared" si="39"/>
        <v/>
      </c>
      <c r="U482" s="18" t="str">
        <f t="shared" si="40"/>
        <v/>
      </c>
      <c r="V482" s="18" t="str">
        <f t="shared" si="41"/>
        <v/>
      </c>
      <c r="W482" s="14"/>
    </row>
    <row r="483" spans="1:23" x14ac:dyDescent="0.25">
      <c r="A483" s="6">
        <v>103</v>
      </c>
      <c r="B483" s="33" t="s">
        <v>34</v>
      </c>
      <c r="C483" s="44"/>
      <c r="D483" s="62">
        <f>1+0.3+1</f>
        <v>2.2999999999999998</v>
      </c>
      <c r="E483" s="62"/>
      <c r="F483" s="41"/>
      <c r="G483" s="36">
        <v>0.25</v>
      </c>
      <c r="H483" s="10">
        <v>20</v>
      </c>
      <c r="I483" s="11">
        <v>1</v>
      </c>
      <c r="J483" s="13">
        <f>ROUND(D477/G483+1,0)</f>
        <v>12</v>
      </c>
      <c r="K483" s="45">
        <f>D483</f>
        <v>2.2999999999999998</v>
      </c>
      <c r="L483" s="37" t="str">
        <f>IF(O483&lt;12,"0",0.049*H483)</f>
        <v>0</v>
      </c>
      <c r="M483" s="17">
        <v>0</v>
      </c>
      <c r="N483" s="11">
        <f>M483*2*H483/1000</f>
        <v>0</v>
      </c>
      <c r="O483" s="16">
        <f>(D483)-N483</f>
        <v>2.2999999999999998</v>
      </c>
      <c r="P483" s="16">
        <f>(I483*J483*O483)+L483</f>
        <v>27.599999999999998</v>
      </c>
      <c r="Q483" s="18" t="str">
        <f t="shared" si="36"/>
        <v/>
      </c>
      <c r="R483" s="18" t="str">
        <f t="shared" si="37"/>
        <v/>
      </c>
      <c r="S483" s="18" t="str">
        <f t="shared" si="38"/>
        <v/>
      </c>
      <c r="T483" s="18" t="str">
        <f t="shared" si="39"/>
        <v/>
      </c>
      <c r="U483" s="18">
        <f t="shared" si="40"/>
        <v>27.599999999999998</v>
      </c>
      <c r="V483" s="18" t="str">
        <f t="shared" si="41"/>
        <v/>
      </c>
      <c r="W483" s="14"/>
    </row>
    <row r="484" spans="1:23" x14ac:dyDescent="0.25">
      <c r="A484" s="6"/>
      <c r="B484" s="33" t="s">
        <v>79</v>
      </c>
      <c r="C484" s="19"/>
      <c r="D484" s="56"/>
      <c r="E484" s="56"/>
      <c r="F484" s="41"/>
      <c r="G484" s="36"/>
      <c r="H484" s="10"/>
      <c r="I484" s="11"/>
      <c r="J484" s="13"/>
      <c r="K484" s="45"/>
      <c r="L484" s="37"/>
      <c r="M484" s="17"/>
      <c r="N484" s="11"/>
      <c r="O484" s="16"/>
      <c r="P484" s="16"/>
      <c r="Q484" s="18" t="str">
        <f t="shared" si="36"/>
        <v/>
      </c>
      <c r="R484" s="18" t="str">
        <f t="shared" si="37"/>
        <v/>
      </c>
      <c r="S484" s="18" t="str">
        <f t="shared" si="38"/>
        <v/>
      </c>
      <c r="T484" s="18" t="str">
        <f t="shared" si="39"/>
        <v/>
      </c>
      <c r="U484" s="18" t="str">
        <f t="shared" si="40"/>
        <v/>
      </c>
      <c r="V484" s="18" t="str">
        <f t="shared" si="41"/>
        <v/>
      </c>
      <c r="W484" s="14"/>
    </row>
    <row r="485" spans="1:23" x14ac:dyDescent="0.25">
      <c r="A485" s="6"/>
      <c r="B485" s="33"/>
      <c r="C485" s="19"/>
      <c r="D485" s="56"/>
      <c r="E485" s="56"/>
      <c r="F485" s="41"/>
      <c r="G485" s="36"/>
      <c r="H485" s="10"/>
      <c r="I485" s="11"/>
      <c r="J485" s="13"/>
      <c r="K485" s="45"/>
      <c r="L485" s="37"/>
      <c r="M485" s="17"/>
      <c r="N485" s="11"/>
      <c r="O485" s="16"/>
      <c r="P485" s="16"/>
      <c r="Q485" s="18" t="str">
        <f t="shared" si="36"/>
        <v/>
      </c>
      <c r="R485" s="18" t="str">
        <f t="shared" si="37"/>
        <v/>
      </c>
      <c r="S485" s="18" t="str">
        <f t="shared" si="38"/>
        <v/>
      </c>
      <c r="T485" s="18" t="str">
        <f t="shared" si="39"/>
        <v/>
      </c>
      <c r="U485" s="18" t="str">
        <f t="shared" si="40"/>
        <v/>
      </c>
      <c r="V485" s="18" t="str">
        <f t="shared" si="41"/>
        <v/>
      </c>
      <c r="W485" s="14"/>
    </row>
    <row r="486" spans="1:23" x14ac:dyDescent="0.25">
      <c r="A486" s="6">
        <v>104</v>
      </c>
      <c r="B486" s="33" t="s">
        <v>33</v>
      </c>
      <c r="C486" s="44"/>
      <c r="D486" s="62">
        <f>1+0.3+1</f>
        <v>2.2999999999999998</v>
      </c>
      <c r="E486" s="62"/>
      <c r="F486" s="41"/>
      <c r="G486" s="36">
        <v>0.25</v>
      </c>
      <c r="H486" s="10">
        <v>20</v>
      </c>
      <c r="I486" s="11">
        <v>1</v>
      </c>
      <c r="J486" s="13">
        <f>ROUND(D489/G486+1,0)</f>
        <v>13</v>
      </c>
      <c r="K486" s="45">
        <f>D486</f>
        <v>2.2999999999999998</v>
      </c>
      <c r="L486" s="37" t="str">
        <f>IF(O486&lt;12,"0",0.049*H486)</f>
        <v>0</v>
      </c>
      <c r="M486" s="17">
        <v>0</v>
      </c>
      <c r="N486" s="11">
        <f>M486*2*H486/1000</f>
        <v>0</v>
      </c>
      <c r="O486" s="16">
        <f>(D486)-N486</f>
        <v>2.2999999999999998</v>
      </c>
      <c r="P486" s="16">
        <f>(I486*J486*O486)+L486</f>
        <v>29.9</v>
      </c>
      <c r="Q486" s="18" t="str">
        <f t="shared" si="36"/>
        <v/>
      </c>
      <c r="R486" s="18" t="str">
        <f t="shared" si="37"/>
        <v/>
      </c>
      <c r="S486" s="18" t="str">
        <f t="shared" si="38"/>
        <v/>
      </c>
      <c r="T486" s="18" t="str">
        <f t="shared" si="39"/>
        <v/>
      </c>
      <c r="U486" s="18">
        <f t="shared" si="40"/>
        <v>29.9</v>
      </c>
      <c r="V486" s="18" t="str">
        <f t="shared" si="41"/>
        <v/>
      </c>
      <c r="W486" s="14"/>
    </row>
    <row r="487" spans="1:23" x14ac:dyDescent="0.25">
      <c r="A487" s="6"/>
      <c r="B487" s="33" t="s">
        <v>80</v>
      </c>
      <c r="C487" s="19"/>
      <c r="D487" s="56"/>
      <c r="E487" s="56"/>
      <c r="F487" s="41"/>
      <c r="G487" s="36"/>
      <c r="H487" s="10"/>
      <c r="I487" s="11"/>
      <c r="J487" s="13"/>
      <c r="K487" s="45"/>
      <c r="L487" s="37"/>
      <c r="M487" s="17"/>
      <c r="N487" s="11"/>
      <c r="O487" s="16"/>
      <c r="P487" s="16"/>
      <c r="Q487" s="18" t="str">
        <f t="shared" si="36"/>
        <v/>
      </c>
      <c r="R487" s="18" t="str">
        <f t="shared" si="37"/>
        <v/>
      </c>
      <c r="S487" s="18" t="str">
        <f t="shared" si="38"/>
        <v/>
      </c>
      <c r="T487" s="18" t="str">
        <f t="shared" si="39"/>
        <v/>
      </c>
      <c r="U487" s="18" t="str">
        <f t="shared" si="40"/>
        <v/>
      </c>
      <c r="V487" s="18" t="str">
        <f t="shared" si="41"/>
        <v/>
      </c>
      <c r="W487" s="14"/>
    </row>
    <row r="488" spans="1:23" x14ac:dyDescent="0.25">
      <c r="A488" s="6"/>
      <c r="B488" s="33"/>
      <c r="C488" s="19"/>
      <c r="D488" s="56"/>
      <c r="E488" s="56"/>
      <c r="F488" s="41"/>
      <c r="G488" s="36"/>
      <c r="H488" s="10"/>
      <c r="I488" s="11"/>
      <c r="J488" s="13"/>
      <c r="K488" s="45"/>
      <c r="L488" s="37"/>
      <c r="M488" s="17"/>
      <c r="N488" s="11"/>
      <c r="O488" s="16"/>
      <c r="P488" s="16"/>
      <c r="Q488" s="18" t="str">
        <f t="shared" si="36"/>
        <v/>
      </c>
      <c r="R488" s="18" t="str">
        <f t="shared" si="37"/>
        <v/>
      </c>
      <c r="S488" s="18" t="str">
        <f t="shared" si="38"/>
        <v/>
      </c>
      <c r="T488" s="18" t="str">
        <f t="shared" si="39"/>
        <v/>
      </c>
      <c r="U488" s="18" t="str">
        <f t="shared" si="40"/>
        <v/>
      </c>
      <c r="V488" s="18" t="str">
        <f t="shared" si="41"/>
        <v/>
      </c>
      <c r="W488" s="14"/>
    </row>
    <row r="489" spans="1:23" x14ac:dyDescent="0.25">
      <c r="A489" s="6">
        <v>105</v>
      </c>
      <c r="B489" s="33" t="s">
        <v>34</v>
      </c>
      <c r="C489" s="44"/>
      <c r="D489" s="62">
        <f>1.25+0.6+1.25</f>
        <v>3.1</v>
      </c>
      <c r="E489" s="62"/>
      <c r="F489" s="41"/>
      <c r="G489" s="36">
        <v>0.25</v>
      </c>
      <c r="H489" s="10">
        <v>20</v>
      </c>
      <c r="I489" s="11">
        <v>1</v>
      </c>
      <c r="J489" s="13">
        <f>ROUND(D486/G489+1,0)</f>
        <v>10</v>
      </c>
      <c r="K489" s="45">
        <f>D489</f>
        <v>3.1</v>
      </c>
      <c r="L489" s="37" t="str">
        <f>IF(O489&lt;12,"0",0.049*H489)</f>
        <v>0</v>
      </c>
      <c r="M489" s="17">
        <v>0</v>
      </c>
      <c r="N489" s="11">
        <f>M489*2*H489/1000</f>
        <v>0</v>
      </c>
      <c r="O489" s="16">
        <f>(D489)-N489</f>
        <v>3.1</v>
      </c>
      <c r="P489" s="16">
        <f>(I489*J489*O489)+L489</f>
        <v>31</v>
      </c>
      <c r="Q489" s="18" t="str">
        <f t="shared" si="36"/>
        <v/>
      </c>
      <c r="R489" s="18" t="str">
        <f t="shared" si="37"/>
        <v/>
      </c>
      <c r="S489" s="18" t="str">
        <f t="shared" si="38"/>
        <v/>
      </c>
      <c r="T489" s="18" t="str">
        <f t="shared" si="39"/>
        <v/>
      </c>
      <c r="U489" s="18">
        <f t="shared" si="40"/>
        <v>31</v>
      </c>
      <c r="V489" s="18" t="str">
        <f t="shared" si="41"/>
        <v/>
      </c>
      <c r="W489" s="14"/>
    </row>
    <row r="490" spans="1:23" x14ac:dyDescent="0.25">
      <c r="A490" s="6"/>
      <c r="B490" s="33" t="s">
        <v>80</v>
      </c>
      <c r="C490" s="19"/>
      <c r="D490" s="56"/>
      <c r="E490" s="56"/>
      <c r="F490" s="41"/>
      <c r="G490" s="36"/>
      <c r="H490" s="10"/>
      <c r="I490" s="11"/>
      <c r="J490" s="13"/>
      <c r="K490" s="45"/>
      <c r="L490" s="37"/>
      <c r="M490" s="17"/>
      <c r="N490" s="11"/>
      <c r="O490" s="16"/>
      <c r="P490" s="16"/>
      <c r="Q490" s="18" t="str">
        <f t="shared" si="36"/>
        <v/>
      </c>
      <c r="R490" s="18" t="str">
        <f t="shared" si="37"/>
        <v/>
      </c>
      <c r="S490" s="18" t="str">
        <f t="shared" si="38"/>
        <v/>
      </c>
      <c r="T490" s="18" t="str">
        <f t="shared" si="39"/>
        <v/>
      </c>
      <c r="U490" s="18" t="str">
        <f t="shared" si="40"/>
        <v/>
      </c>
      <c r="V490" s="18" t="str">
        <f t="shared" si="41"/>
        <v/>
      </c>
      <c r="W490" s="14"/>
    </row>
    <row r="491" spans="1:23" x14ac:dyDescent="0.25">
      <c r="A491" s="6"/>
      <c r="B491" s="33"/>
      <c r="C491" s="19"/>
      <c r="D491" s="56"/>
      <c r="E491" s="56"/>
      <c r="F491" s="41"/>
      <c r="G491" s="36"/>
      <c r="H491" s="10"/>
      <c r="I491" s="11"/>
      <c r="J491" s="13"/>
      <c r="K491" s="45"/>
      <c r="L491" s="37"/>
      <c r="M491" s="17"/>
      <c r="N491" s="11"/>
      <c r="O491" s="16"/>
      <c r="P491" s="16"/>
      <c r="Q491" s="18" t="str">
        <f t="shared" si="36"/>
        <v/>
      </c>
      <c r="R491" s="18" t="str">
        <f t="shared" si="37"/>
        <v/>
      </c>
      <c r="S491" s="18" t="str">
        <f t="shared" si="38"/>
        <v/>
      </c>
      <c r="T491" s="18" t="str">
        <f t="shared" si="39"/>
        <v/>
      </c>
      <c r="U491" s="18" t="str">
        <f t="shared" si="40"/>
        <v/>
      </c>
      <c r="V491" s="18" t="str">
        <f t="shared" si="41"/>
        <v/>
      </c>
      <c r="W491" s="14"/>
    </row>
    <row r="492" spans="1:23" x14ac:dyDescent="0.25">
      <c r="A492" s="6">
        <v>106</v>
      </c>
      <c r="B492" s="33" t="s">
        <v>33</v>
      </c>
      <c r="C492" s="44"/>
      <c r="D492" s="62">
        <f>0.6+0.715+0.6</f>
        <v>1.915</v>
      </c>
      <c r="E492" s="62"/>
      <c r="F492" s="41"/>
      <c r="G492" s="36">
        <v>0.25</v>
      </c>
      <c r="H492" s="10">
        <v>12</v>
      </c>
      <c r="I492" s="11">
        <v>1</v>
      </c>
      <c r="J492" s="13">
        <f>ROUND(D495/G492+1,0)</f>
        <v>9</v>
      </c>
      <c r="K492" s="45">
        <f>D492</f>
        <v>1.915</v>
      </c>
      <c r="L492" s="37" t="str">
        <f>IF(O492&lt;12,"0",0.049*H492)</f>
        <v>0</v>
      </c>
      <c r="M492" s="17">
        <v>0</v>
      </c>
      <c r="N492" s="11">
        <f>M492*2*H492/1000</f>
        <v>0</v>
      </c>
      <c r="O492" s="16">
        <f>(D492)-N492</f>
        <v>1.915</v>
      </c>
      <c r="P492" s="16">
        <f>(I492*J492*O492)+L492</f>
        <v>17.234999999999999</v>
      </c>
      <c r="Q492" s="18" t="str">
        <f t="shared" si="36"/>
        <v/>
      </c>
      <c r="R492" s="18" t="str">
        <f t="shared" si="37"/>
        <v/>
      </c>
      <c r="S492" s="18">
        <f t="shared" si="38"/>
        <v>17.234999999999999</v>
      </c>
      <c r="T492" s="18" t="str">
        <f t="shared" si="39"/>
        <v/>
      </c>
      <c r="U492" s="18" t="str">
        <f t="shared" si="40"/>
        <v/>
      </c>
      <c r="V492" s="18" t="str">
        <f t="shared" si="41"/>
        <v/>
      </c>
      <c r="W492" s="14"/>
    </row>
    <row r="493" spans="1:23" x14ac:dyDescent="0.25">
      <c r="A493" s="6"/>
      <c r="B493" s="33" t="s">
        <v>81</v>
      </c>
      <c r="C493" s="19"/>
      <c r="D493" s="56"/>
      <c r="E493" s="56"/>
      <c r="F493" s="41"/>
      <c r="G493" s="36"/>
      <c r="H493" s="10"/>
      <c r="I493" s="11"/>
      <c r="J493" s="13"/>
      <c r="K493" s="45"/>
      <c r="L493" s="37"/>
      <c r="M493" s="17"/>
      <c r="N493" s="11"/>
      <c r="O493" s="16"/>
      <c r="P493" s="16"/>
      <c r="Q493" s="18" t="str">
        <f t="shared" ref="Q493:Q556" si="42">IF($H493=8,$P493,"")</f>
        <v/>
      </c>
      <c r="R493" s="18" t="str">
        <f t="shared" ref="R493:R556" si="43">IF($H493=10,$P493,"")</f>
        <v/>
      </c>
      <c r="S493" s="18" t="str">
        <f t="shared" ref="S493:S556" si="44">IF($H493=12,$P493,"")</f>
        <v/>
      </c>
      <c r="T493" s="18" t="str">
        <f t="shared" ref="T493:T556" si="45">IF($H493=16,$P493,"")</f>
        <v/>
      </c>
      <c r="U493" s="18" t="str">
        <f t="shared" ref="U493:U556" si="46">IF($H493=20,$P493,"")</f>
        <v/>
      </c>
      <c r="V493" s="18" t="str">
        <f t="shared" ref="V493:V556" si="47">IF($H493=25,$P493,"")</f>
        <v/>
      </c>
      <c r="W493" s="14"/>
    </row>
    <row r="494" spans="1:23" x14ac:dyDescent="0.25">
      <c r="A494" s="6"/>
      <c r="B494" s="33"/>
      <c r="C494" s="19"/>
      <c r="D494" s="56"/>
      <c r="E494" s="56"/>
      <c r="F494" s="41"/>
      <c r="G494" s="36"/>
      <c r="H494" s="10"/>
      <c r="I494" s="11"/>
      <c r="J494" s="13"/>
      <c r="K494" s="45"/>
      <c r="L494" s="37"/>
      <c r="M494" s="17"/>
      <c r="N494" s="11"/>
      <c r="O494" s="16"/>
      <c r="P494" s="16"/>
      <c r="Q494" s="18" t="str">
        <f t="shared" si="42"/>
        <v/>
      </c>
      <c r="R494" s="18" t="str">
        <f t="shared" si="43"/>
        <v/>
      </c>
      <c r="S494" s="18" t="str">
        <f t="shared" si="44"/>
        <v/>
      </c>
      <c r="T494" s="18" t="str">
        <f t="shared" si="45"/>
        <v/>
      </c>
      <c r="U494" s="18" t="str">
        <f t="shared" si="46"/>
        <v/>
      </c>
      <c r="V494" s="18" t="str">
        <f t="shared" si="47"/>
        <v/>
      </c>
      <c r="W494" s="14"/>
    </row>
    <row r="495" spans="1:23" x14ac:dyDescent="0.25">
      <c r="A495" s="6">
        <v>107</v>
      </c>
      <c r="B495" s="33" t="s">
        <v>34</v>
      </c>
      <c r="C495" s="44"/>
      <c r="D495" s="62">
        <f>1+0.3+0.75-0.05</f>
        <v>1.9999999999999998</v>
      </c>
      <c r="E495" s="62"/>
      <c r="F495" s="41"/>
      <c r="G495" s="36">
        <v>0.25</v>
      </c>
      <c r="H495" s="10">
        <v>20</v>
      </c>
      <c r="I495" s="11">
        <v>1</v>
      </c>
      <c r="J495" s="13">
        <f>ROUND(D492/G495+1,0)</f>
        <v>9</v>
      </c>
      <c r="K495" s="45">
        <f>D495</f>
        <v>1.9999999999999998</v>
      </c>
      <c r="L495" s="37" t="str">
        <f>IF(O495&lt;12,"0",0.049*H495)</f>
        <v>0</v>
      </c>
      <c r="M495" s="17">
        <v>0</v>
      </c>
      <c r="N495" s="11">
        <f>M495*2*H495/1000</f>
        <v>0</v>
      </c>
      <c r="O495" s="16">
        <f>(D495)-N495</f>
        <v>1.9999999999999998</v>
      </c>
      <c r="P495" s="16">
        <f>(I495*J495*O495)+L495</f>
        <v>17.999999999999996</v>
      </c>
      <c r="Q495" s="18" t="str">
        <f t="shared" si="42"/>
        <v/>
      </c>
      <c r="R495" s="18" t="str">
        <f t="shared" si="43"/>
        <v/>
      </c>
      <c r="S495" s="18" t="str">
        <f t="shared" si="44"/>
        <v/>
      </c>
      <c r="T495" s="18" t="str">
        <f t="shared" si="45"/>
        <v/>
      </c>
      <c r="U495" s="18">
        <f t="shared" si="46"/>
        <v>17.999999999999996</v>
      </c>
      <c r="V495" s="18" t="str">
        <f t="shared" si="47"/>
        <v/>
      </c>
      <c r="W495" s="14"/>
    </row>
    <row r="496" spans="1:23" x14ac:dyDescent="0.25">
      <c r="A496" s="6"/>
      <c r="B496" s="33" t="s">
        <v>81</v>
      </c>
      <c r="C496" s="19"/>
      <c r="D496" s="56"/>
      <c r="E496" s="56"/>
      <c r="F496" s="41"/>
      <c r="G496" s="36"/>
      <c r="H496" s="10"/>
      <c r="I496" s="11"/>
      <c r="J496" s="13"/>
      <c r="K496" s="45"/>
      <c r="L496" s="37"/>
      <c r="M496" s="17"/>
      <c r="N496" s="11"/>
      <c r="O496" s="16"/>
      <c r="P496" s="16"/>
      <c r="Q496" s="18" t="str">
        <f t="shared" si="42"/>
        <v/>
      </c>
      <c r="R496" s="18" t="str">
        <f t="shared" si="43"/>
        <v/>
      </c>
      <c r="S496" s="18" t="str">
        <f t="shared" si="44"/>
        <v/>
      </c>
      <c r="T496" s="18" t="str">
        <f t="shared" si="45"/>
        <v/>
      </c>
      <c r="U496" s="18" t="str">
        <f t="shared" si="46"/>
        <v/>
      </c>
      <c r="V496" s="18" t="str">
        <f t="shared" si="47"/>
        <v/>
      </c>
      <c r="W496" s="14"/>
    </row>
    <row r="497" spans="1:23" x14ac:dyDescent="0.25">
      <c r="A497" s="6"/>
      <c r="B497" s="33"/>
      <c r="C497" s="19"/>
      <c r="D497" s="56"/>
      <c r="E497" s="56"/>
      <c r="F497" s="41"/>
      <c r="G497" s="36"/>
      <c r="H497" s="10"/>
      <c r="I497" s="11"/>
      <c r="J497" s="13"/>
      <c r="K497" s="45"/>
      <c r="L497" s="37"/>
      <c r="M497" s="17"/>
      <c r="N497" s="11"/>
      <c r="O497" s="16"/>
      <c r="P497" s="16"/>
      <c r="Q497" s="18" t="str">
        <f t="shared" si="42"/>
        <v/>
      </c>
      <c r="R497" s="18" t="str">
        <f t="shared" si="43"/>
        <v/>
      </c>
      <c r="S497" s="18" t="str">
        <f t="shared" si="44"/>
        <v/>
      </c>
      <c r="T497" s="18" t="str">
        <f t="shared" si="45"/>
        <v/>
      </c>
      <c r="U497" s="18" t="str">
        <f t="shared" si="46"/>
        <v/>
      </c>
      <c r="V497" s="18" t="str">
        <f t="shared" si="47"/>
        <v/>
      </c>
      <c r="W497" s="14"/>
    </row>
    <row r="498" spans="1:23" x14ac:dyDescent="0.25">
      <c r="A498" s="6">
        <v>108</v>
      </c>
      <c r="B498" s="33" t="s">
        <v>33</v>
      </c>
      <c r="C498" s="44"/>
      <c r="D498" s="62">
        <f>0.75-0.05+0.115+0.47+0.515+1.17+1.935+0.055+1</f>
        <v>5.9599999999999991</v>
      </c>
      <c r="E498" s="62"/>
      <c r="F498" s="41"/>
      <c r="G498" s="36">
        <v>0.25</v>
      </c>
      <c r="H498" s="10">
        <v>25</v>
      </c>
      <c r="I498" s="11">
        <v>1</v>
      </c>
      <c r="J498" s="13">
        <f>ROUND(2.6/G498+1,0)</f>
        <v>11</v>
      </c>
      <c r="K498" s="45">
        <f>D498</f>
        <v>5.9599999999999991</v>
      </c>
      <c r="L498" s="37" t="str">
        <f>IF(O498&lt;12,"0",0.049*H498)</f>
        <v>0</v>
      </c>
      <c r="M498" s="17">
        <v>0</v>
      </c>
      <c r="N498" s="11">
        <f>M498*2*H498/1000</f>
        <v>0</v>
      </c>
      <c r="O498" s="16">
        <f>(D498)-N498</f>
        <v>5.9599999999999991</v>
      </c>
      <c r="P498" s="16">
        <f>(I498*J498*O498)+L498</f>
        <v>65.559999999999988</v>
      </c>
      <c r="Q498" s="18" t="str">
        <f t="shared" si="42"/>
        <v/>
      </c>
      <c r="R498" s="18" t="str">
        <f t="shared" si="43"/>
        <v/>
      </c>
      <c r="S498" s="18" t="str">
        <f t="shared" si="44"/>
        <v/>
      </c>
      <c r="T498" s="18" t="str">
        <f t="shared" si="45"/>
        <v/>
      </c>
      <c r="U498" s="18" t="str">
        <f t="shared" si="46"/>
        <v/>
      </c>
      <c r="V498" s="18">
        <f t="shared" si="47"/>
        <v>65.559999999999988</v>
      </c>
      <c r="W498" s="14"/>
    </row>
    <row r="499" spans="1:23" x14ac:dyDescent="0.25">
      <c r="A499" s="6"/>
      <c r="B499" s="33" t="s">
        <v>82</v>
      </c>
      <c r="C499" s="19"/>
      <c r="D499" s="56"/>
      <c r="E499" s="56"/>
      <c r="F499" s="41"/>
      <c r="G499" s="36"/>
      <c r="H499" s="10"/>
      <c r="I499" s="11"/>
      <c r="J499" s="13"/>
      <c r="K499" s="45"/>
      <c r="L499" s="37"/>
      <c r="M499" s="17"/>
      <c r="N499" s="11"/>
      <c r="O499" s="16"/>
      <c r="P499" s="16"/>
      <c r="Q499" s="18" t="str">
        <f t="shared" si="42"/>
        <v/>
      </c>
      <c r="R499" s="18" t="str">
        <f t="shared" si="43"/>
        <v/>
      </c>
      <c r="S499" s="18" t="str">
        <f t="shared" si="44"/>
        <v/>
      </c>
      <c r="T499" s="18" t="str">
        <f t="shared" si="45"/>
        <v/>
      </c>
      <c r="U499" s="18" t="str">
        <f t="shared" si="46"/>
        <v/>
      </c>
      <c r="V499" s="18" t="str">
        <f t="shared" si="47"/>
        <v/>
      </c>
      <c r="W499" s="14"/>
    </row>
    <row r="500" spans="1:23" x14ac:dyDescent="0.25">
      <c r="A500" s="6"/>
      <c r="B500" s="33"/>
      <c r="C500" s="19"/>
      <c r="D500" s="56"/>
      <c r="E500" s="56"/>
      <c r="F500" s="41"/>
      <c r="G500" s="36"/>
      <c r="H500" s="10"/>
      <c r="I500" s="11"/>
      <c r="J500" s="13"/>
      <c r="K500" s="45"/>
      <c r="L500" s="37"/>
      <c r="M500" s="17"/>
      <c r="N500" s="11"/>
      <c r="O500" s="16"/>
      <c r="P500" s="16"/>
      <c r="Q500" s="18" t="str">
        <f t="shared" si="42"/>
        <v/>
      </c>
      <c r="R500" s="18" t="str">
        <f t="shared" si="43"/>
        <v/>
      </c>
      <c r="S500" s="18" t="str">
        <f t="shared" si="44"/>
        <v/>
      </c>
      <c r="T500" s="18" t="str">
        <f t="shared" si="45"/>
        <v/>
      </c>
      <c r="U500" s="18" t="str">
        <f t="shared" si="46"/>
        <v/>
      </c>
      <c r="V500" s="18" t="str">
        <f t="shared" si="47"/>
        <v/>
      </c>
      <c r="W500" s="14"/>
    </row>
    <row r="501" spans="1:23" x14ac:dyDescent="0.25">
      <c r="A501" s="6">
        <v>109</v>
      </c>
      <c r="B501" s="33" t="s">
        <v>33</v>
      </c>
      <c r="C501" s="44"/>
      <c r="D501" s="62">
        <f>0.75-0.05+0.115+0.47+0.515+1.17+1.935+0.055+1</f>
        <v>5.9599999999999991</v>
      </c>
      <c r="E501" s="62"/>
      <c r="F501" s="41"/>
      <c r="G501" s="36">
        <v>0.25</v>
      </c>
      <c r="H501" s="10">
        <v>25</v>
      </c>
      <c r="I501" s="11">
        <v>1</v>
      </c>
      <c r="J501" s="13">
        <f>ROUND(2.6/G501+1,0)</f>
        <v>11</v>
      </c>
      <c r="K501" s="45">
        <f>D501</f>
        <v>5.9599999999999991</v>
      </c>
      <c r="L501" s="37" t="str">
        <f>IF(O501&lt;12,"0",0.049*H501)</f>
        <v>0</v>
      </c>
      <c r="M501" s="17">
        <v>0</v>
      </c>
      <c r="N501" s="11">
        <f>M501*2*H501/1000</f>
        <v>0</v>
      </c>
      <c r="O501" s="16">
        <f>(D501)-N501</f>
        <v>5.9599999999999991</v>
      </c>
      <c r="P501" s="16">
        <f>(I501*J501*O501)+L501</f>
        <v>65.559999999999988</v>
      </c>
      <c r="Q501" s="18" t="str">
        <f t="shared" si="42"/>
        <v/>
      </c>
      <c r="R501" s="18" t="str">
        <f t="shared" si="43"/>
        <v/>
      </c>
      <c r="S501" s="18" t="str">
        <f t="shared" si="44"/>
        <v/>
      </c>
      <c r="T501" s="18" t="str">
        <f t="shared" si="45"/>
        <v/>
      </c>
      <c r="U501" s="18" t="str">
        <f t="shared" si="46"/>
        <v/>
      </c>
      <c r="V501" s="18">
        <f t="shared" si="47"/>
        <v>65.559999999999988</v>
      </c>
      <c r="W501" s="14"/>
    </row>
    <row r="502" spans="1:23" x14ac:dyDescent="0.25">
      <c r="A502" s="6"/>
      <c r="B502" s="33" t="s">
        <v>82</v>
      </c>
      <c r="C502" s="19"/>
      <c r="D502" s="56"/>
      <c r="E502" s="56"/>
      <c r="F502" s="41"/>
      <c r="G502" s="36"/>
      <c r="H502" s="10"/>
      <c r="I502" s="11"/>
      <c r="J502" s="13"/>
      <c r="K502" s="45"/>
      <c r="L502" s="37"/>
      <c r="M502" s="17"/>
      <c r="N502" s="11"/>
      <c r="O502" s="16"/>
      <c r="P502" s="16"/>
      <c r="Q502" s="18" t="str">
        <f t="shared" si="42"/>
        <v/>
      </c>
      <c r="R502" s="18" t="str">
        <f t="shared" si="43"/>
        <v/>
      </c>
      <c r="S502" s="18" t="str">
        <f t="shared" si="44"/>
        <v/>
      </c>
      <c r="T502" s="18" t="str">
        <f t="shared" si="45"/>
        <v/>
      </c>
      <c r="U502" s="18" t="str">
        <f t="shared" si="46"/>
        <v/>
      </c>
      <c r="V502" s="18" t="str">
        <f t="shared" si="47"/>
        <v/>
      </c>
      <c r="W502" s="14"/>
    </row>
    <row r="503" spans="1:23" x14ac:dyDescent="0.25">
      <c r="A503" s="6"/>
      <c r="B503" s="33"/>
      <c r="C503" s="19"/>
      <c r="D503" s="56"/>
      <c r="E503" s="56"/>
      <c r="F503" s="41"/>
      <c r="G503" s="36"/>
      <c r="H503" s="10"/>
      <c r="I503" s="11"/>
      <c r="J503" s="13"/>
      <c r="K503" s="45"/>
      <c r="L503" s="37"/>
      <c r="M503" s="17"/>
      <c r="N503" s="11"/>
      <c r="O503" s="16"/>
      <c r="P503" s="16"/>
      <c r="Q503" s="18" t="str">
        <f t="shared" si="42"/>
        <v/>
      </c>
      <c r="R503" s="18" t="str">
        <f t="shared" si="43"/>
        <v/>
      </c>
      <c r="S503" s="18" t="str">
        <f t="shared" si="44"/>
        <v/>
      </c>
      <c r="T503" s="18" t="str">
        <f t="shared" si="45"/>
        <v/>
      </c>
      <c r="U503" s="18" t="str">
        <f t="shared" si="46"/>
        <v/>
      </c>
      <c r="V503" s="18" t="str">
        <f t="shared" si="47"/>
        <v/>
      </c>
      <c r="W503" s="14"/>
    </row>
    <row r="504" spans="1:23" x14ac:dyDescent="0.25">
      <c r="A504" s="6">
        <v>110</v>
      </c>
      <c r="B504" s="33" t="s">
        <v>34</v>
      </c>
      <c r="C504" s="44"/>
      <c r="D504" s="62">
        <f>0.75-0.05+0.65+1.25</f>
        <v>2.6</v>
      </c>
      <c r="E504" s="62"/>
      <c r="F504" s="41"/>
      <c r="G504" s="36">
        <v>0.25</v>
      </c>
      <c r="H504" s="10">
        <v>20</v>
      </c>
      <c r="I504" s="11">
        <v>1</v>
      </c>
      <c r="J504" s="13">
        <f>ROUND(5.96/G504+1,0)</f>
        <v>25</v>
      </c>
      <c r="K504" s="45">
        <f>D504</f>
        <v>2.6</v>
      </c>
      <c r="L504" s="37" t="str">
        <f>IF(O504&lt;12,"0",0.049*H504)</f>
        <v>0</v>
      </c>
      <c r="M504" s="17">
        <v>0</v>
      </c>
      <c r="N504" s="11">
        <f>M504*2*H504/1000</f>
        <v>0</v>
      </c>
      <c r="O504" s="16">
        <f>(D504)-N504</f>
        <v>2.6</v>
      </c>
      <c r="P504" s="16">
        <f>(I504*J504*O504)+L504</f>
        <v>65</v>
      </c>
      <c r="Q504" s="18" t="str">
        <f t="shared" si="42"/>
        <v/>
      </c>
      <c r="R504" s="18" t="str">
        <f t="shared" si="43"/>
        <v/>
      </c>
      <c r="S504" s="18" t="str">
        <f t="shared" si="44"/>
        <v/>
      </c>
      <c r="T504" s="18" t="str">
        <f t="shared" si="45"/>
        <v/>
      </c>
      <c r="U504" s="18">
        <f t="shared" si="46"/>
        <v>65</v>
      </c>
      <c r="V504" s="18" t="str">
        <f t="shared" si="47"/>
        <v/>
      </c>
      <c r="W504" s="14"/>
    </row>
    <row r="505" spans="1:23" x14ac:dyDescent="0.25">
      <c r="A505" s="6"/>
      <c r="B505" s="33" t="s">
        <v>82</v>
      </c>
      <c r="C505" s="19"/>
      <c r="D505" s="56"/>
      <c r="E505" s="56"/>
      <c r="F505" s="41"/>
      <c r="G505" s="36"/>
      <c r="H505" s="10"/>
      <c r="I505" s="11"/>
      <c r="J505" s="13"/>
      <c r="K505" s="45"/>
      <c r="L505" s="37"/>
      <c r="M505" s="17"/>
      <c r="N505" s="11"/>
      <c r="O505" s="16"/>
      <c r="P505" s="16"/>
      <c r="Q505" s="18" t="str">
        <f t="shared" si="42"/>
        <v/>
      </c>
      <c r="R505" s="18" t="str">
        <f t="shared" si="43"/>
        <v/>
      </c>
      <c r="S505" s="18" t="str">
        <f t="shared" si="44"/>
        <v/>
      </c>
      <c r="T505" s="18" t="str">
        <f t="shared" si="45"/>
        <v/>
      </c>
      <c r="U505" s="18" t="str">
        <f t="shared" si="46"/>
        <v/>
      </c>
      <c r="V505" s="18" t="str">
        <f t="shared" si="47"/>
        <v/>
      </c>
      <c r="W505" s="14"/>
    </row>
    <row r="506" spans="1:23" x14ac:dyDescent="0.25">
      <c r="A506" s="6"/>
      <c r="B506" s="33"/>
      <c r="C506" s="19"/>
      <c r="D506" s="56"/>
      <c r="E506" s="56"/>
      <c r="F506" s="41"/>
      <c r="G506" s="36"/>
      <c r="H506" s="10"/>
      <c r="I506" s="11"/>
      <c r="J506" s="13"/>
      <c r="K506" s="45"/>
      <c r="L506" s="37"/>
      <c r="M506" s="17"/>
      <c r="N506" s="11"/>
      <c r="O506" s="16"/>
      <c r="P506" s="16"/>
      <c r="Q506" s="18" t="str">
        <f t="shared" si="42"/>
        <v/>
      </c>
      <c r="R506" s="18" t="str">
        <f t="shared" si="43"/>
        <v/>
      </c>
      <c r="S506" s="18" t="str">
        <f t="shared" si="44"/>
        <v/>
      </c>
      <c r="T506" s="18" t="str">
        <f t="shared" si="45"/>
        <v/>
      </c>
      <c r="U506" s="18" t="str">
        <f t="shared" si="46"/>
        <v/>
      </c>
      <c r="V506" s="18" t="str">
        <f t="shared" si="47"/>
        <v/>
      </c>
      <c r="W506" s="14"/>
    </row>
    <row r="507" spans="1:23" x14ac:dyDescent="0.25">
      <c r="A507" s="6">
        <v>111</v>
      </c>
      <c r="B507" s="33" t="s">
        <v>33</v>
      </c>
      <c r="C507" s="44"/>
      <c r="D507" s="62">
        <f>0.75-0.05+0.115+0.47+0.515+1.17+1.935+0.055+1</f>
        <v>5.9599999999999991</v>
      </c>
      <c r="E507" s="62"/>
      <c r="F507" s="41"/>
      <c r="G507" s="36">
        <v>0.25</v>
      </c>
      <c r="H507" s="10">
        <v>20</v>
      </c>
      <c r="I507" s="11">
        <v>1</v>
      </c>
      <c r="J507" s="13">
        <f>ROUND(2.35/G507+1,0)</f>
        <v>10</v>
      </c>
      <c r="K507" s="45">
        <f>D507</f>
        <v>5.9599999999999991</v>
      </c>
      <c r="L507" s="37" t="str">
        <f>IF(O507&lt;12,"0",0.049*H507)</f>
        <v>0</v>
      </c>
      <c r="M507" s="17">
        <v>0</v>
      </c>
      <c r="N507" s="11">
        <f>M507*2*H507/1000</f>
        <v>0</v>
      </c>
      <c r="O507" s="16">
        <f>(D507)-N507</f>
        <v>5.9599999999999991</v>
      </c>
      <c r="P507" s="16">
        <f>(I507*J507*O507)+L507</f>
        <v>59.599999999999994</v>
      </c>
      <c r="Q507" s="18" t="str">
        <f t="shared" si="42"/>
        <v/>
      </c>
      <c r="R507" s="18" t="str">
        <f t="shared" si="43"/>
        <v/>
      </c>
      <c r="S507" s="18" t="str">
        <f t="shared" si="44"/>
        <v/>
      </c>
      <c r="T507" s="18" t="str">
        <f t="shared" si="45"/>
        <v/>
      </c>
      <c r="U507" s="18">
        <f t="shared" si="46"/>
        <v>59.599999999999994</v>
      </c>
      <c r="V507" s="18" t="str">
        <f t="shared" si="47"/>
        <v/>
      </c>
      <c r="W507" s="14"/>
    </row>
    <row r="508" spans="1:23" x14ac:dyDescent="0.25">
      <c r="A508" s="6"/>
      <c r="B508" s="33" t="s">
        <v>83</v>
      </c>
      <c r="C508" s="19"/>
      <c r="D508" s="56"/>
      <c r="E508" s="56"/>
      <c r="F508" s="41"/>
      <c r="G508" s="36"/>
      <c r="H508" s="10"/>
      <c r="I508" s="11"/>
      <c r="J508" s="13"/>
      <c r="K508" s="45"/>
      <c r="L508" s="37"/>
      <c r="M508" s="17"/>
      <c r="N508" s="11"/>
      <c r="O508" s="16"/>
      <c r="P508" s="16"/>
      <c r="Q508" s="18" t="str">
        <f t="shared" si="42"/>
        <v/>
      </c>
      <c r="R508" s="18" t="str">
        <f t="shared" si="43"/>
        <v/>
      </c>
      <c r="S508" s="18" t="str">
        <f t="shared" si="44"/>
        <v/>
      </c>
      <c r="T508" s="18" t="str">
        <f t="shared" si="45"/>
        <v/>
      </c>
      <c r="U508" s="18" t="str">
        <f t="shared" si="46"/>
        <v/>
      </c>
      <c r="V508" s="18" t="str">
        <f t="shared" si="47"/>
        <v/>
      </c>
      <c r="W508" s="14"/>
    </row>
    <row r="509" spans="1:23" x14ac:dyDescent="0.25">
      <c r="A509" s="6"/>
      <c r="B509" s="33"/>
      <c r="C509" s="19"/>
      <c r="D509" s="56"/>
      <c r="E509" s="56"/>
      <c r="F509" s="41"/>
      <c r="G509" s="36"/>
      <c r="H509" s="10"/>
      <c r="I509" s="11"/>
      <c r="J509" s="13"/>
      <c r="K509" s="45"/>
      <c r="L509" s="37"/>
      <c r="M509" s="17"/>
      <c r="N509" s="11"/>
      <c r="O509" s="16"/>
      <c r="P509" s="16"/>
      <c r="Q509" s="18" t="str">
        <f t="shared" si="42"/>
        <v/>
      </c>
      <c r="R509" s="18" t="str">
        <f t="shared" si="43"/>
        <v/>
      </c>
      <c r="S509" s="18" t="str">
        <f t="shared" si="44"/>
        <v/>
      </c>
      <c r="T509" s="18" t="str">
        <f t="shared" si="45"/>
        <v/>
      </c>
      <c r="U509" s="18" t="str">
        <f t="shared" si="46"/>
        <v/>
      </c>
      <c r="V509" s="18" t="str">
        <f t="shared" si="47"/>
        <v/>
      </c>
      <c r="W509" s="14"/>
    </row>
    <row r="510" spans="1:23" x14ac:dyDescent="0.25">
      <c r="A510" s="6">
        <v>112</v>
      </c>
      <c r="B510" s="33" t="s">
        <v>34</v>
      </c>
      <c r="C510" s="44"/>
      <c r="D510" s="62">
        <f>0.75-0.05+0.65+1</f>
        <v>2.35</v>
      </c>
      <c r="E510" s="62"/>
      <c r="F510" s="41"/>
      <c r="G510" s="36">
        <v>0.25</v>
      </c>
      <c r="H510" s="10">
        <v>20</v>
      </c>
      <c r="I510" s="11">
        <v>1</v>
      </c>
      <c r="J510" s="13">
        <f>ROUND(5.96/G510+1,0)</f>
        <v>25</v>
      </c>
      <c r="K510" s="45">
        <f>D510</f>
        <v>2.35</v>
      </c>
      <c r="L510" s="37" t="str">
        <f>IF(O510&lt;12,"0",0.049*H510)</f>
        <v>0</v>
      </c>
      <c r="M510" s="17">
        <v>0</v>
      </c>
      <c r="N510" s="11">
        <f>M510*2*H510/1000</f>
        <v>0</v>
      </c>
      <c r="O510" s="16">
        <f>(D510)-N510</f>
        <v>2.35</v>
      </c>
      <c r="P510" s="16">
        <f>(I510*J510*O510)+L510</f>
        <v>58.75</v>
      </c>
      <c r="Q510" s="18" t="str">
        <f t="shared" si="42"/>
        <v/>
      </c>
      <c r="R510" s="18" t="str">
        <f t="shared" si="43"/>
        <v/>
      </c>
      <c r="S510" s="18" t="str">
        <f t="shared" si="44"/>
        <v/>
      </c>
      <c r="T510" s="18" t="str">
        <f t="shared" si="45"/>
        <v/>
      </c>
      <c r="U510" s="18">
        <f t="shared" si="46"/>
        <v>58.75</v>
      </c>
      <c r="V510" s="18" t="str">
        <f t="shared" si="47"/>
        <v/>
      </c>
      <c r="W510" s="14"/>
    </row>
    <row r="511" spans="1:23" x14ac:dyDescent="0.25">
      <c r="A511" s="6"/>
      <c r="B511" s="33" t="s">
        <v>83</v>
      </c>
      <c r="C511" s="19"/>
      <c r="D511" s="56"/>
      <c r="E511" s="56"/>
      <c r="F511" s="41"/>
      <c r="G511" s="36"/>
      <c r="H511" s="10"/>
      <c r="I511" s="11"/>
      <c r="J511" s="13"/>
      <c r="K511" s="45"/>
      <c r="L511" s="37"/>
      <c r="M511" s="17"/>
      <c r="N511" s="11"/>
      <c r="O511" s="16"/>
      <c r="P511" s="16"/>
      <c r="Q511" s="18" t="str">
        <f t="shared" si="42"/>
        <v/>
      </c>
      <c r="R511" s="18" t="str">
        <f t="shared" si="43"/>
        <v/>
      </c>
      <c r="S511" s="18" t="str">
        <f t="shared" si="44"/>
        <v/>
      </c>
      <c r="T511" s="18" t="str">
        <f t="shared" si="45"/>
        <v/>
      </c>
      <c r="U511" s="18" t="str">
        <f t="shared" si="46"/>
        <v/>
      </c>
      <c r="V511" s="18" t="str">
        <f t="shared" si="47"/>
        <v/>
      </c>
      <c r="W511" s="14"/>
    </row>
    <row r="512" spans="1:23" x14ac:dyDescent="0.25">
      <c r="A512" s="6"/>
      <c r="B512" s="33"/>
      <c r="C512" s="19"/>
      <c r="D512" s="56"/>
      <c r="E512" s="56"/>
      <c r="F512" s="41"/>
      <c r="G512" s="36"/>
      <c r="H512" s="10"/>
      <c r="I512" s="11"/>
      <c r="J512" s="13"/>
      <c r="K512" s="45"/>
      <c r="L512" s="37"/>
      <c r="M512" s="17"/>
      <c r="N512" s="11"/>
      <c r="O512" s="16"/>
      <c r="P512" s="16"/>
      <c r="Q512" s="18" t="str">
        <f t="shared" si="42"/>
        <v/>
      </c>
      <c r="R512" s="18" t="str">
        <f t="shared" si="43"/>
        <v/>
      </c>
      <c r="S512" s="18" t="str">
        <f t="shared" si="44"/>
        <v/>
      </c>
      <c r="T512" s="18" t="str">
        <f t="shared" si="45"/>
        <v/>
      </c>
      <c r="U512" s="18" t="str">
        <f t="shared" si="46"/>
        <v/>
      </c>
      <c r="V512" s="18" t="str">
        <f t="shared" si="47"/>
        <v/>
      </c>
      <c r="W512" s="14"/>
    </row>
    <row r="513" spans="1:23" x14ac:dyDescent="0.25">
      <c r="A513" s="6">
        <v>113</v>
      </c>
      <c r="B513" s="33" t="s">
        <v>33</v>
      </c>
      <c r="C513" s="44"/>
      <c r="D513" s="62">
        <f>0.75-0.05+0.6+1</f>
        <v>2.2999999999999998</v>
      </c>
      <c r="E513" s="62"/>
      <c r="F513" s="41"/>
      <c r="G513" s="36">
        <v>0.25</v>
      </c>
      <c r="H513" s="10">
        <v>20</v>
      </c>
      <c r="I513" s="11">
        <v>1</v>
      </c>
      <c r="J513" s="13">
        <f>ROUND(3.1/G513+1,0)</f>
        <v>13</v>
      </c>
      <c r="K513" s="45">
        <f>D513</f>
        <v>2.2999999999999998</v>
      </c>
      <c r="L513" s="37" t="str">
        <f>IF(O513&lt;12,"0",0.049*H513)</f>
        <v>0</v>
      </c>
      <c r="M513" s="17">
        <v>0</v>
      </c>
      <c r="N513" s="11">
        <f>M513*2*H513/1000</f>
        <v>0</v>
      </c>
      <c r="O513" s="16">
        <f>(D513)-N513</f>
        <v>2.2999999999999998</v>
      </c>
      <c r="P513" s="16">
        <f>(I513*J513*O513)+L513</f>
        <v>29.9</v>
      </c>
      <c r="Q513" s="18" t="str">
        <f t="shared" si="42"/>
        <v/>
      </c>
      <c r="R513" s="18" t="str">
        <f t="shared" si="43"/>
        <v/>
      </c>
      <c r="S513" s="18" t="str">
        <f t="shared" si="44"/>
        <v/>
      </c>
      <c r="T513" s="18" t="str">
        <f t="shared" si="45"/>
        <v/>
      </c>
      <c r="U513" s="18">
        <f t="shared" si="46"/>
        <v>29.9</v>
      </c>
      <c r="V513" s="18" t="str">
        <f t="shared" si="47"/>
        <v/>
      </c>
      <c r="W513" s="14"/>
    </row>
    <row r="514" spans="1:23" x14ac:dyDescent="0.25">
      <c r="A514" s="6"/>
      <c r="B514" s="33" t="s">
        <v>84</v>
      </c>
      <c r="C514" s="19"/>
      <c r="D514" s="56"/>
      <c r="E514" s="56"/>
      <c r="F514" s="41"/>
      <c r="G514" s="36"/>
      <c r="H514" s="10"/>
      <c r="I514" s="11"/>
      <c r="J514" s="13"/>
      <c r="K514" s="45"/>
      <c r="L514" s="37"/>
      <c r="M514" s="17"/>
      <c r="N514" s="11"/>
      <c r="O514" s="16"/>
      <c r="P514" s="16"/>
      <c r="Q514" s="18" t="str">
        <f t="shared" si="42"/>
        <v/>
      </c>
      <c r="R514" s="18" t="str">
        <f t="shared" si="43"/>
        <v/>
      </c>
      <c r="S514" s="18" t="str">
        <f t="shared" si="44"/>
        <v/>
      </c>
      <c r="T514" s="18" t="str">
        <f t="shared" si="45"/>
        <v/>
      </c>
      <c r="U514" s="18" t="str">
        <f t="shared" si="46"/>
        <v/>
      </c>
      <c r="V514" s="18" t="str">
        <f t="shared" si="47"/>
        <v/>
      </c>
      <c r="W514" s="14"/>
    </row>
    <row r="515" spans="1:23" x14ac:dyDescent="0.25">
      <c r="A515" s="6"/>
      <c r="B515" s="33"/>
      <c r="C515" s="19"/>
      <c r="D515" s="56"/>
      <c r="E515" s="56"/>
      <c r="F515" s="41"/>
      <c r="G515" s="36"/>
      <c r="H515" s="10"/>
      <c r="I515" s="11"/>
      <c r="J515" s="13"/>
      <c r="K515" s="45"/>
      <c r="L515" s="37"/>
      <c r="M515" s="17"/>
      <c r="N515" s="11"/>
      <c r="O515" s="16"/>
      <c r="P515" s="16"/>
      <c r="Q515" s="18" t="str">
        <f t="shared" si="42"/>
        <v/>
      </c>
      <c r="R515" s="18" t="str">
        <f t="shared" si="43"/>
        <v/>
      </c>
      <c r="S515" s="18" t="str">
        <f t="shared" si="44"/>
        <v/>
      </c>
      <c r="T515" s="18" t="str">
        <f t="shared" si="45"/>
        <v/>
      </c>
      <c r="U515" s="18" t="str">
        <f t="shared" si="46"/>
        <v/>
      </c>
      <c r="V515" s="18" t="str">
        <f t="shared" si="47"/>
        <v/>
      </c>
      <c r="W515" s="14"/>
    </row>
    <row r="516" spans="1:23" x14ac:dyDescent="0.25">
      <c r="A516" s="6">
        <v>114</v>
      </c>
      <c r="B516" s="33" t="s">
        <v>34</v>
      </c>
      <c r="C516" s="44"/>
      <c r="D516" s="62">
        <f>1.25+0.6+1.25</f>
        <v>3.1</v>
      </c>
      <c r="E516" s="62"/>
      <c r="F516" s="41"/>
      <c r="G516" s="36">
        <v>0.25</v>
      </c>
      <c r="H516" s="10">
        <v>25</v>
      </c>
      <c r="I516" s="11">
        <v>1</v>
      </c>
      <c r="J516" s="13">
        <f>ROUND(2.3/G516+1,0)</f>
        <v>10</v>
      </c>
      <c r="K516" s="45">
        <f>D516</f>
        <v>3.1</v>
      </c>
      <c r="L516" s="37" t="str">
        <f>IF(O516&lt;12,"0",0.049*H516)</f>
        <v>0</v>
      </c>
      <c r="M516" s="17">
        <v>0</v>
      </c>
      <c r="N516" s="11">
        <f>M516*2*H516/1000</f>
        <v>0</v>
      </c>
      <c r="O516" s="16">
        <f>(D516)-N516</f>
        <v>3.1</v>
      </c>
      <c r="P516" s="16">
        <f>(I516*J516*O516)+L516</f>
        <v>31</v>
      </c>
      <c r="Q516" s="18" t="str">
        <f t="shared" si="42"/>
        <v/>
      </c>
      <c r="R516" s="18" t="str">
        <f t="shared" si="43"/>
        <v/>
      </c>
      <c r="S516" s="18" t="str">
        <f t="shared" si="44"/>
        <v/>
      </c>
      <c r="T516" s="18" t="str">
        <f t="shared" si="45"/>
        <v/>
      </c>
      <c r="U516" s="18" t="str">
        <f t="shared" si="46"/>
        <v/>
      </c>
      <c r="V516" s="18">
        <f t="shared" si="47"/>
        <v>31</v>
      </c>
      <c r="W516" s="14"/>
    </row>
    <row r="517" spans="1:23" x14ac:dyDescent="0.25">
      <c r="A517" s="6"/>
      <c r="B517" s="33" t="s">
        <v>84</v>
      </c>
      <c r="C517" s="19"/>
      <c r="D517" s="56"/>
      <c r="E517" s="56"/>
      <c r="F517" s="41"/>
      <c r="G517" s="36"/>
      <c r="H517" s="10"/>
      <c r="I517" s="11"/>
      <c r="J517" s="13"/>
      <c r="K517" s="45"/>
      <c r="L517" s="37"/>
      <c r="M517" s="17"/>
      <c r="N517" s="11"/>
      <c r="O517" s="16"/>
      <c r="P517" s="16"/>
      <c r="Q517" s="18" t="str">
        <f t="shared" si="42"/>
        <v/>
      </c>
      <c r="R517" s="18" t="str">
        <f t="shared" si="43"/>
        <v/>
      </c>
      <c r="S517" s="18" t="str">
        <f t="shared" si="44"/>
        <v/>
      </c>
      <c r="T517" s="18" t="str">
        <f t="shared" si="45"/>
        <v/>
      </c>
      <c r="U517" s="18" t="str">
        <f t="shared" si="46"/>
        <v/>
      </c>
      <c r="V517" s="18" t="str">
        <f t="shared" si="47"/>
        <v/>
      </c>
      <c r="W517" s="14"/>
    </row>
    <row r="518" spans="1:23" x14ac:dyDescent="0.25">
      <c r="A518" s="6"/>
      <c r="B518" s="33"/>
      <c r="C518" s="19"/>
      <c r="D518" s="56"/>
      <c r="E518" s="56"/>
      <c r="F518" s="41"/>
      <c r="G518" s="36"/>
      <c r="H518" s="10"/>
      <c r="I518" s="11"/>
      <c r="J518" s="13"/>
      <c r="K518" s="45"/>
      <c r="L518" s="37"/>
      <c r="M518" s="17"/>
      <c r="N518" s="11"/>
      <c r="O518" s="16"/>
      <c r="P518" s="16"/>
      <c r="Q518" s="18" t="str">
        <f t="shared" si="42"/>
        <v/>
      </c>
      <c r="R518" s="18" t="str">
        <f t="shared" si="43"/>
        <v/>
      </c>
      <c r="S518" s="18" t="str">
        <f t="shared" si="44"/>
        <v/>
      </c>
      <c r="T518" s="18" t="str">
        <f t="shared" si="45"/>
        <v/>
      </c>
      <c r="U518" s="18" t="str">
        <f t="shared" si="46"/>
        <v/>
      </c>
      <c r="V518" s="18" t="str">
        <f t="shared" si="47"/>
        <v/>
      </c>
      <c r="W518" s="14"/>
    </row>
    <row r="519" spans="1:23" x14ac:dyDescent="0.25">
      <c r="A519" s="6">
        <v>115</v>
      </c>
      <c r="B519" s="33" t="s">
        <v>33</v>
      </c>
      <c r="C519" s="44"/>
      <c r="D519" s="62">
        <f>0.75-0.05+0.715+1</f>
        <v>2.415</v>
      </c>
      <c r="E519" s="62"/>
      <c r="F519" s="41"/>
      <c r="G519" s="36">
        <v>0.25</v>
      </c>
      <c r="H519" s="10">
        <v>20</v>
      </c>
      <c r="I519" s="11">
        <v>1</v>
      </c>
      <c r="J519" s="13">
        <f>ROUND(2.3/G519+1,0)</f>
        <v>10</v>
      </c>
      <c r="K519" s="45">
        <f>D519</f>
        <v>2.415</v>
      </c>
      <c r="L519" s="37" t="str">
        <f>IF(O519&lt;12,"0",0.049*H519)</f>
        <v>0</v>
      </c>
      <c r="M519" s="17">
        <v>0</v>
      </c>
      <c r="N519" s="11">
        <f>M519*2*H519/1000</f>
        <v>0</v>
      </c>
      <c r="O519" s="16">
        <f>(D519)-N519</f>
        <v>2.415</v>
      </c>
      <c r="P519" s="16">
        <f>(I519*J519*O519)+L519</f>
        <v>24.15</v>
      </c>
      <c r="Q519" s="18" t="str">
        <f t="shared" si="42"/>
        <v/>
      </c>
      <c r="R519" s="18" t="str">
        <f t="shared" si="43"/>
        <v/>
      </c>
      <c r="S519" s="18" t="str">
        <f t="shared" si="44"/>
        <v/>
      </c>
      <c r="T519" s="18" t="str">
        <f t="shared" si="45"/>
        <v/>
      </c>
      <c r="U519" s="18">
        <f t="shared" si="46"/>
        <v>24.15</v>
      </c>
      <c r="V519" s="18" t="str">
        <f t="shared" si="47"/>
        <v/>
      </c>
      <c r="W519" s="14"/>
    </row>
    <row r="520" spans="1:23" x14ac:dyDescent="0.25">
      <c r="A520" s="6"/>
      <c r="B520" s="33" t="s">
        <v>85</v>
      </c>
      <c r="C520" s="19"/>
      <c r="D520" s="56"/>
      <c r="E520" s="56"/>
      <c r="F520" s="41"/>
      <c r="G520" s="36"/>
      <c r="H520" s="10"/>
      <c r="I520" s="11"/>
      <c r="J520" s="13"/>
      <c r="K520" s="45"/>
      <c r="L520" s="37"/>
      <c r="M520" s="17"/>
      <c r="N520" s="11"/>
      <c r="O520" s="16"/>
      <c r="P520" s="16"/>
      <c r="Q520" s="18" t="str">
        <f t="shared" si="42"/>
        <v/>
      </c>
      <c r="R520" s="18" t="str">
        <f t="shared" si="43"/>
        <v/>
      </c>
      <c r="S520" s="18" t="str">
        <f t="shared" si="44"/>
        <v/>
      </c>
      <c r="T520" s="18" t="str">
        <f t="shared" si="45"/>
        <v/>
      </c>
      <c r="U520" s="18" t="str">
        <f t="shared" si="46"/>
        <v/>
      </c>
      <c r="V520" s="18" t="str">
        <f t="shared" si="47"/>
        <v/>
      </c>
      <c r="W520" s="14"/>
    </row>
    <row r="521" spans="1:23" x14ac:dyDescent="0.25">
      <c r="A521" s="6"/>
      <c r="B521" s="33"/>
      <c r="C521" s="19"/>
      <c r="D521" s="56"/>
      <c r="E521" s="56"/>
      <c r="F521" s="41"/>
      <c r="G521" s="36"/>
      <c r="H521" s="10"/>
      <c r="I521" s="11"/>
      <c r="J521" s="13"/>
      <c r="K521" s="45"/>
      <c r="L521" s="37"/>
      <c r="M521" s="17"/>
      <c r="N521" s="11"/>
      <c r="O521" s="16"/>
      <c r="P521" s="16"/>
      <c r="Q521" s="18" t="str">
        <f t="shared" si="42"/>
        <v/>
      </c>
      <c r="R521" s="18" t="str">
        <f t="shared" si="43"/>
        <v/>
      </c>
      <c r="S521" s="18" t="str">
        <f t="shared" si="44"/>
        <v/>
      </c>
      <c r="T521" s="18" t="str">
        <f t="shared" si="45"/>
        <v/>
      </c>
      <c r="U521" s="18" t="str">
        <f t="shared" si="46"/>
        <v/>
      </c>
      <c r="V521" s="18" t="str">
        <f t="shared" si="47"/>
        <v/>
      </c>
      <c r="W521" s="14"/>
    </row>
    <row r="522" spans="1:23" x14ac:dyDescent="0.25">
      <c r="A522" s="6">
        <v>116</v>
      </c>
      <c r="B522" s="33" t="s">
        <v>34</v>
      </c>
      <c r="C522" s="44"/>
      <c r="D522" s="62">
        <f>1+0.3+1</f>
        <v>2.2999999999999998</v>
      </c>
      <c r="E522" s="62"/>
      <c r="F522" s="41"/>
      <c r="G522" s="36">
        <v>0.25</v>
      </c>
      <c r="H522" s="10">
        <v>20</v>
      </c>
      <c r="I522" s="11">
        <v>1</v>
      </c>
      <c r="J522" s="13">
        <f>ROUND(1.835/G522+1,0)</f>
        <v>8</v>
      </c>
      <c r="K522" s="45">
        <f>D522</f>
        <v>2.2999999999999998</v>
      </c>
      <c r="L522" s="37" t="str">
        <f>IF(O522&lt;12,"0",0.049*H522)</f>
        <v>0</v>
      </c>
      <c r="M522" s="17">
        <v>0</v>
      </c>
      <c r="N522" s="11">
        <f>M522*2*H522/1000</f>
        <v>0</v>
      </c>
      <c r="O522" s="16">
        <f>(D522)-N522</f>
        <v>2.2999999999999998</v>
      </c>
      <c r="P522" s="16">
        <f>(I522*J522*O522)+L522</f>
        <v>18.399999999999999</v>
      </c>
      <c r="Q522" s="18" t="str">
        <f t="shared" si="42"/>
        <v/>
      </c>
      <c r="R522" s="18" t="str">
        <f t="shared" si="43"/>
        <v/>
      </c>
      <c r="S522" s="18" t="str">
        <f t="shared" si="44"/>
        <v/>
      </c>
      <c r="T522" s="18" t="str">
        <f t="shared" si="45"/>
        <v/>
      </c>
      <c r="U522" s="18">
        <f t="shared" si="46"/>
        <v>18.399999999999999</v>
      </c>
      <c r="V522" s="18" t="str">
        <f t="shared" si="47"/>
        <v/>
      </c>
      <c r="W522" s="14"/>
    </row>
    <row r="523" spans="1:23" x14ac:dyDescent="0.25">
      <c r="A523" s="6"/>
      <c r="B523" s="33" t="s">
        <v>85</v>
      </c>
      <c r="C523" s="19"/>
      <c r="D523" s="56"/>
      <c r="E523" s="56"/>
      <c r="F523" s="41"/>
      <c r="G523" s="36"/>
      <c r="H523" s="10"/>
      <c r="I523" s="11"/>
      <c r="J523" s="13"/>
      <c r="K523" s="45"/>
      <c r="L523" s="37"/>
      <c r="M523" s="17"/>
      <c r="N523" s="11"/>
      <c r="O523" s="16"/>
      <c r="P523" s="16"/>
      <c r="Q523" s="18" t="str">
        <f t="shared" si="42"/>
        <v/>
      </c>
      <c r="R523" s="18" t="str">
        <f t="shared" si="43"/>
        <v/>
      </c>
      <c r="S523" s="18" t="str">
        <f t="shared" si="44"/>
        <v/>
      </c>
      <c r="T523" s="18" t="str">
        <f t="shared" si="45"/>
        <v/>
      </c>
      <c r="U523" s="18" t="str">
        <f t="shared" si="46"/>
        <v/>
      </c>
      <c r="V523" s="18" t="str">
        <f t="shared" si="47"/>
        <v/>
      </c>
      <c r="W523" s="14"/>
    </row>
    <row r="524" spans="1:23" x14ac:dyDescent="0.25">
      <c r="A524" s="6"/>
      <c r="B524" s="33"/>
      <c r="C524" s="19"/>
      <c r="D524" s="56"/>
      <c r="E524" s="56"/>
      <c r="F524" s="41"/>
      <c r="G524" s="36"/>
      <c r="H524" s="10"/>
      <c r="I524" s="11"/>
      <c r="J524" s="13"/>
      <c r="K524" s="45"/>
      <c r="L524" s="37"/>
      <c r="M524" s="17"/>
      <c r="N524" s="11"/>
      <c r="O524" s="16"/>
      <c r="P524" s="16"/>
      <c r="Q524" s="18" t="str">
        <f t="shared" si="42"/>
        <v/>
      </c>
      <c r="R524" s="18" t="str">
        <f t="shared" si="43"/>
        <v/>
      </c>
      <c r="S524" s="18" t="str">
        <f t="shared" si="44"/>
        <v/>
      </c>
      <c r="T524" s="18" t="str">
        <f t="shared" si="45"/>
        <v/>
      </c>
      <c r="U524" s="18" t="str">
        <f t="shared" si="46"/>
        <v/>
      </c>
      <c r="V524" s="18" t="str">
        <f t="shared" si="47"/>
        <v/>
      </c>
      <c r="W524" s="14"/>
    </row>
    <row r="525" spans="1:23" x14ac:dyDescent="0.25">
      <c r="A525" s="6">
        <v>117</v>
      </c>
      <c r="B525" s="33" t="s">
        <v>33</v>
      </c>
      <c r="C525" s="44"/>
      <c r="D525" s="62">
        <f>0.75-0.05+0.715+1</f>
        <v>2.415</v>
      </c>
      <c r="E525" s="62"/>
      <c r="F525" s="41"/>
      <c r="G525" s="36">
        <v>0.25</v>
      </c>
      <c r="H525" s="10">
        <v>20</v>
      </c>
      <c r="I525" s="11">
        <v>1</v>
      </c>
      <c r="J525" s="13">
        <f>ROUND(2.3/G525+1,0)</f>
        <v>10</v>
      </c>
      <c r="K525" s="45">
        <f>D525</f>
        <v>2.415</v>
      </c>
      <c r="L525" s="37" t="str">
        <f>IF(O525&lt;12,"0",0.049*H525)</f>
        <v>0</v>
      </c>
      <c r="M525" s="17">
        <v>0</v>
      </c>
      <c r="N525" s="11">
        <f>M525*2*H525/1000</f>
        <v>0</v>
      </c>
      <c r="O525" s="16">
        <f>(D525)-N525</f>
        <v>2.415</v>
      </c>
      <c r="P525" s="16">
        <f>(I525*J525*O525)+L525</f>
        <v>24.15</v>
      </c>
      <c r="Q525" s="18" t="str">
        <f t="shared" si="42"/>
        <v/>
      </c>
      <c r="R525" s="18" t="str">
        <f t="shared" si="43"/>
        <v/>
      </c>
      <c r="S525" s="18" t="str">
        <f t="shared" si="44"/>
        <v/>
      </c>
      <c r="T525" s="18" t="str">
        <f t="shared" si="45"/>
        <v/>
      </c>
      <c r="U525" s="18">
        <f t="shared" si="46"/>
        <v>24.15</v>
      </c>
      <c r="V525" s="18" t="str">
        <f t="shared" si="47"/>
        <v/>
      </c>
      <c r="W525" s="14"/>
    </row>
    <row r="526" spans="1:23" x14ac:dyDescent="0.25">
      <c r="A526" s="6"/>
      <c r="B526" s="33" t="s">
        <v>87</v>
      </c>
      <c r="C526" s="19"/>
      <c r="D526" s="56"/>
      <c r="E526" s="56"/>
      <c r="F526" s="41"/>
      <c r="G526" s="36"/>
      <c r="H526" s="10"/>
      <c r="I526" s="11"/>
      <c r="J526" s="13"/>
      <c r="K526" s="45"/>
      <c r="L526" s="37"/>
      <c r="M526" s="17"/>
      <c r="N526" s="11"/>
      <c r="O526" s="16"/>
      <c r="P526" s="16"/>
      <c r="Q526" s="18" t="str">
        <f t="shared" si="42"/>
        <v/>
      </c>
      <c r="R526" s="18" t="str">
        <f t="shared" si="43"/>
        <v/>
      </c>
      <c r="S526" s="18" t="str">
        <f t="shared" si="44"/>
        <v/>
      </c>
      <c r="T526" s="18" t="str">
        <f t="shared" si="45"/>
        <v/>
      </c>
      <c r="U526" s="18" t="str">
        <f t="shared" si="46"/>
        <v/>
      </c>
      <c r="V526" s="18" t="str">
        <f t="shared" si="47"/>
        <v/>
      </c>
      <c r="W526" s="14"/>
    </row>
    <row r="527" spans="1:23" x14ac:dyDescent="0.25">
      <c r="A527" s="6"/>
      <c r="B527" s="33"/>
      <c r="C527" s="19"/>
      <c r="D527" s="56"/>
      <c r="E527" s="56"/>
      <c r="F527" s="41"/>
      <c r="G527" s="36"/>
      <c r="H527" s="10"/>
      <c r="I527" s="11"/>
      <c r="J527" s="13"/>
      <c r="K527" s="45"/>
      <c r="L527" s="37"/>
      <c r="M527" s="17"/>
      <c r="N527" s="11"/>
      <c r="O527" s="16"/>
      <c r="P527" s="16"/>
      <c r="Q527" s="18" t="str">
        <f t="shared" si="42"/>
        <v/>
      </c>
      <c r="R527" s="18" t="str">
        <f t="shared" si="43"/>
        <v/>
      </c>
      <c r="S527" s="18" t="str">
        <f t="shared" si="44"/>
        <v/>
      </c>
      <c r="T527" s="18" t="str">
        <f t="shared" si="45"/>
        <v/>
      </c>
      <c r="U527" s="18" t="str">
        <f t="shared" si="46"/>
        <v/>
      </c>
      <c r="V527" s="18" t="str">
        <f t="shared" si="47"/>
        <v/>
      </c>
      <c r="W527" s="14"/>
    </row>
    <row r="528" spans="1:23" x14ac:dyDescent="0.25">
      <c r="A528" s="6">
        <v>118</v>
      </c>
      <c r="B528" s="33" t="s">
        <v>34</v>
      </c>
      <c r="C528" s="44"/>
      <c r="D528" s="62">
        <f>1+0.3+1</f>
        <v>2.2999999999999998</v>
      </c>
      <c r="E528" s="62"/>
      <c r="F528" s="41"/>
      <c r="G528" s="36">
        <v>0.25</v>
      </c>
      <c r="H528" s="10">
        <v>20</v>
      </c>
      <c r="I528" s="11">
        <v>1</v>
      </c>
      <c r="J528" s="13">
        <f>ROUND(1.835/G528+1,0)</f>
        <v>8</v>
      </c>
      <c r="K528" s="45">
        <f>D528</f>
        <v>2.2999999999999998</v>
      </c>
      <c r="L528" s="37" t="str">
        <f>IF(O528&lt;12,"0",0.049*H528)</f>
        <v>0</v>
      </c>
      <c r="M528" s="17">
        <v>0</v>
      </c>
      <c r="N528" s="11">
        <f>M528*2*H528/1000</f>
        <v>0</v>
      </c>
      <c r="O528" s="16">
        <f>(D528)-N528</f>
        <v>2.2999999999999998</v>
      </c>
      <c r="P528" s="16">
        <f>(I528*J528*O528)+L528</f>
        <v>18.399999999999999</v>
      </c>
      <c r="Q528" s="18" t="str">
        <f t="shared" si="42"/>
        <v/>
      </c>
      <c r="R528" s="18" t="str">
        <f t="shared" si="43"/>
        <v/>
      </c>
      <c r="S528" s="18" t="str">
        <f t="shared" si="44"/>
        <v/>
      </c>
      <c r="T528" s="18" t="str">
        <f t="shared" si="45"/>
        <v/>
      </c>
      <c r="U528" s="18">
        <f t="shared" si="46"/>
        <v>18.399999999999999</v>
      </c>
      <c r="V528" s="18" t="str">
        <f t="shared" si="47"/>
        <v/>
      </c>
      <c r="W528" s="14"/>
    </row>
    <row r="529" spans="1:23" x14ac:dyDescent="0.25">
      <c r="A529" s="6"/>
      <c r="B529" s="33" t="s">
        <v>87</v>
      </c>
      <c r="C529" s="19"/>
      <c r="D529" s="56"/>
      <c r="E529" s="56"/>
      <c r="F529" s="41"/>
      <c r="G529" s="36"/>
      <c r="H529" s="10"/>
      <c r="I529" s="11"/>
      <c r="J529" s="13"/>
      <c r="K529" s="45"/>
      <c r="L529" s="37"/>
      <c r="M529" s="17"/>
      <c r="N529" s="11"/>
      <c r="O529" s="16"/>
      <c r="P529" s="16"/>
      <c r="Q529" s="18" t="str">
        <f t="shared" si="42"/>
        <v/>
      </c>
      <c r="R529" s="18" t="str">
        <f t="shared" si="43"/>
        <v/>
      </c>
      <c r="S529" s="18" t="str">
        <f t="shared" si="44"/>
        <v/>
      </c>
      <c r="T529" s="18" t="str">
        <f t="shared" si="45"/>
        <v/>
      </c>
      <c r="U529" s="18" t="str">
        <f t="shared" si="46"/>
        <v/>
      </c>
      <c r="V529" s="18" t="str">
        <f t="shared" si="47"/>
        <v/>
      </c>
      <c r="W529" s="14"/>
    </row>
    <row r="530" spans="1:23" x14ac:dyDescent="0.25">
      <c r="A530" s="6"/>
      <c r="B530" s="33"/>
      <c r="C530" s="19"/>
      <c r="D530" s="56"/>
      <c r="E530" s="56"/>
      <c r="F530" s="41"/>
      <c r="G530" s="36"/>
      <c r="H530" s="10"/>
      <c r="I530" s="11"/>
      <c r="J530" s="13"/>
      <c r="K530" s="45"/>
      <c r="L530" s="37"/>
      <c r="M530" s="17"/>
      <c r="N530" s="11"/>
      <c r="O530" s="16"/>
      <c r="P530" s="16"/>
      <c r="Q530" s="18" t="str">
        <f t="shared" si="42"/>
        <v/>
      </c>
      <c r="R530" s="18" t="str">
        <f t="shared" si="43"/>
        <v/>
      </c>
      <c r="S530" s="18" t="str">
        <f t="shared" si="44"/>
        <v/>
      </c>
      <c r="T530" s="18" t="str">
        <f t="shared" si="45"/>
        <v/>
      </c>
      <c r="U530" s="18" t="str">
        <f t="shared" si="46"/>
        <v/>
      </c>
      <c r="V530" s="18" t="str">
        <f t="shared" si="47"/>
        <v/>
      </c>
      <c r="W530" s="14"/>
    </row>
    <row r="531" spans="1:23" x14ac:dyDescent="0.25">
      <c r="A531" s="6">
        <v>119</v>
      </c>
      <c r="B531" s="33" t="s">
        <v>33</v>
      </c>
      <c r="C531" s="44"/>
      <c r="D531" s="62">
        <f>0.75-0.05+0.6+1</f>
        <v>2.2999999999999998</v>
      </c>
      <c r="E531" s="62"/>
      <c r="F531" s="41"/>
      <c r="G531" s="36">
        <v>0.25</v>
      </c>
      <c r="H531" s="10">
        <v>20</v>
      </c>
      <c r="I531" s="11">
        <v>1</v>
      </c>
      <c r="J531" s="13">
        <f>ROUND(3.1/G531+1,0)</f>
        <v>13</v>
      </c>
      <c r="K531" s="45">
        <f>D531</f>
        <v>2.2999999999999998</v>
      </c>
      <c r="L531" s="37" t="str">
        <f>IF(O531&lt;12,"0",0.049*H531)</f>
        <v>0</v>
      </c>
      <c r="M531" s="17">
        <v>0</v>
      </c>
      <c r="N531" s="11">
        <f>M531*2*H531/1000</f>
        <v>0</v>
      </c>
      <c r="O531" s="16">
        <f>(D531)-N531</f>
        <v>2.2999999999999998</v>
      </c>
      <c r="P531" s="16">
        <f>(I531*J531*O531)+L531</f>
        <v>29.9</v>
      </c>
      <c r="Q531" s="18" t="str">
        <f t="shared" si="42"/>
        <v/>
      </c>
      <c r="R531" s="18" t="str">
        <f t="shared" si="43"/>
        <v/>
      </c>
      <c r="S531" s="18" t="str">
        <f t="shared" si="44"/>
        <v/>
      </c>
      <c r="T531" s="18" t="str">
        <f t="shared" si="45"/>
        <v/>
      </c>
      <c r="U531" s="18">
        <f t="shared" si="46"/>
        <v>29.9</v>
      </c>
      <c r="V531" s="18" t="str">
        <f t="shared" si="47"/>
        <v/>
      </c>
      <c r="W531" s="14"/>
    </row>
    <row r="532" spans="1:23" x14ac:dyDescent="0.25">
      <c r="A532" s="6"/>
      <c r="B532" s="33" t="s">
        <v>88</v>
      </c>
      <c r="C532" s="19"/>
      <c r="D532" s="56"/>
      <c r="E532" s="56"/>
      <c r="F532" s="41"/>
      <c r="G532" s="36"/>
      <c r="H532" s="10"/>
      <c r="I532" s="11"/>
      <c r="J532" s="13"/>
      <c r="K532" s="45"/>
      <c r="L532" s="37"/>
      <c r="M532" s="17"/>
      <c r="N532" s="11"/>
      <c r="O532" s="16"/>
      <c r="P532" s="16"/>
      <c r="Q532" s="18" t="str">
        <f t="shared" si="42"/>
        <v/>
      </c>
      <c r="R532" s="18" t="str">
        <f t="shared" si="43"/>
        <v/>
      </c>
      <c r="S532" s="18" t="str">
        <f t="shared" si="44"/>
        <v/>
      </c>
      <c r="T532" s="18" t="str">
        <f t="shared" si="45"/>
        <v/>
      </c>
      <c r="U532" s="18" t="str">
        <f t="shared" si="46"/>
        <v/>
      </c>
      <c r="V532" s="18" t="str">
        <f t="shared" si="47"/>
        <v/>
      </c>
      <c r="W532" s="14"/>
    </row>
    <row r="533" spans="1:23" x14ac:dyDescent="0.25">
      <c r="A533" s="6"/>
      <c r="B533" s="33"/>
      <c r="C533" s="19"/>
      <c r="D533" s="56"/>
      <c r="E533" s="56"/>
      <c r="F533" s="41"/>
      <c r="G533" s="36"/>
      <c r="H533" s="10"/>
      <c r="I533" s="11"/>
      <c r="J533" s="13"/>
      <c r="K533" s="45"/>
      <c r="L533" s="37"/>
      <c r="M533" s="17"/>
      <c r="N533" s="11"/>
      <c r="O533" s="16"/>
      <c r="P533" s="16"/>
      <c r="Q533" s="18" t="str">
        <f t="shared" si="42"/>
        <v/>
      </c>
      <c r="R533" s="18" t="str">
        <f t="shared" si="43"/>
        <v/>
      </c>
      <c r="S533" s="18" t="str">
        <f t="shared" si="44"/>
        <v/>
      </c>
      <c r="T533" s="18" t="str">
        <f t="shared" si="45"/>
        <v/>
      </c>
      <c r="U533" s="18" t="str">
        <f t="shared" si="46"/>
        <v/>
      </c>
      <c r="V533" s="18" t="str">
        <f t="shared" si="47"/>
        <v/>
      </c>
      <c r="W533" s="14"/>
    </row>
    <row r="534" spans="1:23" x14ac:dyDescent="0.25">
      <c r="A534" s="6">
        <v>120</v>
      </c>
      <c r="B534" s="33" t="s">
        <v>34</v>
      </c>
      <c r="C534" s="44"/>
      <c r="D534" s="62">
        <f>1.25+0.6+1.25</f>
        <v>3.1</v>
      </c>
      <c r="E534" s="62"/>
      <c r="F534" s="41"/>
      <c r="G534" s="36">
        <v>0.25</v>
      </c>
      <c r="H534" s="10">
        <v>25</v>
      </c>
      <c r="I534" s="11">
        <v>1</v>
      </c>
      <c r="J534" s="13">
        <f>ROUND(2.3/G534+1,0)</f>
        <v>10</v>
      </c>
      <c r="K534" s="45">
        <f>D534</f>
        <v>3.1</v>
      </c>
      <c r="L534" s="37" t="str">
        <f>IF(O534&lt;12,"0",0.049*H534)</f>
        <v>0</v>
      </c>
      <c r="M534" s="17">
        <v>0</v>
      </c>
      <c r="N534" s="11">
        <f>M534*2*H534/1000</f>
        <v>0</v>
      </c>
      <c r="O534" s="16">
        <f>(D534)-N534</f>
        <v>3.1</v>
      </c>
      <c r="P534" s="16">
        <f>(I534*J534*O534)+L534</f>
        <v>31</v>
      </c>
      <c r="Q534" s="18" t="str">
        <f t="shared" si="42"/>
        <v/>
      </c>
      <c r="R534" s="18" t="str">
        <f t="shared" si="43"/>
        <v/>
      </c>
      <c r="S534" s="18" t="str">
        <f t="shared" si="44"/>
        <v/>
      </c>
      <c r="T534" s="18" t="str">
        <f t="shared" si="45"/>
        <v/>
      </c>
      <c r="U534" s="18" t="str">
        <f t="shared" si="46"/>
        <v/>
      </c>
      <c r="V534" s="18">
        <f t="shared" si="47"/>
        <v>31</v>
      </c>
      <c r="W534" s="14"/>
    </row>
    <row r="535" spans="1:23" x14ac:dyDescent="0.25">
      <c r="A535" s="6"/>
      <c r="B535" s="33" t="s">
        <v>88</v>
      </c>
      <c r="C535" s="19"/>
      <c r="D535" s="56"/>
      <c r="E535" s="56"/>
      <c r="F535" s="41"/>
      <c r="G535" s="36"/>
      <c r="H535" s="10"/>
      <c r="I535" s="11"/>
      <c r="J535" s="13"/>
      <c r="K535" s="45"/>
      <c r="L535" s="37"/>
      <c r="M535" s="17"/>
      <c r="N535" s="11"/>
      <c r="O535" s="16"/>
      <c r="P535" s="16"/>
      <c r="Q535" s="18" t="str">
        <f t="shared" si="42"/>
        <v/>
      </c>
      <c r="R535" s="18" t="str">
        <f t="shared" si="43"/>
        <v/>
      </c>
      <c r="S535" s="18" t="str">
        <f t="shared" si="44"/>
        <v/>
      </c>
      <c r="T535" s="18" t="str">
        <f t="shared" si="45"/>
        <v/>
      </c>
      <c r="U535" s="18" t="str">
        <f t="shared" si="46"/>
        <v/>
      </c>
      <c r="V535" s="18" t="str">
        <f t="shared" si="47"/>
        <v/>
      </c>
      <c r="W535" s="14"/>
    </row>
    <row r="536" spans="1:23" x14ac:dyDescent="0.25">
      <c r="A536" s="6"/>
      <c r="B536" s="33"/>
      <c r="C536" s="19"/>
      <c r="D536" s="56"/>
      <c r="E536" s="56"/>
      <c r="F536" s="41"/>
      <c r="G536" s="36"/>
      <c r="H536" s="10"/>
      <c r="I536" s="11"/>
      <c r="J536" s="13"/>
      <c r="K536" s="45"/>
      <c r="L536" s="37"/>
      <c r="M536" s="17"/>
      <c r="N536" s="11"/>
      <c r="O536" s="16"/>
      <c r="P536" s="16"/>
      <c r="Q536" s="18" t="str">
        <f t="shared" si="42"/>
        <v/>
      </c>
      <c r="R536" s="18" t="str">
        <f t="shared" si="43"/>
        <v/>
      </c>
      <c r="S536" s="18" t="str">
        <f t="shared" si="44"/>
        <v/>
      </c>
      <c r="T536" s="18" t="str">
        <f t="shared" si="45"/>
        <v/>
      </c>
      <c r="U536" s="18" t="str">
        <f t="shared" si="46"/>
        <v/>
      </c>
      <c r="V536" s="18" t="str">
        <f t="shared" si="47"/>
        <v/>
      </c>
      <c r="W536" s="14"/>
    </row>
    <row r="537" spans="1:23" x14ac:dyDescent="0.25">
      <c r="A537" s="6">
        <v>121</v>
      </c>
      <c r="B537" s="33" t="s">
        <v>33</v>
      </c>
      <c r="C537" s="44"/>
      <c r="D537" s="62">
        <f>1.25+0.75+1.25</f>
        <v>3.25</v>
      </c>
      <c r="E537" s="62"/>
      <c r="F537" s="41"/>
      <c r="G537" s="36">
        <v>0.25</v>
      </c>
      <c r="H537" s="10">
        <v>25</v>
      </c>
      <c r="I537" s="11">
        <v>1</v>
      </c>
      <c r="J537" s="13">
        <f>ROUND(2.8/G537+1,0)</f>
        <v>12</v>
      </c>
      <c r="K537" s="45">
        <f>D537</f>
        <v>3.25</v>
      </c>
      <c r="L537" s="37" t="str">
        <f>IF(O537&lt;12,"0",0.049*H537)</f>
        <v>0</v>
      </c>
      <c r="M537" s="17">
        <v>0</v>
      </c>
      <c r="N537" s="11">
        <f>M537*2*H537/1000</f>
        <v>0</v>
      </c>
      <c r="O537" s="16">
        <f>(D537)-N537</f>
        <v>3.25</v>
      </c>
      <c r="P537" s="16">
        <f>(I537*J537*O537)+L537</f>
        <v>39</v>
      </c>
      <c r="Q537" s="18" t="str">
        <f t="shared" si="42"/>
        <v/>
      </c>
      <c r="R537" s="18" t="str">
        <f t="shared" si="43"/>
        <v/>
      </c>
      <c r="S537" s="18" t="str">
        <f t="shared" si="44"/>
        <v/>
      </c>
      <c r="T537" s="18" t="str">
        <f t="shared" si="45"/>
        <v/>
      </c>
      <c r="U537" s="18" t="str">
        <f t="shared" si="46"/>
        <v/>
      </c>
      <c r="V537" s="18">
        <f t="shared" si="47"/>
        <v>39</v>
      </c>
      <c r="W537" s="14"/>
    </row>
    <row r="538" spans="1:23" x14ac:dyDescent="0.25">
      <c r="A538" s="6"/>
      <c r="B538" s="33" t="s">
        <v>86</v>
      </c>
      <c r="C538" s="19"/>
      <c r="D538" s="56"/>
      <c r="E538" s="56"/>
      <c r="F538" s="41"/>
      <c r="G538" s="36"/>
      <c r="H538" s="10"/>
      <c r="I538" s="11"/>
      <c r="J538" s="13"/>
      <c r="K538" s="45"/>
      <c r="L538" s="37"/>
      <c r="M538" s="17"/>
      <c r="N538" s="11"/>
      <c r="O538" s="16"/>
      <c r="P538" s="16"/>
      <c r="Q538" s="18" t="str">
        <f t="shared" si="42"/>
        <v/>
      </c>
      <c r="R538" s="18" t="str">
        <f t="shared" si="43"/>
        <v/>
      </c>
      <c r="S538" s="18" t="str">
        <f t="shared" si="44"/>
        <v/>
      </c>
      <c r="T538" s="18" t="str">
        <f t="shared" si="45"/>
        <v/>
      </c>
      <c r="U538" s="18" t="str">
        <f t="shared" si="46"/>
        <v/>
      </c>
      <c r="V538" s="18" t="str">
        <f t="shared" si="47"/>
        <v/>
      </c>
      <c r="W538" s="14"/>
    </row>
    <row r="539" spans="1:23" x14ac:dyDescent="0.25">
      <c r="A539" s="6"/>
      <c r="B539" s="33"/>
      <c r="C539" s="19"/>
      <c r="D539" s="56"/>
      <c r="E539" s="56"/>
      <c r="F539" s="41"/>
      <c r="G539" s="36"/>
      <c r="H539" s="10"/>
      <c r="I539" s="11"/>
      <c r="J539" s="13"/>
      <c r="K539" s="45"/>
      <c r="L539" s="37"/>
      <c r="M539" s="17"/>
      <c r="N539" s="11"/>
      <c r="O539" s="16"/>
      <c r="P539" s="16"/>
      <c r="Q539" s="18" t="str">
        <f t="shared" si="42"/>
        <v/>
      </c>
      <c r="R539" s="18" t="str">
        <f t="shared" si="43"/>
        <v/>
      </c>
      <c r="S539" s="18" t="str">
        <f t="shared" si="44"/>
        <v/>
      </c>
      <c r="T539" s="18" t="str">
        <f t="shared" si="45"/>
        <v/>
      </c>
      <c r="U539" s="18" t="str">
        <f t="shared" si="46"/>
        <v/>
      </c>
      <c r="V539" s="18" t="str">
        <f t="shared" si="47"/>
        <v/>
      </c>
      <c r="W539" s="14"/>
    </row>
    <row r="540" spans="1:23" x14ac:dyDescent="0.25">
      <c r="A540" s="6">
        <v>122</v>
      </c>
      <c r="B540" s="33" t="s">
        <v>34</v>
      </c>
      <c r="C540" s="44"/>
      <c r="D540" s="62">
        <f>1+0.3+1</f>
        <v>2.2999999999999998</v>
      </c>
      <c r="E540" s="62"/>
      <c r="F540" s="41"/>
      <c r="G540" s="36">
        <v>0.25</v>
      </c>
      <c r="H540" s="10">
        <v>20</v>
      </c>
      <c r="I540" s="11">
        <v>1</v>
      </c>
      <c r="J540" s="13">
        <f>ROUND(3.25/G540+1,0)</f>
        <v>14</v>
      </c>
      <c r="K540" s="45">
        <f>D540</f>
        <v>2.2999999999999998</v>
      </c>
      <c r="L540" s="37" t="str">
        <f>IF(O540&lt;12,"0",0.049*H540)</f>
        <v>0</v>
      </c>
      <c r="M540" s="17">
        <v>0</v>
      </c>
      <c r="N540" s="11">
        <f>M540*2*H540/1000</f>
        <v>0</v>
      </c>
      <c r="O540" s="16">
        <f>(D540)-N540</f>
        <v>2.2999999999999998</v>
      </c>
      <c r="P540" s="16">
        <f>(I540*J540*O540)+L540</f>
        <v>32.199999999999996</v>
      </c>
      <c r="Q540" s="18" t="str">
        <f t="shared" si="42"/>
        <v/>
      </c>
      <c r="R540" s="18" t="str">
        <f t="shared" si="43"/>
        <v/>
      </c>
      <c r="S540" s="18" t="str">
        <f t="shared" si="44"/>
        <v/>
      </c>
      <c r="T540" s="18" t="str">
        <f t="shared" si="45"/>
        <v/>
      </c>
      <c r="U540" s="18">
        <f t="shared" si="46"/>
        <v>32.199999999999996</v>
      </c>
      <c r="V540" s="18" t="str">
        <f t="shared" si="47"/>
        <v/>
      </c>
      <c r="W540" s="14"/>
    </row>
    <row r="541" spans="1:23" x14ac:dyDescent="0.25">
      <c r="A541" s="6"/>
      <c r="B541" s="33" t="s">
        <v>86</v>
      </c>
      <c r="C541" s="19"/>
      <c r="D541" s="56"/>
      <c r="E541" s="56"/>
      <c r="F541" s="41"/>
      <c r="G541" s="36"/>
      <c r="H541" s="10"/>
      <c r="I541" s="11"/>
      <c r="J541" s="13"/>
      <c r="K541" s="45"/>
      <c r="L541" s="37"/>
      <c r="M541" s="17"/>
      <c r="N541" s="11"/>
      <c r="O541" s="16"/>
      <c r="P541" s="16"/>
      <c r="Q541" s="18" t="str">
        <f t="shared" si="42"/>
        <v/>
      </c>
      <c r="R541" s="18" t="str">
        <f t="shared" si="43"/>
        <v/>
      </c>
      <c r="S541" s="18" t="str">
        <f t="shared" si="44"/>
        <v/>
      </c>
      <c r="T541" s="18" t="str">
        <f t="shared" si="45"/>
        <v/>
      </c>
      <c r="U541" s="18" t="str">
        <f t="shared" si="46"/>
        <v/>
      </c>
      <c r="V541" s="18" t="str">
        <f t="shared" si="47"/>
        <v/>
      </c>
      <c r="W541" s="14"/>
    </row>
    <row r="542" spans="1:23" x14ac:dyDescent="0.25">
      <c r="A542" s="6"/>
      <c r="B542" s="33"/>
      <c r="C542" s="19"/>
      <c r="D542" s="56"/>
      <c r="E542" s="56"/>
      <c r="F542" s="41"/>
      <c r="G542" s="36"/>
      <c r="H542" s="10"/>
      <c r="I542" s="11"/>
      <c r="J542" s="13"/>
      <c r="K542" s="45"/>
      <c r="L542" s="37"/>
      <c r="M542" s="17"/>
      <c r="N542" s="11"/>
      <c r="O542" s="16"/>
      <c r="P542" s="16"/>
      <c r="Q542" s="18" t="str">
        <f t="shared" si="42"/>
        <v/>
      </c>
      <c r="R542" s="18" t="str">
        <f t="shared" si="43"/>
        <v/>
      </c>
      <c r="S542" s="18" t="str">
        <f t="shared" si="44"/>
        <v/>
      </c>
      <c r="T542" s="18" t="str">
        <f t="shared" si="45"/>
        <v/>
      </c>
      <c r="U542" s="18" t="str">
        <f t="shared" si="46"/>
        <v/>
      </c>
      <c r="V542" s="18" t="str">
        <f t="shared" si="47"/>
        <v/>
      </c>
      <c r="W542" s="14"/>
    </row>
    <row r="543" spans="1:23" x14ac:dyDescent="0.25">
      <c r="A543" s="6">
        <v>123</v>
      </c>
      <c r="B543" s="33" t="s">
        <v>33</v>
      </c>
      <c r="C543" s="44"/>
      <c r="D543" s="62">
        <f>1+0.75+1</f>
        <v>2.75</v>
      </c>
      <c r="E543" s="62"/>
      <c r="F543" s="41"/>
      <c r="G543" s="36">
        <v>0.25</v>
      </c>
      <c r="H543" s="10">
        <v>25</v>
      </c>
      <c r="I543" s="11">
        <v>1</v>
      </c>
      <c r="J543" s="13">
        <f>ROUND(2.8/G543+1,0)</f>
        <v>12</v>
      </c>
      <c r="K543" s="45">
        <f>D543</f>
        <v>2.75</v>
      </c>
      <c r="L543" s="37" t="str">
        <f>IF(O543&lt;12,"0",0.049*H543)</f>
        <v>0</v>
      </c>
      <c r="M543" s="17">
        <v>0</v>
      </c>
      <c r="N543" s="11">
        <f>M543*2*H543/1000</f>
        <v>0</v>
      </c>
      <c r="O543" s="16">
        <f>(D543)-N543</f>
        <v>2.75</v>
      </c>
      <c r="P543" s="16">
        <f>(I543*J543*O543)+L543</f>
        <v>33</v>
      </c>
      <c r="Q543" s="18" t="str">
        <f t="shared" si="42"/>
        <v/>
      </c>
      <c r="R543" s="18" t="str">
        <f t="shared" si="43"/>
        <v/>
      </c>
      <c r="S543" s="18" t="str">
        <f t="shared" si="44"/>
        <v/>
      </c>
      <c r="T543" s="18" t="str">
        <f t="shared" si="45"/>
        <v/>
      </c>
      <c r="U543" s="18" t="str">
        <f t="shared" si="46"/>
        <v/>
      </c>
      <c r="V543" s="18">
        <f t="shared" si="47"/>
        <v>33</v>
      </c>
      <c r="W543" s="14"/>
    </row>
    <row r="544" spans="1:23" x14ac:dyDescent="0.25">
      <c r="A544" s="6"/>
      <c r="B544" s="33" t="s">
        <v>89</v>
      </c>
      <c r="C544" s="19"/>
      <c r="D544" s="56"/>
      <c r="E544" s="56"/>
      <c r="F544" s="41"/>
      <c r="G544" s="36"/>
      <c r="H544" s="10"/>
      <c r="I544" s="11"/>
      <c r="J544" s="13"/>
      <c r="K544" s="45"/>
      <c r="L544" s="37"/>
      <c r="M544" s="17"/>
      <c r="N544" s="11"/>
      <c r="O544" s="16"/>
      <c r="P544" s="16"/>
      <c r="Q544" s="18" t="str">
        <f t="shared" si="42"/>
        <v/>
      </c>
      <c r="R544" s="18" t="str">
        <f t="shared" si="43"/>
        <v/>
      </c>
      <c r="S544" s="18" t="str">
        <f t="shared" si="44"/>
        <v/>
      </c>
      <c r="T544" s="18" t="str">
        <f t="shared" si="45"/>
        <v/>
      </c>
      <c r="U544" s="18" t="str">
        <f t="shared" si="46"/>
        <v/>
      </c>
      <c r="V544" s="18" t="str">
        <f t="shared" si="47"/>
        <v/>
      </c>
      <c r="W544" s="14"/>
    </row>
    <row r="545" spans="1:23" x14ac:dyDescent="0.25">
      <c r="A545" s="6"/>
      <c r="B545" s="33"/>
      <c r="C545" s="19"/>
      <c r="D545" s="56"/>
      <c r="E545" s="56"/>
      <c r="F545" s="41"/>
      <c r="G545" s="36"/>
      <c r="H545" s="10"/>
      <c r="I545" s="11"/>
      <c r="J545" s="13"/>
      <c r="K545" s="45"/>
      <c r="L545" s="37"/>
      <c r="M545" s="17"/>
      <c r="N545" s="11"/>
      <c r="O545" s="16"/>
      <c r="P545" s="16"/>
      <c r="Q545" s="18" t="str">
        <f t="shared" si="42"/>
        <v/>
      </c>
      <c r="R545" s="18" t="str">
        <f t="shared" si="43"/>
        <v/>
      </c>
      <c r="S545" s="18" t="str">
        <f t="shared" si="44"/>
        <v/>
      </c>
      <c r="T545" s="18" t="str">
        <f t="shared" si="45"/>
        <v/>
      </c>
      <c r="U545" s="18" t="str">
        <f t="shared" si="46"/>
        <v/>
      </c>
      <c r="V545" s="18" t="str">
        <f t="shared" si="47"/>
        <v/>
      </c>
      <c r="W545" s="14"/>
    </row>
    <row r="546" spans="1:23" x14ac:dyDescent="0.25">
      <c r="A546" s="6">
        <v>124</v>
      </c>
      <c r="B546" s="33" t="s">
        <v>33</v>
      </c>
      <c r="C546" s="44"/>
      <c r="D546" s="62">
        <f>1+0.75+1</f>
        <v>2.75</v>
      </c>
      <c r="E546" s="62"/>
      <c r="F546" s="41"/>
      <c r="G546" s="36">
        <v>0.25</v>
      </c>
      <c r="H546" s="10">
        <v>20</v>
      </c>
      <c r="I546" s="11">
        <v>1</v>
      </c>
      <c r="J546" s="13">
        <f>ROUND(2.8/G546+1,0)</f>
        <v>12</v>
      </c>
      <c r="K546" s="45">
        <f>D546</f>
        <v>2.75</v>
      </c>
      <c r="L546" s="37" t="str">
        <f>IF(O546&lt;12,"0",0.049*H546)</f>
        <v>0</v>
      </c>
      <c r="M546" s="17">
        <v>0</v>
      </c>
      <c r="N546" s="11">
        <f>M546*2*H546/1000</f>
        <v>0</v>
      </c>
      <c r="O546" s="16">
        <f>(D546)-N546</f>
        <v>2.75</v>
      </c>
      <c r="P546" s="16">
        <f>(I546*J546*O546)+L546</f>
        <v>33</v>
      </c>
      <c r="Q546" s="18" t="str">
        <f t="shared" si="42"/>
        <v/>
      </c>
      <c r="R546" s="18" t="str">
        <f t="shared" si="43"/>
        <v/>
      </c>
      <c r="S546" s="18" t="str">
        <f t="shared" si="44"/>
        <v/>
      </c>
      <c r="T546" s="18" t="str">
        <f t="shared" si="45"/>
        <v/>
      </c>
      <c r="U546" s="18">
        <f t="shared" si="46"/>
        <v>33</v>
      </c>
      <c r="V546" s="18" t="str">
        <f t="shared" si="47"/>
        <v/>
      </c>
      <c r="W546" s="14"/>
    </row>
    <row r="547" spans="1:23" x14ac:dyDescent="0.25">
      <c r="A547" s="6"/>
      <c r="B547" s="33" t="s">
        <v>89</v>
      </c>
      <c r="C547" s="19"/>
      <c r="D547" s="56"/>
      <c r="E547" s="56"/>
      <c r="F547" s="41"/>
      <c r="G547" s="36"/>
      <c r="H547" s="10"/>
      <c r="I547" s="11"/>
      <c r="J547" s="13"/>
      <c r="K547" s="45"/>
      <c r="L547" s="37"/>
      <c r="M547" s="17"/>
      <c r="N547" s="11"/>
      <c r="O547" s="16"/>
      <c r="P547" s="16"/>
      <c r="Q547" s="18" t="str">
        <f t="shared" si="42"/>
        <v/>
      </c>
      <c r="R547" s="18" t="str">
        <f t="shared" si="43"/>
        <v/>
      </c>
      <c r="S547" s="18" t="str">
        <f t="shared" si="44"/>
        <v/>
      </c>
      <c r="T547" s="18" t="str">
        <f t="shared" si="45"/>
        <v/>
      </c>
      <c r="U547" s="18" t="str">
        <f t="shared" si="46"/>
        <v/>
      </c>
      <c r="V547" s="18" t="str">
        <f t="shared" si="47"/>
        <v/>
      </c>
      <c r="W547" s="14"/>
    </row>
    <row r="548" spans="1:23" x14ac:dyDescent="0.25">
      <c r="A548" s="6"/>
      <c r="B548" s="33"/>
      <c r="C548" s="19"/>
      <c r="D548" s="56"/>
      <c r="E548" s="56"/>
      <c r="F548" s="41"/>
      <c r="G548" s="36"/>
      <c r="H548" s="10"/>
      <c r="I548" s="11"/>
      <c r="J548" s="13"/>
      <c r="K548" s="45"/>
      <c r="L548" s="37"/>
      <c r="M548" s="17"/>
      <c r="N548" s="11"/>
      <c r="O548" s="16"/>
      <c r="P548" s="16"/>
      <c r="Q548" s="18" t="str">
        <f t="shared" si="42"/>
        <v/>
      </c>
      <c r="R548" s="18" t="str">
        <f t="shared" si="43"/>
        <v/>
      </c>
      <c r="S548" s="18" t="str">
        <f t="shared" si="44"/>
        <v/>
      </c>
      <c r="T548" s="18" t="str">
        <f t="shared" si="45"/>
        <v/>
      </c>
      <c r="U548" s="18" t="str">
        <f t="shared" si="46"/>
        <v/>
      </c>
      <c r="V548" s="18" t="str">
        <f t="shared" si="47"/>
        <v/>
      </c>
      <c r="W548" s="14"/>
    </row>
    <row r="549" spans="1:23" x14ac:dyDescent="0.25">
      <c r="A549" s="6">
        <v>125</v>
      </c>
      <c r="B549" s="33" t="s">
        <v>34</v>
      </c>
      <c r="C549" s="44"/>
      <c r="D549" s="62">
        <f>1.25+0.3+1.25</f>
        <v>2.8</v>
      </c>
      <c r="E549" s="62"/>
      <c r="F549" s="41"/>
      <c r="G549" s="36">
        <v>0.25</v>
      </c>
      <c r="H549" s="10">
        <v>25</v>
      </c>
      <c r="I549" s="11">
        <v>1</v>
      </c>
      <c r="J549" s="13">
        <f>ROUND(2.75/G549+1,0)</f>
        <v>12</v>
      </c>
      <c r="K549" s="45">
        <f>D549</f>
        <v>2.8</v>
      </c>
      <c r="L549" s="37" t="str">
        <f>IF(O549&lt;12,"0",0.049*H549)</f>
        <v>0</v>
      </c>
      <c r="M549" s="17">
        <v>0</v>
      </c>
      <c r="N549" s="11">
        <f>M549*2*H549/1000</f>
        <v>0</v>
      </c>
      <c r="O549" s="16">
        <f>(D549)-N549</f>
        <v>2.8</v>
      </c>
      <c r="P549" s="16">
        <f>(I549*J549*O549)+L549</f>
        <v>33.599999999999994</v>
      </c>
      <c r="Q549" s="18" t="str">
        <f t="shared" si="42"/>
        <v/>
      </c>
      <c r="R549" s="18" t="str">
        <f t="shared" si="43"/>
        <v/>
      </c>
      <c r="S549" s="18" t="str">
        <f t="shared" si="44"/>
        <v/>
      </c>
      <c r="T549" s="18" t="str">
        <f t="shared" si="45"/>
        <v/>
      </c>
      <c r="U549" s="18" t="str">
        <f t="shared" si="46"/>
        <v/>
      </c>
      <c r="V549" s="18">
        <f t="shared" si="47"/>
        <v>33.599999999999994</v>
      </c>
      <c r="W549" s="14"/>
    </row>
    <row r="550" spans="1:23" x14ac:dyDescent="0.25">
      <c r="A550" s="6"/>
      <c r="B550" s="33" t="s">
        <v>89</v>
      </c>
      <c r="C550" s="19"/>
      <c r="D550" s="56"/>
      <c r="E550" s="56"/>
      <c r="F550" s="41"/>
      <c r="G550" s="36"/>
      <c r="H550" s="10"/>
      <c r="I550" s="11"/>
      <c r="J550" s="13"/>
      <c r="K550" s="45"/>
      <c r="L550" s="37"/>
      <c r="M550" s="17"/>
      <c r="N550" s="11"/>
      <c r="O550" s="16"/>
      <c r="P550" s="16"/>
      <c r="Q550" s="18" t="str">
        <f t="shared" si="42"/>
        <v/>
      </c>
      <c r="R550" s="18" t="str">
        <f t="shared" si="43"/>
        <v/>
      </c>
      <c r="S550" s="18" t="str">
        <f t="shared" si="44"/>
        <v/>
      </c>
      <c r="T550" s="18" t="str">
        <f t="shared" si="45"/>
        <v/>
      </c>
      <c r="U550" s="18" t="str">
        <f t="shared" si="46"/>
        <v/>
      </c>
      <c r="V550" s="18" t="str">
        <f t="shared" si="47"/>
        <v/>
      </c>
      <c r="W550" s="14"/>
    </row>
    <row r="551" spans="1:23" x14ac:dyDescent="0.25">
      <c r="A551" s="6"/>
      <c r="B551" s="33"/>
      <c r="C551" s="19"/>
      <c r="D551" s="56"/>
      <c r="E551" s="56"/>
      <c r="F551" s="41"/>
      <c r="G551" s="36"/>
      <c r="H551" s="10"/>
      <c r="I551" s="11"/>
      <c r="J551" s="13"/>
      <c r="K551" s="45"/>
      <c r="L551" s="37"/>
      <c r="M551" s="17"/>
      <c r="N551" s="11"/>
      <c r="O551" s="16"/>
      <c r="P551" s="16"/>
      <c r="Q551" s="18" t="str">
        <f t="shared" si="42"/>
        <v/>
      </c>
      <c r="R551" s="18" t="str">
        <f t="shared" si="43"/>
        <v/>
      </c>
      <c r="S551" s="18" t="str">
        <f t="shared" si="44"/>
        <v/>
      </c>
      <c r="T551" s="18" t="str">
        <f t="shared" si="45"/>
        <v/>
      </c>
      <c r="U551" s="18" t="str">
        <f t="shared" si="46"/>
        <v/>
      </c>
      <c r="V551" s="18" t="str">
        <f t="shared" si="47"/>
        <v/>
      </c>
      <c r="W551" s="14"/>
    </row>
    <row r="552" spans="1:23" x14ac:dyDescent="0.25">
      <c r="A552" s="6">
        <v>126</v>
      </c>
      <c r="B552" s="33" t="s">
        <v>34</v>
      </c>
      <c r="C552" s="44"/>
      <c r="D552" s="62">
        <f>1.25+0.3+1.25</f>
        <v>2.8</v>
      </c>
      <c r="E552" s="62"/>
      <c r="F552" s="41"/>
      <c r="G552" s="36">
        <v>0.25</v>
      </c>
      <c r="H552" s="10">
        <v>20</v>
      </c>
      <c r="I552" s="11">
        <v>1</v>
      </c>
      <c r="J552" s="13">
        <f>ROUND(2.75/G552+1,0)</f>
        <v>12</v>
      </c>
      <c r="K552" s="45">
        <f>D552</f>
        <v>2.8</v>
      </c>
      <c r="L552" s="37" t="str">
        <f>IF(O552&lt;12,"0",0.049*H552)</f>
        <v>0</v>
      </c>
      <c r="M552" s="17">
        <v>0</v>
      </c>
      <c r="N552" s="11">
        <f>M552*2*H552/1000</f>
        <v>0</v>
      </c>
      <c r="O552" s="16">
        <f>(D552)-N552</f>
        <v>2.8</v>
      </c>
      <c r="P552" s="16">
        <f>(I552*J552*O552)+L552</f>
        <v>33.599999999999994</v>
      </c>
      <c r="Q552" s="18" t="str">
        <f t="shared" si="42"/>
        <v/>
      </c>
      <c r="R552" s="18" t="str">
        <f t="shared" si="43"/>
        <v/>
      </c>
      <c r="S552" s="18" t="str">
        <f t="shared" si="44"/>
        <v/>
      </c>
      <c r="T552" s="18" t="str">
        <f t="shared" si="45"/>
        <v/>
      </c>
      <c r="U552" s="18">
        <f t="shared" si="46"/>
        <v>33.599999999999994</v>
      </c>
      <c r="V552" s="18" t="str">
        <f t="shared" si="47"/>
        <v/>
      </c>
      <c r="W552" s="14"/>
    </row>
    <row r="553" spans="1:23" x14ac:dyDescent="0.25">
      <c r="A553" s="6"/>
      <c r="B553" s="33" t="s">
        <v>89</v>
      </c>
      <c r="C553" s="19"/>
      <c r="D553" s="56"/>
      <c r="E553" s="56"/>
      <c r="F553" s="41"/>
      <c r="G553" s="36"/>
      <c r="H553" s="10"/>
      <c r="I553" s="11"/>
      <c r="J553" s="13"/>
      <c r="K553" s="45"/>
      <c r="L553" s="37"/>
      <c r="M553" s="17"/>
      <c r="N553" s="11"/>
      <c r="O553" s="16"/>
      <c r="P553" s="16"/>
      <c r="Q553" s="18" t="str">
        <f t="shared" si="42"/>
        <v/>
      </c>
      <c r="R553" s="18" t="str">
        <f t="shared" si="43"/>
        <v/>
      </c>
      <c r="S553" s="18" t="str">
        <f t="shared" si="44"/>
        <v/>
      </c>
      <c r="T553" s="18" t="str">
        <f t="shared" si="45"/>
        <v/>
      </c>
      <c r="U553" s="18" t="str">
        <f t="shared" si="46"/>
        <v/>
      </c>
      <c r="V553" s="18" t="str">
        <f t="shared" si="47"/>
        <v/>
      </c>
      <c r="W553" s="14"/>
    </row>
    <row r="554" spans="1:23" x14ac:dyDescent="0.25">
      <c r="A554" s="6"/>
      <c r="B554" s="33"/>
      <c r="C554" s="19"/>
      <c r="D554" s="56"/>
      <c r="E554" s="56"/>
      <c r="F554" s="41"/>
      <c r="G554" s="36"/>
      <c r="H554" s="10"/>
      <c r="I554" s="11"/>
      <c r="J554" s="13"/>
      <c r="K554" s="45"/>
      <c r="L554" s="37"/>
      <c r="M554" s="17"/>
      <c r="N554" s="11"/>
      <c r="O554" s="16"/>
      <c r="P554" s="16"/>
      <c r="Q554" s="18" t="str">
        <f t="shared" si="42"/>
        <v/>
      </c>
      <c r="R554" s="18" t="str">
        <f t="shared" si="43"/>
        <v/>
      </c>
      <c r="S554" s="18" t="str">
        <f t="shared" si="44"/>
        <v/>
      </c>
      <c r="T554" s="18" t="str">
        <f t="shared" si="45"/>
        <v/>
      </c>
      <c r="U554" s="18" t="str">
        <f t="shared" si="46"/>
        <v/>
      </c>
      <c r="V554" s="18" t="str">
        <f t="shared" si="47"/>
        <v/>
      </c>
      <c r="W554" s="14"/>
    </row>
    <row r="555" spans="1:23" x14ac:dyDescent="0.25">
      <c r="A555" s="6">
        <v>127</v>
      </c>
      <c r="B555" s="33" t="s">
        <v>33</v>
      </c>
      <c r="C555" s="44"/>
      <c r="D555" s="62">
        <f>1.25+0.75+1.25</f>
        <v>3.25</v>
      </c>
      <c r="E555" s="62"/>
      <c r="F555" s="41"/>
      <c r="G555" s="36">
        <v>0.25</v>
      </c>
      <c r="H555" s="10">
        <v>25</v>
      </c>
      <c r="I555" s="11">
        <v>1</v>
      </c>
      <c r="J555" s="13">
        <f>ROUND(2.3/G555+1,0)</f>
        <v>10</v>
      </c>
      <c r="K555" s="45">
        <f>D555</f>
        <v>3.25</v>
      </c>
      <c r="L555" s="37" t="str">
        <f>IF(O555&lt;12,"0",0.049*H555)</f>
        <v>0</v>
      </c>
      <c r="M555" s="17">
        <v>0</v>
      </c>
      <c r="N555" s="11">
        <f>M555*2*H555/1000</f>
        <v>0</v>
      </c>
      <c r="O555" s="16">
        <f>(D555)-N555</f>
        <v>3.25</v>
      </c>
      <c r="P555" s="16">
        <f>(I555*J555*O555)+L555</f>
        <v>32.5</v>
      </c>
      <c r="Q555" s="18" t="str">
        <f t="shared" si="42"/>
        <v/>
      </c>
      <c r="R555" s="18" t="str">
        <f t="shared" si="43"/>
        <v/>
      </c>
      <c r="S555" s="18" t="str">
        <f t="shared" si="44"/>
        <v/>
      </c>
      <c r="T555" s="18" t="str">
        <f t="shared" si="45"/>
        <v/>
      </c>
      <c r="U555" s="18" t="str">
        <f t="shared" si="46"/>
        <v/>
      </c>
      <c r="V555" s="18">
        <f t="shared" si="47"/>
        <v>32.5</v>
      </c>
      <c r="W555" s="14"/>
    </row>
    <row r="556" spans="1:23" x14ac:dyDescent="0.25">
      <c r="A556" s="6"/>
      <c r="B556" s="33" t="s">
        <v>90</v>
      </c>
      <c r="C556" s="19"/>
      <c r="D556" s="56"/>
      <c r="E556" s="56"/>
      <c r="F556" s="41"/>
      <c r="G556" s="36"/>
      <c r="H556" s="10"/>
      <c r="I556" s="11"/>
      <c r="J556" s="13"/>
      <c r="K556" s="45"/>
      <c r="L556" s="37"/>
      <c r="M556" s="17"/>
      <c r="N556" s="11"/>
      <c r="O556" s="16"/>
      <c r="P556" s="16"/>
      <c r="Q556" s="18" t="str">
        <f t="shared" si="42"/>
        <v/>
      </c>
      <c r="R556" s="18" t="str">
        <f t="shared" si="43"/>
        <v/>
      </c>
      <c r="S556" s="18" t="str">
        <f t="shared" si="44"/>
        <v/>
      </c>
      <c r="T556" s="18" t="str">
        <f t="shared" si="45"/>
        <v/>
      </c>
      <c r="U556" s="18" t="str">
        <f t="shared" si="46"/>
        <v/>
      </c>
      <c r="V556" s="18" t="str">
        <f t="shared" si="47"/>
        <v/>
      </c>
      <c r="W556" s="14"/>
    </row>
    <row r="557" spans="1:23" x14ac:dyDescent="0.25">
      <c r="A557" s="6"/>
      <c r="B557" s="33"/>
      <c r="C557" s="19"/>
      <c r="D557" s="56"/>
      <c r="E557" s="56"/>
      <c r="F557" s="41"/>
      <c r="G557" s="36"/>
      <c r="H557" s="10"/>
      <c r="I557" s="11"/>
      <c r="J557" s="13"/>
      <c r="K557" s="45"/>
      <c r="L557" s="37"/>
      <c r="M557" s="17"/>
      <c r="N557" s="11"/>
      <c r="O557" s="16"/>
      <c r="P557" s="16"/>
      <c r="Q557" s="18" t="str">
        <f t="shared" ref="Q557:Q659" si="48">IF($H557=8,$P557,"")</f>
        <v/>
      </c>
      <c r="R557" s="18" t="str">
        <f t="shared" ref="R557:R659" si="49">IF($H557=10,$P557,"")</f>
        <v/>
      </c>
      <c r="S557" s="18" t="str">
        <f t="shared" ref="S557:S659" si="50">IF($H557=12,$P557,"")</f>
        <v/>
      </c>
      <c r="T557" s="18" t="str">
        <f t="shared" ref="T557:T659" si="51">IF($H557=16,$P557,"")</f>
        <v/>
      </c>
      <c r="U557" s="18" t="str">
        <f t="shared" ref="U557:U659" si="52">IF($H557=20,$P557,"")</f>
        <v/>
      </c>
      <c r="V557" s="18" t="str">
        <f t="shared" ref="V557:V659" si="53">IF($H557=25,$P557,"")</f>
        <v/>
      </c>
      <c r="W557" s="14"/>
    </row>
    <row r="558" spans="1:23" x14ac:dyDescent="0.25">
      <c r="A558" s="6">
        <v>128</v>
      </c>
      <c r="B558" s="33" t="s">
        <v>34</v>
      </c>
      <c r="C558" s="44"/>
      <c r="D558" s="62">
        <f>1+0.3+1</f>
        <v>2.2999999999999998</v>
      </c>
      <c r="E558" s="62"/>
      <c r="F558" s="41"/>
      <c r="G558" s="36">
        <v>0.25</v>
      </c>
      <c r="H558" s="10">
        <v>20</v>
      </c>
      <c r="I558" s="11">
        <v>1</v>
      </c>
      <c r="J558" s="13">
        <f>ROUND(3.25/G558+1,0)</f>
        <v>14</v>
      </c>
      <c r="K558" s="45">
        <f>D558</f>
        <v>2.2999999999999998</v>
      </c>
      <c r="L558" s="37" t="str">
        <f>IF(O558&lt;12,"0",0.049*H558)</f>
        <v>0</v>
      </c>
      <c r="M558" s="17">
        <v>0</v>
      </c>
      <c r="N558" s="11">
        <f>M558*2*H558/1000</f>
        <v>0</v>
      </c>
      <c r="O558" s="16">
        <f>(D558)-N558</f>
        <v>2.2999999999999998</v>
      </c>
      <c r="P558" s="16">
        <f>(I558*J558*O558)+L558</f>
        <v>32.199999999999996</v>
      </c>
      <c r="Q558" s="18" t="str">
        <f t="shared" si="48"/>
        <v/>
      </c>
      <c r="R558" s="18" t="str">
        <f t="shared" si="49"/>
        <v/>
      </c>
      <c r="S558" s="18" t="str">
        <f t="shared" si="50"/>
        <v/>
      </c>
      <c r="T558" s="18" t="str">
        <f t="shared" si="51"/>
        <v/>
      </c>
      <c r="U558" s="18">
        <f t="shared" si="52"/>
        <v>32.199999999999996</v>
      </c>
      <c r="V558" s="18" t="str">
        <f t="shared" si="53"/>
        <v/>
      </c>
      <c r="W558" s="14"/>
    </row>
    <row r="559" spans="1:23" x14ac:dyDescent="0.25">
      <c r="A559" s="6"/>
      <c r="B559" s="33" t="s">
        <v>90</v>
      </c>
      <c r="C559" s="19"/>
      <c r="D559" s="56"/>
      <c r="E559" s="56"/>
      <c r="F559" s="41"/>
      <c r="G559" s="36"/>
      <c r="H559" s="10"/>
      <c r="I559" s="11"/>
      <c r="J559" s="13"/>
      <c r="K559" s="45"/>
      <c r="L559" s="37"/>
      <c r="M559" s="17"/>
      <c r="N559" s="11"/>
      <c r="O559" s="16"/>
      <c r="P559" s="16"/>
      <c r="Q559" s="18" t="str">
        <f t="shared" si="48"/>
        <v/>
      </c>
      <c r="R559" s="18" t="str">
        <f t="shared" si="49"/>
        <v/>
      </c>
      <c r="S559" s="18" t="str">
        <f t="shared" si="50"/>
        <v/>
      </c>
      <c r="T559" s="18" t="str">
        <f t="shared" si="51"/>
        <v/>
      </c>
      <c r="U559" s="18" t="str">
        <f t="shared" si="52"/>
        <v/>
      </c>
      <c r="V559" s="18" t="str">
        <f t="shared" si="53"/>
        <v/>
      </c>
      <c r="W559" s="14"/>
    </row>
    <row r="560" spans="1:23" x14ac:dyDescent="0.25">
      <c r="A560" s="6"/>
      <c r="B560" s="33"/>
      <c r="C560" s="19"/>
      <c r="D560" s="56"/>
      <c r="E560" s="56"/>
      <c r="F560" s="41"/>
      <c r="G560" s="36"/>
      <c r="H560" s="10"/>
      <c r="I560" s="11"/>
      <c r="J560" s="13"/>
      <c r="K560" s="45"/>
      <c r="L560" s="37"/>
      <c r="M560" s="17"/>
      <c r="N560" s="11"/>
      <c r="O560" s="16"/>
      <c r="P560" s="16"/>
      <c r="Q560" s="18" t="str">
        <f t="shared" si="48"/>
        <v/>
      </c>
      <c r="R560" s="18" t="str">
        <f t="shared" si="49"/>
        <v/>
      </c>
      <c r="S560" s="18" t="str">
        <f t="shared" si="50"/>
        <v/>
      </c>
      <c r="T560" s="18" t="str">
        <f t="shared" si="51"/>
        <v/>
      </c>
      <c r="U560" s="18" t="str">
        <f t="shared" si="52"/>
        <v/>
      </c>
      <c r="V560" s="18" t="str">
        <f t="shared" si="53"/>
        <v/>
      </c>
      <c r="W560" s="14"/>
    </row>
    <row r="561" spans="1:23" x14ac:dyDescent="0.25">
      <c r="A561" s="6">
        <v>129</v>
      </c>
      <c r="B561" s="33" t="s">
        <v>33</v>
      </c>
      <c r="C561" s="44"/>
      <c r="D561" s="62">
        <f>1.25+0.3+1.25</f>
        <v>2.8</v>
      </c>
      <c r="E561" s="62"/>
      <c r="F561" s="41"/>
      <c r="G561" s="36">
        <v>0.25</v>
      </c>
      <c r="H561" s="10">
        <v>25</v>
      </c>
      <c r="I561" s="11">
        <v>1</v>
      </c>
      <c r="J561" s="13">
        <f>ROUND(2.75/G561+1,0)</f>
        <v>12</v>
      </c>
      <c r="K561" s="45">
        <f>D561</f>
        <v>2.8</v>
      </c>
      <c r="L561" s="37" t="str">
        <f>IF(O561&lt;12,"0",0.049*H561)</f>
        <v>0</v>
      </c>
      <c r="M561" s="17">
        <v>0</v>
      </c>
      <c r="N561" s="11">
        <f>M561*2*H561/1000</f>
        <v>0</v>
      </c>
      <c r="O561" s="16">
        <f>(D561)-N561</f>
        <v>2.8</v>
      </c>
      <c r="P561" s="16">
        <f>(I561*J561*O561)+L561</f>
        <v>33.599999999999994</v>
      </c>
      <c r="Q561" s="18" t="str">
        <f t="shared" si="48"/>
        <v/>
      </c>
      <c r="R561" s="18" t="str">
        <f t="shared" si="49"/>
        <v/>
      </c>
      <c r="S561" s="18" t="str">
        <f t="shared" si="50"/>
        <v/>
      </c>
      <c r="T561" s="18" t="str">
        <f t="shared" si="51"/>
        <v/>
      </c>
      <c r="U561" s="18" t="str">
        <f t="shared" si="52"/>
        <v/>
      </c>
      <c r="V561" s="18">
        <f t="shared" si="53"/>
        <v>33.599999999999994</v>
      </c>
      <c r="W561" s="14"/>
    </row>
    <row r="562" spans="1:23" x14ac:dyDescent="0.25">
      <c r="A562" s="6"/>
      <c r="B562" s="33" t="s">
        <v>91</v>
      </c>
      <c r="C562" s="19"/>
      <c r="D562" s="56"/>
      <c r="E562" s="56"/>
      <c r="F562" s="41"/>
      <c r="G562" s="36"/>
      <c r="H562" s="10"/>
      <c r="I562" s="11"/>
      <c r="J562" s="13"/>
      <c r="K562" s="45"/>
      <c r="L562" s="37"/>
      <c r="M562" s="17"/>
      <c r="N562" s="11"/>
      <c r="O562" s="16"/>
      <c r="P562" s="16"/>
      <c r="Q562" s="18" t="str">
        <f t="shared" si="48"/>
        <v/>
      </c>
      <c r="R562" s="18" t="str">
        <f t="shared" si="49"/>
        <v/>
      </c>
      <c r="S562" s="18" t="str">
        <f t="shared" si="50"/>
        <v/>
      </c>
      <c r="T562" s="18" t="str">
        <f t="shared" si="51"/>
        <v/>
      </c>
      <c r="U562" s="18" t="str">
        <f t="shared" si="52"/>
        <v/>
      </c>
      <c r="V562" s="18" t="str">
        <f t="shared" si="53"/>
        <v/>
      </c>
      <c r="W562" s="14"/>
    </row>
    <row r="563" spans="1:23" x14ac:dyDescent="0.25">
      <c r="A563" s="6"/>
      <c r="B563" s="33"/>
      <c r="C563" s="19"/>
      <c r="D563" s="56"/>
      <c r="E563" s="56"/>
      <c r="F563" s="41"/>
      <c r="G563" s="36"/>
      <c r="H563" s="10"/>
      <c r="I563" s="11"/>
      <c r="J563" s="13"/>
      <c r="K563" s="45"/>
      <c r="L563" s="37"/>
      <c r="M563" s="17"/>
      <c r="N563" s="11"/>
      <c r="O563" s="16"/>
      <c r="P563" s="16"/>
      <c r="Q563" s="18" t="str">
        <f t="shared" si="48"/>
        <v/>
      </c>
      <c r="R563" s="18" t="str">
        <f t="shared" si="49"/>
        <v/>
      </c>
      <c r="S563" s="18" t="str">
        <f t="shared" si="50"/>
        <v/>
      </c>
      <c r="T563" s="18" t="str">
        <f t="shared" si="51"/>
        <v/>
      </c>
      <c r="U563" s="18" t="str">
        <f t="shared" si="52"/>
        <v/>
      </c>
      <c r="V563" s="18" t="str">
        <f t="shared" si="53"/>
        <v/>
      </c>
      <c r="W563" s="14"/>
    </row>
    <row r="564" spans="1:23" x14ac:dyDescent="0.25">
      <c r="A564" s="6">
        <v>130</v>
      </c>
      <c r="B564" s="33" t="s">
        <v>34</v>
      </c>
      <c r="C564" s="44"/>
      <c r="D564" s="62">
        <f>1.25+0.3+1.25</f>
        <v>2.8</v>
      </c>
      <c r="E564" s="62"/>
      <c r="F564" s="41"/>
      <c r="G564" s="36">
        <v>0.25</v>
      </c>
      <c r="H564" s="10">
        <v>25</v>
      </c>
      <c r="I564" s="11">
        <v>1</v>
      </c>
      <c r="J564" s="13">
        <f>ROUND(2.75/G564+1,0)</f>
        <v>12</v>
      </c>
      <c r="K564" s="45">
        <f>D564</f>
        <v>2.8</v>
      </c>
      <c r="L564" s="37" t="str">
        <f>IF(O564&lt;12,"0",0.049*H564)</f>
        <v>0</v>
      </c>
      <c r="M564" s="17">
        <v>0</v>
      </c>
      <c r="N564" s="11">
        <f>M564*2*H564/1000</f>
        <v>0</v>
      </c>
      <c r="O564" s="16">
        <f>(D564)-N564</f>
        <v>2.8</v>
      </c>
      <c r="P564" s="16">
        <f>(I564*J564*O564)+L564</f>
        <v>33.599999999999994</v>
      </c>
      <c r="Q564" s="18" t="str">
        <f t="shared" si="48"/>
        <v/>
      </c>
      <c r="R564" s="18" t="str">
        <f t="shared" si="49"/>
        <v/>
      </c>
      <c r="S564" s="18" t="str">
        <f t="shared" si="50"/>
        <v/>
      </c>
      <c r="T564" s="18" t="str">
        <f t="shared" si="51"/>
        <v/>
      </c>
      <c r="U564" s="18" t="str">
        <f t="shared" si="52"/>
        <v/>
      </c>
      <c r="V564" s="18">
        <f t="shared" si="53"/>
        <v>33.599999999999994</v>
      </c>
      <c r="W564" s="14"/>
    </row>
    <row r="565" spans="1:23" x14ac:dyDescent="0.25">
      <c r="A565" s="6"/>
      <c r="B565" s="33" t="s">
        <v>91</v>
      </c>
      <c r="C565" s="19"/>
      <c r="D565" s="56"/>
      <c r="E565" s="56"/>
      <c r="F565" s="41"/>
      <c r="G565" s="36"/>
      <c r="H565" s="10"/>
      <c r="I565" s="11"/>
      <c r="J565" s="13"/>
      <c r="K565" s="45"/>
      <c r="L565" s="37"/>
      <c r="M565" s="17"/>
      <c r="N565" s="11"/>
      <c r="O565" s="16"/>
      <c r="P565" s="16"/>
      <c r="Q565" s="18" t="str">
        <f t="shared" si="48"/>
        <v/>
      </c>
      <c r="R565" s="18" t="str">
        <f t="shared" si="49"/>
        <v/>
      </c>
      <c r="S565" s="18" t="str">
        <f t="shared" si="50"/>
        <v/>
      </c>
      <c r="T565" s="18" t="str">
        <f t="shared" si="51"/>
        <v/>
      </c>
      <c r="U565" s="18" t="str">
        <f t="shared" si="52"/>
        <v/>
      </c>
      <c r="V565" s="18" t="str">
        <f t="shared" si="53"/>
        <v/>
      </c>
      <c r="W565" s="14"/>
    </row>
    <row r="566" spans="1:23" x14ac:dyDescent="0.25">
      <c r="A566" s="6"/>
      <c r="B566" s="33"/>
      <c r="C566" s="19"/>
      <c r="D566" s="56"/>
      <c r="E566" s="56"/>
      <c r="F566" s="41"/>
      <c r="G566" s="36"/>
      <c r="H566" s="10"/>
      <c r="I566" s="11"/>
      <c r="J566" s="13"/>
      <c r="K566" s="45"/>
      <c r="L566" s="37"/>
      <c r="M566" s="17"/>
      <c r="N566" s="11"/>
      <c r="O566" s="16"/>
      <c r="P566" s="16"/>
      <c r="Q566" s="18" t="str">
        <f t="shared" si="48"/>
        <v/>
      </c>
      <c r="R566" s="18" t="str">
        <f t="shared" si="49"/>
        <v/>
      </c>
      <c r="S566" s="18" t="str">
        <f t="shared" si="50"/>
        <v/>
      </c>
      <c r="T566" s="18" t="str">
        <f t="shared" si="51"/>
        <v/>
      </c>
      <c r="U566" s="18" t="str">
        <f t="shared" si="52"/>
        <v/>
      </c>
      <c r="V566" s="18" t="str">
        <f t="shared" si="53"/>
        <v/>
      </c>
      <c r="W566" s="14"/>
    </row>
    <row r="567" spans="1:23" x14ac:dyDescent="0.25">
      <c r="A567" s="6">
        <v>131</v>
      </c>
      <c r="B567" s="33" t="s">
        <v>34</v>
      </c>
      <c r="C567" s="44"/>
      <c r="D567" s="62">
        <f>1.25+0.3+1.25</f>
        <v>2.8</v>
      </c>
      <c r="E567" s="62"/>
      <c r="F567" s="41"/>
      <c r="G567" s="36">
        <v>0.25</v>
      </c>
      <c r="H567" s="10">
        <v>20</v>
      </c>
      <c r="I567" s="11">
        <v>1</v>
      </c>
      <c r="J567" s="13">
        <f>ROUND(2.75/G567+1,0)</f>
        <v>12</v>
      </c>
      <c r="K567" s="45">
        <f>D567</f>
        <v>2.8</v>
      </c>
      <c r="L567" s="37" t="str">
        <f>IF(O567&lt;12,"0",0.049*H567)</f>
        <v>0</v>
      </c>
      <c r="M567" s="17">
        <v>0</v>
      </c>
      <c r="N567" s="11">
        <f>M567*2*H567/1000</f>
        <v>0</v>
      </c>
      <c r="O567" s="16">
        <f>(D567)-N567</f>
        <v>2.8</v>
      </c>
      <c r="P567" s="16">
        <f>(I567*J567*O567)+L567</f>
        <v>33.599999999999994</v>
      </c>
      <c r="Q567" s="18" t="str">
        <f t="shared" si="48"/>
        <v/>
      </c>
      <c r="R567" s="18" t="str">
        <f t="shared" si="49"/>
        <v/>
      </c>
      <c r="S567" s="18" t="str">
        <f>IF($H567=12,$P567,"")</f>
        <v/>
      </c>
      <c r="T567" s="18" t="str">
        <f t="shared" si="51"/>
        <v/>
      </c>
      <c r="U567" s="18">
        <f t="shared" si="52"/>
        <v>33.599999999999994</v>
      </c>
      <c r="V567" s="18" t="str">
        <f t="shared" si="53"/>
        <v/>
      </c>
      <c r="W567" s="14"/>
    </row>
    <row r="568" spans="1:23" x14ac:dyDescent="0.25">
      <c r="A568" s="6"/>
      <c r="B568" s="33" t="s">
        <v>91</v>
      </c>
      <c r="C568" s="19"/>
      <c r="D568" s="56"/>
      <c r="E568" s="56"/>
      <c r="F568" s="41"/>
      <c r="G568" s="36"/>
      <c r="H568" s="10"/>
      <c r="I568" s="11"/>
      <c r="J568" s="13"/>
      <c r="K568" s="45"/>
      <c r="L568" s="37"/>
      <c r="M568" s="17"/>
      <c r="N568" s="11"/>
      <c r="O568" s="16"/>
      <c r="P568" s="16"/>
      <c r="Q568" s="18" t="str">
        <f t="shared" si="48"/>
        <v/>
      </c>
      <c r="R568" s="18" t="str">
        <f t="shared" si="49"/>
        <v/>
      </c>
      <c r="S568" s="18" t="str">
        <f t="shared" si="50"/>
        <v/>
      </c>
      <c r="T568" s="18" t="str">
        <f t="shared" si="51"/>
        <v/>
      </c>
      <c r="U568" s="18" t="str">
        <f t="shared" si="52"/>
        <v/>
      </c>
      <c r="V568" s="18" t="str">
        <f t="shared" si="53"/>
        <v/>
      </c>
      <c r="W568" s="14"/>
    </row>
    <row r="569" spans="1:23" x14ac:dyDescent="0.25">
      <c r="A569" s="6"/>
      <c r="B569" s="33"/>
      <c r="C569" s="19"/>
      <c r="D569" s="56"/>
      <c r="E569" s="56"/>
      <c r="F569" s="41"/>
      <c r="G569" s="36"/>
      <c r="H569" s="10"/>
      <c r="I569" s="11"/>
      <c r="J569" s="13"/>
      <c r="K569" s="45"/>
      <c r="L569" s="37"/>
      <c r="M569" s="17"/>
      <c r="N569" s="11"/>
      <c r="O569" s="16"/>
      <c r="P569" s="16"/>
      <c r="Q569" s="18" t="str">
        <f t="shared" si="48"/>
        <v/>
      </c>
      <c r="R569" s="18" t="str">
        <f t="shared" si="49"/>
        <v/>
      </c>
      <c r="S569" s="18" t="str">
        <f t="shared" si="50"/>
        <v/>
      </c>
      <c r="T569" s="18" t="str">
        <f t="shared" si="51"/>
        <v/>
      </c>
      <c r="U569" s="18" t="str">
        <f t="shared" si="52"/>
        <v/>
      </c>
      <c r="V569" s="18" t="str">
        <f t="shared" si="53"/>
        <v/>
      </c>
      <c r="W569" s="14"/>
    </row>
    <row r="570" spans="1:23" x14ac:dyDescent="0.25">
      <c r="A570" s="6">
        <v>132</v>
      </c>
      <c r="B570" s="33" t="s">
        <v>33</v>
      </c>
      <c r="C570" s="44"/>
      <c r="D570" s="62">
        <f>1.25+0.75+1.25</f>
        <v>3.25</v>
      </c>
      <c r="E570" s="62"/>
      <c r="F570" s="41"/>
      <c r="G570" s="36">
        <v>0.25</v>
      </c>
      <c r="H570" s="10">
        <v>25</v>
      </c>
      <c r="I570" s="11">
        <v>1</v>
      </c>
      <c r="J570" s="13">
        <f>ROUND(2.3/G570+1,0)</f>
        <v>10</v>
      </c>
      <c r="K570" s="45">
        <f>D570</f>
        <v>3.25</v>
      </c>
      <c r="L570" s="37" t="str">
        <f>IF(O570&lt;12,"0",0.049*H570)</f>
        <v>0</v>
      </c>
      <c r="M570" s="17">
        <v>0</v>
      </c>
      <c r="N570" s="11">
        <f>M570*2*H570/1000</f>
        <v>0</v>
      </c>
      <c r="O570" s="16">
        <f>(D570)-N570</f>
        <v>3.25</v>
      </c>
      <c r="P570" s="16">
        <f>(I570*J570*O570)+L570</f>
        <v>32.5</v>
      </c>
      <c r="Q570" s="18" t="str">
        <f t="shared" si="48"/>
        <v/>
      </c>
      <c r="R570" s="18" t="str">
        <f t="shared" si="49"/>
        <v/>
      </c>
      <c r="S570" s="18" t="str">
        <f t="shared" si="50"/>
        <v/>
      </c>
      <c r="T570" s="18" t="str">
        <f t="shared" si="51"/>
        <v/>
      </c>
      <c r="U570" s="18" t="str">
        <f t="shared" si="52"/>
        <v/>
      </c>
      <c r="V570" s="18">
        <f t="shared" si="53"/>
        <v>32.5</v>
      </c>
      <c r="W570" s="14"/>
    </row>
    <row r="571" spans="1:23" x14ac:dyDescent="0.25">
      <c r="A571" s="6"/>
      <c r="B571" s="33" t="s">
        <v>92</v>
      </c>
      <c r="C571" s="19"/>
      <c r="D571" s="56"/>
      <c r="E571" s="56"/>
      <c r="F571" s="41"/>
      <c r="G571" s="36"/>
      <c r="H571" s="10"/>
      <c r="I571" s="11"/>
      <c r="J571" s="13"/>
      <c r="K571" s="45"/>
      <c r="L571" s="37"/>
      <c r="M571" s="17"/>
      <c r="N571" s="11"/>
      <c r="O571" s="16"/>
      <c r="P571" s="16"/>
      <c r="Q571" s="18" t="str">
        <f t="shared" si="48"/>
        <v/>
      </c>
      <c r="R571" s="18" t="str">
        <f t="shared" si="49"/>
        <v/>
      </c>
      <c r="S571" s="18" t="str">
        <f t="shared" si="50"/>
        <v/>
      </c>
      <c r="T571" s="18" t="str">
        <f t="shared" si="51"/>
        <v/>
      </c>
      <c r="U571" s="18" t="str">
        <f t="shared" si="52"/>
        <v/>
      </c>
      <c r="V571" s="18" t="str">
        <f t="shared" si="53"/>
        <v/>
      </c>
      <c r="W571" s="14"/>
    </row>
    <row r="572" spans="1:23" x14ac:dyDescent="0.25">
      <c r="A572" s="6"/>
      <c r="B572" s="33"/>
      <c r="C572" s="19"/>
      <c r="D572" s="56"/>
      <c r="E572" s="56"/>
      <c r="F572" s="41"/>
      <c r="G572" s="36"/>
      <c r="H572" s="10"/>
      <c r="I572" s="11"/>
      <c r="J572" s="13"/>
      <c r="K572" s="45"/>
      <c r="L572" s="37"/>
      <c r="M572" s="17"/>
      <c r="N572" s="11"/>
      <c r="O572" s="16"/>
      <c r="P572" s="16"/>
      <c r="Q572" s="18" t="str">
        <f t="shared" si="48"/>
        <v/>
      </c>
      <c r="R572" s="18" t="str">
        <f t="shared" si="49"/>
        <v/>
      </c>
      <c r="S572" s="18" t="str">
        <f t="shared" si="50"/>
        <v/>
      </c>
      <c r="T572" s="18" t="str">
        <f t="shared" si="51"/>
        <v/>
      </c>
      <c r="U572" s="18" t="str">
        <f t="shared" si="52"/>
        <v/>
      </c>
      <c r="V572" s="18" t="str">
        <f t="shared" si="53"/>
        <v/>
      </c>
      <c r="W572" s="14"/>
    </row>
    <row r="573" spans="1:23" x14ac:dyDescent="0.25">
      <c r="A573" s="6">
        <v>133</v>
      </c>
      <c r="B573" s="33" t="s">
        <v>34</v>
      </c>
      <c r="C573" s="44"/>
      <c r="D573" s="62">
        <f>1+0.3+1</f>
        <v>2.2999999999999998</v>
      </c>
      <c r="E573" s="62"/>
      <c r="F573" s="41"/>
      <c r="G573" s="36">
        <v>0.25</v>
      </c>
      <c r="H573" s="10">
        <v>20</v>
      </c>
      <c r="I573" s="11">
        <v>1</v>
      </c>
      <c r="J573" s="13">
        <f>ROUND(3.25/G573+1,0)</f>
        <v>14</v>
      </c>
      <c r="K573" s="45">
        <f>D573</f>
        <v>2.2999999999999998</v>
      </c>
      <c r="L573" s="37" t="str">
        <f>IF(O573&lt;12,"0",0.049*H573)</f>
        <v>0</v>
      </c>
      <c r="M573" s="17">
        <v>0</v>
      </c>
      <c r="N573" s="11">
        <f>M573*2*H573/1000</f>
        <v>0</v>
      </c>
      <c r="O573" s="16">
        <f>(D573)-N573</f>
        <v>2.2999999999999998</v>
      </c>
      <c r="P573" s="16">
        <f>(I573*J573*O573)+L573</f>
        <v>32.199999999999996</v>
      </c>
      <c r="Q573" s="18" t="str">
        <f t="shared" si="48"/>
        <v/>
      </c>
      <c r="R573" s="18" t="str">
        <f t="shared" si="49"/>
        <v/>
      </c>
      <c r="S573" s="18" t="str">
        <f t="shared" si="50"/>
        <v/>
      </c>
      <c r="T573" s="18" t="str">
        <f t="shared" si="51"/>
        <v/>
      </c>
      <c r="U573" s="18">
        <f t="shared" si="52"/>
        <v>32.199999999999996</v>
      </c>
      <c r="V573" s="18" t="str">
        <f t="shared" si="53"/>
        <v/>
      </c>
      <c r="W573" s="14"/>
    </row>
    <row r="574" spans="1:23" x14ac:dyDescent="0.25">
      <c r="A574" s="6"/>
      <c r="B574" s="33" t="s">
        <v>92</v>
      </c>
      <c r="C574" s="19"/>
      <c r="D574" s="56"/>
      <c r="E574" s="56"/>
      <c r="F574" s="41"/>
      <c r="G574" s="36"/>
      <c r="H574" s="10"/>
      <c r="I574" s="11"/>
      <c r="J574" s="13"/>
      <c r="K574" s="45"/>
      <c r="L574" s="37"/>
      <c r="M574" s="17"/>
      <c r="N574" s="11"/>
      <c r="O574" s="16"/>
      <c r="P574" s="16"/>
      <c r="Q574" s="18" t="str">
        <f t="shared" si="48"/>
        <v/>
      </c>
      <c r="R574" s="18" t="str">
        <f t="shared" si="49"/>
        <v/>
      </c>
      <c r="S574" s="18" t="str">
        <f t="shared" si="50"/>
        <v/>
      </c>
      <c r="T574" s="18" t="str">
        <f t="shared" si="51"/>
        <v/>
      </c>
      <c r="U574" s="18" t="str">
        <f t="shared" si="52"/>
        <v/>
      </c>
      <c r="V574" s="18" t="str">
        <f t="shared" si="53"/>
        <v/>
      </c>
      <c r="W574" s="14"/>
    </row>
    <row r="575" spans="1:23" x14ac:dyDescent="0.25">
      <c r="A575" s="6"/>
      <c r="B575" s="33"/>
      <c r="C575" s="19"/>
      <c r="D575" s="61"/>
      <c r="E575" s="61"/>
      <c r="F575" s="41"/>
      <c r="G575" s="36"/>
      <c r="H575" s="10"/>
      <c r="I575" s="11"/>
      <c r="J575" s="13"/>
      <c r="K575" s="45"/>
      <c r="L575" s="37"/>
      <c r="M575" s="17"/>
      <c r="N575" s="11"/>
      <c r="O575" s="16"/>
      <c r="P575" s="16"/>
      <c r="Q575" s="18" t="str">
        <f t="shared" si="48"/>
        <v/>
      </c>
      <c r="R575" s="18" t="str">
        <f t="shared" si="49"/>
        <v/>
      </c>
      <c r="S575" s="18" t="str">
        <f t="shared" si="50"/>
        <v/>
      </c>
      <c r="T575" s="18" t="str">
        <f t="shared" si="51"/>
        <v/>
      </c>
      <c r="U575" s="18" t="str">
        <f t="shared" si="52"/>
        <v/>
      </c>
      <c r="V575" s="18" t="str">
        <f t="shared" si="53"/>
        <v/>
      </c>
      <c r="W575" s="14"/>
    </row>
    <row r="576" spans="1:23" x14ac:dyDescent="0.25">
      <c r="A576" s="6">
        <v>132</v>
      </c>
      <c r="B576" s="33" t="s">
        <v>33</v>
      </c>
      <c r="C576" s="44"/>
      <c r="D576" s="62">
        <f>5.145</f>
        <v>5.1449999999999996</v>
      </c>
      <c r="E576" s="62"/>
      <c r="F576" s="41"/>
      <c r="G576" s="36">
        <v>0.25</v>
      </c>
      <c r="H576" s="10">
        <v>20</v>
      </c>
      <c r="I576" s="11">
        <v>1</v>
      </c>
      <c r="J576" s="13">
        <f>ROUND(6.165/G576+1,0)</f>
        <v>26</v>
      </c>
      <c r="K576" s="45">
        <f>D576</f>
        <v>5.1449999999999996</v>
      </c>
      <c r="L576" s="37" t="str">
        <f>IF(O576&lt;12,"0",0.049*H576)</f>
        <v>0</v>
      </c>
      <c r="M576" s="17">
        <v>0</v>
      </c>
      <c r="N576" s="11">
        <f>M576*2*H576/1000</f>
        <v>0</v>
      </c>
      <c r="O576" s="16">
        <f>(D576)-N576</f>
        <v>5.1449999999999996</v>
      </c>
      <c r="P576" s="16">
        <f>(I576*J576*O576)+L576</f>
        <v>133.76999999999998</v>
      </c>
      <c r="Q576" s="18" t="str">
        <f t="shared" si="48"/>
        <v/>
      </c>
      <c r="R576" s="18" t="str">
        <f t="shared" si="49"/>
        <v/>
      </c>
      <c r="S576" s="18" t="str">
        <f t="shared" si="50"/>
        <v/>
      </c>
      <c r="T576" s="18" t="str">
        <f t="shared" si="51"/>
        <v/>
      </c>
      <c r="U576" s="18">
        <f t="shared" si="52"/>
        <v>133.76999999999998</v>
      </c>
      <c r="V576" s="18" t="str">
        <f t="shared" si="53"/>
        <v/>
      </c>
      <c r="W576" s="14"/>
    </row>
    <row r="577" spans="1:23" x14ac:dyDescent="0.25">
      <c r="A577" s="6"/>
      <c r="B577" s="74" t="s">
        <v>236</v>
      </c>
      <c r="C577" s="19"/>
      <c r="D577" s="61"/>
      <c r="E577" s="61"/>
      <c r="F577" s="41"/>
      <c r="G577" s="36"/>
      <c r="H577" s="10"/>
      <c r="I577" s="11"/>
      <c r="J577" s="13"/>
      <c r="K577" s="45"/>
      <c r="L577" s="37"/>
      <c r="M577" s="17"/>
      <c r="N577" s="11"/>
      <c r="O577" s="16"/>
      <c r="P577" s="16"/>
      <c r="Q577" s="18" t="str">
        <f t="shared" si="48"/>
        <v/>
      </c>
      <c r="R577" s="18" t="str">
        <f t="shared" si="49"/>
        <v/>
      </c>
      <c r="S577" s="18" t="str">
        <f t="shared" si="50"/>
        <v/>
      </c>
      <c r="T577" s="18" t="str">
        <f t="shared" si="51"/>
        <v/>
      </c>
      <c r="U577" s="18" t="str">
        <f t="shared" si="52"/>
        <v/>
      </c>
      <c r="V577" s="18" t="str">
        <f t="shared" si="53"/>
        <v/>
      </c>
      <c r="W577" s="14"/>
    </row>
    <row r="578" spans="1:23" x14ac:dyDescent="0.25">
      <c r="A578" s="6"/>
      <c r="B578" s="33"/>
      <c r="C578" s="19"/>
      <c r="D578" s="61"/>
      <c r="E578" s="61"/>
      <c r="F578" s="41"/>
      <c r="G578" s="36"/>
      <c r="H578" s="10"/>
      <c r="I578" s="11"/>
      <c r="J578" s="13"/>
      <c r="K578" s="45"/>
      <c r="L578" s="37"/>
      <c r="M578" s="17"/>
      <c r="N578" s="11"/>
      <c r="O578" s="16"/>
      <c r="P578" s="16"/>
      <c r="Q578" s="18" t="str">
        <f t="shared" si="48"/>
        <v/>
      </c>
      <c r="R578" s="18" t="str">
        <f t="shared" si="49"/>
        <v/>
      </c>
      <c r="S578" s="18" t="str">
        <f t="shared" si="50"/>
        <v/>
      </c>
      <c r="T578" s="18" t="str">
        <f t="shared" si="51"/>
        <v/>
      </c>
      <c r="U578" s="18" t="str">
        <f t="shared" si="52"/>
        <v/>
      </c>
      <c r="V578" s="18" t="str">
        <f t="shared" si="53"/>
        <v/>
      </c>
      <c r="W578" s="14"/>
    </row>
    <row r="579" spans="1:23" x14ac:dyDescent="0.25">
      <c r="A579" s="6">
        <v>133</v>
      </c>
      <c r="B579" s="33" t="s">
        <v>34</v>
      </c>
      <c r="C579" s="44"/>
      <c r="D579" s="62">
        <v>6.165</v>
      </c>
      <c r="E579" s="62"/>
      <c r="F579" s="41"/>
      <c r="G579" s="36">
        <v>0.25</v>
      </c>
      <c r="H579" s="10">
        <v>20</v>
      </c>
      <c r="I579" s="11">
        <v>1</v>
      </c>
      <c r="J579" s="13">
        <f>ROUND(5.145/G579+1,0)</f>
        <v>22</v>
      </c>
      <c r="K579" s="45">
        <f>D579</f>
        <v>6.165</v>
      </c>
      <c r="L579" s="37" t="str">
        <f>IF(O579&lt;12,"0",0.049*H579)</f>
        <v>0</v>
      </c>
      <c r="M579" s="17">
        <v>0</v>
      </c>
      <c r="N579" s="11">
        <f>M579*2*H579/1000</f>
        <v>0</v>
      </c>
      <c r="O579" s="16">
        <f>(D579)-N579</f>
        <v>6.165</v>
      </c>
      <c r="P579" s="16">
        <f>(I579*J579*O579)+L579</f>
        <v>135.63</v>
      </c>
      <c r="Q579" s="18" t="str">
        <f t="shared" si="48"/>
        <v/>
      </c>
      <c r="R579" s="18" t="str">
        <f t="shared" si="49"/>
        <v/>
      </c>
      <c r="S579" s="18" t="str">
        <f t="shared" si="50"/>
        <v/>
      </c>
      <c r="T579" s="18" t="str">
        <f t="shared" si="51"/>
        <v/>
      </c>
      <c r="U579" s="18">
        <f t="shared" si="52"/>
        <v>135.63</v>
      </c>
      <c r="V579" s="18" t="str">
        <f t="shared" si="53"/>
        <v/>
      </c>
      <c r="W579" s="14"/>
    </row>
    <row r="580" spans="1:23" x14ac:dyDescent="0.25">
      <c r="A580" s="6"/>
      <c r="B580" s="74" t="s">
        <v>236</v>
      </c>
      <c r="C580" s="19"/>
      <c r="D580" s="61"/>
      <c r="E580" s="61"/>
      <c r="F580" s="41"/>
      <c r="G580" s="36"/>
      <c r="H580" s="10"/>
      <c r="I580" s="11"/>
      <c r="J580" s="13"/>
      <c r="K580" s="45"/>
      <c r="L580" s="37"/>
      <c r="M580" s="17"/>
      <c r="N580" s="11"/>
      <c r="O580" s="16"/>
      <c r="P580" s="16"/>
      <c r="Q580" s="18" t="str">
        <f t="shared" si="48"/>
        <v/>
      </c>
      <c r="R580" s="18" t="str">
        <f t="shared" si="49"/>
        <v/>
      </c>
      <c r="S580" s="18" t="str">
        <f t="shared" si="50"/>
        <v/>
      </c>
      <c r="T580" s="18" t="str">
        <f t="shared" si="51"/>
        <v/>
      </c>
      <c r="U580" s="18" t="str">
        <f t="shared" si="52"/>
        <v/>
      </c>
      <c r="V580" s="18" t="str">
        <f t="shared" si="53"/>
        <v/>
      </c>
      <c r="W580" s="14"/>
    </row>
    <row r="581" spans="1:23" x14ac:dyDescent="0.25">
      <c r="A581" s="6"/>
      <c r="B581" s="33"/>
      <c r="C581" s="19"/>
      <c r="D581" s="61"/>
      <c r="E581" s="61"/>
      <c r="F581" s="41"/>
      <c r="G581" s="36"/>
      <c r="H581" s="10"/>
      <c r="I581" s="11"/>
      <c r="J581" s="13"/>
      <c r="K581" s="45"/>
      <c r="L581" s="37"/>
      <c r="M581" s="17"/>
      <c r="N581" s="11"/>
      <c r="O581" s="16"/>
      <c r="P581" s="16"/>
      <c r="Q581" s="18" t="str">
        <f t="shared" si="48"/>
        <v/>
      </c>
      <c r="R581" s="18" t="str">
        <f t="shared" si="49"/>
        <v/>
      </c>
      <c r="S581" s="18" t="str">
        <f t="shared" si="50"/>
        <v/>
      </c>
      <c r="T581" s="18" t="str">
        <f t="shared" si="51"/>
        <v/>
      </c>
      <c r="U581" s="18" t="str">
        <f t="shared" si="52"/>
        <v/>
      </c>
      <c r="V581" s="18" t="str">
        <f t="shared" si="53"/>
        <v/>
      </c>
      <c r="W581" s="14"/>
    </row>
    <row r="582" spans="1:23" ht="15" customHeight="1" x14ac:dyDescent="0.25">
      <c r="A582" s="6">
        <v>134</v>
      </c>
      <c r="B582" s="33" t="s">
        <v>233</v>
      </c>
      <c r="C582" s="44"/>
      <c r="D582" s="62">
        <v>2.75</v>
      </c>
      <c r="E582" s="62"/>
      <c r="F582" s="41"/>
      <c r="G582" s="36"/>
      <c r="H582" s="10">
        <v>20</v>
      </c>
      <c r="I582" s="11">
        <v>1</v>
      </c>
      <c r="J582" s="13">
        <v>3</v>
      </c>
      <c r="K582" s="45">
        <f>D582</f>
        <v>2.75</v>
      </c>
      <c r="L582" s="37" t="str">
        <f>IF(O582&lt;12,"0",0.049*H582)</f>
        <v>0</v>
      </c>
      <c r="M582" s="17">
        <v>0</v>
      </c>
      <c r="N582" s="11">
        <f>M582*2*H582/1000</f>
        <v>0</v>
      </c>
      <c r="O582" s="16">
        <f>(D582)-N582</f>
        <v>2.75</v>
      </c>
      <c r="P582" s="16">
        <f>(I582*J582*O582)+L582</f>
        <v>8.25</v>
      </c>
      <c r="Q582" s="18" t="str">
        <f t="shared" si="48"/>
        <v/>
      </c>
      <c r="R582" s="18" t="str">
        <f t="shared" si="49"/>
        <v/>
      </c>
      <c r="S582" s="18" t="str">
        <f t="shared" si="50"/>
        <v/>
      </c>
      <c r="T582" s="18" t="str">
        <f t="shared" si="51"/>
        <v/>
      </c>
      <c r="U582" s="18">
        <f t="shared" si="52"/>
        <v>8.25</v>
      </c>
      <c r="V582" s="18" t="str">
        <f t="shared" si="53"/>
        <v/>
      </c>
      <c r="W582" s="14"/>
    </row>
    <row r="583" spans="1:23" x14ac:dyDescent="0.25">
      <c r="A583" s="6"/>
      <c r="B583" s="33" t="s">
        <v>199</v>
      </c>
      <c r="C583" s="19"/>
      <c r="D583" s="61"/>
      <c r="E583" s="61"/>
      <c r="F583" s="41"/>
      <c r="G583" s="36"/>
      <c r="H583" s="10"/>
      <c r="I583" s="11"/>
      <c r="J583" s="13"/>
      <c r="K583" s="45"/>
      <c r="L583" s="37"/>
      <c r="M583" s="17"/>
      <c r="N583" s="11"/>
      <c r="O583" s="16"/>
      <c r="P583" s="16"/>
      <c r="Q583" s="18" t="str">
        <f t="shared" si="48"/>
        <v/>
      </c>
      <c r="R583" s="18" t="str">
        <f t="shared" si="49"/>
        <v/>
      </c>
      <c r="S583" s="18" t="str">
        <f t="shared" si="50"/>
        <v/>
      </c>
      <c r="T583" s="18" t="str">
        <f t="shared" si="51"/>
        <v/>
      </c>
      <c r="U583" s="18" t="str">
        <f t="shared" si="52"/>
        <v/>
      </c>
      <c r="V583" s="18" t="str">
        <f t="shared" si="53"/>
        <v/>
      </c>
      <c r="W583" s="14"/>
    </row>
    <row r="584" spans="1:23" x14ac:dyDescent="0.25">
      <c r="A584" s="6"/>
      <c r="B584" s="33"/>
      <c r="C584" s="19"/>
      <c r="D584" s="61"/>
      <c r="E584" s="61"/>
      <c r="F584" s="41"/>
      <c r="G584" s="36"/>
      <c r="H584" s="10"/>
      <c r="I584" s="11"/>
      <c r="J584" s="13"/>
      <c r="K584" s="45"/>
      <c r="L584" s="37"/>
      <c r="M584" s="17"/>
      <c r="N584" s="11"/>
      <c r="O584" s="16"/>
      <c r="P584" s="16"/>
      <c r="Q584" s="18" t="str">
        <f t="shared" si="48"/>
        <v/>
      </c>
      <c r="R584" s="18" t="str">
        <f t="shared" si="49"/>
        <v/>
      </c>
      <c r="S584" s="18" t="str">
        <f t="shared" si="50"/>
        <v/>
      </c>
      <c r="T584" s="18" t="str">
        <f t="shared" si="51"/>
        <v/>
      </c>
      <c r="U584" s="18" t="str">
        <f t="shared" si="52"/>
        <v/>
      </c>
      <c r="V584" s="18" t="str">
        <f t="shared" si="53"/>
        <v/>
      </c>
      <c r="W584" s="14"/>
    </row>
    <row r="585" spans="1:23" ht="15" customHeight="1" x14ac:dyDescent="0.25">
      <c r="A585" s="6">
        <v>135</v>
      </c>
      <c r="B585" s="33" t="s">
        <v>233</v>
      </c>
      <c r="C585" s="44"/>
      <c r="D585" s="62">
        <v>2.75</v>
      </c>
      <c r="E585" s="62"/>
      <c r="F585" s="41"/>
      <c r="G585" s="36"/>
      <c r="H585" s="10">
        <v>20</v>
      </c>
      <c r="I585" s="11">
        <v>1</v>
      </c>
      <c r="J585" s="13">
        <v>3</v>
      </c>
      <c r="K585" s="45">
        <f>D585</f>
        <v>2.75</v>
      </c>
      <c r="L585" s="37" t="str">
        <f>IF(O585&lt;12,"0",0.049*H585)</f>
        <v>0</v>
      </c>
      <c r="M585" s="17">
        <v>0</v>
      </c>
      <c r="N585" s="11">
        <f>M585*2*H585/1000</f>
        <v>0</v>
      </c>
      <c r="O585" s="16">
        <f>(D585)-N585</f>
        <v>2.75</v>
      </c>
      <c r="P585" s="16">
        <f>(I585*J585*O585)+L585</f>
        <v>8.25</v>
      </c>
      <c r="Q585" s="18" t="str">
        <f t="shared" si="48"/>
        <v/>
      </c>
      <c r="R585" s="18" t="str">
        <f t="shared" si="49"/>
        <v/>
      </c>
      <c r="S585" s="18" t="str">
        <f t="shared" si="50"/>
        <v/>
      </c>
      <c r="T585" s="18" t="str">
        <f t="shared" si="51"/>
        <v/>
      </c>
      <c r="U585" s="18">
        <f t="shared" si="52"/>
        <v>8.25</v>
      </c>
      <c r="V585" s="18" t="str">
        <f t="shared" si="53"/>
        <v/>
      </c>
      <c r="W585" s="14"/>
    </row>
    <row r="586" spans="1:23" x14ac:dyDescent="0.25">
      <c r="A586" s="6"/>
      <c r="B586" s="33" t="s">
        <v>232</v>
      </c>
      <c r="C586" s="19"/>
      <c r="D586" s="61"/>
      <c r="E586" s="61"/>
      <c r="F586" s="41"/>
      <c r="G586" s="36"/>
      <c r="H586" s="10"/>
      <c r="I586" s="11"/>
      <c r="J586" s="13"/>
      <c r="K586" s="45"/>
      <c r="L586" s="37"/>
      <c r="M586" s="17"/>
      <c r="N586" s="11"/>
      <c r="O586" s="16"/>
      <c r="P586" s="16"/>
      <c r="Q586" s="18" t="str">
        <f t="shared" si="48"/>
        <v/>
      </c>
      <c r="R586" s="18" t="str">
        <f t="shared" si="49"/>
        <v/>
      </c>
      <c r="S586" s="18" t="str">
        <f t="shared" si="50"/>
        <v/>
      </c>
      <c r="T586" s="18" t="str">
        <f t="shared" si="51"/>
        <v/>
      </c>
      <c r="U586" s="18" t="str">
        <f t="shared" si="52"/>
        <v/>
      </c>
      <c r="V586" s="18" t="str">
        <f t="shared" si="53"/>
        <v/>
      </c>
      <c r="W586" s="14"/>
    </row>
    <row r="587" spans="1:23" x14ac:dyDescent="0.25">
      <c r="A587" s="6"/>
      <c r="B587" s="33"/>
      <c r="C587" s="19"/>
      <c r="D587" s="61"/>
      <c r="E587" s="61"/>
      <c r="F587" s="41"/>
      <c r="G587" s="36"/>
      <c r="H587" s="10"/>
      <c r="I587" s="11"/>
      <c r="J587" s="13"/>
      <c r="K587" s="45"/>
      <c r="L587" s="37"/>
      <c r="M587" s="17"/>
      <c r="N587" s="11"/>
      <c r="O587" s="16"/>
      <c r="P587" s="16"/>
      <c r="Q587" s="18" t="str">
        <f t="shared" si="48"/>
        <v/>
      </c>
      <c r="R587" s="18" t="str">
        <f t="shared" si="49"/>
        <v/>
      </c>
      <c r="S587" s="18" t="str">
        <f t="shared" si="50"/>
        <v/>
      </c>
      <c r="T587" s="18" t="str">
        <f t="shared" si="51"/>
        <v/>
      </c>
      <c r="U587" s="18" t="str">
        <f t="shared" si="52"/>
        <v/>
      </c>
      <c r="V587" s="18" t="str">
        <f t="shared" si="53"/>
        <v/>
      </c>
      <c r="W587" s="14"/>
    </row>
    <row r="588" spans="1:23" ht="15" customHeight="1" x14ac:dyDescent="0.25">
      <c r="A588" s="6">
        <v>136</v>
      </c>
      <c r="B588" s="33" t="s">
        <v>233</v>
      </c>
      <c r="C588" s="44"/>
      <c r="D588" s="62">
        <v>2.75</v>
      </c>
      <c r="E588" s="62"/>
      <c r="F588" s="41"/>
      <c r="G588" s="36"/>
      <c r="H588" s="10">
        <v>20</v>
      </c>
      <c r="I588" s="11">
        <v>1</v>
      </c>
      <c r="J588" s="13">
        <v>3</v>
      </c>
      <c r="K588" s="45">
        <f>D588</f>
        <v>2.75</v>
      </c>
      <c r="L588" s="37" t="str">
        <f>IF(O588&lt;12,"0",0.049*H588)</f>
        <v>0</v>
      </c>
      <c r="M588" s="17">
        <v>0</v>
      </c>
      <c r="N588" s="11">
        <f>M588*2*H588/1000</f>
        <v>0</v>
      </c>
      <c r="O588" s="16">
        <f>(D588)-N588</f>
        <v>2.75</v>
      </c>
      <c r="P588" s="16">
        <f>(I588*J588*O588)+L588</f>
        <v>8.25</v>
      </c>
      <c r="Q588" s="18" t="str">
        <f t="shared" si="48"/>
        <v/>
      </c>
      <c r="R588" s="18" t="str">
        <f t="shared" si="49"/>
        <v/>
      </c>
      <c r="S588" s="18" t="str">
        <f t="shared" si="50"/>
        <v/>
      </c>
      <c r="T588" s="18" t="str">
        <f t="shared" si="51"/>
        <v/>
      </c>
      <c r="U588" s="18">
        <f t="shared" si="52"/>
        <v>8.25</v>
      </c>
      <c r="V588" s="18" t="str">
        <f t="shared" si="53"/>
        <v/>
      </c>
      <c r="W588" s="14"/>
    </row>
    <row r="589" spans="1:23" x14ac:dyDescent="0.25">
      <c r="A589" s="6"/>
      <c r="B589" s="33" t="s">
        <v>196</v>
      </c>
      <c r="C589" s="19"/>
      <c r="D589" s="61"/>
      <c r="E589" s="61"/>
      <c r="F589" s="41"/>
      <c r="G589" s="36"/>
      <c r="H589" s="10"/>
      <c r="I589" s="11"/>
      <c r="J589" s="13"/>
      <c r="K589" s="45"/>
      <c r="L589" s="37"/>
      <c r="M589" s="17"/>
      <c r="N589" s="11"/>
      <c r="O589" s="16"/>
      <c r="P589" s="16"/>
      <c r="Q589" s="18" t="str">
        <f t="shared" si="48"/>
        <v/>
      </c>
      <c r="R589" s="18" t="str">
        <f t="shared" si="49"/>
        <v/>
      </c>
      <c r="S589" s="18" t="str">
        <f t="shared" si="50"/>
        <v/>
      </c>
      <c r="T589" s="18" t="str">
        <f t="shared" si="51"/>
        <v/>
      </c>
      <c r="U589" s="18" t="str">
        <f t="shared" si="52"/>
        <v/>
      </c>
      <c r="V589" s="18" t="str">
        <f t="shared" si="53"/>
        <v/>
      </c>
      <c r="W589" s="14"/>
    </row>
    <row r="590" spans="1:23" x14ac:dyDescent="0.25">
      <c r="A590" s="6"/>
      <c r="B590" s="33"/>
      <c r="C590" s="19"/>
      <c r="D590" s="61"/>
      <c r="E590" s="61"/>
      <c r="F590" s="41"/>
      <c r="G590" s="36"/>
      <c r="H590" s="10"/>
      <c r="I590" s="11"/>
      <c r="J590" s="13"/>
      <c r="K590" s="45"/>
      <c r="L590" s="37"/>
      <c r="M590" s="17"/>
      <c r="N590" s="11"/>
      <c r="O590" s="16"/>
      <c r="P590" s="16"/>
      <c r="Q590" s="18" t="str">
        <f t="shared" si="48"/>
        <v/>
      </c>
      <c r="R590" s="18" t="str">
        <f t="shared" si="49"/>
        <v/>
      </c>
      <c r="S590" s="18" t="str">
        <f t="shared" si="50"/>
        <v/>
      </c>
      <c r="T590" s="18" t="str">
        <f t="shared" si="51"/>
        <v/>
      </c>
      <c r="U590" s="18" t="str">
        <f t="shared" si="52"/>
        <v/>
      </c>
      <c r="V590" s="18" t="str">
        <f t="shared" si="53"/>
        <v/>
      </c>
      <c r="W590" s="14"/>
    </row>
    <row r="591" spans="1:23" ht="15" customHeight="1" x14ac:dyDescent="0.25">
      <c r="A591" s="6">
        <v>137</v>
      </c>
      <c r="B591" s="33" t="s">
        <v>233</v>
      </c>
      <c r="C591" s="44"/>
      <c r="D591" s="62">
        <v>2.8</v>
      </c>
      <c r="E591" s="62"/>
      <c r="F591" s="41"/>
      <c r="G591" s="36"/>
      <c r="H591" s="10">
        <v>20</v>
      </c>
      <c r="I591" s="11">
        <v>1</v>
      </c>
      <c r="J591" s="13">
        <v>3</v>
      </c>
      <c r="K591" s="45">
        <f>D591</f>
        <v>2.8</v>
      </c>
      <c r="L591" s="37" t="str">
        <f>IF(O591&lt;12,"0",0.049*H591)</f>
        <v>0</v>
      </c>
      <c r="M591" s="17">
        <v>0</v>
      </c>
      <c r="N591" s="11">
        <f>M591*2*H591/1000</f>
        <v>0</v>
      </c>
      <c r="O591" s="16">
        <f>(D591)-N591</f>
        <v>2.8</v>
      </c>
      <c r="P591" s="16">
        <f>(I591*J591*O591)+L591</f>
        <v>8.3999999999999986</v>
      </c>
      <c r="Q591" s="18" t="str">
        <f t="shared" si="48"/>
        <v/>
      </c>
      <c r="R591" s="18" t="str">
        <f t="shared" si="49"/>
        <v/>
      </c>
      <c r="S591" s="18" t="str">
        <f t="shared" si="50"/>
        <v/>
      </c>
      <c r="T591" s="18" t="str">
        <f t="shared" si="51"/>
        <v/>
      </c>
      <c r="U591" s="18">
        <f t="shared" si="52"/>
        <v>8.3999999999999986</v>
      </c>
      <c r="V591" s="18" t="str">
        <f t="shared" si="53"/>
        <v/>
      </c>
      <c r="W591" s="14"/>
    </row>
    <row r="592" spans="1:23" x14ac:dyDescent="0.25">
      <c r="A592" s="6"/>
      <c r="B592" s="33" t="s">
        <v>196</v>
      </c>
      <c r="C592" s="19"/>
      <c r="D592" s="61"/>
      <c r="E592" s="61"/>
      <c r="F592" s="41"/>
      <c r="G592" s="36"/>
      <c r="H592" s="10"/>
      <c r="I592" s="11"/>
      <c r="J592" s="13"/>
      <c r="K592" s="45"/>
      <c r="L592" s="37"/>
      <c r="M592" s="17"/>
      <c r="N592" s="11"/>
      <c r="O592" s="16"/>
      <c r="P592" s="16"/>
      <c r="Q592" s="18" t="str">
        <f t="shared" si="48"/>
        <v/>
      </c>
      <c r="R592" s="18" t="str">
        <f t="shared" si="49"/>
        <v/>
      </c>
      <c r="S592" s="18" t="str">
        <f t="shared" si="50"/>
        <v/>
      </c>
      <c r="T592" s="18" t="str">
        <f t="shared" si="51"/>
        <v/>
      </c>
      <c r="U592" s="18" t="str">
        <f t="shared" si="52"/>
        <v/>
      </c>
      <c r="V592" s="18" t="str">
        <f t="shared" si="53"/>
        <v/>
      </c>
      <c r="W592" s="14"/>
    </row>
    <row r="593" spans="1:23" x14ac:dyDescent="0.25">
      <c r="A593" s="6"/>
      <c r="B593" s="33"/>
      <c r="C593" s="19"/>
      <c r="D593" s="61"/>
      <c r="E593" s="61"/>
      <c r="F593" s="41"/>
      <c r="G593" s="36"/>
      <c r="H593" s="10"/>
      <c r="I593" s="11"/>
      <c r="J593" s="13"/>
      <c r="K593" s="45"/>
      <c r="L593" s="37"/>
      <c r="M593" s="17"/>
      <c r="N593" s="11"/>
      <c r="O593" s="16"/>
      <c r="P593" s="16"/>
      <c r="Q593" s="18" t="str">
        <f t="shared" si="48"/>
        <v/>
      </c>
      <c r="R593" s="18" t="str">
        <f t="shared" si="49"/>
        <v/>
      </c>
      <c r="S593" s="18" t="str">
        <f t="shared" si="50"/>
        <v/>
      </c>
      <c r="T593" s="18" t="str">
        <f t="shared" si="51"/>
        <v/>
      </c>
      <c r="U593" s="18" t="str">
        <f t="shared" si="52"/>
        <v/>
      </c>
      <c r="V593" s="18" t="str">
        <f t="shared" si="53"/>
        <v/>
      </c>
      <c r="W593" s="14"/>
    </row>
    <row r="594" spans="1:23" ht="15" customHeight="1" x14ac:dyDescent="0.25">
      <c r="A594" s="6">
        <v>138</v>
      </c>
      <c r="B594" s="33" t="s">
        <v>233</v>
      </c>
      <c r="C594" s="44"/>
      <c r="D594" s="62">
        <v>2.75</v>
      </c>
      <c r="E594" s="62"/>
      <c r="F594" s="41"/>
      <c r="G594" s="36"/>
      <c r="H594" s="10">
        <v>20</v>
      </c>
      <c r="I594" s="11">
        <v>1</v>
      </c>
      <c r="J594" s="13">
        <v>3</v>
      </c>
      <c r="K594" s="45">
        <f>D594</f>
        <v>2.75</v>
      </c>
      <c r="L594" s="37" t="str">
        <f>IF(O594&lt;12,"0",0.049*H594)</f>
        <v>0</v>
      </c>
      <c r="M594" s="17">
        <v>0</v>
      </c>
      <c r="N594" s="11">
        <f>M594*2*H594/1000</f>
        <v>0</v>
      </c>
      <c r="O594" s="16">
        <f>(D594)-N594</f>
        <v>2.75</v>
      </c>
      <c r="P594" s="16">
        <f>(I594*J594*O594)+L594</f>
        <v>8.25</v>
      </c>
      <c r="Q594" s="18" t="str">
        <f t="shared" si="48"/>
        <v/>
      </c>
      <c r="R594" s="18" t="str">
        <f t="shared" si="49"/>
        <v/>
      </c>
      <c r="S594" s="18" t="str">
        <f t="shared" si="50"/>
        <v/>
      </c>
      <c r="T594" s="18" t="str">
        <f t="shared" si="51"/>
        <v/>
      </c>
      <c r="U594" s="18">
        <f t="shared" si="52"/>
        <v>8.25</v>
      </c>
      <c r="V594" s="18" t="str">
        <f t="shared" si="53"/>
        <v/>
      </c>
      <c r="W594" s="14"/>
    </row>
    <row r="595" spans="1:23" x14ac:dyDescent="0.25">
      <c r="A595" s="6"/>
      <c r="B595" s="33" t="s">
        <v>216</v>
      </c>
      <c r="C595" s="19"/>
      <c r="D595" s="61"/>
      <c r="E595" s="61"/>
      <c r="F595" s="41"/>
      <c r="G595" s="36"/>
      <c r="H595" s="10"/>
      <c r="I595" s="11"/>
      <c r="J595" s="13"/>
      <c r="K595" s="45"/>
      <c r="L595" s="37"/>
      <c r="M595" s="17"/>
      <c r="N595" s="11"/>
      <c r="O595" s="16"/>
      <c r="P595" s="16"/>
      <c r="Q595" s="18" t="str">
        <f t="shared" si="48"/>
        <v/>
      </c>
      <c r="R595" s="18" t="str">
        <f t="shared" si="49"/>
        <v/>
      </c>
      <c r="S595" s="18" t="str">
        <f t="shared" si="50"/>
        <v/>
      </c>
      <c r="T595" s="18" t="str">
        <f t="shared" si="51"/>
        <v/>
      </c>
      <c r="U595" s="18" t="str">
        <f t="shared" si="52"/>
        <v/>
      </c>
      <c r="V595" s="18" t="str">
        <f t="shared" si="53"/>
        <v/>
      </c>
      <c r="W595" s="14"/>
    </row>
    <row r="596" spans="1:23" x14ac:dyDescent="0.25">
      <c r="A596" s="6"/>
      <c r="B596" s="33"/>
      <c r="C596" s="19"/>
      <c r="D596" s="61"/>
      <c r="E596" s="61"/>
      <c r="F596" s="41"/>
      <c r="G596" s="36"/>
      <c r="H596" s="10"/>
      <c r="I596" s="11"/>
      <c r="J596" s="13"/>
      <c r="K596" s="45"/>
      <c r="L596" s="37"/>
      <c r="M596" s="17"/>
      <c r="N596" s="11"/>
      <c r="O596" s="16"/>
      <c r="P596" s="16"/>
      <c r="Q596" s="18" t="str">
        <f t="shared" si="48"/>
        <v/>
      </c>
      <c r="R596" s="18" t="str">
        <f t="shared" si="49"/>
        <v/>
      </c>
      <c r="S596" s="18" t="str">
        <f t="shared" si="50"/>
        <v/>
      </c>
      <c r="T596" s="18" t="str">
        <f t="shared" si="51"/>
        <v/>
      </c>
      <c r="U596" s="18" t="str">
        <f t="shared" si="52"/>
        <v/>
      </c>
      <c r="V596" s="18" t="str">
        <f t="shared" si="53"/>
        <v/>
      </c>
      <c r="W596" s="14"/>
    </row>
    <row r="597" spans="1:23" ht="15" customHeight="1" x14ac:dyDescent="0.25">
      <c r="A597" s="6">
        <v>139</v>
      </c>
      <c r="B597" s="33" t="s">
        <v>233</v>
      </c>
      <c r="C597" s="44"/>
      <c r="D597" s="62">
        <v>2.75</v>
      </c>
      <c r="E597" s="62"/>
      <c r="F597" s="41"/>
      <c r="G597" s="36"/>
      <c r="H597" s="10">
        <v>20</v>
      </c>
      <c r="I597" s="11">
        <v>1</v>
      </c>
      <c r="J597" s="13">
        <v>3</v>
      </c>
      <c r="K597" s="45">
        <f>D597</f>
        <v>2.75</v>
      </c>
      <c r="L597" s="37" t="str">
        <f>IF(O597&lt;12,"0",0.049*H597)</f>
        <v>0</v>
      </c>
      <c r="M597" s="17">
        <v>0</v>
      </c>
      <c r="N597" s="11">
        <f>M597*2*H597/1000</f>
        <v>0</v>
      </c>
      <c r="O597" s="16">
        <f>(D597)-N597</f>
        <v>2.75</v>
      </c>
      <c r="P597" s="16">
        <f>(I597*J597*O597)+L597</f>
        <v>8.25</v>
      </c>
      <c r="Q597" s="18" t="str">
        <f t="shared" si="48"/>
        <v/>
      </c>
      <c r="R597" s="18" t="str">
        <f t="shared" si="49"/>
        <v/>
      </c>
      <c r="S597" s="18" t="str">
        <f t="shared" si="50"/>
        <v/>
      </c>
      <c r="T597" s="18" t="str">
        <f t="shared" si="51"/>
        <v/>
      </c>
      <c r="U597" s="18">
        <f t="shared" si="52"/>
        <v>8.25</v>
      </c>
      <c r="V597" s="18" t="str">
        <f t="shared" si="53"/>
        <v/>
      </c>
      <c r="W597" s="14"/>
    </row>
    <row r="598" spans="1:23" x14ac:dyDescent="0.25">
      <c r="A598" s="6"/>
      <c r="B598" s="33" t="s">
        <v>218</v>
      </c>
      <c r="C598" s="19"/>
      <c r="D598" s="61"/>
      <c r="E598" s="61"/>
      <c r="F598" s="41"/>
      <c r="G598" s="36"/>
      <c r="H598" s="10"/>
      <c r="I598" s="11"/>
      <c r="J598" s="13"/>
      <c r="K598" s="45"/>
      <c r="L598" s="37"/>
      <c r="M598" s="17"/>
      <c r="N598" s="11"/>
      <c r="O598" s="16"/>
      <c r="P598" s="16"/>
      <c r="Q598" s="18" t="str">
        <f t="shared" si="48"/>
        <v/>
      </c>
      <c r="R598" s="18" t="str">
        <f t="shared" si="49"/>
        <v/>
      </c>
      <c r="S598" s="18" t="str">
        <f t="shared" si="50"/>
        <v/>
      </c>
      <c r="T598" s="18" t="str">
        <f t="shared" si="51"/>
        <v/>
      </c>
      <c r="U598" s="18" t="str">
        <f t="shared" si="52"/>
        <v/>
      </c>
      <c r="V598" s="18" t="str">
        <f t="shared" si="53"/>
        <v/>
      </c>
      <c r="W598" s="14"/>
    </row>
    <row r="599" spans="1:23" x14ac:dyDescent="0.25">
      <c r="A599" s="6"/>
      <c r="B599" s="33"/>
      <c r="C599" s="19"/>
      <c r="D599" s="61"/>
      <c r="E599" s="61"/>
      <c r="F599" s="41"/>
      <c r="G599" s="36"/>
      <c r="H599" s="10"/>
      <c r="I599" s="11"/>
      <c r="J599" s="13"/>
      <c r="K599" s="45"/>
      <c r="L599" s="37"/>
      <c r="M599" s="17"/>
      <c r="N599" s="11"/>
      <c r="O599" s="16"/>
      <c r="P599" s="16"/>
      <c r="Q599" s="18" t="str">
        <f t="shared" si="48"/>
        <v/>
      </c>
      <c r="R599" s="18" t="str">
        <f t="shared" si="49"/>
        <v/>
      </c>
      <c r="S599" s="18" t="str">
        <f t="shared" si="50"/>
        <v/>
      </c>
      <c r="T599" s="18" t="str">
        <f t="shared" si="51"/>
        <v/>
      </c>
      <c r="U599" s="18" t="str">
        <f t="shared" si="52"/>
        <v/>
      </c>
      <c r="V599" s="18" t="str">
        <f t="shared" si="53"/>
        <v/>
      </c>
      <c r="W599" s="14"/>
    </row>
    <row r="600" spans="1:23" ht="15" customHeight="1" x14ac:dyDescent="0.25">
      <c r="A600" s="6">
        <v>140</v>
      </c>
      <c r="B600" s="33" t="s">
        <v>233</v>
      </c>
      <c r="C600" s="44"/>
      <c r="D600" s="62">
        <v>3.25</v>
      </c>
      <c r="E600" s="62"/>
      <c r="F600" s="41"/>
      <c r="G600" s="36"/>
      <c r="H600" s="10">
        <v>20</v>
      </c>
      <c r="I600" s="11">
        <v>1</v>
      </c>
      <c r="J600" s="13">
        <v>3</v>
      </c>
      <c r="K600" s="45">
        <f>D600</f>
        <v>3.25</v>
      </c>
      <c r="L600" s="37" t="str">
        <f>IF(O600&lt;12,"0",0.049*H600)</f>
        <v>0</v>
      </c>
      <c r="M600" s="17">
        <v>0</v>
      </c>
      <c r="N600" s="11">
        <f>M600*2*H600/1000</f>
        <v>0</v>
      </c>
      <c r="O600" s="16">
        <f>(D600)-N600</f>
        <v>3.25</v>
      </c>
      <c r="P600" s="16">
        <f>(I600*J600*O600)+L600</f>
        <v>9.75</v>
      </c>
      <c r="Q600" s="18" t="str">
        <f t="shared" si="48"/>
        <v/>
      </c>
      <c r="R600" s="18" t="str">
        <f t="shared" si="49"/>
        <v/>
      </c>
      <c r="S600" s="18" t="str">
        <f t="shared" si="50"/>
        <v/>
      </c>
      <c r="T600" s="18" t="str">
        <f t="shared" si="51"/>
        <v/>
      </c>
      <c r="U600" s="18">
        <f t="shared" si="52"/>
        <v>9.75</v>
      </c>
      <c r="V600" s="18" t="str">
        <f t="shared" si="53"/>
        <v/>
      </c>
      <c r="W600" s="14"/>
    </row>
    <row r="601" spans="1:23" x14ac:dyDescent="0.25">
      <c r="A601" s="6"/>
      <c r="B601" s="33" t="s">
        <v>234</v>
      </c>
      <c r="C601" s="19"/>
      <c r="D601" s="61"/>
      <c r="E601" s="61"/>
      <c r="F601" s="41"/>
      <c r="G601" s="36"/>
      <c r="H601" s="10"/>
      <c r="I601" s="11"/>
      <c r="J601" s="13"/>
      <c r="K601" s="45"/>
      <c r="L601" s="37"/>
      <c r="M601" s="17"/>
      <c r="N601" s="11"/>
      <c r="O601" s="16"/>
      <c r="P601" s="16"/>
      <c r="Q601" s="18" t="str">
        <f t="shared" si="48"/>
        <v/>
      </c>
      <c r="R601" s="18" t="str">
        <f t="shared" si="49"/>
        <v/>
      </c>
      <c r="S601" s="18" t="str">
        <f t="shared" si="50"/>
        <v/>
      </c>
      <c r="T601" s="18" t="str">
        <f t="shared" si="51"/>
        <v/>
      </c>
      <c r="U601" s="18" t="str">
        <f t="shared" si="52"/>
        <v/>
      </c>
      <c r="V601" s="18" t="str">
        <f t="shared" si="53"/>
        <v/>
      </c>
      <c r="W601" s="14"/>
    </row>
    <row r="602" spans="1:23" x14ac:dyDescent="0.25">
      <c r="A602" s="6"/>
      <c r="B602" s="33"/>
      <c r="C602" s="19"/>
      <c r="D602" s="61"/>
      <c r="E602" s="61"/>
      <c r="F602" s="41"/>
      <c r="G602" s="36"/>
      <c r="H602" s="10"/>
      <c r="I602" s="11"/>
      <c r="J602" s="13"/>
      <c r="K602" s="45"/>
      <c r="L602" s="37"/>
      <c r="M602" s="17"/>
      <c r="N602" s="11"/>
      <c r="O602" s="16"/>
      <c r="P602" s="16"/>
      <c r="Q602" s="18" t="str">
        <f t="shared" si="48"/>
        <v/>
      </c>
      <c r="R602" s="18" t="str">
        <f t="shared" si="49"/>
        <v/>
      </c>
      <c r="S602" s="18" t="str">
        <f t="shared" si="50"/>
        <v/>
      </c>
      <c r="T602" s="18" t="str">
        <f t="shared" si="51"/>
        <v/>
      </c>
      <c r="U602" s="18" t="str">
        <f t="shared" si="52"/>
        <v/>
      </c>
      <c r="V602" s="18" t="str">
        <f t="shared" si="53"/>
        <v/>
      </c>
      <c r="W602" s="14"/>
    </row>
    <row r="603" spans="1:23" ht="15" customHeight="1" x14ac:dyDescent="0.25">
      <c r="A603" s="6">
        <v>141</v>
      </c>
      <c r="B603" s="33" t="s">
        <v>233</v>
      </c>
      <c r="C603" s="44"/>
      <c r="D603" s="62">
        <v>2.75</v>
      </c>
      <c r="E603" s="62"/>
      <c r="F603" s="41"/>
      <c r="G603" s="36"/>
      <c r="H603" s="10">
        <v>20</v>
      </c>
      <c r="I603" s="11">
        <v>1</v>
      </c>
      <c r="J603" s="13">
        <v>3</v>
      </c>
      <c r="K603" s="45">
        <f>D603</f>
        <v>2.75</v>
      </c>
      <c r="L603" s="37" t="str">
        <f>IF(O603&lt;12,"0",0.049*H603)</f>
        <v>0</v>
      </c>
      <c r="M603" s="17">
        <v>0</v>
      </c>
      <c r="N603" s="11">
        <f>M603*2*H603/1000</f>
        <v>0</v>
      </c>
      <c r="O603" s="16">
        <f>(D603)-N603</f>
        <v>2.75</v>
      </c>
      <c r="P603" s="16">
        <f>(I603*J603*O603)+L603</f>
        <v>8.25</v>
      </c>
      <c r="Q603" s="18" t="str">
        <f t="shared" si="48"/>
        <v/>
      </c>
      <c r="R603" s="18" t="str">
        <f t="shared" si="49"/>
        <v/>
      </c>
      <c r="S603" s="18" t="str">
        <f t="shared" si="50"/>
        <v/>
      </c>
      <c r="T603" s="18" t="str">
        <f t="shared" si="51"/>
        <v/>
      </c>
      <c r="U603" s="18">
        <f t="shared" si="52"/>
        <v>8.25</v>
      </c>
      <c r="V603" s="18" t="str">
        <f t="shared" si="53"/>
        <v/>
      </c>
      <c r="W603" s="14"/>
    </row>
    <row r="604" spans="1:23" x14ac:dyDescent="0.25">
      <c r="A604" s="6"/>
      <c r="B604" s="33" t="s">
        <v>235</v>
      </c>
      <c r="C604" s="19"/>
      <c r="D604" s="61"/>
      <c r="E604" s="61"/>
      <c r="F604" s="41"/>
      <c r="G604" s="36"/>
      <c r="H604" s="10"/>
      <c r="I604" s="11"/>
      <c r="J604" s="13"/>
      <c r="K604" s="45"/>
      <c r="L604" s="37"/>
      <c r="M604" s="17"/>
      <c r="N604" s="11"/>
      <c r="O604" s="16"/>
      <c r="P604" s="16"/>
      <c r="Q604" s="18" t="str">
        <f t="shared" si="48"/>
        <v/>
      </c>
      <c r="R604" s="18" t="str">
        <f t="shared" si="49"/>
        <v/>
      </c>
      <c r="S604" s="18" t="str">
        <f t="shared" si="50"/>
        <v/>
      </c>
      <c r="T604" s="18" t="str">
        <f t="shared" si="51"/>
        <v/>
      </c>
      <c r="U604" s="18" t="str">
        <f t="shared" si="52"/>
        <v/>
      </c>
      <c r="V604" s="18" t="str">
        <f t="shared" si="53"/>
        <v/>
      </c>
      <c r="W604" s="14"/>
    </row>
    <row r="605" spans="1:23" x14ac:dyDescent="0.25">
      <c r="A605" s="6"/>
      <c r="B605" s="33"/>
      <c r="C605" s="19"/>
      <c r="D605" s="61"/>
      <c r="E605" s="61"/>
      <c r="F605" s="41"/>
      <c r="G605" s="36"/>
      <c r="H605" s="10"/>
      <c r="I605" s="11"/>
      <c r="J605" s="13"/>
      <c r="K605" s="45"/>
      <c r="L605" s="37"/>
      <c r="M605" s="17"/>
      <c r="N605" s="11"/>
      <c r="O605" s="16"/>
      <c r="P605" s="16"/>
      <c r="Q605" s="18" t="str">
        <f t="shared" si="48"/>
        <v/>
      </c>
      <c r="R605" s="18" t="str">
        <f t="shared" si="49"/>
        <v/>
      </c>
      <c r="S605" s="18" t="str">
        <f t="shared" si="50"/>
        <v/>
      </c>
      <c r="T605" s="18" t="str">
        <f t="shared" si="51"/>
        <v/>
      </c>
      <c r="U605" s="18" t="str">
        <f t="shared" si="52"/>
        <v/>
      </c>
      <c r="V605" s="18" t="str">
        <f t="shared" si="53"/>
        <v/>
      </c>
      <c r="W605" s="14"/>
    </row>
    <row r="606" spans="1:23" ht="15" customHeight="1" x14ac:dyDescent="0.25">
      <c r="A606" s="6">
        <v>142</v>
      </c>
      <c r="B606" s="33" t="s">
        <v>233</v>
      </c>
      <c r="C606" s="44"/>
      <c r="D606" s="62">
        <v>2.75</v>
      </c>
      <c r="E606" s="62"/>
      <c r="F606" s="41"/>
      <c r="G606" s="36"/>
      <c r="H606" s="10">
        <v>20</v>
      </c>
      <c r="I606" s="11">
        <v>1</v>
      </c>
      <c r="J606" s="13">
        <v>3</v>
      </c>
      <c r="K606" s="45">
        <f>D606</f>
        <v>2.75</v>
      </c>
      <c r="L606" s="37" t="str">
        <f>IF(O606&lt;12,"0",0.049*H606)</f>
        <v>0</v>
      </c>
      <c r="M606" s="17">
        <v>0</v>
      </c>
      <c r="N606" s="11">
        <f>M606*2*H606/1000</f>
        <v>0</v>
      </c>
      <c r="O606" s="16">
        <f>(D606)-N606</f>
        <v>2.75</v>
      </c>
      <c r="P606" s="16">
        <f>(I606*J606*O606)+L606</f>
        <v>8.25</v>
      </c>
      <c r="Q606" s="18" t="str">
        <f t="shared" si="48"/>
        <v/>
      </c>
      <c r="R606" s="18" t="str">
        <f t="shared" si="49"/>
        <v/>
      </c>
      <c r="S606" s="18" t="str">
        <f t="shared" si="50"/>
        <v/>
      </c>
      <c r="T606" s="18" t="str">
        <f t="shared" si="51"/>
        <v/>
      </c>
      <c r="U606" s="18">
        <f t="shared" si="52"/>
        <v>8.25</v>
      </c>
      <c r="V606" s="18" t="str">
        <f t="shared" si="53"/>
        <v/>
      </c>
      <c r="W606" s="14"/>
    </row>
    <row r="607" spans="1:23" x14ac:dyDescent="0.25">
      <c r="A607" s="6"/>
      <c r="B607" s="33" t="s">
        <v>228</v>
      </c>
      <c r="C607" s="19"/>
      <c r="D607" s="61"/>
      <c r="E607" s="61"/>
      <c r="F607" s="41"/>
      <c r="G607" s="36"/>
      <c r="H607" s="10"/>
      <c r="I607" s="11"/>
      <c r="J607" s="13"/>
      <c r="K607" s="45"/>
      <c r="L607" s="37"/>
      <c r="M607" s="17"/>
      <c r="N607" s="11"/>
      <c r="O607" s="16"/>
      <c r="P607" s="16"/>
      <c r="Q607" s="18" t="str">
        <f t="shared" si="48"/>
        <v/>
      </c>
      <c r="R607" s="18" t="str">
        <f t="shared" si="49"/>
        <v/>
      </c>
      <c r="S607" s="18" t="str">
        <f t="shared" si="50"/>
        <v/>
      </c>
      <c r="T607" s="18" t="str">
        <f t="shared" si="51"/>
        <v/>
      </c>
      <c r="U607" s="18" t="str">
        <f t="shared" si="52"/>
        <v/>
      </c>
      <c r="V607" s="18" t="str">
        <f t="shared" si="53"/>
        <v/>
      </c>
      <c r="W607" s="14"/>
    </row>
    <row r="608" spans="1:23" x14ac:dyDescent="0.25">
      <c r="A608" s="6"/>
      <c r="B608" s="33"/>
      <c r="C608" s="19"/>
      <c r="D608" s="61"/>
      <c r="E608" s="61"/>
      <c r="F608" s="41"/>
      <c r="G608" s="36"/>
      <c r="H608" s="10"/>
      <c r="I608" s="11"/>
      <c r="J608" s="13"/>
      <c r="K608" s="45"/>
      <c r="L608" s="37"/>
      <c r="M608" s="17"/>
      <c r="N608" s="11"/>
      <c r="O608" s="16"/>
      <c r="P608" s="16"/>
      <c r="Q608" s="18" t="str">
        <f t="shared" si="48"/>
        <v/>
      </c>
      <c r="R608" s="18" t="str">
        <f t="shared" si="49"/>
        <v/>
      </c>
      <c r="S608" s="18" t="str">
        <f t="shared" si="50"/>
        <v/>
      </c>
      <c r="T608" s="18" t="str">
        <f t="shared" si="51"/>
        <v/>
      </c>
      <c r="U608" s="18" t="str">
        <f t="shared" si="52"/>
        <v/>
      </c>
      <c r="V608" s="18" t="str">
        <f t="shared" si="53"/>
        <v/>
      </c>
      <c r="W608" s="14"/>
    </row>
    <row r="609" spans="1:23" ht="15" customHeight="1" x14ac:dyDescent="0.25">
      <c r="A609" s="6">
        <v>143</v>
      </c>
      <c r="B609" s="33" t="s">
        <v>233</v>
      </c>
      <c r="C609" s="44"/>
      <c r="D609" s="62">
        <v>2.8</v>
      </c>
      <c r="E609" s="62"/>
      <c r="F609" s="41"/>
      <c r="G609" s="36"/>
      <c r="H609" s="10">
        <v>20</v>
      </c>
      <c r="I609" s="11">
        <v>1</v>
      </c>
      <c r="J609" s="13">
        <v>3</v>
      </c>
      <c r="K609" s="45">
        <f>D609</f>
        <v>2.8</v>
      </c>
      <c r="L609" s="37" t="str">
        <f>IF(O609&lt;12,"0",0.049*H609)</f>
        <v>0</v>
      </c>
      <c r="M609" s="17">
        <v>0</v>
      </c>
      <c r="N609" s="11">
        <f>M609*2*H609/1000</f>
        <v>0</v>
      </c>
      <c r="O609" s="16">
        <f>(D609)-N609</f>
        <v>2.8</v>
      </c>
      <c r="P609" s="16">
        <f>(I609*J609*O609)+L609</f>
        <v>8.3999999999999986</v>
      </c>
      <c r="Q609" s="18" t="str">
        <f t="shared" si="48"/>
        <v/>
      </c>
      <c r="R609" s="18" t="str">
        <f t="shared" si="49"/>
        <v/>
      </c>
      <c r="S609" s="18" t="str">
        <f t="shared" si="50"/>
        <v/>
      </c>
      <c r="T609" s="18" t="str">
        <f t="shared" si="51"/>
        <v/>
      </c>
      <c r="U609" s="18">
        <f t="shared" si="52"/>
        <v>8.3999999999999986</v>
      </c>
      <c r="V609" s="18" t="str">
        <f t="shared" si="53"/>
        <v/>
      </c>
      <c r="W609" s="14"/>
    </row>
    <row r="610" spans="1:23" x14ac:dyDescent="0.25">
      <c r="A610" s="6"/>
      <c r="B610" s="33" t="s">
        <v>228</v>
      </c>
      <c r="C610" s="19"/>
      <c r="D610" s="61"/>
      <c r="E610" s="61"/>
      <c r="F610" s="41"/>
      <c r="G610" s="36"/>
      <c r="H610" s="10"/>
      <c r="I610" s="11"/>
      <c r="J610" s="13"/>
      <c r="K610" s="45"/>
      <c r="L610" s="37"/>
      <c r="M610" s="17"/>
      <c r="N610" s="11"/>
      <c r="O610" s="16"/>
      <c r="P610" s="16"/>
      <c r="Q610" s="18" t="str">
        <f t="shared" si="48"/>
        <v/>
      </c>
      <c r="R610" s="18" t="str">
        <f t="shared" si="49"/>
        <v/>
      </c>
      <c r="S610" s="18" t="str">
        <f t="shared" si="50"/>
        <v/>
      </c>
      <c r="T610" s="18" t="str">
        <f t="shared" si="51"/>
        <v/>
      </c>
      <c r="U610" s="18" t="str">
        <f t="shared" si="52"/>
        <v/>
      </c>
      <c r="V610" s="18" t="str">
        <f t="shared" si="53"/>
        <v/>
      </c>
      <c r="W610" s="14"/>
    </row>
    <row r="611" spans="1:23" x14ac:dyDescent="0.25">
      <c r="A611" s="6"/>
      <c r="B611" s="33"/>
      <c r="C611" s="19"/>
      <c r="D611" s="61"/>
      <c r="E611" s="61"/>
      <c r="F611" s="41"/>
      <c r="G611" s="36"/>
      <c r="H611" s="10"/>
      <c r="I611" s="11"/>
      <c r="J611" s="13"/>
      <c r="K611" s="45"/>
      <c r="L611" s="37"/>
      <c r="M611" s="17"/>
      <c r="N611" s="11"/>
      <c r="O611" s="16"/>
      <c r="P611" s="16"/>
      <c r="Q611" s="18" t="str">
        <f t="shared" si="48"/>
        <v/>
      </c>
      <c r="R611" s="18" t="str">
        <f t="shared" si="49"/>
        <v/>
      </c>
      <c r="S611" s="18" t="str">
        <f t="shared" si="50"/>
        <v/>
      </c>
      <c r="T611" s="18" t="str">
        <f t="shared" si="51"/>
        <v/>
      </c>
      <c r="U611" s="18" t="str">
        <f t="shared" si="52"/>
        <v/>
      </c>
      <c r="V611" s="18" t="str">
        <f t="shared" si="53"/>
        <v/>
      </c>
      <c r="W611" s="14"/>
    </row>
    <row r="612" spans="1:23" ht="15" customHeight="1" x14ac:dyDescent="0.25">
      <c r="A612" s="6">
        <v>146</v>
      </c>
      <c r="B612" s="33" t="s">
        <v>233</v>
      </c>
      <c r="C612" s="44"/>
      <c r="D612" s="62">
        <v>6.165</v>
      </c>
      <c r="E612" s="62"/>
      <c r="F612" s="41"/>
      <c r="G612" s="36"/>
      <c r="H612" s="10">
        <v>20</v>
      </c>
      <c r="I612" s="11">
        <v>1</v>
      </c>
      <c r="J612" s="13">
        <v>4</v>
      </c>
      <c r="K612" s="45">
        <f>D612</f>
        <v>6.165</v>
      </c>
      <c r="L612" s="37" t="str">
        <f>IF(O612&lt;12,"0",0.049*H612)</f>
        <v>0</v>
      </c>
      <c r="M612" s="17">
        <v>0</v>
      </c>
      <c r="N612" s="11">
        <f>M612*2*H612/1000</f>
        <v>0</v>
      </c>
      <c r="O612" s="16">
        <f>(D612)-N612</f>
        <v>6.165</v>
      </c>
      <c r="P612" s="16">
        <f>(I612*J612*O612)+L612</f>
        <v>24.66</v>
      </c>
      <c r="Q612" s="18" t="str">
        <f t="shared" si="48"/>
        <v/>
      </c>
      <c r="R612" s="18" t="str">
        <f t="shared" si="49"/>
        <v/>
      </c>
      <c r="S612" s="18" t="str">
        <f t="shared" si="50"/>
        <v/>
      </c>
      <c r="T612" s="18" t="str">
        <f t="shared" si="51"/>
        <v/>
      </c>
      <c r="U612" s="18">
        <f t="shared" si="52"/>
        <v>24.66</v>
      </c>
      <c r="V612" s="18" t="str">
        <f t="shared" si="53"/>
        <v/>
      </c>
      <c r="W612" s="14"/>
    </row>
    <row r="613" spans="1:23" x14ac:dyDescent="0.25">
      <c r="A613" s="6"/>
      <c r="B613" s="74" t="s">
        <v>236</v>
      </c>
      <c r="C613" s="19"/>
      <c r="D613" s="61"/>
      <c r="E613" s="61"/>
      <c r="F613" s="41"/>
      <c r="G613" s="36"/>
      <c r="H613" s="10"/>
      <c r="I613" s="11"/>
      <c r="J613" s="13"/>
      <c r="K613" s="45"/>
      <c r="L613" s="37"/>
      <c r="M613" s="17"/>
      <c r="N613" s="11"/>
      <c r="O613" s="16"/>
      <c r="P613" s="16"/>
      <c r="Q613" s="18" t="str">
        <f t="shared" si="48"/>
        <v/>
      </c>
      <c r="R613" s="18" t="str">
        <f t="shared" si="49"/>
        <v/>
      </c>
      <c r="S613" s="18" t="str">
        <f t="shared" si="50"/>
        <v/>
      </c>
      <c r="T613" s="18" t="str">
        <f t="shared" si="51"/>
        <v/>
      </c>
      <c r="U613" s="18" t="str">
        <f t="shared" si="52"/>
        <v/>
      </c>
      <c r="V613" s="18" t="str">
        <f t="shared" si="53"/>
        <v/>
      </c>
      <c r="W613" s="14"/>
    </row>
    <row r="614" spans="1:23" x14ac:dyDescent="0.25">
      <c r="A614" s="6"/>
      <c r="B614" s="33"/>
      <c r="C614" s="19"/>
      <c r="D614" s="56"/>
      <c r="E614" s="56"/>
      <c r="F614" s="41"/>
      <c r="G614" s="36"/>
      <c r="H614" s="10"/>
      <c r="I614" s="11"/>
      <c r="J614" s="13"/>
      <c r="K614" s="45"/>
      <c r="L614" s="37"/>
      <c r="M614" s="17"/>
      <c r="N614" s="11"/>
      <c r="O614" s="16"/>
      <c r="P614" s="16"/>
      <c r="Q614" s="18" t="str">
        <f t="shared" si="48"/>
        <v/>
      </c>
      <c r="R614" s="18" t="str">
        <f t="shared" si="49"/>
        <v/>
      </c>
      <c r="S614" s="18" t="str">
        <f t="shared" si="50"/>
        <v/>
      </c>
      <c r="T614" s="18" t="str">
        <f t="shared" si="51"/>
        <v/>
      </c>
      <c r="U614" s="18" t="str">
        <f t="shared" si="52"/>
        <v/>
      </c>
      <c r="V614" s="18" t="str">
        <f t="shared" si="53"/>
        <v/>
      </c>
      <c r="W614" s="14"/>
    </row>
    <row r="615" spans="1:23" x14ac:dyDescent="0.25">
      <c r="A615" s="6"/>
      <c r="B615" s="42" t="s">
        <v>93</v>
      </c>
      <c r="C615" s="19"/>
      <c r="D615" s="56"/>
      <c r="E615" s="56"/>
      <c r="F615" s="41"/>
      <c r="G615" s="36"/>
      <c r="H615" s="10"/>
      <c r="I615" s="11"/>
      <c r="J615" s="13"/>
      <c r="K615" s="45"/>
      <c r="L615" s="37"/>
      <c r="M615" s="17"/>
      <c r="N615" s="11"/>
      <c r="O615" s="16"/>
      <c r="P615" s="16"/>
      <c r="Q615" s="18" t="str">
        <f t="shared" si="48"/>
        <v/>
      </c>
      <c r="R615" s="18" t="str">
        <f t="shared" si="49"/>
        <v/>
      </c>
      <c r="S615" s="18" t="str">
        <f t="shared" si="50"/>
        <v/>
      </c>
      <c r="T615" s="18" t="str">
        <f t="shared" si="51"/>
        <v/>
      </c>
      <c r="U615" s="18" t="str">
        <f t="shared" si="52"/>
        <v/>
      </c>
      <c r="V615" s="18" t="str">
        <f t="shared" si="53"/>
        <v/>
      </c>
      <c r="W615" s="14"/>
    </row>
    <row r="616" spans="1:23" x14ac:dyDescent="0.25">
      <c r="A616" s="6">
        <v>1</v>
      </c>
      <c r="B616" s="33" t="s">
        <v>94</v>
      </c>
      <c r="C616" s="44"/>
      <c r="D616" s="62">
        <v>2.4249999999999998</v>
      </c>
      <c r="E616" s="62"/>
      <c r="F616" s="41"/>
      <c r="G616" s="36">
        <v>0.25</v>
      </c>
      <c r="H616" s="10">
        <v>20</v>
      </c>
      <c r="I616" s="11">
        <v>1</v>
      </c>
      <c r="J616" s="13">
        <f>ROUND(5.6/G616+1,0)</f>
        <v>23</v>
      </c>
      <c r="K616" s="45">
        <f>D616</f>
        <v>2.4249999999999998</v>
      </c>
      <c r="L616" s="37" t="str">
        <f>IF(O616&lt;12,"0",0.049*H616)</f>
        <v>0</v>
      </c>
      <c r="M616" s="17">
        <v>0</v>
      </c>
      <c r="N616" s="11">
        <f>M616*2*H616/1000</f>
        <v>0</v>
      </c>
      <c r="O616" s="16">
        <f>(D616)-N616</f>
        <v>2.4249999999999998</v>
      </c>
      <c r="P616" s="16">
        <f>(I616*J616*O616)+L616</f>
        <v>55.774999999999999</v>
      </c>
      <c r="Q616" s="18" t="str">
        <f t="shared" si="48"/>
        <v/>
      </c>
      <c r="R616" s="18" t="str">
        <f t="shared" si="49"/>
        <v/>
      </c>
      <c r="S616" s="18" t="str">
        <f t="shared" si="50"/>
        <v/>
      </c>
      <c r="T616" s="18" t="str">
        <f t="shared" si="51"/>
        <v/>
      </c>
      <c r="U616" s="18">
        <f t="shared" si="52"/>
        <v>55.774999999999999</v>
      </c>
      <c r="V616" s="18" t="str">
        <f t="shared" si="53"/>
        <v/>
      </c>
      <c r="W616" s="14"/>
    </row>
    <row r="617" spans="1:23" x14ac:dyDescent="0.25">
      <c r="A617" s="6"/>
      <c r="B617" s="33" t="s">
        <v>140</v>
      </c>
      <c r="C617" s="19"/>
      <c r="D617" s="56"/>
      <c r="E617" s="56"/>
      <c r="F617" s="41"/>
      <c r="G617" s="36"/>
      <c r="H617" s="10"/>
      <c r="I617" s="11"/>
      <c r="J617" s="13"/>
      <c r="K617" s="45"/>
      <c r="L617" s="37"/>
      <c r="M617" s="17"/>
      <c r="N617" s="11"/>
      <c r="O617" s="16"/>
      <c r="P617" s="16"/>
      <c r="Q617" s="18" t="str">
        <f t="shared" si="48"/>
        <v/>
      </c>
      <c r="R617" s="18" t="str">
        <f t="shared" si="49"/>
        <v/>
      </c>
      <c r="S617" s="18" t="str">
        <f t="shared" si="50"/>
        <v/>
      </c>
      <c r="T617" s="18" t="str">
        <f t="shared" si="51"/>
        <v/>
      </c>
      <c r="U617" s="18" t="str">
        <f t="shared" si="52"/>
        <v/>
      </c>
      <c r="V617" s="18" t="str">
        <f t="shared" si="53"/>
        <v/>
      </c>
      <c r="W617" s="14"/>
    </row>
    <row r="618" spans="1:23" x14ac:dyDescent="0.25">
      <c r="A618" s="6"/>
      <c r="B618" s="50"/>
      <c r="C618" s="19"/>
      <c r="D618" s="56"/>
      <c r="E618" s="56"/>
      <c r="F618" s="41"/>
      <c r="G618" s="36"/>
      <c r="H618" s="10"/>
      <c r="I618" s="11"/>
      <c r="J618" s="13"/>
      <c r="K618" s="45"/>
      <c r="L618" s="37"/>
      <c r="M618" s="17"/>
      <c r="N618" s="11"/>
      <c r="O618" s="16"/>
      <c r="P618" s="16"/>
      <c r="Q618" s="18" t="str">
        <f t="shared" si="48"/>
        <v/>
      </c>
      <c r="R618" s="18" t="str">
        <f t="shared" si="49"/>
        <v/>
      </c>
      <c r="S618" s="18" t="str">
        <f t="shared" si="50"/>
        <v/>
      </c>
      <c r="T618" s="18" t="str">
        <f t="shared" si="51"/>
        <v/>
      </c>
      <c r="U618" s="18" t="str">
        <f t="shared" si="52"/>
        <v/>
      </c>
      <c r="V618" s="18" t="str">
        <f t="shared" si="53"/>
        <v/>
      </c>
      <c r="W618" s="14"/>
    </row>
    <row r="619" spans="1:23" x14ac:dyDescent="0.25">
      <c r="A619" s="6">
        <v>2</v>
      </c>
      <c r="B619" s="33" t="s">
        <v>95</v>
      </c>
      <c r="C619" s="44"/>
      <c r="D619" s="62">
        <v>3.95</v>
      </c>
      <c r="E619" s="62"/>
      <c r="F619" s="41"/>
      <c r="G619" s="36">
        <v>0.25</v>
      </c>
      <c r="H619" s="10">
        <v>16</v>
      </c>
      <c r="I619" s="11">
        <v>1</v>
      </c>
      <c r="J619" s="13">
        <f>ROUND(2.425/G619+1,0)</f>
        <v>11</v>
      </c>
      <c r="K619" s="45">
        <f>D619</f>
        <v>3.95</v>
      </c>
      <c r="L619" s="37" t="str">
        <f>IF(O619&lt;12,"0",0.049*H619)</f>
        <v>0</v>
      </c>
      <c r="M619" s="17">
        <v>0</v>
      </c>
      <c r="N619" s="11">
        <f>M619*2*H619/1000</f>
        <v>0</v>
      </c>
      <c r="O619" s="16">
        <f>(D619)-N619</f>
        <v>3.95</v>
      </c>
      <c r="P619" s="16">
        <f>(I619*J619*O619)+L619</f>
        <v>43.45</v>
      </c>
      <c r="Q619" s="18" t="str">
        <f t="shared" si="48"/>
        <v/>
      </c>
      <c r="R619" s="18" t="str">
        <f t="shared" si="49"/>
        <v/>
      </c>
      <c r="S619" s="18" t="str">
        <f t="shared" si="50"/>
        <v/>
      </c>
      <c r="T619" s="18">
        <f t="shared" si="51"/>
        <v>43.45</v>
      </c>
      <c r="U619" s="18" t="str">
        <f t="shared" si="52"/>
        <v/>
      </c>
      <c r="V619" s="18" t="str">
        <f t="shared" si="53"/>
        <v/>
      </c>
      <c r="W619" s="14"/>
    </row>
    <row r="620" spans="1:23" x14ac:dyDescent="0.25">
      <c r="A620" s="6"/>
      <c r="B620" s="33" t="s">
        <v>140</v>
      </c>
      <c r="C620" s="19"/>
      <c r="D620" s="56"/>
      <c r="E620" s="56"/>
      <c r="F620" s="41"/>
      <c r="G620" s="36"/>
      <c r="H620" s="10"/>
      <c r="I620" s="11"/>
      <c r="J620" s="13"/>
      <c r="K620" s="45"/>
      <c r="L620" s="37"/>
      <c r="M620" s="17"/>
      <c r="N620" s="11"/>
      <c r="O620" s="16"/>
      <c r="P620" s="16"/>
      <c r="Q620" s="18" t="str">
        <f t="shared" si="48"/>
        <v/>
      </c>
      <c r="R620" s="18" t="str">
        <f t="shared" si="49"/>
        <v/>
      </c>
      <c r="S620" s="18" t="str">
        <f t="shared" si="50"/>
        <v/>
      </c>
      <c r="T620" s="18" t="str">
        <f t="shared" si="51"/>
        <v/>
      </c>
      <c r="U620" s="18" t="str">
        <f t="shared" si="52"/>
        <v/>
      </c>
      <c r="V620" s="18" t="str">
        <f t="shared" si="53"/>
        <v/>
      </c>
      <c r="W620" s="14"/>
    </row>
    <row r="621" spans="1:23" x14ac:dyDescent="0.25">
      <c r="A621" s="6"/>
      <c r="B621" s="50"/>
      <c r="C621" s="19"/>
      <c r="D621" s="56"/>
      <c r="E621" s="56"/>
      <c r="F621" s="41"/>
      <c r="G621" s="36"/>
      <c r="H621" s="10"/>
      <c r="I621" s="11"/>
      <c r="J621" s="13"/>
      <c r="K621" s="45"/>
      <c r="L621" s="37"/>
      <c r="M621" s="17"/>
      <c r="N621" s="11"/>
      <c r="O621" s="16"/>
      <c r="P621" s="16"/>
      <c r="Q621" s="18" t="str">
        <f t="shared" si="48"/>
        <v/>
      </c>
      <c r="R621" s="18" t="str">
        <f t="shared" si="49"/>
        <v/>
      </c>
      <c r="S621" s="18" t="str">
        <f t="shared" si="50"/>
        <v/>
      </c>
      <c r="T621" s="18" t="str">
        <f t="shared" si="51"/>
        <v/>
      </c>
      <c r="U621" s="18" t="str">
        <f t="shared" si="52"/>
        <v/>
      </c>
      <c r="V621" s="18" t="str">
        <f t="shared" si="53"/>
        <v/>
      </c>
      <c r="W621" s="14"/>
    </row>
    <row r="622" spans="1:23" x14ac:dyDescent="0.25">
      <c r="A622" s="6">
        <v>3</v>
      </c>
      <c r="B622" s="33" t="s">
        <v>94</v>
      </c>
      <c r="C622" s="44"/>
      <c r="D622" s="62">
        <v>2.2000000000000002</v>
      </c>
      <c r="E622" s="62"/>
      <c r="F622" s="41"/>
      <c r="G622" s="36">
        <v>0.25</v>
      </c>
      <c r="H622" s="10">
        <v>10</v>
      </c>
      <c r="I622" s="11">
        <v>1</v>
      </c>
      <c r="J622" s="13">
        <f>ROUND(7.515/G622+1,0)</f>
        <v>31</v>
      </c>
      <c r="K622" s="45">
        <f>D622</f>
        <v>2.2000000000000002</v>
      </c>
      <c r="L622" s="37" t="str">
        <f>IF(O622&lt;12,"0",0.049*H622)</f>
        <v>0</v>
      </c>
      <c r="M622" s="17">
        <v>0</v>
      </c>
      <c r="N622" s="11">
        <f>M622*2*H622/1000</f>
        <v>0</v>
      </c>
      <c r="O622" s="16">
        <f>(D622)-N622</f>
        <v>2.2000000000000002</v>
      </c>
      <c r="P622" s="16">
        <f>(I622*J622*O622)+L622</f>
        <v>68.2</v>
      </c>
      <c r="Q622" s="18" t="str">
        <f t="shared" si="48"/>
        <v/>
      </c>
      <c r="R622" s="18">
        <f t="shared" si="49"/>
        <v>68.2</v>
      </c>
      <c r="S622" s="18" t="str">
        <f t="shared" si="50"/>
        <v/>
      </c>
      <c r="T622" s="18" t="str">
        <f t="shared" si="51"/>
        <v/>
      </c>
      <c r="U622" s="18" t="str">
        <f t="shared" si="52"/>
        <v/>
      </c>
      <c r="V622" s="18" t="str">
        <f t="shared" si="53"/>
        <v/>
      </c>
      <c r="W622" s="14"/>
    </row>
    <row r="623" spans="1:23" x14ac:dyDescent="0.25">
      <c r="A623" s="6"/>
      <c r="B623" s="33" t="s">
        <v>141</v>
      </c>
      <c r="C623" s="19"/>
      <c r="D623" s="56"/>
      <c r="E623" s="56"/>
      <c r="F623" s="41"/>
      <c r="G623" s="36"/>
      <c r="H623" s="10"/>
      <c r="I623" s="11"/>
      <c r="J623" s="13"/>
      <c r="K623" s="45"/>
      <c r="L623" s="37"/>
      <c r="M623" s="17"/>
      <c r="N623" s="11"/>
      <c r="O623" s="16"/>
      <c r="P623" s="16"/>
      <c r="Q623" s="18" t="str">
        <f t="shared" si="48"/>
        <v/>
      </c>
      <c r="R623" s="18" t="str">
        <f t="shared" si="49"/>
        <v/>
      </c>
      <c r="S623" s="18" t="str">
        <f t="shared" si="50"/>
        <v/>
      </c>
      <c r="T623" s="18" t="str">
        <f t="shared" si="51"/>
        <v/>
      </c>
      <c r="U623" s="18" t="str">
        <f t="shared" si="52"/>
        <v/>
      </c>
      <c r="V623" s="18" t="str">
        <f t="shared" si="53"/>
        <v/>
      </c>
      <c r="W623" s="14"/>
    </row>
    <row r="624" spans="1:23" x14ac:dyDescent="0.25">
      <c r="A624" s="6"/>
      <c r="B624" s="50"/>
      <c r="C624" s="19"/>
      <c r="D624" s="56"/>
      <c r="E624" s="56"/>
      <c r="F624" s="41"/>
      <c r="G624" s="36"/>
      <c r="H624" s="10"/>
      <c r="I624" s="11"/>
      <c r="J624" s="13"/>
      <c r="K624" s="45"/>
      <c r="L624" s="37"/>
      <c r="M624" s="17"/>
      <c r="N624" s="11"/>
      <c r="O624" s="16"/>
      <c r="P624" s="16"/>
      <c r="Q624" s="18" t="str">
        <f t="shared" si="48"/>
        <v/>
      </c>
      <c r="R624" s="18" t="str">
        <f t="shared" si="49"/>
        <v/>
      </c>
      <c r="S624" s="18" t="str">
        <f t="shared" si="50"/>
        <v/>
      </c>
      <c r="T624" s="18" t="str">
        <f t="shared" si="51"/>
        <v/>
      </c>
      <c r="U624" s="18" t="str">
        <f t="shared" si="52"/>
        <v/>
      </c>
      <c r="V624" s="18" t="str">
        <f t="shared" si="53"/>
        <v/>
      </c>
      <c r="W624" s="14"/>
    </row>
    <row r="625" spans="1:23" x14ac:dyDescent="0.25">
      <c r="A625" s="6">
        <v>4</v>
      </c>
      <c r="B625" s="33" t="s">
        <v>95</v>
      </c>
      <c r="C625" s="44"/>
      <c r="D625" s="62">
        <v>6.165</v>
      </c>
      <c r="E625" s="62"/>
      <c r="F625" s="41"/>
      <c r="G625" s="36">
        <v>0.25</v>
      </c>
      <c r="H625" s="10">
        <v>16</v>
      </c>
      <c r="I625" s="11">
        <v>1</v>
      </c>
      <c r="J625" s="13">
        <f>ROUND(2.2/G625+1,0)</f>
        <v>10</v>
      </c>
      <c r="K625" s="45">
        <f>D625</f>
        <v>6.165</v>
      </c>
      <c r="L625" s="37" t="str">
        <f>IF(O625&lt;12,"0",0.049*H625)</f>
        <v>0</v>
      </c>
      <c r="M625" s="17">
        <v>0</v>
      </c>
      <c r="N625" s="11">
        <f>M625*2*H625/1000</f>
        <v>0</v>
      </c>
      <c r="O625" s="16">
        <f>(D625)-N625</f>
        <v>6.165</v>
      </c>
      <c r="P625" s="16">
        <f>(I625*J625*O625)+L625</f>
        <v>61.65</v>
      </c>
      <c r="Q625" s="18" t="str">
        <f t="shared" si="48"/>
        <v/>
      </c>
      <c r="R625" s="18" t="str">
        <f t="shared" si="49"/>
        <v/>
      </c>
      <c r="S625" s="18" t="str">
        <f t="shared" si="50"/>
        <v/>
      </c>
      <c r="T625" s="18">
        <f t="shared" si="51"/>
        <v>61.65</v>
      </c>
      <c r="U625" s="18" t="str">
        <f t="shared" si="52"/>
        <v/>
      </c>
      <c r="V625" s="18" t="str">
        <f t="shared" si="53"/>
        <v/>
      </c>
      <c r="W625" s="14"/>
    </row>
    <row r="626" spans="1:23" x14ac:dyDescent="0.25">
      <c r="A626" s="6"/>
      <c r="B626" s="33" t="s">
        <v>141</v>
      </c>
      <c r="C626" s="19"/>
      <c r="D626" s="56"/>
      <c r="E626" s="56"/>
      <c r="F626" s="41"/>
      <c r="G626" s="36"/>
      <c r="H626" s="10"/>
      <c r="I626" s="11"/>
      <c r="J626" s="13"/>
      <c r="K626" s="45"/>
      <c r="L626" s="37"/>
      <c r="M626" s="17"/>
      <c r="N626" s="11"/>
      <c r="O626" s="16"/>
      <c r="P626" s="16"/>
      <c r="Q626" s="18" t="str">
        <f t="shared" si="48"/>
        <v/>
      </c>
      <c r="R626" s="18" t="str">
        <f t="shared" si="49"/>
        <v/>
      </c>
      <c r="S626" s="18" t="str">
        <f t="shared" si="50"/>
        <v/>
      </c>
      <c r="T626" s="18" t="str">
        <f t="shared" si="51"/>
        <v/>
      </c>
      <c r="U626" s="18" t="str">
        <f t="shared" si="52"/>
        <v/>
      </c>
      <c r="V626" s="18" t="str">
        <f t="shared" si="53"/>
        <v/>
      </c>
      <c r="W626" s="14"/>
    </row>
    <row r="627" spans="1:23" x14ac:dyDescent="0.25">
      <c r="A627" s="6"/>
      <c r="B627" s="50"/>
      <c r="C627" s="19"/>
      <c r="D627" s="56"/>
      <c r="E627" s="56"/>
      <c r="F627" s="41"/>
      <c r="G627" s="36"/>
      <c r="H627" s="10"/>
      <c r="I627" s="11"/>
      <c r="J627" s="13"/>
      <c r="K627" s="45"/>
      <c r="L627" s="37"/>
      <c r="M627" s="17"/>
      <c r="N627" s="11"/>
      <c r="O627" s="16"/>
      <c r="P627" s="16"/>
      <c r="Q627" s="18" t="str">
        <f t="shared" si="48"/>
        <v/>
      </c>
      <c r="R627" s="18" t="str">
        <f t="shared" si="49"/>
        <v/>
      </c>
      <c r="S627" s="18" t="str">
        <f t="shared" si="50"/>
        <v/>
      </c>
      <c r="T627" s="18" t="str">
        <f t="shared" si="51"/>
        <v/>
      </c>
      <c r="U627" s="18" t="str">
        <f t="shared" si="52"/>
        <v/>
      </c>
      <c r="V627" s="18" t="str">
        <f t="shared" si="53"/>
        <v/>
      </c>
      <c r="W627" s="14"/>
    </row>
    <row r="628" spans="1:23" x14ac:dyDescent="0.25">
      <c r="A628" s="6">
        <v>5</v>
      </c>
      <c r="B628" s="33" t="s">
        <v>94</v>
      </c>
      <c r="C628" s="44"/>
      <c r="D628" s="62">
        <v>4.5199999999999996</v>
      </c>
      <c r="E628" s="62"/>
      <c r="F628" s="41"/>
      <c r="G628" s="36">
        <v>0.25</v>
      </c>
      <c r="H628" s="10">
        <v>12</v>
      </c>
      <c r="I628" s="11">
        <v>1</v>
      </c>
      <c r="J628" s="13">
        <f>ROUND(3.12/G628+1,0)</f>
        <v>13</v>
      </c>
      <c r="K628" s="45">
        <f>D628</f>
        <v>4.5199999999999996</v>
      </c>
      <c r="L628" s="37" t="str">
        <f>IF(O628&lt;12,"0",0.049*H628)</f>
        <v>0</v>
      </c>
      <c r="M628" s="17">
        <v>0</v>
      </c>
      <c r="N628" s="11">
        <f>M628*2*H628/1000</f>
        <v>0</v>
      </c>
      <c r="O628" s="16">
        <f>(D628)-N628</f>
        <v>4.5199999999999996</v>
      </c>
      <c r="P628" s="16">
        <f>(I628*J628*O628)+L628</f>
        <v>58.759999999999991</v>
      </c>
      <c r="Q628" s="18" t="str">
        <f t="shared" si="48"/>
        <v/>
      </c>
      <c r="R628" s="18" t="str">
        <f t="shared" si="49"/>
        <v/>
      </c>
      <c r="S628" s="18">
        <f t="shared" si="50"/>
        <v>58.759999999999991</v>
      </c>
      <c r="T628" s="18" t="str">
        <f t="shared" si="51"/>
        <v/>
      </c>
      <c r="U628" s="18" t="str">
        <f t="shared" si="52"/>
        <v/>
      </c>
      <c r="V628" s="18" t="str">
        <f t="shared" si="53"/>
        <v/>
      </c>
      <c r="W628" s="14"/>
    </row>
    <row r="629" spans="1:23" x14ac:dyDescent="0.25">
      <c r="A629" s="6"/>
      <c r="B629" s="33" t="s">
        <v>142</v>
      </c>
      <c r="C629" s="19"/>
      <c r="D629" s="56"/>
      <c r="E629" s="56"/>
      <c r="F629" s="41"/>
      <c r="G629" s="36"/>
      <c r="H629" s="10"/>
      <c r="I629" s="11"/>
      <c r="J629" s="13"/>
      <c r="K629" s="45"/>
      <c r="L629" s="37"/>
      <c r="M629" s="17"/>
      <c r="N629" s="11"/>
      <c r="O629" s="16"/>
      <c r="P629" s="16"/>
      <c r="Q629" s="18" t="str">
        <f t="shared" si="48"/>
        <v/>
      </c>
      <c r="R629" s="18" t="str">
        <f t="shared" si="49"/>
        <v/>
      </c>
      <c r="S629" s="18" t="str">
        <f t="shared" si="50"/>
        <v/>
      </c>
      <c r="T629" s="18" t="str">
        <f t="shared" si="51"/>
        <v/>
      </c>
      <c r="U629" s="18" t="str">
        <f t="shared" si="52"/>
        <v/>
      </c>
      <c r="V629" s="18" t="str">
        <f t="shared" si="53"/>
        <v/>
      </c>
      <c r="W629" s="14"/>
    </row>
    <row r="630" spans="1:23" x14ac:dyDescent="0.25">
      <c r="A630" s="6"/>
      <c r="B630" s="50"/>
      <c r="C630" s="19"/>
      <c r="D630" s="56"/>
      <c r="E630" s="56"/>
      <c r="F630" s="41"/>
      <c r="G630" s="36"/>
      <c r="H630" s="10"/>
      <c r="I630" s="11"/>
      <c r="J630" s="13"/>
      <c r="K630" s="45"/>
      <c r="L630" s="37"/>
      <c r="M630" s="17"/>
      <c r="N630" s="11"/>
      <c r="O630" s="16"/>
      <c r="P630" s="16"/>
      <c r="Q630" s="18" t="str">
        <f t="shared" si="48"/>
        <v/>
      </c>
      <c r="R630" s="18" t="str">
        <f t="shared" si="49"/>
        <v/>
      </c>
      <c r="S630" s="18" t="str">
        <f t="shared" si="50"/>
        <v/>
      </c>
      <c r="T630" s="18" t="str">
        <f t="shared" si="51"/>
        <v/>
      </c>
      <c r="U630" s="18" t="str">
        <f t="shared" si="52"/>
        <v/>
      </c>
      <c r="V630" s="18" t="str">
        <f t="shared" si="53"/>
        <v/>
      </c>
      <c r="W630" s="14"/>
    </row>
    <row r="631" spans="1:23" x14ac:dyDescent="0.25">
      <c r="A631" s="6">
        <v>6</v>
      </c>
      <c r="B631" s="33" t="s">
        <v>94</v>
      </c>
      <c r="C631" s="44"/>
      <c r="D631" s="62">
        <v>2.2749999999999999</v>
      </c>
      <c r="E631" s="62"/>
      <c r="F631" s="41"/>
      <c r="G631" s="36">
        <v>0.25</v>
      </c>
      <c r="H631" s="10">
        <v>10</v>
      </c>
      <c r="I631" s="11">
        <v>1</v>
      </c>
      <c r="J631" s="13">
        <f>ROUND(5.355/G631+1,0)</f>
        <v>22</v>
      </c>
      <c r="K631" s="45">
        <f>D631</f>
        <v>2.2749999999999999</v>
      </c>
      <c r="L631" s="37" t="str">
        <f>IF(O631&lt;12,"0",0.049*H631)</f>
        <v>0</v>
      </c>
      <c r="M631" s="17">
        <v>0</v>
      </c>
      <c r="N631" s="11">
        <f>M631*2*H631/1000</f>
        <v>0</v>
      </c>
      <c r="O631" s="16">
        <f>(D631)-N631</f>
        <v>2.2749999999999999</v>
      </c>
      <c r="P631" s="16">
        <f>(I631*J631*O631)+L631</f>
        <v>50.05</v>
      </c>
      <c r="Q631" s="18" t="str">
        <f t="shared" si="48"/>
        <v/>
      </c>
      <c r="R631" s="18">
        <f t="shared" si="49"/>
        <v>50.05</v>
      </c>
      <c r="S631" s="18" t="str">
        <f t="shared" si="50"/>
        <v/>
      </c>
      <c r="T631" s="18" t="str">
        <f t="shared" si="51"/>
        <v/>
      </c>
      <c r="U631" s="18" t="str">
        <f t="shared" si="52"/>
        <v/>
      </c>
      <c r="V631" s="18" t="str">
        <f t="shared" si="53"/>
        <v/>
      </c>
      <c r="W631" s="14"/>
    </row>
    <row r="632" spans="1:23" x14ac:dyDescent="0.25">
      <c r="A632" s="6"/>
      <c r="B632" s="33" t="s">
        <v>143</v>
      </c>
      <c r="C632" s="19"/>
      <c r="D632" s="56"/>
      <c r="E632" s="56"/>
      <c r="F632" s="41"/>
      <c r="G632" s="36"/>
      <c r="H632" s="10"/>
      <c r="I632" s="11"/>
      <c r="J632" s="13"/>
      <c r="K632" s="45"/>
      <c r="L632" s="37"/>
      <c r="M632" s="17"/>
      <c r="N632" s="11"/>
      <c r="O632" s="16"/>
      <c r="P632" s="16"/>
      <c r="Q632" s="18" t="str">
        <f t="shared" si="48"/>
        <v/>
      </c>
      <c r="R632" s="18" t="str">
        <f t="shared" si="49"/>
        <v/>
      </c>
      <c r="S632" s="18" t="str">
        <f t="shared" si="50"/>
        <v/>
      </c>
      <c r="T632" s="18" t="str">
        <f t="shared" si="51"/>
        <v/>
      </c>
      <c r="U632" s="18" t="str">
        <f t="shared" si="52"/>
        <v/>
      </c>
      <c r="V632" s="18" t="str">
        <f t="shared" si="53"/>
        <v/>
      </c>
      <c r="W632" s="14"/>
    </row>
    <row r="633" spans="1:23" x14ac:dyDescent="0.25">
      <c r="A633" s="6"/>
      <c r="B633" s="50"/>
      <c r="C633" s="19"/>
      <c r="D633" s="56"/>
      <c r="E633" s="56"/>
      <c r="F633" s="41"/>
      <c r="G633" s="36"/>
      <c r="H633" s="10"/>
      <c r="I633" s="11"/>
      <c r="J633" s="13"/>
      <c r="K633" s="45"/>
      <c r="L633" s="37"/>
      <c r="M633" s="17"/>
      <c r="N633" s="11"/>
      <c r="O633" s="16"/>
      <c r="P633" s="16"/>
      <c r="Q633" s="18" t="str">
        <f t="shared" si="48"/>
        <v/>
      </c>
      <c r="R633" s="18" t="str">
        <f t="shared" si="49"/>
        <v/>
      </c>
      <c r="S633" s="18" t="str">
        <f t="shared" si="50"/>
        <v/>
      </c>
      <c r="T633" s="18" t="str">
        <f t="shared" si="51"/>
        <v/>
      </c>
      <c r="U633" s="18" t="str">
        <f t="shared" si="52"/>
        <v/>
      </c>
      <c r="V633" s="18" t="str">
        <f t="shared" si="53"/>
        <v/>
      </c>
      <c r="W633" s="14"/>
    </row>
    <row r="634" spans="1:23" x14ac:dyDescent="0.25">
      <c r="A634" s="6">
        <v>7</v>
      </c>
      <c r="B634" s="33" t="s">
        <v>95</v>
      </c>
      <c r="C634" s="44"/>
      <c r="D634" s="62">
        <v>5.3550000000000004</v>
      </c>
      <c r="E634" s="62"/>
      <c r="F634" s="41"/>
      <c r="G634" s="36">
        <v>0.25</v>
      </c>
      <c r="H634" s="10">
        <v>12</v>
      </c>
      <c r="I634" s="11">
        <v>1</v>
      </c>
      <c r="J634" s="13">
        <f>ROUND(2.275/G634+1,0)</f>
        <v>10</v>
      </c>
      <c r="K634" s="45">
        <f>D634</f>
        <v>5.3550000000000004</v>
      </c>
      <c r="L634" s="37" t="str">
        <f>IF(O634&lt;12,"0",0.049*H634)</f>
        <v>0</v>
      </c>
      <c r="M634" s="17">
        <v>0</v>
      </c>
      <c r="N634" s="11">
        <f>M634*2*H634/1000</f>
        <v>0</v>
      </c>
      <c r="O634" s="16">
        <f>(D634)-N634</f>
        <v>5.3550000000000004</v>
      </c>
      <c r="P634" s="16">
        <f>(I634*J634*O634)+L634</f>
        <v>53.550000000000004</v>
      </c>
      <c r="Q634" s="18" t="str">
        <f t="shared" si="48"/>
        <v/>
      </c>
      <c r="R634" s="18" t="str">
        <f t="shared" si="49"/>
        <v/>
      </c>
      <c r="S634" s="18">
        <f t="shared" si="50"/>
        <v>53.550000000000004</v>
      </c>
      <c r="T634" s="18" t="str">
        <f t="shared" si="51"/>
        <v/>
      </c>
      <c r="U634" s="18" t="str">
        <f t="shared" si="52"/>
        <v/>
      </c>
      <c r="V634" s="18" t="str">
        <f t="shared" si="53"/>
        <v/>
      </c>
      <c r="W634" s="14"/>
    </row>
    <row r="635" spans="1:23" x14ac:dyDescent="0.25">
      <c r="A635" s="6"/>
      <c r="B635" s="33" t="s">
        <v>143</v>
      </c>
      <c r="C635" s="19"/>
      <c r="D635" s="56"/>
      <c r="E635" s="56"/>
      <c r="F635" s="41"/>
      <c r="G635" s="36"/>
      <c r="H635" s="10"/>
      <c r="I635" s="11"/>
      <c r="J635" s="13"/>
      <c r="K635" s="45"/>
      <c r="L635" s="37"/>
      <c r="M635" s="17"/>
      <c r="N635" s="11"/>
      <c r="O635" s="16"/>
      <c r="P635" s="16"/>
      <c r="Q635" s="18" t="str">
        <f t="shared" si="48"/>
        <v/>
      </c>
      <c r="R635" s="18" t="str">
        <f t="shared" si="49"/>
        <v/>
      </c>
      <c r="S635" s="18" t="str">
        <f t="shared" si="50"/>
        <v/>
      </c>
      <c r="T635" s="18" t="str">
        <f t="shared" si="51"/>
        <v/>
      </c>
      <c r="U635" s="18" t="str">
        <f t="shared" si="52"/>
        <v/>
      </c>
      <c r="V635" s="18" t="str">
        <f t="shared" si="53"/>
        <v/>
      </c>
      <c r="W635" s="14"/>
    </row>
    <row r="636" spans="1:23" x14ac:dyDescent="0.25">
      <c r="A636" s="6"/>
      <c r="B636" s="50"/>
      <c r="C636" s="19"/>
      <c r="D636" s="56"/>
      <c r="E636" s="56"/>
      <c r="F636" s="41"/>
      <c r="G636" s="36"/>
      <c r="H636" s="10"/>
      <c r="I636" s="11"/>
      <c r="J636" s="13"/>
      <c r="K636" s="45"/>
      <c r="L636" s="37"/>
      <c r="M636" s="17"/>
      <c r="N636" s="11"/>
      <c r="O636" s="16"/>
      <c r="P636" s="16"/>
      <c r="Q636" s="18" t="str">
        <f t="shared" si="48"/>
        <v/>
      </c>
      <c r="R636" s="18" t="str">
        <f t="shared" si="49"/>
        <v/>
      </c>
      <c r="S636" s="18" t="str">
        <f t="shared" si="50"/>
        <v/>
      </c>
      <c r="T636" s="18" t="str">
        <f t="shared" si="51"/>
        <v/>
      </c>
      <c r="U636" s="18" t="str">
        <f t="shared" si="52"/>
        <v/>
      </c>
      <c r="V636" s="18" t="str">
        <f t="shared" si="53"/>
        <v/>
      </c>
      <c r="W636" s="14"/>
    </row>
    <row r="637" spans="1:23" x14ac:dyDescent="0.25">
      <c r="A637" s="6">
        <v>8</v>
      </c>
      <c r="B637" s="33" t="s">
        <v>94</v>
      </c>
      <c r="C637" s="44"/>
      <c r="D637" s="62">
        <v>2.4500000000000002</v>
      </c>
      <c r="E637" s="62"/>
      <c r="F637" s="41"/>
      <c r="G637" s="36">
        <v>0.25</v>
      </c>
      <c r="H637" s="10">
        <v>12</v>
      </c>
      <c r="I637" s="11">
        <v>1</v>
      </c>
      <c r="J637" s="13">
        <f>ROUND(2.33/G637+1,0)</f>
        <v>10</v>
      </c>
      <c r="K637" s="45">
        <f>D637</f>
        <v>2.4500000000000002</v>
      </c>
      <c r="L637" s="37" t="str">
        <f>IF(O637&lt;12,"0",0.049*H637)</f>
        <v>0</v>
      </c>
      <c r="M637" s="17">
        <v>0</v>
      </c>
      <c r="N637" s="11">
        <f>M637*2*H637/1000</f>
        <v>0</v>
      </c>
      <c r="O637" s="16">
        <f>(D637)-N637</f>
        <v>2.4500000000000002</v>
      </c>
      <c r="P637" s="16">
        <f>(I637*J637*O637)+L637</f>
        <v>24.5</v>
      </c>
      <c r="Q637" s="18" t="str">
        <f t="shared" si="48"/>
        <v/>
      </c>
      <c r="R637" s="18" t="str">
        <f t="shared" si="49"/>
        <v/>
      </c>
      <c r="S637" s="18">
        <f t="shared" si="50"/>
        <v>24.5</v>
      </c>
      <c r="T637" s="18" t="str">
        <f t="shared" si="51"/>
        <v/>
      </c>
      <c r="U637" s="18" t="str">
        <f t="shared" si="52"/>
        <v/>
      </c>
      <c r="V637" s="18" t="str">
        <f t="shared" si="53"/>
        <v/>
      </c>
      <c r="W637" s="14"/>
    </row>
    <row r="638" spans="1:23" x14ac:dyDescent="0.25">
      <c r="A638" s="6"/>
      <c r="B638" s="33" t="s">
        <v>144</v>
      </c>
      <c r="C638" s="19"/>
      <c r="D638" s="56"/>
      <c r="E638" s="56"/>
      <c r="F638" s="41"/>
      <c r="G638" s="36"/>
      <c r="H638" s="10"/>
      <c r="I638" s="11"/>
      <c r="J638" s="13"/>
      <c r="K638" s="45"/>
      <c r="L638" s="37"/>
      <c r="M638" s="17"/>
      <c r="N638" s="11"/>
      <c r="O638" s="16"/>
      <c r="P638" s="16"/>
      <c r="Q638" s="18" t="str">
        <f t="shared" si="48"/>
        <v/>
      </c>
      <c r="R638" s="18" t="str">
        <f t="shared" si="49"/>
        <v/>
      </c>
      <c r="S638" s="18" t="str">
        <f t="shared" si="50"/>
        <v/>
      </c>
      <c r="T638" s="18" t="str">
        <f t="shared" si="51"/>
        <v/>
      </c>
      <c r="U638" s="18" t="str">
        <f t="shared" si="52"/>
        <v/>
      </c>
      <c r="V638" s="18" t="str">
        <f t="shared" si="53"/>
        <v/>
      </c>
      <c r="W638" s="14"/>
    </row>
    <row r="639" spans="1:23" x14ac:dyDescent="0.25">
      <c r="A639" s="6"/>
      <c r="B639" s="50"/>
      <c r="C639" s="19"/>
      <c r="D639" s="56"/>
      <c r="E639" s="56"/>
      <c r="F639" s="41"/>
      <c r="G639" s="36"/>
      <c r="H639" s="10"/>
      <c r="I639" s="11"/>
      <c r="J639" s="13"/>
      <c r="K639" s="45"/>
      <c r="L639" s="37"/>
      <c r="M639" s="17"/>
      <c r="N639" s="11"/>
      <c r="O639" s="16"/>
      <c r="P639" s="16"/>
      <c r="Q639" s="18" t="str">
        <f t="shared" si="48"/>
        <v/>
      </c>
      <c r="R639" s="18" t="str">
        <f t="shared" si="49"/>
        <v/>
      </c>
      <c r="S639" s="18" t="str">
        <f t="shared" si="50"/>
        <v/>
      </c>
      <c r="T639" s="18" t="str">
        <f t="shared" si="51"/>
        <v/>
      </c>
      <c r="U639" s="18" t="str">
        <f t="shared" si="52"/>
        <v/>
      </c>
      <c r="V639" s="18" t="str">
        <f t="shared" si="53"/>
        <v/>
      </c>
      <c r="W639" s="14"/>
    </row>
    <row r="640" spans="1:23" x14ac:dyDescent="0.25">
      <c r="A640" s="6">
        <v>9</v>
      </c>
      <c r="B640" s="33" t="s">
        <v>94</v>
      </c>
      <c r="C640" s="44"/>
      <c r="D640" s="62">
        <v>4.09</v>
      </c>
      <c r="E640" s="62"/>
      <c r="F640" s="41"/>
      <c r="G640" s="36">
        <v>0.25</v>
      </c>
      <c r="H640" s="10">
        <v>12</v>
      </c>
      <c r="I640" s="11">
        <v>1</v>
      </c>
      <c r="J640" s="13">
        <f>ROUND(5.8/G640+1,0)</f>
        <v>24</v>
      </c>
      <c r="K640" s="45">
        <f>D640</f>
        <v>4.09</v>
      </c>
      <c r="L640" s="37" t="str">
        <f>IF(O640&lt;12,"0",0.049*H640)</f>
        <v>0</v>
      </c>
      <c r="M640" s="17">
        <v>0</v>
      </c>
      <c r="N640" s="11">
        <f>M640*2*H640/1000</f>
        <v>0</v>
      </c>
      <c r="O640" s="16">
        <f>(D640)-N640</f>
        <v>4.09</v>
      </c>
      <c r="P640" s="16">
        <f>(I640*J640*O640)+L640</f>
        <v>98.16</v>
      </c>
      <c r="Q640" s="18" t="str">
        <f t="shared" si="48"/>
        <v/>
      </c>
      <c r="R640" s="18" t="str">
        <f t="shared" si="49"/>
        <v/>
      </c>
      <c r="S640" s="18">
        <f t="shared" si="50"/>
        <v>98.16</v>
      </c>
      <c r="T640" s="18" t="str">
        <f t="shared" si="51"/>
        <v/>
      </c>
      <c r="U640" s="18" t="str">
        <f t="shared" si="52"/>
        <v/>
      </c>
      <c r="V640" s="18" t="str">
        <f t="shared" si="53"/>
        <v/>
      </c>
      <c r="W640" s="14"/>
    </row>
    <row r="641" spans="1:23" x14ac:dyDescent="0.25">
      <c r="A641" s="6"/>
      <c r="B641" s="33" t="s">
        <v>145</v>
      </c>
      <c r="C641" s="19"/>
      <c r="D641" s="56"/>
      <c r="E641" s="56"/>
      <c r="F641" s="41"/>
      <c r="G641" s="36"/>
      <c r="H641" s="10"/>
      <c r="I641" s="11"/>
      <c r="J641" s="13"/>
      <c r="K641" s="45"/>
      <c r="L641" s="37"/>
      <c r="M641" s="17"/>
      <c r="N641" s="11"/>
      <c r="O641" s="16"/>
      <c r="P641" s="16"/>
      <c r="Q641" s="18" t="str">
        <f t="shared" si="48"/>
        <v/>
      </c>
      <c r="R641" s="18" t="str">
        <f t="shared" si="49"/>
        <v/>
      </c>
      <c r="S641" s="18" t="str">
        <f t="shared" si="50"/>
        <v/>
      </c>
      <c r="T641" s="18" t="str">
        <f t="shared" si="51"/>
        <v/>
      </c>
      <c r="U641" s="18" t="str">
        <f t="shared" si="52"/>
        <v/>
      </c>
      <c r="V641" s="18" t="str">
        <f t="shared" si="53"/>
        <v/>
      </c>
      <c r="W641" s="14"/>
    </row>
    <row r="642" spans="1:23" x14ac:dyDescent="0.25">
      <c r="A642" s="6"/>
      <c r="B642" s="50"/>
      <c r="C642" s="19"/>
      <c r="D642" s="56"/>
      <c r="E642" s="56"/>
      <c r="F642" s="41"/>
      <c r="G642" s="36"/>
      <c r="H642" s="10"/>
      <c r="I642" s="11"/>
      <c r="J642" s="13"/>
      <c r="K642" s="45"/>
      <c r="L642" s="37"/>
      <c r="M642" s="17"/>
      <c r="N642" s="11"/>
      <c r="O642" s="16"/>
      <c r="P642" s="16"/>
      <c r="Q642" s="18" t="str">
        <f t="shared" si="48"/>
        <v/>
      </c>
      <c r="R642" s="18" t="str">
        <f t="shared" si="49"/>
        <v/>
      </c>
      <c r="S642" s="18" t="str">
        <f t="shared" si="50"/>
        <v/>
      </c>
      <c r="T642" s="18" t="str">
        <f t="shared" si="51"/>
        <v/>
      </c>
      <c r="U642" s="18" t="str">
        <f t="shared" si="52"/>
        <v/>
      </c>
      <c r="V642" s="18" t="str">
        <f t="shared" si="53"/>
        <v/>
      </c>
      <c r="W642" s="14"/>
    </row>
    <row r="643" spans="1:23" x14ac:dyDescent="0.25">
      <c r="A643" s="6">
        <v>10</v>
      </c>
      <c r="B643" s="33" t="s">
        <v>95</v>
      </c>
      <c r="C643" s="44"/>
      <c r="D643" s="62">
        <v>3.8</v>
      </c>
      <c r="E643" s="62"/>
      <c r="F643" s="41"/>
      <c r="G643" s="36">
        <v>0.25</v>
      </c>
      <c r="H643" s="10">
        <v>10</v>
      </c>
      <c r="I643" s="11">
        <v>1</v>
      </c>
      <c r="J643" s="13">
        <f>ROUND(4.09/G643+1,0)</f>
        <v>17</v>
      </c>
      <c r="K643" s="45">
        <f>D643</f>
        <v>3.8</v>
      </c>
      <c r="L643" s="37" t="str">
        <f>IF(O643&lt;12,"0",0.049*H643)</f>
        <v>0</v>
      </c>
      <c r="M643" s="17">
        <v>0</v>
      </c>
      <c r="N643" s="11">
        <f>M643*2*H643/1000</f>
        <v>0</v>
      </c>
      <c r="O643" s="16">
        <f>(D643)-N643</f>
        <v>3.8</v>
      </c>
      <c r="P643" s="16">
        <f>(I643*J643*O643)+L643</f>
        <v>64.599999999999994</v>
      </c>
      <c r="Q643" s="18" t="str">
        <f t="shared" si="48"/>
        <v/>
      </c>
      <c r="R643" s="18">
        <f t="shared" si="49"/>
        <v>64.599999999999994</v>
      </c>
      <c r="S643" s="18" t="str">
        <f t="shared" si="50"/>
        <v/>
      </c>
      <c r="T643" s="18" t="str">
        <f t="shared" si="51"/>
        <v/>
      </c>
      <c r="U643" s="18" t="str">
        <f t="shared" si="52"/>
        <v/>
      </c>
      <c r="V643" s="18" t="str">
        <f t="shared" si="53"/>
        <v/>
      </c>
      <c r="W643" s="14"/>
    </row>
    <row r="644" spans="1:23" x14ac:dyDescent="0.25">
      <c r="A644" s="6"/>
      <c r="B644" s="33" t="s">
        <v>145</v>
      </c>
      <c r="C644" s="19"/>
      <c r="D644" s="56"/>
      <c r="E644" s="56"/>
      <c r="F644" s="41"/>
      <c r="G644" s="36"/>
      <c r="H644" s="10"/>
      <c r="I644" s="11"/>
      <c r="J644" s="13"/>
      <c r="K644" s="45"/>
      <c r="L644" s="37"/>
      <c r="M644" s="17"/>
      <c r="N644" s="11"/>
      <c r="O644" s="16"/>
      <c r="P644" s="16"/>
      <c r="Q644" s="18" t="str">
        <f t="shared" si="48"/>
        <v/>
      </c>
      <c r="R644" s="18" t="str">
        <f t="shared" si="49"/>
        <v/>
      </c>
      <c r="S644" s="18" t="str">
        <f t="shared" si="50"/>
        <v/>
      </c>
      <c r="T644" s="18" t="str">
        <f t="shared" si="51"/>
        <v/>
      </c>
      <c r="U644" s="18" t="str">
        <f t="shared" si="52"/>
        <v/>
      </c>
      <c r="V644" s="18" t="str">
        <f t="shared" si="53"/>
        <v/>
      </c>
      <c r="W644" s="14"/>
    </row>
    <row r="645" spans="1:23" x14ac:dyDescent="0.25">
      <c r="A645" s="6"/>
      <c r="B645" s="50"/>
      <c r="C645" s="19"/>
      <c r="D645" s="56"/>
      <c r="E645" s="56"/>
      <c r="F645" s="41"/>
      <c r="G645" s="36"/>
      <c r="H645" s="10"/>
      <c r="I645" s="11"/>
      <c r="J645" s="13"/>
      <c r="K645" s="45"/>
      <c r="L645" s="37"/>
      <c r="M645" s="17"/>
      <c r="N645" s="11"/>
      <c r="O645" s="16"/>
      <c r="P645" s="16"/>
      <c r="Q645" s="18" t="str">
        <f t="shared" si="48"/>
        <v/>
      </c>
      <c r="R645" s="18" t="str">
        <f t="shared" si="49"/>
        <v/>
      </c>
      <c r="S645" s="18" t="str">
        <f t="shared" si="50"/>
        <v/>
      </c>
      <c r="T645" s="18" t="str">
        <f t="shared" si="51"/>
        <v/>
      </c>
      <c r="U645" s="18" t="str">
        <f t="shared" si="52"/>
        <v/>
      </c>
      <c r="V645" s="18" t="str">
        <f t="shared" si="53"/>
        <v/>
      </c>
      <c r="W645" s="14"/>
    </row>
    <row r="646" spans="1:23" x14ac:dyDescent="0.25">
      <c r="A646" s="6">
        <v>11</v>
      </c>
      <c r="B646" s="33" t="s">
        <v>94</v>
      </c>
      <c r="C646" s="44"/>
      <c r="D646" s="62">
        <v>3.8</v>
      </c>
      <c r="E646" s="62"/>
      <c r="F646" s="41"/>
      <c r="G646" s="36">
        <v>0.25</v>
      </c>
      <c r="H646" s="10">
        <v>10</v>
      </c>
      <c r="I646" s="11">
        <v>1</v>
      </c>
      <c r="J646" s="13">
        <f>ROUND(5.7/G646+1,0)</f>
        <v>24</v>
      </c>
      <c r="K646" s="45">
        <f>D646</f>
        <v>3.8</v>
      </c>
      <c r="L646" s="37" t="str">
        <f>IF(O646&lt;12,"0",0.049*H646)</f>
        <v>0</v>
      </c>
      <c r="M646" s="17">
        <v>0</v>
      </c>
      <c r="N646" s="11">
        <f>M646*2*H646/1000</f>
        <v>0</v>
      </c>
      <c r="O646" s="16">
        <f>(D646)-N646</f>
        <v>3.8</v>
      </c>
      <c r="P646" s="16">
        <f>(I646*J646*O646)+L646</f>
        <v>91.199999999999989</v>
      </c>
      <c r="Q646" s="18" t="str">
        <f t="shared" si="48"/>
        <v/>
      </c>
      <c r="R646" s="18">
        <f t="shared" si="49"/>
        <v>91.199999999999989</v>
      </c>
      <c r="S646" s="18" t="str">
        <f t="shared" si="50"/>
        <v/>
      </c>
      <c r="T646" s="18" t="str">
        <f t="shared" si="51"/>
        <v/>
      </c>
      <c r="U646" s="18" t="str">
        <f t="shared" si="52"/>
        <v/>
      </c>
      <c r="V646" s="18" t="str">
        <f t="shared" si="53"/>
        <v/>
      </c>
      <c r="W646" s="14"/>
    </row>
    <row r="647" spans="1:23" x14ac:dyDescent="0.25">
      <c r="A647" s="6"/>
      <c r="B647" s="33" t="s">
        <v>96</v>
      </c>
      <c r="C647" s="19"/>
      <c r="D647" s="56"/>
      <c r="E647" s="56"/>
      <c r="F647" s="41"/>
      <c r="G647" s="36"/>
      <c r="H647" s="10"/>
      <c r="I647" s="11"/>
      <c r="J647" s="13"/>
      <c r="K647" s="45"/>
      <c r="L647" s="37"/>
      <c r="M647" s="17"/>
      <c r="N647" s="11"/>
      <c r="O647" s="16"/>
      <c r="P647" s="16"/>
      <c r="Q647" s="18" t="str">
        <f t="shared" si="48"/>
        <v/>
      </c>
      <c r="R647" s="18" t="str">
        <f t="shared" si="49"/>
        <v/>
      </c>
      <c r="S647" s="18" t="str">
        <f t="shared" si="50"/>
        <v/>
      </c>
      <c r="T647" s="18" t="str">
        <f t="shared" si="51"/>
        <v/>
      </c>
      <c r="U647" s="18" t="str">
        <f t="shared" si="52"/>
        <v/>
      </c>
      <c r="V647" s="18" t="str">
        <f t="shared" si="53"/>
        <v/>
      </c>
      <c r="W647" s="14"/>
    </row>
    <row r="648" spans="1:23" x14ac:dyDescent="0.25">
      <c r="A648" s="6"/>
      <c r="B648" s="50"/>
      <c r="C648" s="19"/>
      <c r="D648" s="56"/>
      <c r="E648" s="56"/>
      <c r="F648" s="41"/>
      <c r="G648" s="36"/>
      <c r="H648" s="10"/>
      <c r="I648" s="11"/>
      <c r="J648" s="13"/>
      <c r="K648" s="45"/>
      <c r="L648" s="37"/>
      <c r="M648" s="17"/>
      <c r="N648" s="11"/>
      <c r="O648" s="16"/>
      <c r="P648" s="16"/>
      <c r="Q648" s="18" t="str">
        <f t="shared" si="48"/>
        <v/>
      </c>
      <c r="R648" s="18" t="str">
        <f t="shared" si="49"/>
        <v/>
      </c>
      <c r="S648" s="18" t="str">
        <f t="shared" si="50"/>
        <v/>
      </c>
      <c r="T648" s="18" t="str">
        <f t="shared" si="51"/>
        <v/>
      </c>
      <c r="U648" s="18" t="str">
        <f t="shared" si="52"/>
        <v/>
      </c>
      <c r="V648" s="18" t="str">
        <f t="shared" si="53"/>
        <v/>
      </c>
      <c r="W648" s="14"/>
    </row>
    <row r="649" spans="1:23" x14ac:dyDescent="0.25">
      <c r="A649" s="6">
        <v>12</v>
      </c>
      <c r="B649" s="33" t="s">
        <v>95</v>
      </c>
      <c r="C649" s="44"/>
      <c r="D649" s="62">
        <v>5.7</v>
      </c>
      <c r="E649" s="62"/>
      <c r="F649" s="41"/>
      <c r="G649" s="36">
        <v>0.25</v>
      </c>
      <c r="H649" s="10">
        <v>20</v>
      </c>
      <c r="I649" s="11">
        <v>1</v>
      </c>
      <c r="J649" s="13">
        <f>ROUND(5.8/G649+1,0)</f>
        <v>24</v>
      </c>
      <c r="K649" s="45">
        <f>D649</f>
        <v>5.7</v>
      </c>
      <c r="L649" s="37" t="str">
        <f>IF(O649&lt;12,"0",0.049*H649)</f>
        <v>0</v>
      </c>
      <c r="M649" s="17">
        <v>0</v>
      </c>
      <c r="N649" s="11">
        <f>M649*2*H649/1000</f>
        <v>0</v>
      </c>
      <c r="O649" s="16">
        <f>(D649)-N649</f>
        <v>5.7</v>
      </c>
      <c r="P649" s="16">
        <f>(I649*J649*O649)+L649</f>
        <v>136.80000000000001</v>
      </c>
      <c r="Q649" s="18" t="str">
        <f t="shared" si="48"/>
        <v/>
      </c>
      <c r="R649" s="18" t="str">
        <f t="shared" si="49"/>
        <v/>
      </c>
      <c r="S649" s="18" t="str">
        <f t="shared" si="50"/>
        <v/>
      </c>
      <c r="T649" s="18" t="str">
        <f t="shared" si="51"/>
        <v/>
      </c>
      <c r="U649" s="18">
        <f t="shared" si="52"/>
        <v>136.80000000000001</v>
      </c>
      <c r="V649" s="18" t="str">
        <f t="shared" si="53"/>
        <v/>
      </c>
      <c r="W649" s="14"/>
    </row>
    <row r="650" spans="1:23" x14ac:dyDescent="0.25">
      <c r="A650" s="6"/>
      <c r="B650" s="33" t="s">
        <v>96</v>
      </c>
      <c r="C650" s="19"/>
      <c r="D650" s="56"/>
      <c r="E650" s="56"/>
      <c r="F650" s="41"/>
      <c r="G650" s="36"/>
      <c r="H650" s="10"/>
      <c r="I650" s="11"/>
      <c r="J650" s="13"/>
      <c r="K650" s="45"/>
      <c r="L650" s="37"/>
      <c r="M650" s="17"/>
      <c r="N650" s="11"/>
      <c r="O650" s="16"/>
      <c r="P650" s="16"/>
      <c r="Q650" s="18" t="str">
        <f t="shared" si="48"/>
        <v/>
      </c>
      <c r="R650" s="18" t="str">
        <f t="shared" si="49"/>
        <v/>
      </c>
      <c r="S650" s="18" t="str">
        <f t="shared" si="50"/>
        <v/>
      </c>
      <c r="T650" s="18" t="str">
        <f t="shared" si="51"/>
        <v/>
      </c>
      <c r="U650" s="18" t="str">
        <f t="shared" si="52"/>
        <v/>
      </c>
      <c r="V650" s="18" t="str">
        <f t="shared" si="53"/>
        <v/>
      </c>
      <c r="W650" s="14"/>
    </row>
    <row r="651" spans="1:23" x14ac:dyDescent="0.25">
      <c r="A651" s="6"/>
      <c r="B651" s="50"/>
      <c r="C651" s="19"/>
      <c r="D651" s="56"/>
      <c r="E651" s="56"/>
      <c r="F651" s="41"/>
      <c r="G651" s="36"/>
      <c r="H651" s="10"/>
      <c r="I651" s="11"/>
      <c r="J651" s="13"/>
      <c r="K651" s="45"/>
      <c r="L651" s="37"/>
      <c r="M651" s="17"/>
      <c r="N651" s="11"/>
      <c r="O651" s="16"/>
      <c r="P651" s="16"/>
      <c r="Q651" s="18" t="str">
        <f t="shared" si="48"/>
        <v/>
      </c>
      <c r="R651" s="18" t="str">
        <f t="shared" si="49"/>
        <v/>
      </c>
      <c r="S651" s="18" t="str">
        <f t="shared" si="50"/>
        <v/>
      </c>
      <c r="T651" s="18" t="str">
        <f t="shared" si="51"/>
        <v/>
      </c>
      <c r="U651" s="18" t="str">
        <f t="shared" si="52"/>
        <v/>
      </c>
      <c r="V651" s="18" t="str">
        <f t="shared" si="53"/>
        <v/>
      </c>
      <c r="W651" s="14"/>
    </row>
    <row r="652" spans="1:23" x14ac:dyDescent="0.25">
      <c r="A652" s="6">
        <v>13</v>
      </c>
      <c r="B652" s="33" t="s">
        <v>95</v>
      </c>
      <c r="C652" s="44"/>
      <c r="D652" s="62">
        <v>5.7</v>
      </c>
      <c r="E652" s="62"/>
      <c r="F652" s="41"/>
      <c r="G652" s="36">
        <v>0.25</v>
      </c>
      <c r="H652" s="10">
        <v>16</v>
      </c>
      <c r="I652" s="11">
        <v>1</v>
      </c>
      <c r="J652" s="13">
        <f>ROUND(2.25/G652+1,0)</f>
        <v>10</v>
      </c>
      <c r="K652" s="45">
        <f>D652</f>
        <v>5.7</v>
      </c>
      <c r="L652" s="37" t="str">
        <f>IF(O652&lt;12,"0",0.049*H652)</f>
        <v>0</v>
      </c>
      <c r="M652" s="17">
        <v>0</v>
      </c>
      <c r="N652" s="11">
        <f>M652*2*H652/1000</f>
        <v>0</v>
      </c>
      <c r="O652" s="16">
        <f>(D652)-N652</f>
        <v>5.7</v>
      </c>
      <c r="P652" s="16">
        <f>(I652*J652*O652)+L652</f>
        <v>57</v>
      </c>
      <c r="Q652" s="18" t="str">
        <f t="shared" si="48"/>
        <v/>
      </c>
      <c r="R652" s="18" t="str">
        <f t="shared" si="49"/>
        <v/>
      </c>
      <c r="S652" s="18" t="str">
        <f t="shared" si="50"/>
        <v/>
      </c>
      <c r="T652" s="18">
        <f t="shared" si="51"/>
        <v>57</v>
      </c>
      <c r="U652" s="18" t="str">
        <f t="shared" si="52"/>
        <v/>
      </c>
      <c r="V652" s="18" t="str">
        <f t="shared" si="53"/>
        <v/>
      </c>
      <c r="W652" s="14"/>
    </row>
    <row r="653" spans="1:23" x14ac:dyDescent="0.25">
      <c r="A653" s="6"/>
      <c r="B653" s="33" t="s">
        <v>96</v>
      </c>
      <c r="C653" s="19"/>
      <c r="D653" s="56"/>
      <c r="E653" s="56"/>
      <c r="F653" s="41"/>
      <c r="G653" s="36"/>
      <c r="H653" s="10"/>
      <c r="I653" s="11"/>
      <c r="J653" s="13"/>
      <c r="K653" s="45"/>
      <c r="L653" s="37"/>
      <c r="M653" s="17"/>
      <c r="N653" s="11"/>
      <c r="O653" s="16"/>
      <c r="P653" s="16"/>
      <c r="Q653" s="18" t="str">
        <f t="shared" si="48"/>
        <v/>
      </c>
      <c r="R653" s="18" t="str">
        <f t="shared" si="49"/>
        <v/>
      </c>
      <c r="S653" s="18" t="str">
        <f t="shared" si="50"/>
        <v/>
      </c>
      <c r="T653" s="18" t="str">
        <f t="shared" si="51"/>
        <v/>
      </c>
      <c r="U653" s="18" t="str">
        <f t="shared" si="52"/>
        <v/>
      </c>
      <c r="V653" s="18" t="str">
        <f t="shared" si="53"/>
        <v/>
      </c>
      <c r="W653" s="14"/>
    </row>
    <row r="654" spans="1:23" x14ac:dyDescent="0.25">
      <c r="A654" s="6"/>
      <c r="B654" s="50"/>
      <c r="C654" s="19"/>
      <c r="D654" s="56"/>
      <c r="E654" s="56"/>
      <c r="F654" s="41"/>
      <c r="G654" s="36"/>
      <c r="H654" s="10"/>
      <c r="I654" s="11"/>
      <c r="J654" s="13"/>
      <c r="K654" s="45"/>
      <c r="L654" s="37"/>
      <c r="M654" s="17"/>
      <c r="N654" s="11"/>
      <c r="O654" s="16"/>
      <c r="P654" s="16"/>
      <c r="Q654" s="18" t="str">
        <f t="shared" si="48"/>
        <v/>
      </c>
      <c r="R654" s="18" t="str">
        <f t="shared" si="49"/>
        <v/>
      </c>
      <c r="S654" s="18" t="str">
        <f t="shared" si="50"/>
        <v/>
      </c>
      <c r="T654" s="18" t="str">
        <f t="shared" si="51"/>
        <v/>
      </c>
      <c r="U654" s="18" t="str">
        <f t="shared" si="52"/>
        <v/>
      </c>
      <c r="V654" s="18" t="str">
        <f t="shared" si="53"/>
        <v/>
      </c>
      <c r="W654" s="14"/>
    </row>
    <row r="655" spans="1:23" x14ac:dyDescent="0.25">
      <c r="A655" s="6">
        <v>14</v>
      </c>
      <c r="B655" s="33" t="s">
        <v>94</v>
      </c>
      <c r="C655" s="44"/>
      <c r="D655" s="62">
        <v>2.5150000000000001</v>
      </c>
      <c r="E655" s="62"/>
      <c r="F655" s="41"/>
      <c r="G655" s="36">
        <v>0.25</v>
      </c>
      <c r="H655" s="10">
        <v>12</v>
      </c>
      <c r="I655" s="11">
        <v>1</v>
      </c>
      <c r="J655" s="13">
        <f>ROUND(4.06/G655+1,0)</f>
        <v>17</v>
      </c>
      <c r="K655" s="45">
        <f>D655</f>
        <v>2.5150000000000001</v>
      </c>
      <c r="L655" s="37" t="str">
        <f>IF(O655&lt;12,"0",0.049*H655)</f>
        <v>0</v>
      </c>
      <c r="M655" s="17">
        <v>0</v>
      </c>
      <c r="N655" s="11">
        <f>M655*2*H655/1000</f>
        <v>0</v>
      </c>
      <c r="O655" s="16">
        <f>(D655)-N655</f>
        <v>2.5150000000000001</v>
      </c>
      <c r="P655" s="16">
        <f>(I655*J655*O655)+L655</f>
        <v>42.755000000000003</v>
      </c>
      <c r="Q655" s="18" t="str">
        <f t="shared" si="48"/>
        <v/>
      </c>
      <c r="R655" s="18" t="str">
        <f t="shared" si="49"/>
        <v/>
      </c>
      <c r="S655" s="18">
        <f t="shared" si="50"/>
        <v>42.755000000000003</v>
      </c>
      <c r="T655" s="18" t="str">
        <f t="shared" si="51"/>
        <v/>
      </c>
      <c r="U655" s="18" t="str">
        <f t="shared" si="52"/>
        <v/>
      </c>
      <c r="V655" s="18" t="str">
        <f t="shared" si="53"/>
        <v/>
      </c>
      <c r="W655" s="14"/>
    </row>
    <row r="656" spans="1:23" x14ac:dyDescent="0.25">
      <c r="A656" s="6"/>
      <c r="B656" s="33" t="s">
        <v>146</v>
      </c>
      <c r="C656" s="19"/>
      <c r="D656" s="56"/>
      <c r="E656" s="56"/>
      <c r="F656" s="41"/>
      <c r="G656" s="36"/>
      <c r="H656" s="10"/>
      <c r="I656" s="11"/>
      <c r="J656" s="13"/>
      <c r="K656" s="45"/>
      <c r="L656" s="37"/>
      <c r="M656" s="17"/>
      <c r="N656" s="11"/>
      <c r="O656" s="16"/>
      <c r="P656" s="16"/>
      <c r="Q656" s="18" t="str">
        <f t="shared" si="48"/>
        <v/>
      </c>
      <c r="R656" s="18" t="str">
        <f t="shared" si="49"/>
        <v/>
      </c>
      <c r="S656" s="18" t="str">
        <f t="shared" si="50"/>
        <v/>
      </c>
      <c r="T656" s="18" t="str">
        <f t="shared" si="51"/>
        <v/>
      </c>
      <c r="U656" s="18" t="str">
        <f t="shared" si="52"/>
        <v/>
      </c>
      <c r="V656" s="18" t="str">
        <f t="shared" si="53"/>
        <v/>
      </c>
      <c r="W656" s="14"/>
    </row>
    <row r="657" spans="1:23" x14ac:dyDescent="0.25">
      <c r="A657" s="6"/>
      <c r="B657" s="50"/>
      <c r="C657" s="19"/>
      <c r="D657" s="56"/>
      <c r="E657" s="56"/>
      <c r="F657" s="41"/>
      <c r="G657" s="36"/>
      <c r="H657" s="10"/>
      <c r="I657" s="11"/>
      <c r="J657" s="13"/>
      <c r="K657" s="45"/>
      <c r="L657" s="37"/>
      <c r="M657" s="17"/>
      <c r="N657" s="11"/>
      <c r="O657" s="16"/>
      <c r="P657" s="16"/>
      <c r="Q657" s="18" t="str">
        <f t="shared" si="48"/>
        <v/>
      </c>
      <c r="R657" s="18" t="str">
        <f t="shared" si="49"/>
        <v/>
      </c>
      <c r="S657" s="18" t="str">
        <f t="shared" si="50"/>
        <v/>
      </c>
      <c r="T657" s="18" t="str">
        <f t="shared" si="51"/>
        <v/>
      </c>
      <c r="U657" s="18" t="str">
        <f t="shared" si="52"/>
        <v/>
      </c>
      <c r="V657" s="18" t="str">
        <f t="shared" si="53"/>
        <v/>
      </c>
      <c r="W657" s="14"/>
    </row>
    <row r="658" spans="1:23" x14ac:dyDescent="0.25">
      <c r="A658" s="6">
        <v>15</v>
      </c>
      <c r="B658" s="33" t="s">
        <v>94</v>
      </c>
      <c r="C658" s="44"/>
      <c r="D658" s="62">
        <v>4.1900000000000004</v>
      </c>
      <c r="E658" s="62"/>
      <c r="F658" s="41"/>
      <c r="G658" s="36">
        <v>0.25</v>
      </c>
      <c r="H658" s="10">
        <v>12</v>
      </c>
      <c r="I658" s="11">
        <v>1</v>
      </c>
      <c r="J658" s="13">
        <f>ROUND(2.56/G658+1,0)</f>
        <v>11</v>
      </c>
      <c r="K658" s="45">
        <f>D658</f>
        <v>4.1900000000000004</v>
      </c>
      <c r="L658" s="37" t="str">
        <f>IF(O658&lt;12,"0",0.049*H658)</f>
        <v>0</v>
      </c>
      <c r="M658" s="17">
        <v>0</v>
      </c>
      <c r="N658" s="11">
        <f>M658*2*H658/1000</f>
        <v>0</v>
      </c>
      <c r="O658" s="16">
        <f>(D658)-N658</f>
        <v>4.1900000000000004</v>
      </c>
      <c r="P658" s="16">
        <f>(I658*J658*O658)+L658</f>
        <v>46.09</v>
      </c>
      <c r="Q658" s="18" t="str">
        <f t="shared" si="48"/>
        <v/>
      </c>
      <c r="R658" s="18" t="str">
        <f t="shared" si="49"/>
        <v/>
      </c>
      <c r="S658" s="18">
        <f t="shared" si="50"/>
        <v>46.09</v>
      </c>
      <c r="T658" s="18" t="str">
        <f t="shared" si="51"/>
        <v/>
      </c>
      <c r="U658" s="18" t="str">
        <f t="shared" si="52"/>
        <v/>
      </c>
      <c r="V658" s="18" t="str">
        <f t="shared" si="53"/>
        <v/>
      </c>
      <c r="W658" s="14"/>
    </row>
    <row r="659" spans="1:23" x14ac:dyDescent="0.25">
      <c r="A659" s="6"/>
      <c r="B659" s="33" t="s">
        <v>147</v>
      </c>
      <c r="C659" s="19"/>
      <c r="D659" s="56"/>
      <c r="E659" s="56"/>
      <c r="F659" s="41"/>
      <c r="G659" s="36"/>
      <c r="H659" s="10"/>
      <c r="I659" s="11"/>
      <c r="J659" s="13"/>
      <c r="K659" s="45"/>
      <c r="L659" s="37"/>
      <c r="M659" s="17"/>
      <c r="N659" s="11"/>
      <c r="O659" s="16"/>
      <c r="P659" s="16"/>
      <c r="Q659" s="18" t="str">
        <f t="shared" si="48"/>
        <v/>
      </c>
      <c r="R659" s="18" t="str">
        <f t="shared" si="49"/>
        <v/>
      </c>
      <c r="S659" s="18" t="str">
        <f t="shared" si="50"/>
        <v/>
      </c>
      <c r="T659" s="18" t="str">
        <f t="shared" si="51"/>
        <v/>
      </c>
      <c r="U659" s="18" t="str">
        <f t="shared" si="52"/>
        <v/>
      </c>
      <c r="V659" s="18" t="str">
        <f t="shared" si="53"/>
        <v/>
      </c>
      <c r="W659" s="14"/>
    </row>
    <row r="660" spans="1:23" x14ac:dyDescent="0.25">
      <c r="A660" s="6"/>
      <c r="B660" s="50"/>
      <c r="C660" s="19"/>
      <c r="D660" s="56"/>
      <c r="E660" s="56"/>
      <c r="F660" s="41"/>
      <c r="G660" s="36"/>
      <c r="H660" s="10"/>
      <c r="I660" s="11"/>
      <c r="J660" s="13"/>
      <c r="K660" s="45"/>
      <c r="L660" s="37"/>
      <c r="M660" s="17"/>
      <c r="N660" s="11"/>
      <c r="O660" s="16"/>
      <c r="P660" s="16"/>
      <c r="Q660" s="18" t="str">
        <f t="shared" ref="Q660:Q783" si="54">IF($H660=8,$P660,"")</f>
        <v/>
      </c>
      <c r="R660" s="18" t="str">
        <f t="shared" ref="R660:R783" si="55">IF($H660=10,$P660,"")</f>
        <v/>
      </c>
      <c r="S660" s="18" t="str">
        <f t="shared" ref="S660:S783" si="56">IF($H660=12,$P660,"")</f>
        <v/>
      </c>
      <c r="T660" s="18" t="str">
        <f t="shared" ref="T660:T783" si="57">IF($H660=16,$P660,"")</f>
        <v/>
      </c>
      <c r="U660" s="18" t="str">
        <f t="shared" ref="U660:U783" si="58">IF($H660=20,$P660,"")</f>
        <v/>
      </c>
      <c r="V660" s="18" t="str">
        <f t="shared" ref="V660:V783" si="59">IF($H660=25,$P660,"")</f>
        <v/>
      </c>
      <c r="W660" s="14"/>
    </row>
    <row r="661" spans="1:23" x14ac:dyDescent="0.25">
      <c r="A661" s="6">
        <v>16</v>
      </c>
      <c r="B661" s="33" t="s">
        <v>94</v>
      </c>
      <c r="C661" s="44"/>
      <c r="D661" s="62">
        <v>7.71</v>
      </c>
      <c r="E661" s="62"/>
      <c r="F661" s="41"/>
      <c r="G661" s="36">
        <v>0.25</v>
      </c>
      <c r="H661" s="10">
        <v>12</v>
      </c>
      <c r="I661" s="11">
        <v>1</v>
      </c>
      <c r="J661" s="13">
        <f>ROUND(2.635/G661+1,0)</f>
        <v>12</v>
      </c>
      <c r="K661" s="45">
        <f>D661</f>
        <v>7.71</v>
      </c>
      <c r="L661" s="37" t="str">
        <f>IF(O661&lt;12,"0",0.049*H661)</f>
        <v>0</v>
      </c>
      <c r="M661" s="17">
        <v>0</v>
      </c>
      <c r="N661" s="11">
        <f>M661*2*H661/1000</f>
        <v>0</v>
      </c>
      <c r="O661" s="16">
        <f>(D661)-N661</f>
        <v>7.71</v>
      </c>
      <c r="P661" s="16">
        <f>(I661*J661*O661)+L661</f>
        <v>92.52</v>
      </c>
      <c r="Q661" s="18" t="str">
        <f t="shared" si="54"/>
        <v/>
      </c>
      <c r="R661" s="18" t="str">
        <f t="shared" si="55"/>
        <v/>
      </c>
      <c r="S661" s="18">
        <f t="shared" si="56"/>
        <v>92.52</v>
      </c>
      <c r="T661" s="18" t="str">
        <f t="shared" si="57"/>
        <v/>
      </c>
      <c r="U661" s="18" t="str">
        <f t="shared" si="58"/>
        <v/>
      </c>
      <c r="V661" s="18" t="str">
        <f t="shared" si="59"/>
        <v/>
      </c>
      <c r="W661" s="14"/>
    </row>
    <row r="662" spans="1:23" x14ac:dyDescent="0.25">
      <c r="A662" s="6"/>
      <c r="B662" s="33" t="s">
        <v>148</v>
      </c>
      <c r="C662" s="19"/>
      <c r="D662" s="56"/>
      <c r="E662" s="56"/>
      <c r="F662" s="41"/>
      <c r="G662" s="36"/>
      <c r="H662" s="10"/>
      <c r="I662" s="11"/>
      <c r="J662" s="13"/>
      <c r="K662" s="45"/>
      <c r="L662" s="37"/>
      <c r="M662" s="17"/>
      <c r="N662" s="11"/>
      <c r="O662" s="16"/>
      <c r="P662" s="16"/>
      <c r="Q662" s="18" t="str">
        <f t="shared" si="54"/>
        <v/>
      </c>
      <c r="R662" s="18" t="str">
        <f t="shared" si="55"/>
        <v/>
      </c>
      <c r="S662" s="18" t="str">
        <f t="shared" si="56"/>
        <v/>
      </c>
      <c r="T662" s="18" t="str">
        <f t="shared" si="57"/>
        <v/>
      </c>
      <c r="U662" s="18" t="str">
        <f t="shared" si="58"/>
        <v/>
      </c>
      <c r="V662" s="18" t="str">
        <f t="shared" si="59"/>
        <v/>
      </c>
      <c r="W662" s="14"/>
    </row>
    <row r="663" spans="1:23" x14ac:dyDescent="0.25">
      <c r="A663" s="6"/>
      <c r="B663" s="50"/>
      <c r="C663" s="19"/>
      <c r="D663" s="56"/>
      <c r="E663" s="56"/>
      <c r="F663" s="41"/>
      <c r="G663" s="36"/>
      <c r="H663" s="10"/>
      <c r="I663" s="11"/>
      <c r="J663" s="13"/>
      <c r="K663" s="45"/>
      <c r="L663" s="37"/>
      <c r="M663" s="17"/>
      <c r="N663" s="11"/>
      <c r="O663" s="16"/>
      <c r="P663" s="16"/>
      <c r="Q663" s="18" t="str">
        <f t="shared" si="54"/>
        <v/>
      </c>
      <c r="R663" s="18" t="str">
        <f t="shared" si="55"/>
        <v/>
      </c>
      <c r="S663" s="18" t="str">
        <f t="shared" si="56"/>
        <v/>
      </c>
      <c r="T663" s="18" t="str">
        <f t="shared" si="57"/>
        <v/>
      </c>
      <c r="U663" s="18" t="str">
        <f t="shared" si="58"/>
        <v/>
      </c>
      <c r="V663" s="18" t="str">
        <f t="shared" si="59"/>
        <v/>
      </c>
      <c r="W663" s="14"/>
    </row>
    <row r="664" spans="1:23" x14ac:dyDescent="0.25">
      <c r="A664" s="6">
        <v>17</v>
      </c>
      <c r="B664" s="33" t="s">
        <v>94</v>
      </c>
      <c r="C664" s="44"/>
      <c r="D664" s="62">
        <v>2.7850000000000001</v>
      </c>
      <c r="E664" s="62"/>
      <c r="F664" s="41"/>
      <c r="G664" s="36">
        <v>0.25</v>
      </c>
      <c r="H664" s="10">
        <v>12</v>
      </c>
      <c r="I664" s="11">
        <v>1</v>
      </c>
      <c r="J664" s="13">
        <f>ROUND(2.615/G664+1,0)</f>
        <v>11</v>
      </c>
      <c r="K664" s="45">
        <f>D664</f>
        <v>2.7850000000000001</v>
      </c>
      <c r="L664" s="37" t="str">
        <f>IF(O664&lt;12,"0",0.049*H664)</f>
        <v>0</v>
      </c>
      <c r="M664" s="17">
        <v>0</v>
      </c>
      <c r="N664" s="11">
        <f>M664*2*H664/1000</f>
        <v>0</v>
      </c>
      <c r="O664" s="16">
        <f>(D664)-N664</f>
        <v>2.7850000000000001</v>
      </c>
      <c r="P664" s="16">
        <f>(I664*J664*O664)+L664</f>
        <v>30.635000000000002</v>
      </c>
      <c r="Q664" s="18" t="str">
        <f t="shared" si="54"/>
        <v/>
      </c>
      <c r="R664" s="18" t="str">
        <f t="shared" si="55"/>
        <v/>
      </c>
      <c r="S664" s="18">
        <f t="shared" si="56"/>
        <v>30.635000000000002</v>
      </c>
      <c r="T664" s="18" t="str">
        <f t="shared" si="57"/>
        <v/>
      </c>
      <c r="U664" s="18" t="str">
        <f t="shared" si="58"/>
        <v/>
      </c>
      <c r="V664" s="18" t="str">
        <f t="shared" si="59"/>
        <v/>
      </c>
      <c r="W664" s="14"/>
    </row>
    <row r="665" spans="1:23" x14ac:dyDescent="0.25">
      <c r="A665" s="6"/>
      <c r="B665" s="33" t="s">
        <v>149</v>
      </c>
      <c r="C665" s="19"/>
      <c r="D665" s="56"/>
      <c r="E665" s="56"/>
      <c r="F665" s="41"/>
      <c r="G665" s="36"/>
      <c r="H665" s="10"/>
      <c r="I665" s="11"/>
      <c r="J665" s="13"/>
      <c r="K665" s="45"/>
      <c r="L665" s="37"/>
      <c r="M665" s="17"/>
      <c r="N665" s="11"/>
      <c r="O665" s="16"/>
      <c r="P665" s="16"/>
      <c r="Q665" s="18" t="str">
        <f t="shared" si="54"/>
        <v/>
      </c>
      <c r="R665" s="18" t="str">
        <f t="shared" si="55"/>
        <v/>
      </c>
      <c r="S665" s="18" t="str">
        <f t="shared" si="56"/>
        <v/>
      </c>
      <c r="T665" s="18" t="str">
        <f t="shared" si="57"/>
        <v/>
      </c>
      <c r="U665" s="18" t="str">
        <f t="shared" si="58"/>
        <v/>
      </c>
      <c r="V665" s="18" t="str">
        <f t="shared" si="59"/>
        <v/>
      </c>
      <c r="W665" s="14"/>
    </row>
    <row r="666" spans="1:23" x14ac:dyDescent="0.25">
      <c r="A666" s="6"/>
      <c r="B666" s="50"/>
      <c r="C666" s="19"/>
      <c r="D666" s="56"/>
      <c r="E666" s="56"/>
      <c r="F666" s="41"/>
      <c r="G666" s="36"/>
      <c r="H666" s="10"/>
      <c r="I666" s="11"/>
      <c r="J666" s="13"/>
      <c r="K666" s="45"/>
      <c r="L666" s="37"/>
      <c r="M666" s="17"/>
      <c r="N666" s="11"/>
      <c r="O666" s="16"/>
      <c r="P666" s="16"/>
      <c r="Q666" s="18" t="str">
        <f t="shared" si="54"/>
        <v/>
      </c>
      <c r="R666" s="18" t="str">
        <f t="shared" si="55"/>
        <v/>
      </c>
      <c r="S666" s="18" t="str">
        <f t="shared" si="56"/>
        <v/>
      </c>
      <c r="T666" s="18" t="str">
        <f t="shared" si="57"/>
        <v/>
      </c>
      <c r="U666" s="18" t="str">
        <f t="shared" si="58"/>
        <v/>
      </c>
      <c r="V666" s="18" t="str">
        <f t="shared" si="59"/>
        <v/>
      </c>
      <c r="W666" s="14"/>
    </row>
    <row r="667" spans="1:23" x14ac:dyDescent="0.25">
      <c r="A667" s="6">
        <v>18</v>
      </c>
      <c r="B667" s="33" t="s">
        <v>95</v>
      </c>
      <c r="C667" s="44"/>
      <c r="D667" s="62">
        <v>2.6150000000000002</v>
      </c>
      <c r="E667" s="62"/>
      <c r="F667" s="41"/>
      <c r="G667" s="36">
        <v>0.25</v>
      </c>
      <c r="H667" s="10">
        <v>20</v>
      </c>
      <c r="I667" s="11">
        <v>1</v>
      </c>
      <c r="J667" s="13">
        <f>ROUND(2.785/G667+1,0)</f>
        <v>12</v>
      </c>
      <c r="K667" s="45">
        <f>D667</f>
        <v>2.6150000000000002</v>
      </c>
      <c r="L667" s="37" t="str">
        <f>IF(O667&lt;12,"0",0.049*H667)</f>
        <v>0</v>
      </c>
      <c r="M667" s="17">
        <v>0</v>
      </c>
      <c r="N667" s="11">
        <f>M667*2*H667/1000</f>
        <v>0</v>
      </c>
      <c r="O667" s="16">
        <f>(D667)-N667</f>
        <v>2.6150000000000002</v>
      </c>
      <c r="P667" s="16">
        <f>(I667*J667*O667)+L667</f>
        <v>31.380000000000003</v>
      </c>
      <c r="Q667" s="18" t="str">
        <f t="shared" si="54"/>
        <v/>
      </c>
      <c r="R667" s="18" t="str">
        <f t="shared" si="55"/>
        <v/>
      </c>
      <c r="S667" s="18" t="str">
        <f t="shared" si="56"/>
        <v/>
      </c>
      <c r="T667" s="18" t="str">
        <f t="shared" si="57"/>
        <v/>
      </c>
      <c r="U667" s="18">
        <f t="shared" si="58"/>
        <v>31.380000000000003</v>
      </c>
      <c r="V667" s="18" t="str">
        <f t="shared" si="59"/>
        <v/>
      </c>
      <c r="W667" s="14"/>
    </row>
    <row r="668" spans="1:23" x14ac:dyDescent="0.25">
      <c r="A668" s="6"/>
      <c r="B668" s="33" t="s">
        <v>149</v>
      </c>
      <c r="C668" s="19"/>
      <c r="D668" s="56"/>
      <c r="E668" s="56"/>
      <c r="F668" s="41"/>
      <c r="G668" s="36"/>
      <c r="H668" s="10"/>
      <c r="I668" s="11"/>
      <c r="J668" s="13"/>
      <c r="K668" s="45"/>
      <c r="L668" s="37"/>
      <c r="M668" s="17"/>
      <c r="N668" s="11"/>
      <c r="O668" s="16"/>
      <c r="P668" s="16"/>
      <c r="Q668" s="18" t="str">
        <f t="shared" si="54"/>
        <v/>
      </c>
      <c r="R668" s="18" t="str">
        <f t="shared" si="55"/>
        <v/>
      </c>
      <c r="S668" s="18" t="str">
        <f t="shared" si="56"/>
        <v/>
      </c>
      <c r="T668" s="18" t="str">
        <f t="shared" si="57"/>
        <v/>
      </c>
      <c r="U668" s="18" t="str">
        <f t="shared" si="58"/>
        <v/>
      </c>
      <c r="V668" s="18" t="str">
        <f t="shared" si="59"/>
        <v/>
      </c>
      <c r="W668" s="14"/>
    </row>
    <row r="669" spans="1:23" x14ac:dyDescent="0.25">
      <c r="A669" s="6"/>
      <c r="B669" s="50"/>
      <c r="C669" s="19"/>
      <c r="D669" s="56"/>
      <c r="E669" s="56"/>
      <c r="F669" s="41"/>
      <c r="G669" s="36"/>
      <c r="H669" s="10"/>
      <c r="I669" s="11"/>
      <c r="J669" s="13"/>
      <c r="K669" s="45"/>
      <c r="L669" s="37"/>
      <c r="M669" s="17"/>
      <c r="N669" s="11"/>
      <c r="O669" s="16"/>
      <c r="P669" s="16"/>
      <c r="Q669" s="18" t="str">
        <f t="shared" si="54"/>
        <v/>
      </c>
      <c r="R669" s="18" t="str">
        <f t="shared" si="55"/>
        <v/>
      </c>
      <c r="S669" s="18" t="str">
        <f t="shared" si="56"/>
        <v/>
      </c>
      <c r="T669" s="18" t="str">
        <f t="shared" si="57"/>
        <v/>
      </c>
      <c r="U669" s="18" t="str">
        <f t="shared" si="58"/>
        <v/>
      </c>
      <c r="V669" s="18" t="str">
        <f t="shared" si="59"/>
        <v/>
      </c>
      <c r="W669" s="14"/>
    </row>
    <row r="670" spans="1:23" x14ac:dyDescent="0.25">
      <c r="A670" s="6">
        <v>19</v>
      </c>
      <c r="B670" s="33" t="s">
        <v>94</v>
      </c>
      <c r="C670" s="44"/>
      <c r="D670" s="62">
        <v>4.12</v>
      </c>
      <c r="E670" s="62"/>
      <c r="F670" s="41"/>
      <c r="G670" s="36">
        <v>0.25</v>
      </c>
      <c r="H670" s="10">
        <v>20</v>
      </c>
      <c r="I670" s="11">
        <v>1</v>
      </c>
      <c r="J670" s="13">
        <f>ROUND(8.23/G670+1,0)</f>
        <v>34</v>
      </c>
      <c r="K670" s="45">
        <f>D670</f>
        <v>4.12</v>
      </c>
      <c r="L670" s="37" t="str">
        <f>IF(O670&lt;12,"0",0.049*H670)</f>
        <v>0</v>
      </c>
      <c r="M670" s="17">
        <v>0</v>
      </c>
      <c r="N670" s="11">
        <f>M670*2*H670/1000</f>
        <v>0</v>
      </c>
      <c r="O670" s="16">
        <f>(D670)-N670</f>
        <v>4.12</v>
      </c>
      <c r="P670" s="16">
        <f>(I670*J670*O670)+L670</f>
        <v>140.08000000000001</v>
      </c>
      <c r="Q670" s="18" t="str">
        <f t="shared" si="54"/>
        <v/>
      </c>
      <c r="R670" s="18" t="str">
        <f t="shared" si="55"/>
        <v/>
      </c>
      <c r="S670" s="18" t="str">
        <f t="shared" si="56"/>
        <v/>
      </c>
      <c r="T670" s="18" t="str">
        <f t="shared" si="57"/>
        <v/>
      </c>
      <c r="U670" s="18">
        <f t="shared" si="58"/>
        <v>140.08000000000001</v>
      </c>
      <c r="V670" s="18" t="str">
        <f t="shared" si="59"/>
        <v/>
      </c>
      <c r="W670" s="14"/>
    </row>
    <row r="671" spans="1:23" x14ac:dyDescent="0.25">
      <c r="A671" s="6"/>
      <c r="B671" s="33" t="s">
        <v>150</v>
      </c>
      <c r="C671" s="19"/>
      <c r="D671" s="56"/>
      <c r="E671" s="56"/>
      <c r="F671" s="41"/>
      <c r="G671" s="36"/>
      <c r="H671" s="10"/>
      <c r="I671" s="11"/>
      <c r="J671" s="13"/>
      <c r="K671" s="45"/>
      <c r="L671" s="37"/>
      <c r="M671" s="17"/>
      <c r="N671" s="11"/>
      <c r="O671" s="16"/>
      <c r="P671" s="16"/>
      <c r="Q671" s="18" t="str">
        <f t="shared" si="54"/>
        <v/>
      </c>
      <c r="R671" s="18" t="str">
        <f t="shared" si="55"/>
        <v/>
      </c>
      <c r="S671" s="18" t="str">
        <f t="shared" si="56"/>
        <v/>
      </c>
      <c r="T671" s="18" t="str">
        <f t="shared" si="57"/>
        <v/>
      </c>
      <c r="U671" s="18" t="str">
        <f t="shared" si="58"/>
        <v/>
      </c>
      <c r="V671" s="18" t="str">
        <f t="shared" si="59"/>
        <v/>
      </c>
      <c r="W671" s="14"/>
    </row>
    <row r="672" spans="1:23" x14ac:dyDescent="0.25">
      <c r="A672" s="6"/>
      <c r="B672" s="50"/>
      <c r="C672" s="19"/>
      <c r="D672" s="56"/>
      <c r="E672" s="56"/>
      <c r="F672" s="41"/>
      <c r="G672" s="36"/>
      <c r="H672" s="10"/>
      <c r="I672" s="11"/>
      <c r="J672" s="13"/>
      <c r="K672" s="45"/>
      <c r="L672" s="37"/>
      <c r="M672" s="17"/>
      <c r="N672" s="11"/>
      <c r="O672" s="16"/>
      <c r="P672" s="16"/>
      <c r="Q672" s="18" t="str">
        <f t="shared" si="54"/>
        <v/>
      </c>
      <c r="R672" s="18" t="str">
        <f t="shared" si="55"/>
        <v/>
      </c>
      <c r="S672" s="18" t="str">
        <f t="shared" si="56"/>
        <v/>
      </c>
      <c r="T672" s="18" t="str">
        <f t="shared" si="57"/>
        <v/>
      </c>
      <c r="U672" s="18" t="str">
        <f t="shared" si="58"/>
        <v/>
      </c>
      <c r="V672" s="18" t="str">
        <f t="shared" si="59"/>
        <v/>
      </c>
      <c r="W672" s="14"/>
    </row>
    <row r="673" spans="1:23" x14ac:dyDescent="0.25">
      <c r="A673" s="6">
        <v>20</v>
      </c>
      <c r="B673" s="33" t="s">
        <v>95</v>
      </c>
      <c r="C673" s="44"/>
      <c r="D673" s="62">
        <v>3.12</v>
      </c>
      <c r="E673" s="62"/>
      <c r="F673" s="41"/>
      <c r="G673" s="36">
        <v>0.25</v>
      </c>
      <c r="H673" s="10">
        <v>20</v>
      </c>
      <c r="I673" s="11">
        <v>1</v>
      </c>
      <c r="J673" s="13">
        <f>ROUND(3.165/G673+1,0)</f>
        <v>14</v>
      </c>
      <c r="K673" s="45">
        <f>D673</f>
        <v>3.12</v>
      </c>
      <c r="L673" s="37" t="str">
        <f>IF(O673&lt;12,"0",0.049*H673)</f>
        <v>0</v>
      </c>
      <c r="M673" s="17">
        <v>0</v>
      </c>
      <c r="N673" s="11">
        <f>M673*2*H673/1000</f>
        <v>0</v>
      </c>
      <c r="O673" s="16">
        <f>(D673)-N673</f>
        <v>3.12</v>
      </c>
      <c r="P673" s="16">
        <f>(I673*J673*O673)+L673</f>
        <v>43.68</v>
      </c>
      <c r="Q673" s="18" t="str">
        <f t="shared" si="54"/>
        <v/>
      </c>
      <c r="R673" s="18" t="str">
        <f t="shared" si="55"/>
        <v/>
      </c>
      <c r="S673" s="18" t="str">
        <f t="shared" si="56"/>
        <v/>
      </c>
      <c r="T673" s="18" t="str">
        <f t="shared" si="57"/>
        <v/>
      </c>
      <c r="U673" s="18">
        <f t="shared" si="58"/>
        <v>43.68</v>
      </c>
      <c r="V673" s="18" t="str">
        <f t="shared" si="59"/>
        <v/>
      </c>
      <c r="W673" s="14"/>
    </row>
    <row r="674" spans="1:23" x14ac:dyDescent="0.25">
      <c r="A674" s="6"/>
      <c r="B674" s="33" t="s">
        <v>151</v>
      </c>
      <c r="C674" s="19"/>
      <c r="D674" s="56"/>
      <c r="E674" s="56"/>
      <c r="F674" s="41"/>
      <c r="G674" s="36"/>
      <c r="H674" s="10"/>
      <c r="I674" s="11"/>
      <c r="J674" s="13"/>
      <c r="K674" s="45"/>
      <c r="L674" s="37"/>
      <c r="M674" s="17"/>
      <c r="N674" s="11"/>
      <c r="O674" s="16"/>
      <c r="P674" s="16"/>
      <c r="Q674" s="18" t="str">
        <f t="shared" si="54"/>
        <v/>
      </c>
      <c r="R674" s="18" t="str">
        <f t="shared" si="55"/>
        <v/>
      </c>
      <c r="S674" s="18" t="str">
        <f t="shared" si="56"/>
        <v/>
      </c>
      <c r="T674" s="18" t="str">
        <f t="shared" si="57"/>
        <v/>
      </c>
      <c r="U674" s="18" t="str">
        <f t="shared" si="58"/>
        <v/>
      </c>
      <c r="V674" s="18" t="str">
        <f t="shared" si="59"/>
        <v/>
      </c>
      <c r="W674" s="14"/>
    </row>
    <row r="675" spans="1:23" x14ac:dyDescent="0.25">
      <c r="A675" s="6"/>
      <c r="B675" s="50"/>
      <c r="C675" s="19"/>
      <c r="D675" s="56"/>
      <c r="E675" s="56"/>
      <c r="F675" s="41"/>
      <c r="G675" s="36"/>
      <c r="H675" s="10"/>
      <c r="I675" s="11"/>
      <c r="J675" s="13"/>
      <c r="K675" s="45"/>
      <c r="L675" s="37"/>
      <c r="M675" s="17"/>
      <c r="N675" s="11"/>
      <c r="O675" s="16"/>
      <c r="P675" s="16"/>
      <c r="Q675" s="18" t="str">
        <f t="shared" si="54"/>
        <v/>
      </c>
      <c r="R675" s="18" t="str">
        <f t="shared" si="55"/>
        <v/>
      </c>
      <c r="S675" s="18" t="str">
        <f t="shared" si="56"/>
        <v/>
      </c>
      <c r="T675" s="18" t="str">
        <f t="shared" si="57"/>
        <v/>
      </c>
      <c r="U675" s="18" t="str">
        <f t="shared" si="58"/>
        <v/>
      </c>
      <c r="V675" s="18" t="str">
        <f t="shared" si="59"/>
        <v/>
      </c>
      <c r="W675" s="14"/>
    </row>
    <row r="676" spans="1:23" x14ac:dyDescent="0.25">
      <c r="A676" s="6">
        <v>21</v>
      </c>
      <c r="B676" s="33" t="s">
        <v>95</v>
      </c>
      <c r="C676" s="44"/>
      <c r="D676" s="62">
        <v>2.92</v>
      </c>
      <c r="E676" s="62"/>
      <c r="F676" s="41"/>
      <c r="G676" s="36">
        <v>0.25</v>
      </c>
      <c r="H676" s="10">
        <v>16</v>
      </c>
      <c r="I676" s="11">
        <v>1</v>
      </c>
      <c r="J676" s="13">
        <f>ROUND(5.47/G676+1,0)</f>
        <v>23</v>
      </c>
      <c r="K676" s="45">
        <f>D676</f>
        <v>2.92</v>
      </c>
      <c r="L676" s="37" t="str">
        <f>IF(O676&lt;12,"0",0.049*H676)</f>
        <v>0</v>
      </c>
      <c r="M676" s="17">
        <v>0</v>
      </c>
      <c r="N676" s="11">
        <f>M676*2*H676/1000</f>
        <v>0</v>
      </c>
      <c r="O676" s="16">
        <f>(D676)-N676</f>
        <v>2.92</v>
      </c>
      <c r="P676" s="16">
        <f>(I676*J676*O676)+L676</f>
        <v>67.16</v>
      </c>
      <c r="Q676" s="18" t="str">
        <f t="shared" si="54"/>
        <v/>
      </c>
      <c r="R676" s="18" t="str">
        <f t="shared" si="55"/>
        <v/>
      </c>
      <c r="S676" s="18" t="str">
        <f t="shared" si="56"/>
        <v/>
      </c>
      <c r="T676" s="18">
        <f t="shared" si="57"/>
        <v>67.16</v>
      </c>
      <c r="U676" s="18" t="str">
        <f t="shared" si="58"/>
        <v/>
      </c>
      <c r="V676" s="18" t="str">
        <f t="shared" si="59"/>
        <v/>
      </c>
      <c r="W676" s="14"/>
    </row>
    <row r="677" spans="1:23" x14ac:dyDescent="0.25">
      <c r="A677" s="6"/>
      <c r="B677" s="33" t="s">
        <v>151</v>
      </c>
      <c r="C677" s="19"/>
      <c r="D677" s="56"/>
      <c r="E677" s="56"/>
      <c r="F677" s="41"/>
      <c r="G677" s="36"/>
      <c r="H677" s="10"/>
      <c r="I677" s="11"/>
      <c r="J677" s="13"/>
      <c r="K677" s="45"/>
      <c r="L677" s="37"/>
      <c r="M677" s="17"/>
      <c r="N677" s="11"/>
      <c r="O677" s="16"/>
      <c r="P677" s="16"/>
      <c r="Q677" s="18" t="str">
        <f t="shared" si="54"/>
        <v/>
      </c>
      <c r="R677" s="18" t="str">
        <f t="shared" si="55"/>
        <v/>
      </c>
      <c r="S677" s="18" t="str">
        <f t="shared" si="56"/>
        <v/>
      </c>
      <c r="T677" s="18" t="str">
        <f t="shared" si="57"/>
        <v/>
      </c>
      <c r="U677" s="18" t="str">
        <f t="shared" si="58"/>
        <v/>
      </c>
      <c r="V677" s="18" t="str">
        <f t="shared" si="59"/>
        <v/>
      </c>
      <c r="W677" s="14"/>
    </row>
    <row r="678" spans="1:23" x14ac:dyDescent="0.25">
      <c r="A678" s="6"/>
      <c r="B678" s="50"/>
      <c r="C678" s="19"/>
      <c r="D678" s="56"/>
      <c r="E678" s="56"/>
      <c r="F678" s="41"/>
      <c r="G678" s="36"/>
      <c r="H678" s="10"/>
      <c r="I678" s="11"/>
      <c r="J678" s="13"/>
      <c r="K678" s="45"/>
      <c r="L678" s="37"/>
      <c r="M678" s="17"/>
      <c r="N678" s="11"/>
      <c r="O678" s="16"/>
      <c r="P678" s="16"/>
      <c r="Q678" s="18" t="str">
        <f t="shared" si="54"/>
        <v/>
      </c>
      <c r="R678" s="18" t="str">
        <f t="shared" si="55"/>
        <v/>
      </c>
      <c r="S678" s="18" t="str">
        <f t="shared" si="56"/>
        <v/>
      </c>
      <c r="T678" s="18" t="str">
        <f t="shared" si="57"/>
        <v/>
      </c>
      <c r="U678" s="18" t="str">
        <f t="shared" si="58"/>
        <v/>
      </c>
      <c r="V678" s="18" t="str">
        <f t="shared" si="59"/>
        <v/>
      </c>
      <c r="W678" s="14"/>
    </row>
    <row r="679" spans="1:23" x14ac:dyDescent="0.25">
      <c r="A679" s="6">
        <v>22</v>
      </c>
      <c r="B679" s="33" t="s">
        <v>94</v>
      </c>
      <c r="C679" s="44"/>
      <c r="D679" s="62">
        <v>4.5449999999999999</v>
      </c>
      <c r="E679" s="62"/>
      <c r="F679" s="41"/>
      <c r="G679" s="36">
        <v>0.25</v>
      </c>
      <c r="H679" s="10">
        <v>16</v>
      </c>
      <c r="I679" s="11">
        <v>1</v>
      </c>
      <c r="J679" s="13">
        <f>ROUND(5/G679+1,0)</f>
        <v>21</v>
      </c>
      <c r="K679" s="45">
        <f>D679</f>
        <v>4.5449999999999999</v>
      </c>
      <c r="L679" s="37" t="str">
        <f>IF(O679&lt;12,"0",0.049*H679)</f>
        <v>0</v>
      </c>
      <c r="M679" s="17">
        <v>0</v>
      </c>
      <c r="N679" s="11">
        <f>M679*2*H679/1000</f>
        <v>0</v>
      </c>
      <c r="O679" s="16">
        <f>(D679)-N679</f>
        <v>4.5449999999999999</v>
      </c>
      <c r="P679" s="16">
        <f>(I679*J679*O679)+L679</f>
        <v>95.444999999999993</v>
      </c>
      <c r="Q679" s="18" t="str">
        <f t="shared" si="54"/>
        <v/>
      </c>
      <c r="R679" s="18" t="str">
        <f t="shared" si="55"/>
        <v/>
      </c>
      <c r="S679" s="18" t="str">
        <f t="shared" si="56"/>
        <v/>
      </c>
      <c r="T679" s="18">
        <f t="shared" si="57"/>
        <v>95.444999999999993</v>
      </c>
      <c r="U679" s="18" t="str">
        <f t="shared" si="58"/>
        <v/>
      </c>
      <c r="V679" s="18" t="str">
        <f t="shared" si="59"/>
        <v/>
      </c>
      <c r="W679" s="14"/>
    </row>
    <row r="680" spans="1:23" x14ac:dyDescent="0.25">
      <c r="A680" s="6"/>
      <c r="B680" s="33" t="s">
        <v>152</v>
      </c>
      <c r="C680" s="19"/>
      <c r="D680" s="56"/>
      <c r="E680" s="56"/>
      <c r="F680" s="41"/>
      <c r="G680" s="36"/>
      <c r="H680" s="10"/>
      <c r="I680" s="11"/>
      <c r="J680" s="13"/>
      <c r="K680" s="45"/>
      <c r="L680" s="37"/>
      <c r="M680" s="17"/>
      <c r="N680" s="11"/>
      <c r="O680" s="16"/>
      <c r="P680" s="16"/>
      <c r="Q680" s="18" t="str">
        <f t="shared" si="54"/>
        <v/>
      </c>
      <c r="R680" s="18" t="str">
        <f t="shared" si="55"/>
        <v/>
      </c>
      <c r="S680" s="18" t="str">
        <f t="shared" si="56"/>
        <v/>
      </c>
      <c r="T680" s="18" t="str">
        <f t="shared" si="57"/>
        <v/>
      </c>
      <c r="U680" s="18" t="str">
        <f t="shared" si="58"/>
        <v/>
      </c>
      <c r="V680" s="18" t="str">
        <f t="shared" si="59"/>
        <v/>
      </c>
      <c r="W680" s="14"/>
    </row>
    <row r="681" spans="1:23" x14ac:dyDescent="0.25">
      <c r="A681" s="6"/>
      <c r="B681" s="50"/>
      <c r="C681" s="19"/>
      <c r="D681" s="56"/>
      <c r="E681" s="56"/>
      <c r="F681" s="41"/>
      <c r="G681" s="36"/>
      <c r="H681" s="10"/>
      <c r="I681" s="11"/>
      <c r="J681" s="13"/>
      <c r="K681" s="45"/>
      <c r="L681" s="37"/>
      <c r="M681" s="17"/>
      <c r="N681" s="11"/>
      <c r="O681" s="16"/>
      <c r="P681" s="16"/>
      <c r="Q681" s="18" t="str">
        <f t="shared" si="54"/>
        <v/>
      </c>
      <c r="R681" s="18" t="str">
        <f t="shared" si="55"/>
        <v/>
      </c>
      <c r="S681" s="18" t="str">
        <f t="shared" si="56"/>
        <v/>
      </c>
      <c r="T681" s="18" t="str">
        <f t="shared" si="57"/>
        <v/>
      </c>
      <c r="U681" s="18" t="str">
        <f t="shared" si="58"/>
        <v/>
      </c>
      <c r="V681" s="18" t="str">
        <f t="shared" si="59"/>
        <v/>
      </c>
      <c r="W681" s="14"/>
    </row>
    <row r="682" spans="1:23" x14ac:dyDescent="0.25">
      <c r="A682" s="6">
        <v>23</v>
      </c>
      <c r="B682" s="33" t="s">
        <v>95</v>
      </c>
      <c r="C682" s="44"/>
      <c r="D682" s="62">
        <v>5</v>
      </c>
      <c r="E682" s="62"/>
      <c r="F682" s="41"/>
      <c r="G682" s="36">
        <v>0.25</v>
      </c>
      <c r="H682" s="10">
        <v>16</v>
      </c>
      <c r="I682" s="11">
        <v>1</v>
      </c>
      <c r="J682" s="13">
        <f>ROUND(4.545/G682+1,0)</f>
        <v>19</v>
      </c>
      <c r="K682" s="45">
        <f>D682</f>
        <v>5</v>
      </c>
      <c r="L682" s="37" t="str">
        <f>IF(O682&lt;12,"0",0.049*H682)</f>
        <v>0</v>
      </c>
      <c r="M682" s="17">
        <v>0</v>
      </c>
      <c r="N682" s="11">
        <f>M682*2*H682/1000</f>
        <v>0</v>
      </c>
      <c r="O682" s="16">
        <f>(D682)-N682</f>
        <v>5</v>
      </c>
      <c r="P682" s="16">
        <f>(I682*J682*O682)+L682</f>
        <v>95</v>
      </c>
      <c r="Q682" s="18" t="str">
        <f t="shared" si="54"/>
        <v/>
      </c>
      <c r="R682" s="18" t="str">
        <f t="shared" si="55"/>
        <v/>
      </c>
      <c r="S682" s="18" t="str">
        <f t="shared" si="56"/>
        <v/>
      </c>
      <c r="T682" s="18">
        <f t="shared" si="57"/>
        <v>95</v>
      </c>
      <c r="U682" s="18" t="str">
        <f t="shared" si="58"/>
        <v/>
      </c>
      <c r="V682" s="18" t="str">
        <f t="shared" si="59"/>
        <v/>
      </c>
      <c r="W682" s="14"/>
    </row>
    <row r="683" spans="1:23" x14ac:dyDescent="0.25">
      <c r="A683" s="6"/>
      <c r="B683" s="33" t="s">
        <v>152</v>
      </c>
      <c r="C683" s="19"/>
      <c r="D683" s="56"/>
      <c r="E683" s="56"/>
      <c r="F683" s="41"/>
      <c r="G683" s="36"/>
      <c r="H683" s="10"/>
      <c r="I683" s="11"/>
      <c r="J683" s="13"/>
      <c r="K683" s="45"/>
      <c r="L683" s="37"/>
      <c r="M683" s="17"/>
      <c r="N683" s="11"/>
      <c r="O683" s="16"/>
      <c r="P683" s="16"/>
      <c r="Q683" s="18" t="str">
        <f t="shared" si="54"/>
        <v/>
      </c>
      <c r="R683" s="18" t="str">
        <f t="shared" si="55"/>
        <v/>
      </c>
      <c r="S683" s="18" t="str">
        <f t="shared" si="56"/>
        <v/>
      </c>
      <c r="T683" s="18" t="str">
        <f t="shared" si="57"/>
        <v/>
      </c>
      <c r="U683" s="18" t="str">
        <f t="shared" si="58"/>
        <v/>
      </c>
      <c r="V683" s="18" t="str">
        <f t="shared" si="59"/>
        <v/>
      </c>
      <c r="W683" s="14"/>
    </row>
    <row r="684" spans="1:23" x14ac:dyDescent="0.25">
      <c r="A684" s="6"/>
      <c r="B684" s="50"/>
      <c r="C684" s="19"/>
      <c r="D684" s="56"/>
      <c r="E684" s="56"/>
      <c r="F684" s="41"/>
      <c r="G684" s="36"/>
      <c r="H684" s="10"/>
      <c r="I684" s="11"/>
      <c r="J684" s="13"/>
      <c r="K684" s="45"/>
      <c r="L684" s="37"/>
      <c r="M684" s="17"/>
      <c r="N684" s="11"/>
      <c r="O684" s="16"/>
      <c r="P684" s="16"/>
      <c r="Q684" s="18" t="str">
        <f t="shared" si="54"/>
        <v/>
      </c>
      <c r="R684" s="18" t="str">
        <f t="shared" si="55"/>
        <v/>
      </c>
      <c r="S684" s="18" t="str">
        <f t="shared" si="56"/>
        <v/>
      </c>
      <c r="T684" s="18" t="str">
        <f t="shared" si="57"/>
        <v/>
      </c>
      <c r="U684" s="18" t="str">
        <f t="shared" si="58"/>
        <v/>
      </c>
      <c r="V684" s="18" t="str">
        <f t="shared" si="59"/>
        <v/>
      </c>
      <c r="W684" s="14"/>
    </row>
    <row r="685" spans="1:23" x14ac:dyDescent="0.25">
      <c r="A685" s="6">
        <v>24</v>
      </c>
      <c r="B685" s="33" t="s">
        <v>94</v>
      </c>
      <c r="C685" s="44"/>
      <c r="D685" s="62">
        <v>5.24</v>
      </c>
      <c r="E685" s="62"/>
      <c r="F685" s="41"/>
      <c r="G685" s="36">
        <v>0.25</v>
      </c>
      <c r="H685" s="10">
        <v>16</v>
      </c>
      <c r="I685" s="11">
        <v>1</v>
      </c>
      <c r="J685" s="13">
        <f>ROUND(5.03/G685+1,0)</f>
        <v>21</v>
      </c>
      <c r="K685" s="45">
        <f>D685</f>
        <v>5.24</v>
      </c>
      <c r="L685" s="37" t="str">
        <f>IF(O685&lt;12,"0",0.049*H685)</f>
        <v>0</v>
      </c>
      <c r="M685" s="17">
        <v>0</v>
      </c>
      <c r="N685" s="11">
        <f>M685*2*H685/1000</f>
        <v>0</v>
      </c>
      <c r="O685" s="16">
        <f>(D685)-N685</f>
        <v>5.24</v>
      </c>
      <c r="P685" s="16">
        <f>(I685*J685*O685)+L685</f>
        <v>110.04</v>
      </c>
      <c r="Q685" s="18" t="str">
        <f t="shared" si="54"/>
        <v/>
      </c>
      <c r="R685" s="18" t="str">
        <f t="shared" si="55"/>
        <v/>
      </c>
      <c r="S685" s="18" t="str">
        <f t="shared" si="56"/>
        <v/>
      </c>
      <c r="T685" s="18">
        <f t="shared" si="57"/>
        <v>110.04</v>
      </c>
      <c r="U685" s="18" t="str">
        <f t="shared" si="58"/>
        <v/>
      </c>
      <c r="V685" s="18" t="str">
        <f t="shared" si="59"/>
        <v/>
      </c>
      <c r="W685" s="14"/>
    </row>
    <row r="686" spans="1:23" x14ac:dyDescent="0.25">
      <c r="A686" s="6"/>
      <c r="B686" s="33" t="s">
        <v>153</v>
      </c>
      <c r="C686" s="19"/>
      <c r="D686" s="56"/>
      <c r="E686" s="56"/>
      <c r="F686" s="41"/>
      <c r="G686" s="36"/>
      <c r="H686" s="10"/>
      <c r="I686" s="11"/>
      <c r="J686" s="13"/>
      <c r="K686" s="45"/>
      <c r="L686" s="37"/>
      <c r="M686" s="17"/>
      <c r="N686" s="11"/>
      <c r="O686" s="16"/>
      <c r="P686" s="16"/>
      <c r="Q686" s="18" t="str">
        <f t="shared" si="54"/>
        <v/>
      </c>
      <c r="R686" s="18" t="str">
        <f t="shared" si="55"/>
        <v/>
      </c>
      <c r="S686" s="18" t="str">
        <f t="shared" si="56"/>
        <v/>
      </c>
      <c r="T686" s="18" t="str">
        <f t="shared" si="57"/>
        <v/>
      </c>
      <c r="U686" s="18" t="str">
        <f t="shared" si="58"/>
        <v/>
      </c>
      <c r="V686" s="18" t="str">
        <f t="shared" si="59"/>
        <v/>
      </c>
      <c r="W686" s="14"/>
    </row>
    <row r="687" spans="1:23" x14ac:dyDescent="0.25">
      <c r="A687" s="6"/>
      <c r="B687" s="50"/>
      <c r="C687" s="19"/>
      <c r="D687" s="56"/>
      <c r="E687" s="56"/>
      <c r="F687" s="41"/>
      <c r="G687" s="36"/>
      <c r="H687" s="10"/>
      <c r="I687" s="11"/>
      <c r="J687" s="13"/>
      <c r="K687" s="45"/>
      <c r="L687" s="37"/>
      <c r="M687" s="17"/>
      <c r="N687" s="11"/>
      <c r="O687" s="16"/>
      <c r="P687" s="16"/>
      <c r="Q687" s="18" t="str">
        <f t="shared" si="54"/>
        <v/>
      </c>
      <c r="R687" s="18" t="str">
        <f t="shared" si="55"/>
        <v/>
      </c>
      <c r="S687" s="18" t="str">
        <f t="shared" si="56"/>
        <v/>
      </c>
      <c r="T687" s="18" t="str">
        <f t="shared" si="57"/>
        <v/>
      </c>
      <c r="U687" s="18" t="str">
        <f t="shared" si="58"/>
        <v/>
      </c>
      <c r="V687" s="18" t="str">
        <f t="shared" si="59"/>
        <v/>
      </c>
      <c r="W687" s="14"/>
    </row>
    <row r="688" spans="1:23" x14ac:dyDescent="0.25">
      <c r="A688" s="6">
        <v>25</v>
      </c>
      <c r="B688" s="33" t="s">
        <v>95</v>
      </c>
      <c r="C688" s="44"/>
      <c r="D688" s="62">
        <v>2.54</v>
      </c>
      <c r="E688" s="62"/>
      <c r="F688" s="41"/>
      <c r="G688" s="36">
        <v>0.25</v>
      </c>
      <c r="H688" s="10">
        <v>12</v>
      </c>
      <c r="I688" s="11">
        <v>1</v>
      </c>
      <c r="J688" s="13">
        <f>ROUND(4.305/G688+1,0)</f>
        <v>18</v>
      </c>
      <c r="K688" s="45">
        <f>D688</f>
        <v>2.54</v>
      </c>
      <c r="L688" s="37" t="str">
        <f>IF(O688&lt;12,"0",0.049*H688)</f>
        <v>0</v>
      </c>
      <c r="M688" s="17">
        <v>0</v>
      </c>
      <c r="N688" s="11">
        <f>M688*2*H688/1000</f>
        <v>0</v>
      </c>
      <c r="O688" s="16">
        <f>(D688)-N688</f>
        <v>2.54</v>
      </c>
      <c r="P688" s="16">
        <f>(I688*J688*O688)+L688</f>
        <v>45.72</v>
      </c>
      <c r="Q688" s="18" t="str">
        <f t="shared" si="54"/>
        <v/>
      </c>
      <c r="R688" s="18" t="str">
        <f t="shared" si="55"/>
        <v/>
      </c>
      <c r="S688" s="18">
        <f t="shared" si="56"/>
        <v>45.72</v>
      </c>
      <c r="T688" s="18" t="str">
        <f t="shared" si="57"/>
        <v/>
      </c>
      <c r="U688" s="18" t="str">
        <f t="shared" si="58"/>
        <v/>
      </c>
      <c r="V688" s="18" t="str">
        <f t="shared" si="59"/>
        <v/>
      </c>
      <c r="W688" s="14"/>
    </row>
    <row r="689" spans="1:23" x14ac:dyDescent="0.25">
      <c r="A689" s="6"/>
      <c r="B689" s="33" t="s">
        <v>154</v>
      </c>
      <c r="C689" s="19"/>
      <c r="D689" s="56"/>
      <c r="E689" s="56"/>
      <c r="F689" s="41"/>
      <c r="G689" s="36"/>
      <c r="H689" s="10"/>
      <c r="I689" s="11"/>
      <c r="J689" s="13"/>
      <c r="K689" s="45"/>
      <c r="L689" s="37"/>
      <c r="M689" s="17"/>
      <c r="N689" s="11"/>
      <c r="O689" s="16"/>
      <c r="P689" s="16"/>
      <c r="Q689" s="18" t="str">
        <f t="shared" si="54"/>
        <v/>
      </c>
      <c r="R689" s="18" t="str">
        <f t="shared" si="55"/>
        <v/>
      </c>
      <c r="S689" s="18" t="str">
        <f t="shared" si="56"/>
        <v/>
      </c>
      <c r="T689" s="18" t="str">
        <f t="shared" si="57"/>
        <v/>
      </c>
      <c r="U689" s="18" t="str">
        <f t="shared" si="58"/>
        <v/>
      </c>
      <c r="V689" s="18" t="str">
        <f t="shared" si="59"/>
        <v/>
      </c>
      <c r="W689" s="14"/>
    </row>
    <row r="690" spans="1:23" x14ac:dyDescent="0.25">
      <c r="A690" s="6"/>
      <c r="B690" s="50"/>
      <c r="C690" s="19"/>
      <c r="D690" s="56"/>
      <c r="E690" s="56"/>
      <c r="F690" s="41"/>
      <c r="G690" s="36"/>
      <c r="H690" s="10"/>
      <c r="I690" s="11"/>
      <c r="J690" s="13"/>
      <c r="K690" s="45"/>
      <c r="L690" s="37"/>
      <c r="M690" s="17"/>
      <c r="N690" s="11"/>
      <c r="O690" s="16"/>
      <c r="P690" s="16"/>
      <c r="Q690" s="18" t="str">
        <f t="shared" si="54"/>
        <v/>
      </c>
      <c r="R690" s="18" t="str">
        <f t="shared" si="55"/>
        <v/>
      </c>
      <c r="S690" s="18" t="str">
        <f t="shared" si="56"/>
        <v/>
      </c>
      <c r="T690" s="18" t="str">
        <f t="shared" si="57"/>
        <v/>
      </c>
      <c r="U690" s="18" t="str">
        <f t="shared" si="58"/>
        <v/>
      </c>
      <c r="V690" s="18" t="str">
        <f t="shared" si="59"/>
        <v/>
      </c>
      <c r="W690" s="14"/>
    </row>
    <row r="691" spans="1:23" x14ac:dyDescent="0.25">
      <c r="A691" s="6">
        <v>26</v>
      </c>
      <c r="B691" s="33" t="s">
        <v>95</v>
      </c>
      <c r="C691" s="44"/>
      <c r="D691" s="62">
        <v>4.375</v>
      </c>
      <c r="E691" s="62"/>
      <c r="F691" s="41"/>
      <c r="G691" s="36">
        <v>0.25</v>
      </c>
      <c r="H691" s="10">
        <v>10</v>
      </c>
      <c r="I691" s="11">
        <v>1</v>
      </c>
      <c r="J691" s="13">
        <f>ROUND(2.83/G691+1,0)</f>
        <v>12</v>
      </c>
      <c r="K691" s="45">
        <f>D691</f>
        <v>4.375</v>
      </c>
      <c r="L691" s="37" t="str">
        <f>IF(O691&lt;12,"0",0.049*H691)</f>
        <v>0</v>
      </c>
      <c r="M691" s="17">
        <v>0</v>
      </c>
      <c r="N691" s="11">
        <f>M691*2*H691/1000</f>
        <v>0</v>
      </c>
      <c r="O691" s="16">
        <f>(D691)-N691</f>
        <v>4.375</v>
      </c>
      <c r="P691" s="16">
        <f>(I691*J691*O691)+L691</f>
        <v>52.5</v>
      </c>
      <c r="Q691" s="18" t="str">
        <f t="shared" si="54"/>
        <v/>
      </c>
      <c r="R691" s="18">
        <f t="shared" si="55"/>
        <v>52.5</v>
      </c>
      <c r="S691" s="18" t="str">
        <f t="shared" si="56"/>
        <v/>
      </c>
      <c r="T691" s="18" t="str">
        <f t="shared" si="57"/>
        <v/>
      </c>
      <c r="U691" s="18" t="str">
        <f t="shared" si="58"/>
        <v/>
      </c>
      <c r="V691" s="18" t="str">
        <f t="shared" si="59"/>
        <v/>
      </c>
      <c r="W691" s="14"/>
    </row>
    <row r="692" spans="1:23" x14ac:dyDescent="0.25">
      <c r="A692" s="6"/>
      <c r="B692" s="33" t="s">
        <v>155</v>
      </c>
      <c r="C692" s="19"/>
      <c r="D692" s="56"/>
      <c r="E692" s="56"/>
      <c r="F692" s="41"/>
      <c r="G692" s="36"/>
      <c r="H692" s="10"/>
      <c r="I692" s="11"/>
      <c r="J692" s="13"/>
      <c r="K692" s="45"/>
      <c r="L692" s="37"/>
      <c r="M692" s="17"/>
      <c r="N692" s="11"/>
      <c r="O692" s="16"/>
      <c r="P692" s="16"/>
      <c r="Q692" s="18" t="str">
        <f t="shared" si="54"/>
        <v/>
      </c>
      <c r="R692" s="18" t="str">
        <f t="shared" si="55"/>
        <v/>
      </c>
      <c r="S692" s="18" t="str">
        <f t="shared" si="56"/>
        <v/>
      </c>
      <c r="T692" s="18" t="str">
        <f t="shared" si="57"/>
        <v/>
      </c>
      <c r="U692" s="18" t="str">
        <f t="shared" si="58"/>
        <v/>
      </c>
      <c r="V692" s="18" t="str">
        <f t="shared" si="59"/>
        <v/>
      </c>
      <c r="W692" s="14"/>
    </row>
    <row r="693" spans="1:23" x14ac:dyDescent="0.25">
      <c r="A693" s="6"/>
      <c r="B693" s="50"/>
      <c r="C693" s="19"/>
      <c r="D693" s="56"/>
      <c r="E693" s="56"/>
      <c r="F693" s="41"/>
      <c r="G693" s="36"/>
      <c r="H693" s="10"/>
      <c r="I693" s="11"/>
      <c r="J693" s="13"/>
      <c r="K693" s="45"/>
      <c r="L693" s="37"/>
      <c r="M693" s="17"/>
      <c r="N693" s="11"/>
      <c r="O693" s="16"/>
      <c r="P693" s="16"/>
      <c r="Q693" s="18" t="str">
        <f t="shared" si="54"/>
        <v/>
      </c>
      <c r="R693" s="18" t="str">
        <f t="shared" si="55"/>
        <v/>
      </c>
      <c r="S693" s="18" t="str">
        <f t="shared" si="56"/>
        <v/>
      </c>
      <c r="T693" s="18" t="str">
        <f t="shared" si="57"/>
        <v/>
      </c>
      <c r="U693" s="18" t="str">
        <f t="shared" si="58"/>
        <v/>
      </c>
      <c r="V693" s="18" t="str">
        <f t="shared" si="59"/>
        <v/>
      </c>
      <c r="W693" s="14"/>
    </row>
    <row r="694" spans="1:23" x14ac:dyDescent="0.25">
      <c r="A694" s="6">
        <v>27</v>
      </c>
      <c r="B694" s="33" t="s">
        <v>95</v>
      </c>
      <c r="C694" s="44"/>
      <c r="D694" s="62">
        <v>3.64</v>
      </c>
      <c r="E694" s="62"/>
      <c r="F694" s="41"/>
      <c r="G694" s="36">
        <v>0.25</v>
      </c>
      <c r="H694" s="10">
        <v>10</v>
      </c>
      <c r="I694" s="11">
        <v>1</v>
      </c>
      <c r="J694" s="13">
        <f>ROUND(15.8/G694+1,0)</f>
        <v>64</v>
      </c>
      <c r="K694" s="45">
        <f>D694</f>
        <v>3.64</v>
      </c>
      <c r="L694" s="37" t="str">
        <f>IF(O694&lt;12,"0",0.049*H694)</f>
        <v>0</v>
      </c>
      <c r="M694" s="17">
        <v>0</v>
      </c>
      <c r="N694" s="11">
        <f>M694*2*H694/1000</f>
        <v>0</v>
      </c>
      <c r="O694" s="16">
        <f>(D694)-N694</f>
        <v>3.64</v>
      </c>
      <c r="P694" s="16">
        <f>(I694*J694*O694)+L694</f>
        <v>232.96</v>
      </c>
      <c r="Q694" s="18" t="str">
        <f t="shared" si="54"/>
        <v/>
      </c>
      <c r="R694" s="18">
        <f t="shared" si="55"/>
        <v>232.96</v>
      </c>
      <c r="S694" s="18" t="str">
        <f t="shared" si="56"/>
        <v/>
      </c>
      <c r="T694" s="18" t="str">
        <f t="shared" si="57"/>
        <v/>
      </c>
      <c r="U694" s="18" t="str">
        <f t="shared" si="58"/>
        <v/>
      </c>
      <c r="V694" s="18" t="str">
        <f t="shared" si="59"/>
        <v/>
      </c>
      <c r="W694" s="14"/>
    </row>
    <row r="695" spans="1:23" x14ac:dyDescent="0.25">
      <c r="A695" s="6"/>
      <c r="B695" s="33" t="s">
        <v>156</v>
      </c>
      <c r="C695" s="19"/>
      <c r="D695" s="56"/>
      <c r="E695" s="56"/>
      <c r="F695" s="41"/>
      <c r="G695" s="36"/>
      <c r="H695" s="10"/>
      <c r="I695" s="11"/>
      <c r="J695" s="13"/>
      <c r="K695" s="45"/>
      <c r="L695" s="37"/>
      <c r="M695" s="17"/>
      <c r="N695" s="11"/>
      <c r="O695" s="16"/>
      <c r="P695" s="16"/>
      <c r="Q695" s="18" t="str">
        <f t="shared" si="54"/>
        <v/>
      </c>
      <c r="R695" s="18" t="str">
        <f t="shared" si="55"/>
        <v/>
      </c>
      <c r="S695" s="18" t="str">
        <f t="shared" si="56"/>
        <v/>
      </c>
      <c r="T695" s="18" t="str">
        <f t="shared" si="57"/>
        <v/>
      </c>
      <c r="U695" s="18" t="str">
        <f t="shared" si="58"/>
        <v/>
      </c>
      <c r="V695" s="18" t="str">
        <f t="shared" si="59"/>
        <v/>
      </c>
      <c r="W695" s="14"/>
    </row>
    <row r="696" spans="1:23" x14ac:dyDescent="0.25">
      <c r="A696" s="6"/>
      <c r="B696" s="50"/>
      <c r="C696" s="19"/>
      <c r="D696" s="56"/>
      <c r="E696" s="56"/>
      <c r="F696" s="41"/>
      <c r="G696" s="36"/>
      <c r="H696" s="10"/>
      <c r="I696" s="11"/>
      <c r="J696" s="13"/>
      <c r="K696" s="45"/>
      <c r="L696" s="37"/>
      <c r="M696" s="17"/>
      <c r="N696" s="11"/>
      <c r="O696" s="16"/>
      <c r="P696" s="16"/>
      <c r="Q696" s="18" t="str">
        <f t="shared" si="54"/>
        <v/>
      </c>
      <c r="R696" s="18" t="str">
        <f t="shared" si="55"/>
        <v/>
      </c>
      <c r="S696" s="18" t="str">
        <f t="shared" si="56"/>
        <v/>
      </c>
      <c r="T696" s="18" t="str">
        <f t="shared" si="57"/>
        <v/>
      </c>
      <c r="U696" s="18" t="str">
        <f t="shared" si="58"/>
        <v/>
      </c>
      <c r="V696" s="18" t="str">
        <f t="shared" si="59"/>
        <v/>
      </c>
      <c r="W696" s="14"/>
    </row>
    <row r="697" spans="1:23" x14ac:dyDescent="0.25">
      <c r="A697" s="6">
        <v>28</v>
      </c>
      <c r="B697" s="33" t="s">
        <v>95</v>
      </c>
      <c r="C697" s="44"/>
      <c r="D697" s="62">
        <v>2.4500000000000002</v>
      </c>
      <c r="E697" s="62"/>
      <c r="F697" s="41"/>
      <c r="G697" s="36">
        <v>0.25</v>
      </c>
      <c r="H697" s="10">
        <v>10</v>
      </c>
      <c r="I697" s="11">
        <v>1</v>
      </c>
      <c r="J697" s="13">
        <f>ROUND(2.33/G697+1,0)</f>
        <v>10</v>
      </c>
      <c r="K697" s="45">
        <f>D697</f>
        <v>2.4500000000000002</v>
      </c>
      <c r="L697" s="37" t="str">
        <f>IF(O697&lt;12,"0",0.049*H697)</f>
        <v>0</v>
      </c>
      <c r="M697" s="17">
        <v>0</v>
      </c>
      <c r="N697" s="11">
        <f>M697*2*H697/1000</f>
        <v>0</v>
      </c>
      <c r="O697" s="16">
        <f>(D697)-N697</f>
        <v>2.4500000000000002</v>
      </c>
      <c r="P697" s="16">
        <f>(I697*J697*O697)+L697</f>
        <v>24.5</v>
      </c>
      <c r="Q697" s="18" t="str">
        <f t="shared" si="54"/>
        <v/>
      </c>
      <c r="R697" s="18">
        <f t="shared" si="55"/>
        <v>24.5</v>
      </c>
      <c r="S697" s="18" t="str">
        <f t="shared" si="56"/>
        <v/>
      </c>
      <c r="T697" s="18" t="str">
        <f t="shared" si="57"/>
        <v/>
      </c>
      <c r="U697" s="18" t="str">
        <f t="shared" si="58"/>
        <v/>
      </c>
      <c r="V697" s="18" t="str">
        <f t="shared" si="59"/>
        <v/>
      </c>
      <c r="W697" s="14"/>
    </row>
    <row r="698" spans="1:23" x14ac:dyDescent="0.25">
      <c r="A698" s="6"/>
      <c r="B698" s="33" t="s">
        <v>157</v>
      </c>
      <c r="C698" s="19"/>
      <c r="D698" s="56"/>
      <c r="E698" s="56"/>
      <c r="F698" s="41"/>
      <c r="G698" s="36"/>
      <c r="H698" s="10"/>
      <c r="I698" s="11"/>
      <c r="J698" s="13"/>
      <c r="K698" s="45"/>
      <c r="L698" s="37"/>
      <c r="M698" s="17"/>
      <c r="N698" s="11"/>
      <c r="O698" s="16"/>
      <c r="P698" s="16"/>
      <c r="Q698" s="18" t="str">
        <f t="shared" si="54"/>
        <v/>
      </c>
      <c r="R698" s="18" t="str">
        <f t="shared" si="55"/>
        <v/>
      </c>
      <c r="S698" s="18" t="str">
        <f t="shared" si="56"/>
        <v/>
      </c>
      <c r="T698" s="18" t="str">
        <f t="shared" si="57"/>
        <v/>
      </c>
      <c r="U698" s="18" t="str">
        <f t="shared" si="58"/>
        <v/>
      </c>
      <c r="V698" s="18" t="str">
        <f t="shared" si="59"/>
        <v/>
      </c>
      <c r="W698" s="14"/>
    </row>
    <row r="699" spans="1:23" x14ac:dyDescent="0.25">
      <c r="A699" s="6"/>
      <c r="B699" s="50"/>
      <c r="C699" s="19"/>
      <c r="D699" s="56"/>
      <c r="E699" s="56"/>
      <c r="F699" s="41"/>
      <c r="G699" s="36"/>
      <c r="H699" s="10"/>
      <c r="I699" s="11"/>
      <c r="J699" s="13"/>
      <c r="K699" s="45"/>
      <c r="L699" s="37"/>
      <c r="M699" s="17"/>
      <c r="N699" s="11"/>
      <c r="O699" s="16"/>
      <c r="P699" s="16"/>
      <c r="Q699" s="18" t="str">
        <f t="shared" si="54"/>
        <v/>
      </c>
      <c r="R699" s="18" t="str">
        <f t="shared" si="55"/>
        <v/>
      </c>
      <c r="S699" s="18" t="str">
        <f t="shared" si="56"/>
        <v/>
      </c>
      <c r="T699" s="18" t="str">
        <f t="shared" si="57"/>
        <v/>
      </c>
      <c r="U699" s="18" t="str">
        <f t="shared" si="58"/>
        <v/>
      </c>
      <c r="V699" s="18" t="str">
        <f t="shared" si="59"/>
        <v/>
      </c>
      <c r="W699" s="14"/>
    </row>
    <row r="700" spans="1:23" x14ac:dyDescent="0.25">
      <c r="A700" s="6">
        <v>29</v>
      </c>
      <c r="B700" s="33" t="s">
        <v>95</v>
      </c>
      <c r="C700" s="44"/>
      <c r="D700" s="62">
        <v>3.8</v>
      </c>
      <c r="E700" s="62"/>
      <c r="F700" s="41"/>
      <c r="G700" s="36">
        <v>0.25</v>
      </c>
      <c r="H700" s="10">
        <v>10</v>
      </c>
      <c r="I700" s="11">
        <v>1</v>
      </c>
      <c r="J700" s="13">
        <f>ROUND(4.09/G700+1,0)</f>
        <v>17</v>
      </c>
      <c r="K700" s="45">
        <f>D700</f>
        <v>3.8</v>
      </c>
      <c r="L700" s="37" t="str">
        <f>IF(O700&lt;12,"0",0.049*H700)</f>
        <v>0</v>
      </c>
      <c r="M700" s="17">
        <v>0</v>
      </c>
      <c r="N700" s="11">
        <f>M700*2*H700/1000</f>
        <v>0</v>
      </c>
      <c r="O700" s="16">
        <f>(D700)-N700</f>
        <v>3.8</v>
      </c>
      <c r="P700" s="16">
        <f>(I700*J700*O700)+L700</f>
        <v>64.599999999999994</v>
      </c>
      <c r="Q700" s="18" t="str">
        <f t="shared" si="54"/>
        <v/>
      </c>
      <c r="R700" s="18">
        <f t="shared" si="55"/>
        <v>64.599999999999994</v>
      </c>
      <c r="S700" s="18" t="str">
        <f t="shared" si="56"/>
        <v/>
      </c>
      <c r="T700" s="18" t="str">
        <f t="shared" si="57"/>
        <v/>
      </c>
      <c r="U700" s="18" t="str">
        <f t="shared" si="58"/>
        <v/>
      </c>
      <c r="V700" s="18" t="str">
        <f t="shared" si="59"/>
        <v/>
      </c>
      <c r="W700" s="14"/>
    </row>
    <row r="701" spans="1:23" x14ac:dyDescent="0.25">
      <c r="A701" s="6"/>
      <c r="B701" s="33" t="s">
        <v>158</v>
      </c>
      <c r="C701" s="19"/>
      <c r="D701" s="56"/>
      <c r="E701" s="56"/>
      <c r="F701" s="41"/>
      <c r="G701" s="36"/>
      <c r="H701" s="10"/>
      <c r="I701" s="11"/>
      <c r="J701" s="13"/>
      <c r="K701" s="45"/>
      <c r="L701" s="37"/>
      <c r="M701" s="17"/>
      <c r="N701" s="11"/>
      <c r="O701" s="16"/>
      <c r="P701" s="16"/>
      <c r="Q701" s="18" t="str">
        <f t="shared" si="54"/>
        <v/>
      </c>
      <c r="R701" s="18" t="str">
        <f t="shared" si="55"/>
        <v/>
      </c>
      <c r="S701" s="18" t="str">
        <f t="shared" si="56"/>
        <v/>
      </c>
      <c r="T701" s="18" t="str">
        <f t="shared" si="57"/>
        <v/>
      </c>
      <c r="U701" s="18" t="str">
        <f t="shared" si="58"/>
        <v/>
      </c>
      <c r="V701" s="18" t="str">
        <f t="shared" si="59"/>
        <v/>
      </c>
      <c r="W701" s="14"/>
    </row>
    <row r="702" spans="1:23" x14ac:dyDescent="0.25">
      <c r="A702" s="6"/>
      <c r="B702" s="50"/>
      <c r="C702" s="19"/>
      <c r="D702" s="56"/>
      <c r="E702" s="56"/>
      <c r="F702" s="41"/>
      <c r="G702" s="36"/>
      <c r="H702" s="10"/>
      <c r="I702" s="11"/>
      <c r="J702" s="13"/>
      <c r="K702" s="45"/>
      <c r="L702" s="37"/>
      <c r="M702" s="17"/>
      <c r="N702" s="11"/>
      <c r="O702" s="16"/>
      <c r="P702" s="16"/>
      <c r="Q702" s="18" t="str">
        <f t="shared" si="54"/>
        <v/>
      </c>
      <c r="R702" s="18" t="str">
        <f t="shared" si="55"/>
        <v/>
      </c>
      <c r="S702" s="18" t="str">
        <f t="shared" si="56"/>
        <v/>
      </c>
      <c r="T702" s="18" t="str">
        <f t="shared" si="57"/>
        <v/>
      </c>
      <c r="U702" s="18" t="str">
        <f t="shared" si="58"/>
        <v/>
      </c>
      <c r="V702" s="18" t="str">
        <f t="shared" si="59"/>
        <v/>
      </c>
      <c r="W702" s="14"/>
    </row>
    <row r="703" spans="1:23" x14ac:dyDescent="0.25">
      <c r="A703" s="6">
        <v>30</v>
      </c>
      <c r="B703" s="33" t="s">
        <v>94</v>
      </c>
      <c r="C703" s="44"/>
      <c r="D703" s="62">
        <v>6.4</v>
      </c>
      <c r="E703" s="62"/>
      <c r="F703" s="41"/>
      <c r="G703" s="36">
        <v>0.25</v>
      </c>
      <c r="H703" s="10">
        <v>10</v>
      </c>
      <c r="I703" s="11">
        <v>1</v>
      </c>
      <c r="J703" s="13">
        <f>ROUND(5.53/G703+1,0)</f>
        <v>23</v>
      </c>
      <c r="K703" s="45">
        <f>D703</f>
        <v>6.4</v>
      </c>
      <c r="L703" s="37" t="str">
        <f>IF(O703&lt;12,"0",0.049*H703)</f>
        <v>0</v>
      </c>
      <c r="M703" s="17">
        <v>0</v>
      </c>
      <c r="N703" s="11">
        <f>M703*2*H703/1000</f>
        <v>0</v>
      </c>
      <c r="O703" s="16">
        <f>(D703)-N703</f>
        <v>6.4</v>
      </c>
      <c r="P703" s="16">
        <f>(I703*J703*O703)+L703</f>
        <v>147.20000000000002</v>
      </c>
      <c r="Q703" s="18" t="str">
        <f t="shared" si="54"/>
        <v/>
      </c>
      <c r="R703" s="18">
        <f t="shared" si="55"/>
        <v>147.20000000000002</v>
      </c>
      <c r="S703" s="18" t="str">
        <f t="shared" si="56"/>
        <v/>
      </c>
      <c r="T703" s="18" t="str">
        <f t="shared" si="57"/>
        <v/>
      </c>
      <c r="U703" s="18" t="str">
        <f t="shared" si="58"/>
        <v/>
      </c>
      <c r="V703" s="18" t="str">
        <f t="shared" si="59"/>
        <v/>
      </c>
      <c r="W703" s="14"/>
    </row>
    <row r="704" spans="1:23" x14ac:dyDescent="0.25">
      <c r="A704" s="6"/>
      <c r="B704" s="33" t="s">
        <v>159</v>
      </c>
      <c r="C704" s="19"/>
      <c r="D704" s="56"/>
      <c r="E704" s="56"/>
      <c r="F704" s="41"/>
      <c r="G704" s="36"/>
      <c r="H704" s="10"/>
      <c r="I704" s="11"/>
      <c r="J704" s="13"/>
      <c r="K704" s="45"/>
      <c r="L704" s="37"/>
      <c r="M704" s="17"/>
      <c r="N704" s="11"/>
      <c r="O704" s="16"/>
      <c r="P704" s="16"/>
      <c r="Q704" s="18" t="str">
        <f t="shared" si="54"/>
        <v/>
      </c>
      <c r="R704" s="18" t="str">
        <f t="shared" si="55"/>
        <v/>
      </c>
      <c r="S704" s="18" t="str">
        <f t="shared" si="56"/>
        <v/>
      </c>
      <c r="T704" s="18" t="str">
        <f t="shared" si="57"/>
        <v/>
      </c>
      <c r="U704" s="18" t="str">
        <f t="shared" si="58"/>
        <v/>
      </c>
      <c r="V704" s="18" t="str">
        <f t="shared" si="59"/>
        <v/>
      </c>
      <c r="W704" s="14"/>
    </row>
    <row r="705" spans="1:23" x14ac:dyDescent="0.25">
      <c r="A705" s="6"/>
      <c r="B705" s="50"/>
      <c r="C705" s="19"/>
      <c r="D705" s="56"/>
      <c r="E705" s="56"/>
      <c r="F705" s="41"/>
      <c r="G705" s="36"/>
      <c r="H705" s="10"/>
      <c r="I705" s="11"/>
      <c r="J705" s="13"/>
      <c r="K705" s="45"/>
      <c r="L705" s="37"/>
      <c r="M705" s="17"/>
      <c r="N705" s="11"/>
      <c r="O705" s="16"/>
      <c r="P705" s="16"/>
      <c r="Q705" s="18" t="str">
        <f t="shared" si="54"/>
        <v/>
      </c>
      <c r="R705" s="18" t="str">
        <f t="shared" si="55"/>
        <v/>
      </c>
      <c r="S705" s="18" t="str">
        <f t="shared" si="56"/>
        <v/>
      </c>
      <c r="T705" s="18" t="str">
        <f t="shared" si="57"/>
        <v/>
      </c>
      <c r="U705" s="18" t="str">
        <f t="shared" si="58"/>
        <v/>
      </c>
      <c r="V705" s="18" t="str">
        <f t="shared" si="59"/>
        <v/>
      </c>
      <c r="W705" s="14"/>
    </row>
    <row r="706" spans="1:23" x14ac:dyDescent="0.25">
      <c r="A706" s="6">
        <v>31</v>
      </c>
      <c r="B706" s="33" t="s">
        <v>95</v>
      </c>
      <c r="C706" s="44"/>
      <c r="D706" s="62">
        <v>5.53</v>
      </c>
      <c r="E706" s="62"/>
      <c r="F706" s="41"/>
      <c r="G706" s="36">
        <v>0.25</v>
      </c>
      <c r="H706" s="10">
        <v>16</v>
      </c>
      <c r="I706" s="11">
        <v>1</v>
      </c>
      <c r="J706" s="13">
        <f>ROUND(6.4/G706+1,0)</f>
        <v>27</v>
      </c>
      <c r="K706" s="45">
        <f>D706</f>
        <v>5.53</v>
      </c>
      <c r="L706" s="37" t="str">
        <f>IF(O706&lt;12,"0",0.049*H706)</f>
        <v>0</v>
      </c>
      <c r="M706" s="17">
        <v>0</v>
      </c>
      <c r="N706" s="11">
        <f>M706*2*H706/1000</f>
        <v>0</v>
      </c>
      <c r="O706" s="16">
        <f>(D706)-N706</f>
        <v>5.53</v>
      </c>
      <c r="P706" s="16">
        <f>(I706*J706*O706)+L706</f>
        <v>149.31</v>
      </c>
      <c r="Q706" s="18" t="str">
        <f t="shared" si="54"/>
        <v/>
      </c>
      <c r="R706" s="18" t="str">
        <f t="shared" si="55"/>
        <v/>
      </c>
      <c r="S706" s="18" t="str">
        <f t="shared" si="56"/>
        <v/>
      </c>
      <c r="T706" s="18">
        <f t="shared" si="57"/>
        <v>149.31</v>
      </c>
      <c r="U706" s="18" t="str">
        <f t="shared" si="58"/>
        <v/>
      </c>
      <c r="V706" s="18" t="str">
        <f t="shared" si="59"/>
        <v/>
      </c>
      <c r="W706" s="14"/>
    </row>
    <row r="707" spans="1:23" x14ac:dyDescent="0.25">
      <c r="A707" s="6"/>
      <c r="B707" s="33" t="s">
        <v>159</v>
      </c>
      <c r="C707" s="19"/>
      <c r="D707" s="56"/>
      <c r="E707" s="56"/>
      <c r="F707" s="41"/>
      <c r="G707" s="36"/>
      <c r="H707" s="10"/>
      <c r="I707" s="11"/>
      <c r="J707" s="13"/>
      <c r="K707" s="45"/>
      <c r="L707" s="37"/>
      <c r="M707" s="17"/>
      <c r="N707" s="11"/>
      <c r="O707" s="16"/>
      <c r="P707" s="16"/>
      <c r="Q707" s="18" t="str">
        <f t="shared" si="54"/>
        <v/>
      </c>
      <c r="R707" s="18" t="str">
        <f t="shared" si="55"/>
        <v/>
      </c>
      <c r="S707" s="18" t="str">
        <f t="shared" si="56"/>
        <v/>
      </c>
      <c r="T707" s="18" t="str">
        <f t="shared" si="57"/>
        <v/>
      </c>
      <c r="U707" s="18" t="str">
        <f t="shared" si="58"/>
        <v/>
      </c>
      <c r="V707" s="18" t="str">
        <f t="shared" si="59"/>
        <v/>
      </c>
      <c r="W707" s="14"/>
    </row>
    <row r="708" spans="1:23" x14ac:dyDescent="0.25">
      <c r="A708" s="6"/>
      <c r="B708" s="50"/>
      <c r="C708" s="19"/>
      <c r="D708" s="56"/>
      <c r="E708" s="56"/>
      <c r="F708" s="41"/>
      <c r="G708" s="36"/>
      <c r="H708" s="10"/>
      <c r="I708" s="11"/>
      <c r="J708" s="13"/>
      <c r="K708" s="45"/>
      <c r="L708" s="37"/>
      <c r="M708" s="17"/>
      <c r="N708" s="11"/>
      <c r="O708" s="16"/>
      <c r="P708" s="16"/>
      <c r="Q708" s="18" t="str">
        <f t="shared" si="54"/>
        <v/>
      </c>
      <c r="R708" s="18" t="str">
        <f t="shared" si="55"/>
        <v/>
      </c>
      <c r="S708" s="18" t="str">
        <f t="shared" si="56"/>
        <v/>
      </c>
      <c r="T708" s="18" t="str">
        <f t="shared" si="57"/>
        <v/>
      </c>
      <c r="U708" s="18" t="str">
        <f t="shared" si="58"/>
        <v/>
      </c>
      <c r="V708" s="18" t="str">
        <f t="shared" si="59"/>
        <v/>
      </c>
      <c r="W708" s="14"/>
    </row>
    <row r="709" spans="1:23" x14ac:dyDescent="0.25">
      <c r="A709" s="6">
        <v>32</v>
      </c>
      <c r="B709" s="33" t="s">
        <v>94</v>
      </c>
      <c r="C709" s="44"/>
      <c r="D709" s="62">
        <v>3.8</v>
      </c>
      <c r="E709" s="62"/>
      <c r="F709" s="41"/>
      <c r="G709" s="36">
        <v>0.25</v>
      </c>
      <c r="H709" s="10">
        <v>12</v>
      </c>
      <c r="I709" s="11">
        <v>1</v>
      </c>
      <c r="J709" s="13">
        <f>ROUND(5.7/G709+1,0)</f>
        <v>24</v>
      </c>
      <c r="K709" s="45">
        <f>D709</f>
        <v>3.8</v>
      </c>
      <c r="L709" s="37" t="str">
        <f>IF(O709&lt;12,"0",0.049*H709)</f>
        <v>0</v>
      </c>
      <c r="M709" s="17">
        <v>0</v>
      </c>
      <c r="N709" s="11">
        <f>M709*2*H709/1000</f>
        <v>0</v>
      </c>
      <c r="O709" s="16">
        <f>(D709)-N709</f>
        <v>3.8</v>
      </c>
      <c r="P709" s="16">
        <f>(I709*J709*O709)+L709</f>
        <v>91.199999999999989</v>
      </c>
      <c r="Q709" s="18" t="str">
        <f t="shared" si="54"/>
        <v/>
      </c>
      <c r="R709" s="18" t="str">
        <f t="shared" si="55"/>
        <v/>
      </c>
      <c r="S709" s="18">
        <f t="shared" si="56"/>
        <v>91.199999999999989</v>
      </c>
      <c r="T709" s="18" t="str">
        <f t="shared" si="57"/>
        <v/>
      </c>
      <c r="U709" s="18" t="str">
        <f t="shared" si="58"/>
        <v/>
      </c>
      <c r="V709" s="18" t="str">
        <f t="shared" si="59"/>
        <v/>
      </c>
      <c r="W709" s="14"/>
    </row>
    <row r="710" spans="1:23" x14ac:dyDescent="0.25">
      <c r="A710" s="6"/>
      <c r="B710" s="33" t="s">
        <v>97</v>
      </c>
      <c r="C710" s="19"/>
      <c r="D710" s="56"/>
      <c r="E710" s="56"/>
      <c r="F710" s="41"/>
      <c r="G710" s="36"/>
      <c r="H710" s="10"/>
      <c r="I710" s="11"/>
      <c r="J710" s="13"/>
      <c r="K710" s="45"/>
      <c r="L710" s="37"/>
      <c r="M710" s="17"/>
      <c r="N710" s="11"/>
      <c r="O710" s="16"/>
      <c r="P710" s="16"/>
      <c r="Q710" s="18" t="str">
        <f t="shared" si="54"/>
        <v/>
      </c>
      <c r="R710" s="18" t="str">
        <f t="shared" si="55"/>
        <v/>
      </c>
      <c r="S710" s="18" t="str">
        <f t="shared" si="56"/>
        <v/>
      </c>
      <c r="T710" s="18" t="str">
        <f t="shared" si="57"/>
        <v/>
      </c>
      <c r="U710" s="18" t="str">
        <f t="shared" si="58"/>
        <v/>
      </c>
      <c r="V710" s="18" t="str">
        <f t="shared" si="59"/>
        <v/>
      </c>
      <c r="W710" s="14"/>
    </row>
    <row r="711" spans="1:23" x14ac:dyDescent="0.25">
      <c r="A711" s="6"/>
      <c r="B711" s="50"/>
      <c r="C711" s="19"/>
      <c r="D711" s="56"/>
      <c r="E711" s="56"/>
      <c r="F711" s="41"/>
      <c r="G711" s="36"/>
      <c r="H711" s="10"/>
      <c r="I711" s="11"/>
      <c r="J711" s="13"/>
      <c r="K711" s="45"/>
      <c r="L711" s="37"/>
      <c r="M711" s="17"/>
      <c r="N711" s="11"/>
      <c r="O711" s="16"/>
      <c r="P711" s="16"/>
      <c r="Q711" s="18" t="str">
        <f t="shared" si="54"/>
        <v/>
      </c>
      <c r="R711" s="18" t="str">
        <f t="shared" si="55"/>
        <v/>
      </c>
      <c r="S711" s="18" t="str">
        <f t="shared" si="56"/>
        <v/>
      </c>
      <c r="T711" s="18" t="str">
        <f t="shared" si="57"/>
        <v/>
      </c>
      <c r="U711" s="18" t="str">
        <f t="shared" si="58"/>
        <v/>
      </c>
      <c r="V711" s="18" t="str">
        <f t="shared" si="59"/>
        <v/>
      </c>
      <c r="W711" s="14"/>
    </row>
    <row r="712" spans="1:23" x14ac:dyDescent="0.25">
      <c r="A712" s="6">
        <v>33</v>
      </c>
      <c r="B712" s="33" t="s">
        <v>95</v>
      </c>
      <c r="C712" s="44"/>
      <c r="D712" s="62">
        <v>5.7</v>
      </c>
      <c r="E712" s="62"/>
      <c r="F712" s="41"/>
      <c r="G712" s="36">
        <v>0.25</v>
      </c>
      <c r="H712" s="10">
        <v>20</v>
      </c>
      <c r="I712" s="11">
        <v>1</v>
      </c>
      <c r="J712" s="13">
        <f>ROUND(5.8/G712+1,0)</f>
        <v>24</v>
      </c>
      <c r="K712" s="45">
        <f>D712</f>
        <v>5.7</v>
      </c>
      <c r="L712" s="37" t="str">
        <f>IF(O712&lt;12,"0",0.049*H712)</f>
        <v>0</v>
      </c>
      <c r="M712" s="17">
        <v>0</v>
      </c>
      <c r="N712" s="11">
        <f>M712*2*H712/1000</f>
        <v>0</v>
      </c>
      <c r="O712" s="16">
        <f>(D712)-N712</f>
        <v>5.7</v>
      </c>
      <c r="P712" s="16">
        <f>(I712*J712*O712)+L712</f>
        <v>136.80000000000001</v>
      </c>
      <c r="Q712" s="18" t="str">
        <f t="shared" si="54"/>
        <v/>
      </c>
      <c r="R712" s="18" t="str">
        <f t="shared" si="55"/>
        <v/>
      </c>
      <c r="S712" s="18" t="str">
        <f t="shared" si="56"/>
        <v/>
      </c>
      <c r="T712" s="18" t="str">
        <f t="shared" si="57"/>
        <v/>
      </c>
      <c r="U712" s="18">
        <f t="shared" si="58"/>
        <v>136.80000000000001</v>
      </c>
      <c r="V712" s="18" t="str">
        <f t="shared" si="59"/>
        <v/>
      </c>
      <c r="W712" s="14"/>
    </row>
    <row r="713" spans="1:23" x14ac:dyDescent="0.25">
      <c r="A713" s="6"/>
      <c r="B713" s="33" t="s">
        <v>97</v>
      </c>
      <c r="C713" s="19"/>
      <c r="D713" s="56"/>
      <c r="E713" s="56"/>
      <c r="F713" s="41"/>
      <c r="G713" s="36"/>
      <c r="H713" s="10"/>
      <c r="I713" s="11"/>
      <c r="J713" s="13"/>
      <c r="K713" s="45"/>
      <c r="L713" s="37"/>
      <c r="M713" s="17"/>
      <c r="N713" s="11"/>
      <c r="O713" s="16"/>
      <c r="P713" s="16"/>
      <c r="Q713" s="18" t="str">
        <f t="shared" si="54"/>
        <v/>
      </c>
      <c r="R713" s="18" t="str">
        <f t="shared" si="55"/>
        <v/>
      </c>
      <c r="S713" s="18" t="str">
        <f t="shared" si="56"/>
        <v/>
      </c>
      <c r="T713" s="18" t="str">
        <f t="shared" si="57"/>
        <v/>
      </c>
      <c r="U713" s="18" t="str">
        <f t="shared" si="58"/>
        <v/>
      </c>
      <c r="V713" s="18" t="str">
        <f t="shared" si="59"/>
        <v/>
      </c>
      <c r="W713" s="14"/>
    </row>
    <row r="714" spans="1:23" x14ac:dyDescent="0.25">
      <c r="A714" s="6"/>
      <c r="B714" s="50"/>
      <c r="C714" s="19"/>
      <c r="D714" s="56"/>
      <c r="E714" s="56"/>
      <c r="F714" s="41"/>
      <c r="G714" s="36"/>
      <c r="H714" s="10"/>
      <c r="I714" s="11"/>
      <c r="J714" s="13"/>
      <c r="K714" s="45"/>
      <c r="L714" s="37"/>
      <c r="M714" s="17"/>
      <c r="N714" s="11"/>
      <c r="O714" s="16"/>
      <c r="P714" s="16"/>
      <c r="Q714" s="18" t="str">
        <f t="shared" si="54"/>
        <v/>
      </c>
      <c r="R714" s="18" t="str">
        <f t="shared" si="55"/>
        <v/>
      </c>
      <c r="S714" s="18" t="str">
        <f t="shared" si="56"/>
        <v/>
      </c>
      <c r="T714" s="18" t="str">
        <f t="shared" si="57"/>
        <v/>
      </c>
      <c r="U714" s="18" t="str">
        <f t="shared" si="58"/>
        <v/>
      </c>
      <c r="V714" s="18" t="str">
        <f t="shared" si="59"/>
        <v/>
      </c>
      <c r="W714" s="14"/>
    </row>
    <row r="715" spans="1:23" x14ac:dyDescent="0.25">
      <c r="A715" s="6">
        <v>34</v>
      </c>
      <c r="B715" s="33" t="s">
        <v>95</v>
      </c>
      <c r="C715" s="44"/>
      <c r="D715" s="62">
        <v>5.7</v>
      </c>
      <c r="E715" s="62"/>
      <c r="F715" s="41"/>
      <c r="G715" s="36">
        <v>0.25</v>
      </c>
      <c r="H715" s="10">
        <v>16</v>
      </c>
      <c r="I715" s="11">
        <v>1</v>
      </c>
      <c r="J715" s="13">
        <f>ROUND(2.25/G715+1,0)</f>
        <v>10</v>
      </c>
      <c r="K715" s="45">
        <f>D715</f>
        <v>5.7</v>
      </c>
      <c r="L715" s="37" t="str">
        <f>IF(O715&lt;12,"0",0.049*H715)</f>
        <v>0</v>
      </c>
      <c r="M715" s="17">
        <v>0</v>
      </c>
      <c r="N715" s="11">
        <f>M715*2*H715/1000</f>
        <v>0</v>
      </c>
      <c r="O715" s="16">
        <f>(D715)-N715</f>
        <v>5.7</v>
      </c>
      <c r="P715" s="16">
        <f>(I715*J715*O715)+L715</f>
        <v>57</v>
      </c>
      <c r="Q715" s="18" t="str">
        <f t="shared" si="54"/>
        <v/>
      </c>
      <c r="R715" s="18" t="str">
        <f t="shared" si="55"/>
        <v/>
      </c>
      <c r="S715" s="18" t="str">
        <f t="shared" si="56"/>
        <v/>
      </c>
      <c r="T715" s="18">
        <f t="shared" si="57"/>
        <v>57</v>
      </c>
      <c r="U715" s="18" t="str">
        <f t="shared" si="58"/>
        <v/>
      </c>
      <c r="V715" s="18" t="str">
        <f t="shared" si="59"/>
        <v/>
      </c>
      <c r="W715" s="14"/>
    </row>
    <row r="716" spans="1:23" x14ac:dyDescent="0.25">
      <c r="A716" s="6"/>
      <c r="B716" s="33" t="s">
        <v>97</v>
      </c>
      <c r="C716" s="19"/>
      <c r="D716" s="56"/>
      <c r="E716" s="56"/>
      <c r="F716" s="41"/>
      <c r="G716" s="36"/>
      <c r="H716" s="10"/>
      <c r="I716" s="11"/>
      <c r="J716" s="13"/>
      <c r="K716" s="45"/>
      <c r="L716" s="37"/>
      <c r="M716" s="17"/>
      <c r="N716" s="11"/>
      <c r="O716" s="16"/>
      <c r="P716" s="16"/>
      <c r="Q716" s="18" t="str">
        <f t="shared" si="54"/>
        <v/>
      </c>
      <c r="R716" s="18" t="str">
        <f t="shared" si="55"/>
        <v/>
      </c>
      <c r="S716" s="18" t="str">
        <f t="shared" si="56"/>
        <v/>
      </c>
      <c r="T716" s="18" t="str">
        <f t="shared" si="57"/>
        <v/>
      </c>
      <c r="U716" s="18" t="str">
        <f t="shared" si="58"/>
        <v/>
      </c>
      <c r="V716" s="18" t="str">
        <f t="shared" si="59"/>
        <v/>
      </c>
      <c r="W716" s="14"/>
    </row>
    <row r="717" spans="1:23" x14ac:dyDescent="0.25">
      <c r="A717" s="6"/>
      <c r="B717" s="50"/>
      <c r="C717" s="19"/>
      <c r="D717" s="56"/>
      <c r="E717" s="56"/>
      <c r="F717" s="41"/>
      <c r="G717" s="36"/>
      <c r="H717" s="10"/>
      <c r="I717" s="11"/>
      <c r="J717" s="13"/>
      <c r="K717" s="45"/>
      <c r="L717" s="37"/>
      <c r="M717" s="17"/>
      <c r="N717" s="11"/>
      <c r="O717" s="16"/>
      <c r="P717" s="16"/>
      <c r="Q717" s="18" t="str">
        <f t="shared" si="54"/>
        <v/>
      </c>
      <c r="R717" s="18" t="str">
        <f t="shared" si="55"/>
        <v/>
      </c>
      <c r="S717" s="18" t="str">
        <f t="shared" si="56"/>
        <v/>
      </c>
      <c r="T717" s="18" t="str">
        <f t="shared" si="57"/>
        <v/>
      </c>
      <c r="U717" s="18" t="str">
        <f t="shared" si="58"/>
        <v/>
      </c>
      <c r="V717" s="18" t="str">
        <f t="shared" si="59"/>
        <v/>
      </c>
      <c r="W717" s="14"/>
    </row>
    <row r="718" spans="1:23" x14ac:dyDescent="0.25">
      <c r="A718" s="6">
        <v>35</v>
      </c>
      <c r="B718" s="33" t="s">
        <v>94</v>
      </c>
      <c r="C718" s="44"/>
      <c r="D718" s="62">
        <v>5.7450000000000001</v>
      </c>
      <c r="E718" s="62"/>
      <c r="F718" s="41"/>
      <c r="G718" s="36">
        <v>0.25</v>
      </c>
      <c r="H718" s="10">
        <v>16</v>
      </c>
      <c r="I718" s="11">
        <v>1</v>
      </c>
      <c r="J718" s="13">
        <f>ROUND(3.46/G718+1,0)</f>
        <v>15</v>
      </c>
      <c r="K718" s="45">
        <f>D718</f>
        <v>5.7450000000000001</v>
      </c>
      <c r="L718" s="37" t="str">
        <f>IF(O718&lt;12,"0",0.049*H718)</f>
        <v>0</v>
      </c>
      <c r="M718" s="17">
        <v>0</v>
      </c>
      <c r="N718" s="11">
        <f>M718*2*H718/1000</f>
        <v>0</v>
      </c>
      <c r="O718" s="16">
        <f>(D718)-N718</f>
        <v>5.7450000000000001</v>
      </c>
      <c r="P718" s="16">
        <f>(I718*J718*O718)+L718</f>
        <v>86.174999999999997</v>
      </c>
      <c r="Q718" s="18" t="str">
        <f t="shared" si="54"/>
        <v/>
      </c>
      <c r="R718" s="18" t="str">
        <f t="shared" si="55"/>
        <v/>
      </c>
      <c r="S718" s="18" t="str">
        <f t="shared" si="56"/>
        <v/>
      </c>
      <c r="T718" s="18">
        <f t="shared" si="57"/>
        <v>86.174999999999997</v>
      </c>
      <c r="U718" s="18" t="str">
        <f t="shared" si="58"/>
        <v/>
      </c>
      <c r="V718" s="18" t="str">
        <f t="shared" si="59"/>
        <v/>
      </c>
      <c r="W718" s="14"/>
    </row>
    <row r="719" spans="1:23" x14ac:dyDescent="0.25">
      <c r="A719" s="6"/>
      <c r="B719" s="33" t="s">
        <v>160</v>
      </c>
      <c r="C719" s="19"/>
      <c r="D719" s="56"/>
      <c r="E719" s="56"/>
      <c r="F719" s="41"/>
      <c r="G719" s="36"/>
      <c r="H719" s="10"/>
      <c r="I719" s="11"/>
      <c r="J719" s="13"/>
      <c r="K719" s="45"/>
      <c r="L719" s="37"/>
      <c r="M719" s="17"/>
      <c r="N719" s="11"/>
      <c r="O719" s="16"/>
      <c r="P719" s="16"/>
      <c r="Q719" s="18" t="str">
        <f t="shared" si="54"/>
        <v/>
      </c>
      <c r="R719" s="18" t="str">
        <f t="shared" si="55"/>
        <v/>
      </c>
      <c r="S719" s="18" t="str">
        <f t="shared" si="56"/>
        <v/>
      </c>
      <c r="T719" s="18" t="str">
        <f t="shared" si="57"/>
        <v/>
      </c>
      <c r="U719" s="18" t="str">
        <f t="shared" si="58"/>
        <v/>
      </c>
      <c r="V719" s="18" t="str">
        <f t="shared" si="59"/>
        <v/>
      </c>
      <c r="W719" s="14"/>
    </row>
    <row r="720" spans="1:23" x14ac:dyDescent="0.25">
      <c r="A720" s="6"/>
      <c r="B720" s="50"/>
      <c r="C720" s="19"/>
      <c r="D720" s="56"/>
      <c r="E720" s="56"/>
      <c r="F720" s="41"/>
      <c r="G720" s="36"/>
      <c r="H720" s="10"/>
      <c r="I720" s="11"/>
      <c r="J720" s="13"/>
      <c r="K720" s="45"/>
      <c r="L720" s="37"/>
      <c r="M720" s="17"/>
      <c r="N720" s="11"/>
      <c r="O720" s="16"/>
      <c r="P720" s="16"/>
      <c r="Q720" s="18" t="str">
        <f t="shared" si="54"/>
        <v/>
      </c>
      <c r="R720" s="18" t="str">
        <f t="shared" si="55"/>
        <v/>
      </c>
      <c r="S720" s="18" t="str">
        <f t="shared" si="56"/>
        <v/>
      </c>
      <c r="T720" s="18" t="str">
        <f t="shared" si="57"/>
        <v/>
      </c>
      <c r="U720" s="18" t="str">
        <f t="shared" si="58"/>
        <v/>
      </c>
      <c r="V720" s="18" t="str">
        <f t="shared" si="59"/>
        <v/>
      </c>
      <c r="W720" s="14"/>
    </row>
    <row r="721" spans="1:23" x14ac:dyDescent="0.25">
      <c r="A721" s="6">
        <v>36</v>
      </c>
      <c r="B721" s="33" t="s">
        <v>95</v>
      </c>
      <c r="C721" s="44"/>
      <c r="D721" s="62">
        <v>2.5</v>
      </c>
      <c r="E721" s="62"/>
      <c r="F721" s="41"/>
      <c r="G721" s="36">
        <v>0.25</v>
      </c>
      <c r="H721" s="10">
        <v>20</v>
      </c>
      <c r="I721" s="11">
        <v>1</v>
      </c>
      <c r="J721" s="13">
        <f>ROUND(3.165/G721+1,0)</f>
        <v>14</v>
      </c>
      <c r="K721" s="45">
        <f>D721</f>
        <v>2.5</v>
      </c>
      <c r="L721" s="37" t="str">
        <f>IF(O721&lt;12,"0",0.049*H721)</f>
        <v>0</v>
      </c>
      <c r="M721" s="17">
        <v>0</v>
      </c>
      <c r="N721" s="11">
        <f>M721*2*H721/1000</f>
        <v>0</v>
      </c>
      <c r="O721" s="16">
        <f>(D721)-N721</f>
        <v>2.5</v>
      </c>
      <c r="P721" s="16">
        <f>(I721*J721*O721)+L721</f>
        <v>35</v>
      </c>
      <c r="Q721" s="18" t="str">
        <f t="shared" si="54"/>
        <v/>
      </c>
      <c r="R721" s="18" t="str">
        <f t="shared" si="55"/>
        <v/>
      </c>
      <c r="S721" s="18" t="str">
        <f t="shared" si="56"/>
        <v/>
      </c>
      <c r="T721" s="18" t="str">
        <f t="shared" si="57"/>
        <v/>
      </c>
      <c r="U721" s="18">
        <f t="shared" si="58"/>
        <v>35</v>
      </c>
      <c r="V721" s="18" t="str">
        <f t="shared" si="59"/>
        <v/>
      </c>
      <c r="W721" s="14"/>
    </row>
    <row r="722" spans="1:23" x14ac:dyDescent="0.25">
      <c r="A722" s="6"/>
      <c r="B722" s="33" t="s">
        <v>98</v>
      </c>
      <c r="C722" s="19"/>
      <c r="D722" s="56"/>
      <c r="E722" s="56"/>
      <c r="F722" s="41"/>
      <c r="G722" s="36"/>
      <c r="H722" s="10"/>
      <c r="I722" s="11"/>
      <c r="J722" s="13"/>
      <c r="K722" s="45"/>
      <c r="L722" s="37"/>
      <c r="M722" s="17"/>
      <c r="N722" s="11"/>
      <c r="O722" s="16"/>
      <c r="P722" s="16"/>
      <c r="Q722" s="18" t="str">
        <f t="shared" si="54"/>
        <v/>
      </c>
      <c r="R722" s="18" t="str">
        <f t="shared" si="55"/>
        <v/>
      </c>
      <c r="S722" s="18" t="str">
        <f t="shared" si="56"/>
        <v/>
      </c>
      <c r="T722" s="18" t="str">
        <f t="shared" si="57"/>
        <v/>
      </c>
      <c r="U722" s="18" t="str">
        <f t="shared" si="58"/>
        <v/>
      </c>
      <c r="V722" s="18" t="str">
        <f t="shared" si="59"/>
        <v/>
      </c>
      <c r="W722" s="14"/>
    </row>
    <row r="723" spans="1:23" x14ac:dyDescent="0.25">
      <c r="A723" s="6"/>
      <c r="B723" s="50"/>
      <c r="C723" s="19"/>
      <c r="D723" s="56"/>
      <c r="E723" s="56"/>
      <c r="F723" s="41"/>
      <c r="G723" s="36"/>
      <c r="H723" s="10"/>
      <c r="I723" s="11"/>
      <c r="J723" s="13"/>
      <c r="K723" s="45"/>
      <c r="L723" s="37"/>
      <c r="M723" s="17"/>
      <c r="N723" s="11"/>
      <c r="O723" s="16"/>
      <c r="P723" s="16"/>
      <c r="Q723" s="18" t="str">
        <f t="shared" si="54"/>
        <v/>
      </c>
      <c r="R723" s="18" t="str">
        <f t="shared" si="55"/>
        <v/>
      </c>
      <c r="S723" s="18" t="str">
        <f t="shared" si="56"/>
        <v/>
      </c>
      <c r="T723" s="18" t="str">
        <f t="shared" si="57"/>
        <v/>
      </c>
      <c r="U723" s="18" t="str">
        <f t="shared" si="58"/>
        <v/>
      </c>
      <c r="V723" s="18" t="str">
        <f t="shared" si="59"/>
        <v/>
      </c>
      <c r="W723" s="14"/>
    </row>
    <row r="724" spans="1:23" x14ac:dyDescent="0.25">
      <c r="A724" s="6">
        <v>37</v>
      </c>
      <c r="B724" s="33" t="s">
        <v>95</v>
      </c>
      <c r="C724" s="44"/>
      <c r="D724" s="62">
        <v>3.46</v>
      </c>
      <c r="E724" s="62"/>
      <c r="F724" s="41"/>
      <c r="G724" s="36">
        <v>0.25</v>
      </c>
      <c r="H724" s="10">
        <v>20</v>
      </c>
      <c r="I724" s="11">
        <v>1</v>
      </c>
      <c r="J724" s="13">
        <f>ROUND(5.745/G724+1,0)</f>
        <v>24</v>
      </c>
      <c r="K724" s="45">
        <f>D724</f>
        <v>3.46</v>
      </c>
      <c r="L724" s="37" t="str">
        <f>IF(O724&lt;12,"0",0.049*H724)</f>
        <v>0</v>
      </c>
      <c r="M724" s="17">
        <v>0</v>
      </c>
      <c r="N724" s="11">
        <f>M724*2*H724/1000</f>
        <v>0</v>
      </c>
      <c r="O724" s="16">
        <f>(D724)-N724</f>
        <v>3.46</v>
      </c>
      <c r="P724" s="16">
        <f>(I724*J724*O724)+L724</f>
        <v>83.039999999999992</v>
      </c>
      <c r="Q724" s="18" t="str">
        <f t="shared" si="54"/>
        <v/>
      </c>
      <c r="R724" s="18" t="str">
        <f t="shared" si="55"/>
        <v/>
      </c>
      <c r="S724" s="18" t="str">
        <f t="shared" si="56"/>
        <v/>
      </c>
      <c r="T724" s="18" t="str">
        <f t="shared" si="57"/>
        <v/>
      </c>
      <c r="U724" s="18">
        <f t="shared" si="58"/>
        <v>83.039999999999992</v>
      </c>
      <c r="V724" s="18" t="str">
        <f t="shared" si="59"/>
        <v/>
      </c>
      <c r="W724" s="14"/>
    </row>
    <row r="725" spans="1:23" x14ac:dyDescent="0.25">
      <c r="A725" s="6"/>
      <c r="B725" s="33" t="s">
        <v>98</v>
      </c>
      <c r="C725" s="19"/>
      <c r="D725" s="56"/>
      <c r="E725" s="56"/>
      <c r="F725" s="41"/>
      <c r="G725" s="36"/>
      <c r="H725" s="10"/>
      <c r="I725" s="11"/>
      <c r="J725" s="13"/>
      <c r="K725" s="45"/>
      <c r="L725" s="37"/>
      <c r="M725" s="17"/>
      <c r="N725" s="11"/>
      <c r="O725" s="16"/>
      <c r="P725" s="16"/>
      <c r="Q725" s="18" t="str">
        <f t="shared" si="54"/>
        <v/>
      </c>
      <c r="R725" s="18" t="str">
        <f t="shared" si="55"/>
        <v/>
      </c>
      <c r="S725" s="18" t="str">
        <f t="shared" si="56"/>
        <v/>
      </c>
      <c r="T725" s="18" t="str">
        <f t="shared" si="57"/>
        <v/>
      </c>
      <c r="U725" s="18" t="str">
        <f t="shared" si="58"/>
        <v/>
      </c>
      <c r="V725" s="18" t="str">
        <f t="shared" si="59"/>
        <v/>
      </c>
      <c r="W725" s="14"/>
    </row>
    <row r="726" spans="1:23" x14ac:dyDescent="0.25">
      <c r="A726" s="6"/>
      <c r="B726" s="50"/>
      <c r="C726" s="19"/>
      <c r="D726" s="56"/>
      <c r="E726" s="56"/>
      <c r="F726" s="41"/>
      <c r="G726" s="36"/>
      <c r="H726" s="10"/>
      <c r="I726" s="11"/>
      <c r="J726" s="13"/>
      <c r="K726" s="45"/>
      <c r="L726" s="37"/>
      <c r="M726" s="17"/>
      <c r="N726" s="11"/>
      <c r="O726" s="16"/>
      <c r="P726" s="16"/>
      <c r="Q726" s="18" t="str">
        <f t="shared" si="54"/>
        <v/>
      </c>
      <c r="R726" s="18" t="str">
        <f t="shared" si="55"/>
        <v/>
      </c>
      <c r="S726" s="18" t="str">
        <f t="shared" si="56"/>
        <v/>
      </c>
      <c r="T726" s="18" t="str">
        <f t="shared" si="57"/>
        <v/>
      </c>
      <c r="U726" s="18" t="str">
        <f t="shared" si="58"/>
        <v/>
      </c>
      <c r="V726" s="18" t="str">
        <f t="shared" si="59"/>
        <v/>
      </c>
      <c r="W726" s="14"/>
    </row>
    <row r="727" spans="1:23" x14ac:dyDescent="0.25">
      <c r="A727" s="6">
        <v>38</v>
      </c>
      <c r="B727" s="33" t="s">
        <v>94</v>
      </c>
      <c r="C727" s="44"/>
      <c r="D727" s="62">
        <v>3.0449999999999999</v>
      </c>
      <c r="E727" s="62"/>
      <c r="F727" s="41"/>
      <c r="G727" s="36">
        <v>0.25</v>
      </c>
      <c r="H727" s="10">
        <v>20</v>
      </c>
      <c r="I727" s="11">
        <v>1</v>
      </c>
      <c r="J727" s="13">
        <f>ROUND(4.525/G727+1,0)</f>
        <v>19</v>
      </c>
      <c r="K727" s="45">
        <f>D727</f>
        <v>3.0449999999999999</v>
      </c>
      <c r="L727" s="37" t="str">
        <f>IF(O727&lt;12,"0",0.049*H727)</f>
        <v>0</v>
      </c>
      <c r="M727" s="17">
        <v>0</v>
      </c>
      <c r="N727" s="11">
        <f>M727*2*H727/1000</f>
        <v>0</v>
      </c>
      <c r="O727" s="16">
        <f>(D727)-N727</f>
        <v>3.0449999999999999</v>
      </c>
      <c r="P727" s="16">
        <f>(I727*J727*O727)+L727</f>
        <v>57.854999999999997</v>
      </c>
      <c r="Q727" s="18" t="str">
        <f t="shared" si="54"/>
        <v/>
      </c>
      <c r="R727" s="18" t="str">
        <f t="shared" si="55"/>
        <v/>
      </c>
      <c r="S727" s="18" t="str">
        <f t="shared" si="56"/>
        <v/>
      </c>
      <c r="T727" s="18" t="str">
        <f t="shared" si="57"/>
        <v/>
      </c>
      <c r="U727" s="18">
        <f t="shared" si="58"/>
        <v>57.854999999999997</v>
      </c>
      <c r="V727" s="18" t="str">
        <f t="shared" si="59"/>
        <v/>
      </c>
      <c r="W727" s="14"/>
    </row>
    <row r="728" spans="1:23" x14ac:dyDescent="0.25">
      <c r="A728" s="6"/>
      <c r="B728" s="33" t="s">
        <v>99</v>
      </c>
      <c r="C728" s="19"/>
      <c r="D728" s="56"/>
      <c r="E728" s="56"/>
      <c r="F728" s="41"/>
      <c r="G728" s="36"/>
      <c r="H728" s="10"/>
      <c r="I728" s="11"/>
      <c r="J728" s="13"/>
      <c r="K728" s="45"/>
      <c r="L728" s="37"/>
      <c r="M728" s="17"/>
      <c r="N728" s="11"/>
      <c r="O728" s="16"/>
      <c r="P728" s="16"/>
      <c r="Q728" s="18" t="str">
        <f t="shared" si="54"/>
        <v/>
      </c>
      <c r="R728" s="18" t="str">
        <f t="shared" si="55"/>
        <v/>
      </c>
      <c r="S728" s="18" t="str">
        <f t="shared" si="56"/>
        <v/>
      </c>
      <c r="T728" s="18" t="str">
        <f t="shared" si="57"/>
        <v/>
      </c>
      <c r="U728" s="18" t="str">
        <f t="shared" si="58"/>
        <v/>
      </c>
      <c r="V728" s="18" t="str">
        <f t="shared" si="59"/>
        <v/>
      </c>
      <c r="W728" s="14"/>
    </row>
    <row r="729" spans="1:23" x14ac:dyDescent="0.25">
      <c r="A729" s="6"/>
      <c r="B729" s="50"/>
      <c r="C729" s="19"/>
      <c r="D729" s="56"/>
      <c r="E729" s="56"/>
      <c r="F729" s="41"/>
      <c r="G729" s="36"/>
      <c r="H729" s="10"/>
      <c r="I729" s="11"/>
      <c r="J729" s="13"/>
      <c r="K729" s="45"/>
      <c r="L729" s="37"/>
      <c r="M729" s="17"/>
      <c r="N729" s="11"/>
      <c r="O729" s="16"/>
      <c r="P729" s="16"/>
      <c r="Q729" s="18" t="str">
        <f t="shared" si="54"/>
        <v/>
      </c>
      <c r="R729" s="18" t="str">
        <f t="shared" si="55"/>
        <v/>
      </c>
      <c r="S729" s="18" t="str">
        <f t="shared" si="56"/>
        <v/>
      </c>
      <c r="T729" s="18" t="str">
        <f t="shared" si="57"/>
        <v/>
      </c>
      <c r="U729" s="18" t="str">
        <f t="shared" si="58"/>
        <v/>
      </c>
      <c r="V729" s="18" t="str">
        <f t="shared" si="59"/>
        <v/>
      </c>
      <c r="W729" s="14"/>
    </row>
    <row r="730" spans="1:23" x14ac:dyDescent="0.25">
      <c r="A730" s="6">
        <v>39</v>
      </c>
      <c r="B730" s="33" t="s">
        <v>95</v>
      </c>
      <c r="C730" s="44"/>
      <c r="D730" s="62">
        <v>4.5250000000000004</v>
      </c>
      <c r="E730" s="62"/>
      <c r="F730" s="41"/>
      <c r="G730" s="36">
        <v>0.25</v>
      </c>
      <c r="H730" s="10">
        <v>16</v>
      </c>
      <c r="I730" s="11">
        <v>1</v>
      </c>
      <c r="J730" s="13">
        <f>ROUND(3.045/G730+1,0)</f>
        <v>13</v>
      </c>
      <c r="K730" s="45">
        <f>D730</f>
        <v>4.5250000000000004</v>
      </c>
      <c r="L730" s="37" t="str">
        <f>IF(O730&lt;12,"0",0.049*H730)</f>
        <v>0</v>
      </c>
      <c r="M730" s="17">
        <v>0</v>
      </c>
      <c r="N730" s="11">
        <f>M730*2*H730/1000</f>
        <v>0</v>
      </c>
      <c r="O730" s="16">
        <f>(D730)-N730</f>
        <v>4.5250000000000004</v>
      </c>
      <c r="P730" s="16">
        <f>(I730*J730*O730)+L730</f>
        <v>58.825000000000003</v>
      </c>
      <c r="Q730" s="18" t="str">
        <f t="shared" si="54"/>
        <v/>
      </c>
      <c r="R730" s="18" t="str">
        <f t="shared" si="55"/>
        <v/>
      </c>
      <c r="S730" s="18" t="str">
        <f t="shared" si="56"/>
        <v/>
      </c>
      <c r="T730" s="18">
        <f t="shared" si="57"/>
        <v>58.825000000000003</v>
      </c>
      <c r="U730" s="18" t="str">
        <f t="shared" si="58"/>
        <v/>
      </c>
      <c r="V730" s="18" t="str">
        <f t="shared" si="59"/>
        <v/>
      </c>
      <c r="W730" s="14"/>
    </row>
    <row r="731" spans="1:23" x14ac:dyDescent="0.25">
      <c r="A731" s="6"/>
      <c r="B731" s="33" t="s">
        <v>99</v>
      </c>
      <c r="C731" s="19"/>
      <c r="D731" s="56"/>
      <c r="E731" s="56"/>
      <c r="F731" s="41"/>
      <c r="G731" s="36"/>
      <c r="H731" s="10"/>
      <c r="I731" s="11"/>
      <c r="J731" s="13"/>
      <c r="K731" s="45"/>
      <c r="L731" s="37"/>
      <c r="M731" s="17"/>
      <c r="N731" s="11"/>
      <c r="O731" s="16"/>
      <c r="P731" s="16"/>
      <c r="Q731" s="18" t="str">
        <f t="shared" si="54"/>
        <v/>
      </c>
      <c r="R731" s="18" t="str">
        <f t="shared" si="55"/>
        <v/>
      </c>
      <c r="S731" s="18" t="str">
        <f t="shared" si="56"/>
        <v/>
      </c>
      <c r="T731" s="18" t="str">
        <f t="shared" si="57"/>
        <v/>
      </c>
      <c r="U731" s="18" t="str">
        <f t="shared" si="58"/>
        <v/>
      </c>
      <c r="V731" s="18" t="str">
        <f t="shared" si="59"/>
        <v/>
      </c>
      <c r="W731" s="14"/>
    </row>
    <row r="732" spans="1:23" x14ac:dyDescent="0.25">
      <c r="A732" s="6"/>
      <c r="B732" s="50"/>
      <c r="C732" s="19"/>
      <c r="D732" s="56"/>
      <c r="E732" s="56"/>
      <c r="F732" s="41"/>
      <c r="G732" s="36"/>
      <c r="H732" s="10"/>
      <c r="I732" s="11"/>
      <c r="J732" s="13"/>
      <c r="K732" s="45"/>
      <c r="L732" s="37"/>
      <c r="M732" s="17"/>
      <c r="N732" s="11"/>
      <c r="O732" s="16"/>
      <c r="P732" s="16"/>
      <c r="Q732" s="18" t="str">
        <f t="shared" si="54"/>
        <v/>
      </c>
      <c r="R732" s="18" t="str">
        <f t="shared" si="55"/>
        <v/>
      </c>
      <c r="S732" s="18" t="str">
        <f t="shared" si="56"/>
        <v/>
      </c>
      <c r="T732" s="18" t="str">
        <f t="shared" si="57"/>
        <v/>
      </c>
      <c r="U732" s="18" t="str">
        <f t="shared" si="58"/>
        <v/>
      </c>
      <c r="V732" s="18" t="str">
        <f t="shared" si="59"/>
        <v/>
      </c>
      <c r="W732" s="14"/>
    </row>
    <row r="733" spans="1:23" x14ac:dyDescent="0.25">
      <c r="A733" s="6">
        <v>40</v>
      </c>
      <c r="B733" s="33" t="s">
        <v>94</v>
      </c>
      <c r="C733" s="44"/>
      <c r="D733" s="62">
        <v>3.12</v>
      </c>
      <c r="E733" s="62"/>
      <c r="F733" s="41"/>
      <c r="G733" s="36">
        <v>0.25</v>
      </c>
      <c r="H733" s="10">
        <v>20</v>
      </c>
      <c r="I733" s="11">
        <v>1</v>
      </c>
      <c r="J733" s="13">
        <f>ROUND(3.165/G733+1,0)</f>
        <v>14</v>
      </c>
      <c r="K733" s="45">
        <f>D733</f>
        <v>3.12</v>
      </c>
      <c r="L733" s="37" t="str">
        <f>IF(O733&lt;12,"0",0.049*H733)</f>
        <v>0</v>
      </c>
      <c r="M733" s="17">
        <v>0</v>
      </c>
      <c r="N733" s="11">
        <f>M733*2*H733/1000</f>
        <v>0</v>
      </c>
      <c r="O733" s="16">
        <f>(D733)-N733</f>
        <v>3.12</v>
      </c>
      <c r="P733" s="16">
        <f>(I733*J733*O733)+L733</f>
        <v>43.68</v>
      </c>
      <c r="Q733" s="18" t="str">
        <f t="shared" si="54"/>
        <v/>
      </c>
      <c r="R733" s="18" t="str">
        <f t="shared" si="55"/>
        <v/>
      </c>
      <c r="S733" s="18" t="str">
        <f t="shared" si="56"/>
        <v/>
      </c>
      <c r="T733" s="18" t="str">
        <f t="shared" si="57"/>
        <v/>
      </c>
      <c r="U733" s="18">
        <f t="shared" si="58"/>
        <v>43.68</v>
      </c>
      <c r="V733" s="18" t="str">
        <f t="shared" si="59"/>
        <v/>
      </c>
      <c r="W733" s="14"/>
    </row>
    <row r="734" spans="1:23" x14ac:dyDescent="0.25">
      <c r="A734" s="6"/>
      <c r="B734" s="33" t="s">
        <v>100</v>
      </c>
      <c r="C734" s="19"/>
      <c r="D734" s="56"/>
      <c r="E734" s="56"/>
      <c r="F734" s="41"/>
      <c r="G734" s="36"/>
      <c r="H734" s="10"/>
      <c r="I734" s="11"/>
      <c r="J734" s="13"/>
      <c r="K734" s="45"/>
      <c r="L734" s="37"/>
      <c r="M734" s="17"/>
      <c r="N734" s="11"/>
      <c r="O734" s="16"/>
      <c r="P734" s="16"/>
      <c r="Q734" s="18" t="str">
        <f t="shared" si="54"/>
        <v/>
      </c>
      <c r="R734" s="18" t="str">
        <f t="shared" si="55"/>
        <v/>
      </c>
      <c r="S734" s="18" t="str">
        <f t="shared" si="56"/>
        <v/>
      </c>
      <c r="T734" s="18" t="str">
        <f t="shared" si="57"/>
        <v/>
      </c>
      <c r="U734" s="18" t="str">
        <f t="shared" si="58"/>
        <v/>
      </c>
      <c r="V734" s="18" t="str">
        <f t="shared" si="59"/>
        <v/>
      </c>
      <c r="W734" s="14"/>
    </row>
    <row r="735" spans="1:23" x14ac:dyDescent="0.25">
      <c r="A735" s="6"/>
      <c r="B735" s="50"/>
      <c r="C735" s="19"/>
      <c r="D735" s="56"/>
      <c r="E735" s="56"/>
      <c r="F735" s="41"/>
      <c r="G735" s="36"/>
      <c r="H735" s="10"/>
      <c r="I735" s="11"/>
      <c r="J735" s="13"/>
      <c r="K735" s="45"/>
      <c r="L735" s="37"/>
      <c r="M735" s="17"/>
      <c r="N735" s="11"/>
      <c r="O735" s="16"/>
      <c r="P735" s="16"/>
      <c r="Q735" s="18" t="str">
        <f t="shared" si="54"/>
        <v/>
      </c>
      <c r="R735" s="18" t="str">
        <f t="shared" si="55"/>
        <v/>
      </c>
      <c r="S735" s="18" t="str">
        <f t="shared" si="56"/>
        <v/>
      </c>
      <c r="T735" s="18" t="str">
        <f t="shared" si="57"/>
        <v/>
      </c>
      <c r="U735" s="18" t="str">
        <f t="shared" si="58"/>
        <v/>
      </c>
      <c r="V735" s="18" t="str">
        <f t="shared" si="59"/>
        <v/>
      </c>
      <c r="W735" s="14"/>
    </row>
    <row r="736" spans="1:23" x14ac:dyDescent="0.25">
      <c r="A736" s="6">
        <v>41</v>
      </c>
      <c r="B736" s="33" t="s">
        <v>94</v>
      </c>
      <c r="C736" s="44"/>
      <c r="D736" s="62">
        <v>2.85</v>
      </c>
      <c r="E736" s="62"/>
      <c r="F736" s="41"/>
      <c r="G736" s="36">
        <v>0.25</v>
      </c>
      <c r="H736" s="10">
        <v>16</v>
      </c>
      <c r="I736" s="11">
        <v>1</v>
      </c>
      <c r="J736" s="13">
        <f>ROUND(5.47/G736+1,0)</f>
        <v>23</v>
      </c>
      <c r="K736" s="45">
        <f>D736</f>
        <v>2.85</v>
      </c>
      <c r="L736" s="37" t="str">
        <f>IF(O736&lt;12,"0",0.049*H736)</f>
        <v>0</v>
      </c>
      <c r="M736" s="17">
        <v>0</v>
      </c>
      <c r="N736" s="11">
        <f>M736*2*H736/1000</f>
        <v>0</v>
      </c>
      <c r="O736" s="16">
        <f>(D736)-N736</f>
        <v>2.85</v>
      </c>
      <c r="P736" s="16">
        <f>(I736*J736*O736)+L736</f>
        <v>65.55</v>
      </c>
      <c r="Q736" s="18" t="str">
        <f t="shared" si="54"/>
        <v/>
      </c>
      <c r="R736" s="18" t="str">
        <f t="shared" si="55"/>
        <v/>
      </c>
      <c r="S736" s="18" t="str">
        <f t="shared" si="56"/>
        <v/>
      </c>
      <c r="T736" s="18">
        <f t="shared" si="57"/>
        <v>65.55</v>
      </c>
      <c r="U736" s="18" t="str">
        <f t="shared" si="58"/>
        <v/>
      </c>
      <c r="V736" s="18" t="str">
        <f t="shared" si="59"/>
        <v/>
      </c>
      <c r="W736" s="14"/>
    </row>
    <row r="737" spans="1:23" x14ac:dyDescent="0.25">
      <c r="A737" s="6"/>
      <c r="B737" s="33" t="s">
        <v>100</v>
      </c>
      <c r="C737" s="19"/>
      <c r="D737" s="56"/>
      <c r="E737" s="56"/>
      <c r="F737" s="41"/>
      <c r="G737" s="36"/>
      <c r="H737" s="10"/>
      <c r="I737" s="11"/>
      <c r="J737" s="13"/>
      <c r="K737" s="45"/>
      <c r="L737" s="37"/>
      <c r="M737" s="17"/>
      <c r="N737" s="11"/>
      <c r="O737" s="16"/>
      <c r="P737" s="16"/>
      <c r="Q737" s="18" t="str">
        <f t="shared" si="54"/>
        <v/>
      </c>
      <c r="R737" s="18" t="str">
        <f t="shared" si="55"/>
        <v/>
      </c>
      <c r="S737" s="18" t="str">
        <f t="shared" si="56"/>
        <v/>
      </c>
      <c r="T737" s="18" t="str">
        <f t="shared" si="57"/>
        <v/>
      </c>
      <c r="U737" s="18" t="str">
        <f t="shared" si="58"/>
        <v/>
      </c>
      <c r="V737" s="18" t="str">
        <f t="shared" si="59"/>
        <v/>
      </c>
      <c r="W737" s="14"/>
    </row>
    <row r="738" spans="1:23" x14ac:dyDescent="0.25">
      <c r="A738" s="6"/>
      <c r="B738" s="50"/>
      <c r="C738" s="19"/>
      <c r="D738" s="56"/>
      <c r="E738" s="56"/>
      <c r="F738" s="41"/>
      <c r="G738" s="36"/>
      <c r="H738" s="10"/>
      <c r="I738" s="11"/>
      <c r="J738" s="13"/>
      <c r="K738" s="45"/>
      <c r="L738" s="37"/>
      <c r="M738" s="17"/>
      <c r="N738" s="11"/>
      <c r="O738" s="16"/>
      <c r="P738" s="16"/>
      <c r="Q738" s="18" t="str">
        <f t="shared" si="54"/>
        <v/>
      </c>
      <c r="R738" s="18" t="str">
        <f t="shared" si="55"/>
        <v/>
      </c>
      <c r="S738" s="18" t="str">
        <f t="shared" si="56"/>
        <v/>
      </c>
      <c r="T738" s="18" t="str">
        <f t="shared" si="57"/>
        <v/>
      </c>
      <c r="U738" s="18" t="str">
        <f t="shared" si="58"/>
        <v/>
      </c>
      <c r="V738" s="18" t="str">
        <f t="shared" si="59"/>
        <v/>
      </c>
      <c r="W738" s="14"/>
    </row>
    <row r="739" spans="1:23" x14ac:dyDescent="0.25">
      <c r="A739" s="6">
        <v>42</v>
      </c>
      <c r="B739" s="33" t="s">
        <v>95</v>
      </c>
      <c r="C739" s="44"/>
      <c r="D739" s="62">
        <v>4.12</v>
      </c>
      <c r="E739" s="62"/>
      <c r="F739" s="41"/>
      <c r="G739" s="36">
        <v>0.25</v>
      </c>
      <c r="H739" s="10">
        <v>20</v>
      </c>
      <c r="I739" s="11">
        <v>1</v>
      </c>
      <c r="J739" s="13">
        <f>ROUND(8.16/G739+1,0)</f>
        <v>34</v>
      </c>
      <c r="K739" s="45">
        <f>D739</f>
        <v>4.12</v>
      </c>
      <c r="L739" s="37" t="str">
        <f>IF(O739&lt;12,"0",0.049*H739)</f>
        <v>0</v>
      </c>
      <c r="M739" s="17">
        <v>0</v>
      </c>
      <c r="N739" s="11">
        <f>M739*2*H739/1000</f>
        <v>0</v>
      </c>
      <c r="O739" s="16">
        <f>(D739)-N739</f>
        <v>4.12</v>
      </c>
      <c r="P739" s="16">
        <f>(I739*J739*O739)+L739</f>
        <v>140.08000000000001</v>
      </c>
      <c r="Q739" s="18" t="str">
        <f t="shared" si="54"/>
        <v/>
      </c>
      <c r="R739" s="18" t="str">
        <f t="shared" si="55"/>
        <v/>
      </c>
      <c r="S739" s="18" t="str">
        <f t="shared" si="56"/>
        <v/>
      </c>
      <c r="T739" s="18" t="str">
        <f t="shared" si="57"/>
        <v/>
      </c>
      <c r="U739" s="18">
        <f t="shared" si="58"/>
        <v>140.08000000000001</v>
      </c>
      <c r="V739" s="18" t="str">
        <f t="shared" si="59"/>
        <v/>
      </c>
      <c r="W739" s="14"/>
    </row>
    <row r="740" spans="1:23" x14ac:dyDescent="0.25">
      <c r="A740" s="6"/>
      <c r="B740" s="33" t="s">
        <v>100</v>
      </c>
      <c r="C740" s="19"/>
      <c r="D740" s="56"/>
      <c r="E740" s="56"/>
      <c r="F740" s="41"/>
      <c r="G740" s="36"/>
      <c r="H740" s="10"/>
      <c r="I740" s="11"/>
      <c r="J740" s="13"/>
      <c r="K740" s="45"/>
      <c r="L740" s="37"/>
      <c r="M740" s="17"/>
      <c r="N740" s="11"/>
      <c r="O740" s="16"/>
      <c r="P740" s="16"/>
      <c r="Q740" s="18" t="str">
        <f t="shared" si="54"/>
        <v/>
      </c>
      <c r="R740" s="18" t="str">
        <f t="shared" si="55"/>
        <v/>
      </c>
      <c r="S740" s="18" t="str">
        <f t="shared" si="56"/>
        <v/>
      </c>
      <c r="T740" s="18" t="str">
        <f t="shared" si="57"/>
        <v/>
      </c>
      <c r="U740" s="18" t="str">
        <f t="shared" si="58"/>
        <v/>
      </c>
      <c r="V740" s="18" t="str">
        <f t="shared" si="59"/>
        <v/>
      </c>
      <c r="W740" s="14"/>
    </row>
    <row r="741" spans="1:23" x14ac:dyDescent="0.25">
      <c r="A741" s="6"/>
      <c r="B741" s="50"/>
      <c r="C741" s="19"/>
      <c r="D741" s="56"/>
      <c r="E741" s="56"/>
      <c r="F741" s="41"/>
      <c r="G741" s="36"/>
      <c r="H741" s="10"/>
      <c r="I741" s="11"/>
      <c r="J741" s="13"/>
      <c r="K741" s="45"/>
      <c r="L741" s="37"/>
      <c r="M741" s="17"/>
      <c r="N741" s="11"/>
      <c r="O741" s="16"/>
      <c r="P741" s="16"/>
      <c r="Q741" s="18" t="str">
        <f t="shared" si="54"/>
        <v/>
      </c>
      <c r="R741" s="18" t="str">
        <f t="shared" si="55"/>
        <v/>
      </c>
      <c r="S741" s="18" t="str">
        <f t="shared" si="56"/>
        <v/>
      </c>
      <c r="T741" s="18" t="str">
        <f t="shared" si="57"/>
        <v/>
      </c>
      <c r="U741" s="18" t="str">
        <f t="shared" si="58"/>
        <v/>
      </c>
      <c r="V741" s="18" t="str">
        <f t="shared" si="59"/>
        <v/>
      </c>
      <c r="W741" s="14"/>
    </row>
    <row r="742" spans="1:23" x14ac:dyDescent="0.25">
      <c r="A742" s="6">
        <v>43</v>
      </c>
      <c r="B742" s="33" t="s">
        <v>95</v>
      </c>
      <c r="C742" s="44"/>
      <c r="D742" s="62">
        <v>4.1900000000000004</v>
      </c>
      <c r="E742" s="62"/>
      <c r="F742" s="41"/>
      <c r="G742" s="36">
        <v>0.25</v>
      </c>
      <c r="H742" s="10">
        <v>12</v>
      </c>
      <c r="I742" s="11">
        <v>1</v>
      </c>
      <c r="J742" s="13">
        <f>ROUND(2.56/G742+1,0)</f>
        <v>11</v>
      </c>
      <c r="K742" s="45">
        <f>D742</f>
        <v>4.1900000000000004</v>
      </c>
      <c r="L742" s="37" t="str">
        <f>IF(O742&lt;12,"0",0.049*H742)</f>
        <v>0</v>
      </c>
      <c r="M742" s="17">
        <v>0</v>
      </c>
      <c r="N742" s="11">
        <f>M742*2*H742/1000</f>
        <v>0</v>
      </c>
      <c r="O742" s="16">
        <f>(D742)-N742</f>
        <v>4.1900000000000004</v>
      </c>
      <c r="P742" s="16">
        <f>(I742*J742*O742)+L742</f>
        <v>46.09</v>
      </c>
      <c r="Q742" s="18" t="str">
        <f t="shared" si="54"/>
        <v/>
      </c>
      <c r="R742" s="18" t="str">
        <f t="shared" si="55"/>
        <v/>
      </c>
      <c r="S742" s="18">
        <f t="shared" si="56"/>
        <v>46.09</v>
      </c>
      <c r="T742" s="18" t="str">
        <f t="shared" si="57"/>
        <v/>
      </c>
      <c r="U742" s="18" t="str">
        <f t="shared" si="58"/>
        <v/>
      </c>
      <c r="V742" s="18" t="str">
        <f t="shared" si="59"/>
        <v/>
      </c>
      <c r="W742" s="14"/>
    </row>
    <row r="743" spans="1:23" x14ac:dyDescent="0.25">
      <c r="A743" s="6"/>
      <c r="B743" s="33" t="s">
        <v>100</v>
      </c>
      <c r="C743" s="19"/>
      <c r="D743" s="56"/>
      <c r="E743" s="56"/>
      <c r="F743" s="41"/>
      <c r="G743" s="36"/>
      <c r="H743" s="10"/>
      <c r="I743" s="11"/>
      <c r="J743" s="13"/>
      <c r="K743" s="45"/>
      <c r="L743" s="37"/>
      <c r="M743" s="17"/>
      <c r="N743" s="11"/>
      <c r="O743" s="16"/>
      <c r="P743" s="16"/>
      <c r="Q743" s="18" t="str">
        <f t="shared" si="54"/>
        <v/>
      </c>
      <c r="R743" s="18" t="str">
        <f t="shared" si="55"/>
        <v/>
      </c>
      <c r="S743" s="18" t="str">
        <f t="shared" si="56"/>
        <v/>
      </c>
      <c r="T743" s="18" t="str">
        <f t="shared" si="57"/>
        <v/>
      </c>
      <c r="U743" s="18" t="str">
        <f t="shared" si="58"/>
        <v/>
      </c>
      <c r="V743" s="18" t="str">
        <f t="shared" si="59"/>
        <v/>
      </c>
      <c r="W743" s="14"/>
    </row>
    <row r="744" spans="1:23" x14ac:dyDescent="0.25">
      <c r="A744" s="6"/>
      <c r="B744" s="50"/>
      <c r="C744" s="19"/>
      <c r="D744" s="56"/>
      <c r="E744" s="56"/>
      <c r="F744" s="41"/>
      <c r="G744" s="36"/>
      <c r="H744" s="10"/>
      <c r="I744" s="11"/>
      <c r="J744" s="13"/>
      <c r="K744" s="45"/>
      <c r="L744" s="37"/>
      <c r="M744" s="17"/>
      <c r="N744" s="11"/>
      <c r="O744" s="16"/>
      <c r="P744" s="16"/>
      <c r="Q744" s="18" t="str">
        <f t="shared" si="54"/>
        <v/>
      </c>
      <c r="R744" s="18" t="str">
        <f t="shared" si="55"/>
        <v/>
      </c>
      <c r="S744" s="18" t="str">
        <f t="shared" si="56"/>
        <v/>
      </c>
      <c r="T744" s="18" t="str">
        <f t="shared" si="57"/>
        <v/>
      </c>
      <c r="U744" s="18" t="str">
        <f t="shared" si="58"/>
        <v/>
      </c>
      <c r="V744" s="18" t="str">
        <f t="shared" si="59"/>
        <v/>
      </c>
      <c r="W744" s="14"/>
    </row>
    <row r="745" spans="1:23" x14ac:dyDescent="0.25">
      <c r="A745" s="6">
        <v>44</v>
      </c>
      <c r="B745" s="33" t="s">
        <v>95</v>
      </c>
      <c r="C745" s="44"/>
      <c r="D745" s="62">
        <v>7.68</v>
      </c>
      <c r="E745" s="62"/>
      <c r="F745" s="41"/>
      <c r="G745" s="36">
        <v>0.25</v>
      </c>
      <c r="H745" s="10">
        <v>12</v>
      </c>
      <c r="I745" s="11">
        <v>1</v>
      </c>
      <c r="J745" s="13">
        <f>ROUND(2.635/G745+1,0)</f>
        <v>12</v>
      </c>
      <c r="K745" s="45">
        <f>D745</f>
        <v>7.68</v>
      </c>
      <c r="L745" s="37" t="str">
        <f>IF(O745&lt;12,"0",0.049*H745)</f>
        <v>0</v>
      </c>
      <c r="M745" s="17">
        <v>0</v>
      </c>
      <c r="N745" s="11">
        <f>M745*2*H745/1000</f>
        <v>0</v>
      </c>
      <c r="O745" s="16">
        <f>(D745)-N745</f>
        <v>7.68</v>
      </c>
      <c r="P745" s="16">
        <f>(I745*J745*O745)+L745</f>
        <v>92.16</v>
      </c>
      <c r="Q745" s="18" t="str">
        <f t="shared" si="54"/>
        <v/>
      </c>
      <c r="R745" s="18" t="str">
        <f t="shared" si="55"/>
        <v/>
      </c>
      <c r="S745" s="18">
        <f t="shared" si="56"/>
        <v>92.16</v>
      </c>
      <c r="T745" s="18" t="str">
        <f t="shared" si="57"/>
        <v/>
      </c>
      <c r="U745" s="18" t="str">
        <f t="shared" si="58"/>
        <v/>
      </c>
      <c r="V745" s="18" t="str">
        <f t="shared" si="59"/>
        <v/>
      </c>
      <c r="W745" s="14"/>
    </row>
    <row r="746" spans="1:23" x14ac:dyDescent="0.25">
      <c r="A746" s="6"/>
      <c r="B746" s="33" t="s">
        <v>101</v>
      </c>
      <c r="C746" s="19"/>
      <c r="D746" s="56"/>
      <c r="E746" s="56"/>
      <c r="F746" s="41"/>
      <c r="G746" s="36"/>
      <c r="H746" s="10"/>
      <c r="I746" s="11"/>
      <c r="J746" s="13"/>
      <c r="K746" s="45"/>
      <c r="L746" s="37"/>
      <c r="M746" s="17"/>
      <c r="N746" s="11"/>
      <c r="O746" s="16"/>
      <c r="P746" s="16"/>
      <c r="Q746" s="18" t="str">
        <f t="shared" si="54"/>
        <v/>
      </c>
      <c r="R746" s="18" t="str">
        <f t="shared" si="55"/>
        <v/>
      </c>
      <c r="S746" s="18" t="str">
        <f t="shared" si="56"/>
        <v/>
      </c>
      <c r="T746" s="18" t="str">
        <f t="shared" si="57"/>
        <v/>
      </c>
      <c r="U746" s="18" t="str">
        <f t="shared" si="58"/>
        <v/>
      </c>
      <c r="V746" s="18" t="str">
        <f t="shared" si="59"/>
        <v/>
      </c>
      <c r="W746" s="14"/>
    </row>
    <row r="747" spans="1:23" x14ac:dyDescent="0.25">
      <c r="A747" s="6"/>
      <c r="B747" s="50"/>
      <c r="C747" s="19"/>
      <c r="D747" s="56"/>
      <c r="E747" s="56"/>
      <c r="F747" s="41"/>
      <c r="G747" s="36"/>
      <c r="H747" s="10"/>
      <c r="I747" s="11"/>
      <c r="J747" s="13"/>
      <c r="K747" s="45"/>
      <c r="L747" s="37"/>
      <c r="M747" s="17"/>
      <c r="N747" s="11"/>
      <c r="O747" s="16"/>
      <c r="P747" s="16"/>
      <c r="Q747" s="18" t="str">
        <f t="shared" si="54"/>
        <v/>
      </c>
      <c r="R747" s="18" t="str">
        <f t="shared" si="55"/>
        <v/>
      </c>
      <c r="S747" s="18" t="str">
        <f t="shared" si="56"/>
        <v/>
      </c>
      <c r="T747" s="18" t="str">
        <f t="shared" si="57"/>
        <v/>
      </c>
      <c r="U747" s="18" t="str">
        <f t="shared" si="58"/>
        <v/>
      </c>
      <c r="V747" s="18" t="str">
        <f t="shared" si="59"/>
        <v/>
      </c>
      <c r="W747" s="14"/>
    </row>
    <row r="748" spans="1:23" x14ac:dyDescent="0.25">
      <c r="A748" s="6">
        <v>45</v>
      </c>
      <c r="B748" s="33" t="s">
        <v>95</v>
      </c>
      <c r="C748" s="44"/>
      <c r="D748" s="62">
        <v>3.915</v>
      </c>
      <c r="E748" s="62"/>
      <c r="F748" s="41"/>
      <c r="G748" s="36">
        <v>0.25</v>
      </c>
      <c r="H748" s="10">
        <v>20</v>
      </c>
      <c r="I748" s="11">
        <v>1</v>
      </c>
      <c r="J748" s="13">
        <f>ROUND(4.5/G748+1,0)</f>
        <v>19</v>
      </c>
      <c r="K748" s="45">
        <f>D748</f>
        <v>3.915</v>
      </c>
      <c r="L748" s="37" t="str">
        <f>IF(O748&lt;12,"0",0.049*H748)</f>
        <v>0</v>
      </c>
      <c r="M748" s="17">
        <v>0</v>
      </c>
      <c r="N748" s="11">
        <f>M748*2*H748/1000</f>
        <v>0</v>
      </c>
      <c r="O748" s="16">
        <f>(D748)-N748</f>
        <v>3.915</v>
      </c>
      <c r="P748" s="16">
        <f>(I748*J748*O748)+L748</f>
        <v>74.385000000000005</v>
      </c>
      <c r="Q748" s="18" t="str">
        <f t="shared" si="54"/>
        <v/>
      </c>
      <c r="R748" s="18" t="str">
        <f t="shared" si="55"/>
        <v/>
      </c>
      <c r="S748" s="18" t="str">
        <f t="shared" si="56"/>
        <v/>
      </c>
      <c r="T748" s="18" t="str">
        <f t="shared" si="57"/>
        <v/>
      </c>
      <c r="U748" s="18">
        <f t="shared" si="58"/>
        <v>74.385000000000005</v>
      </c>
      <c r="V748" s="18" t="str">
        <f t="shared" si="59"/>
        <v/>
      </c>
      <c r="W748" s="14"/>
    </row>
    <row r="749" spans="1:23" x14ac:dyDescent="0.25">
      <c r="A749" s="6"/>
      <c r="B749" s="33" t="s">
        <v>102</v>
      </c>
      <c r="C749" s="19"/>
      <c r="D749" s="56"/>
      <c r="E749" s="56"/>
      <c r="F749" s="41"/>
      <c r="G749" s="36"/>
      <c r="H749" s="10"/>
      <c r="I749" s="11"/>
      <c r="J749" s="13"/>
      <c r="K749" s="45"/>
      <c r="L749" s="37"/>
      <c r="M749" s="17"/>
      <c r="N749" s="11"/>
      <c r="O749" s="16"/>
      <c r="P749" s="16"/>
      <c r="Q749" s="18" t="str">
        <f t="shared" si="54"/>
        <v/>
      </c>
      <c r="R749" s="18" t="str">
        <f t="shared" si="55"/>
        <v/>
      </c>
      <c r="S749" s="18" t="str">
        <f t="shared" si="56"/>
        <v/>
      </c>
      <c r="T749" s="18" t="str">
        <f t="shared" si="57"/>
        <v/>
      </c>
      <c r="U749" s="18" t="str">
        <f t="shared" si="58"/>
        <v/>
      </c>
      <c r="V749" s="18" t="str">
        <f t="shared" si="59"/>
        <v/>
      </c>
      <c r="W749" s="14"/>
    </row>
    <row r="750" spans="1:23" x14ac:dyDescent="0.25">
      <c r="A750" s="6"/>
      <c r="B750" s="50"/>
      <c r="C750" s="19"/>
      <c r="D750" s="56"/>
      <c r="E750" s="56"/>
      <c r="F750" s="41"/>
      <c r="G750" s="36"/>
      <c r="H750" s="10"/>
      <c r="I750" s="11"/>
      <c r="J750" s="13"/>
      <c r="K750" s="45"/>
      <c r="L750" s="37"/>
      <c r="M750" s="17"/>
      <c r="N750" s="11"/>
      <c r="O750" s="16"/>
      <c r="P750" s="16"/>
      <c r="Q750" s="18" t="str">
        <f t="shared" si="54"/>
        <v/>
      </c>
      <c r="R750" s="18" t="str">
        <f t="shared" si="55"/>
        <v/>
      </c>
      <c r="S750" s="18" t="str">
        <f t="shared" si="56"/>
        <v/>
      </c>
      <c r="T750" s="18" t="str">
        <f t="shared" si="57"/>
        <v/>
      </c>
      <c r="U750" s="18" t="str">
        <f t="shared" si="58"/>
        <v/>
      </c>
      <c r="V750" s="18" t="str">
        <f t="shared" si="59"/>
        <v/>
      </c>
      <c r="W750" s="14"/>
    </row>
    <row r="751" spans="1:23" x14ac:dyDescent="0.25">
      <c r="A751" s="6">
        <v>46</v>
      </c>
      <c r="B751" s="33" t="s">
        <v>95</v>
      </c>
      <c r="C751" s="44"/>
      <c r="D751" s="62">
        <v>4.5</v>
      </c>
      <c r="E751" s="62"/>
      <c r="F751" s="41"/>
      <c r="G751" s="36">
        <v>0.25</v>
      </c>
      <c r="H751" s="10">
        <v>16</v>
      </c>
      <c r="I751" s="11">
        <v>1</v>
      </c>
      <c r="J751" s="13">
        <f>ROUND(3.915/G751+1,0)</f>
        <v>17</v>
      </c>
      <c r="K751" s="45">
        <f>D751</f>
        <v>4.5</v>
      </c>
      <c r="L751" s="37" t="str">
        <f>IF(O751&lt;12,"0",0.049*H751)</f>
        <v>0</v>
      </c>
      <c r="M751" s="17">
        <v>0</v>
      </c>
      <c r="N751" s="11">
        <f>M751*2*H751/1000</f>
        <v>0</v>
      </c>
      <c r="O751" s="16">
        <f>(D751)-N751</f>
        <v>4.5</v>
      </c>
      <c r="P751" s="16">
        <f>(I751*J751*O751)+L751</f>
        <v>76.5</v>
      </c>
      <c r="Q751" s="18" t="str">
        <f t="shared" si="54"/>
        <v/>
      </c>
      <c r="R751" s="18" t="str">
        <f t="shared" si="55"/>
        <v/>
      </c>
      <c r="S751" s="18" t="str">
        <f t="shared" si="56"/>
        <v/>
      </c>
      <c r="T751" s="18">
        <f t="shared" si="57"/>
        <v>76.5</v>
      </c>
      <c r="U751" s="18" t="str">
        <f t="shared" si="58"/>
        <v/>
      </c>
      <c r="V751" s="18" t="str">
        <f t="shared" si="59"/>
        <v/>
      </c>
      <c r="W751" s="14"/>
    </row>
    <row r="752" spans="1:23" x14ac:dyDescent="0.25">
      <c r="A752" s="6"/>
      <c r="B752" s="33" t="s">
        <v>102</v>
      </c>
      <c r="C752" s="19"/>
      <c r="D752" s="56"/>
      <c r="E752" s="56"/>
      <c r="F752" s="41"/>
      <c r="G752" s="36"/>
      <c r="H752" s="10"/>
      <c r="I752" s="11"/>
      <c r="J752" s="13"/>
      <c r="K752" s="45"/>
      <c r="L752" s="37"/>
      <c r="M752" s="17"/>
      <c r="N752" s="11"/>
      <c r="O752" s="16"/>
      <c r="P752" s="16"/>
      <c r="Q752" s="18" t="str">
        <f t="shared" si="54"/>
        <v/>
      </c>
      <c r="R752" s="18" t="str">
        <f t="shared" si="55"/>
        <v/>
      </c>
      <c r="S752" s="18" t="str">
        <f t="shared" si="56"/>
        <v/>
      </c>
      <c r="T752" s="18" t="str">
        <f t="shared" si="57"/>
        <v/>
      </c>
      <c r="U752" s="18" t="str">
        <f t="shared" si="58"/>
        <v/>
      </c>
      <c r="V752" s="18" t="str">
        <f t="shared" si="59"/>
        <v/>
      </c>
      <c r="W752" s="14"/>
    </row>
    <row r="753" spans="1:23" x14ac:dyDescent="0.25">
      <c r="A753" s="6"/>
      <c r="B753" s="50"/>
      <c r="C753" s="19"/>
      <c r="D753" s="56"/>
      <c r="E753" s="56"/>
      <c r="F753" s="41"/>
      <c r="G753" s="36"/>
      <c r="H753" s="10"/>
      <c r="I753" s="11"/>
      <c r="J753" s="13"/>
      <c r="K753" s="45"/>
      <c r="L753" s="37"/>
      <c r="M753" s="17"/>
      <c r="N753" s="11"/>
      <c r="O753" s="16"/>
      <c r="P753" s="16"/>
      <c r="Q753" s="18" t="str">
        <f t="shared" si="54"/>
        <v/>
      </c>
      <c r="R753" s="18" t="str">
        <f t="shared" si="55"/>
        <v/>
      </c>
      <c r="S753" s="18" t="str">
        <f t="shared" si="56"/>
        <v/>
      </c>
      <c r="T753" s="18" t="str">
        <f t="shared" si="57"/>
        <v/>
      </c>
      <c r="U753" s="18" t="str">
        <f t="shared" si="58"/>
        <v/>
      </c>
      <c r="V753" s="18" t="str">
        <f t="shared" si="59"/>
        <v/>
      </c>
      <c r="W753" s="14"/>
    </row>
    <row r="754" spans="1:23" x14ac:dyDescent="0.25">
      <c r="A754" s="6">
        <v>47</v>
      </c>
      <c r="B754" s="33" t="s">
        <v>95</v>
      </c>
      <c r="C754" s="44"/>
      <c r="D754" s="62">
        <v>4.55</v>
      </c>
      <c r="E754" s="62"/>
      <c r="F754" s="41"/>
      <c r="G754" s="36">
        <v>0.25</v>
      </c>
      <c r="H754" s="10">
        <v>10</v>
      </c>
      <c r="I754" s="11">
        <v>1</v>
      </c>
      <c r="J754" s="13">
        <f>ROUND(4.5/G754+1,0)</f>
        <v>19</v>
      </c>
      <c r="K754" s="45">
        <f>D754</f>
        <v>4.55</v>
      </c>
      <c r="L754" s="37" t="str">
        <f>IF(O754&lt;12,"0",0.049*H754)</f>
        <v>0</v>
      </c>
      <c r="M754" s="17">
        <v>0</v>
      </c>
      <c r="N754" s="11">
        <f>M754*2*H754/1000</f>
        <v>0</v>
      </c>
      <c r="O754" s="16">
        <f>(D754)-N754</f>
        <v>4.55</v>
      </c>
      <c r="P754" s="16">
        <f>(I754*J754*O754)+L754</f>
        <v>86.45</v>
      </c>
      <c r="Q754" s="18" t="str">
        <f t="shared" si="54"/>
        <v/>
      </c>
      <c r="R754" s="18">
        <f t="shared" si="55"/>
        <v>86.45</v>
      </c>
      <c r="S754" s="18" t="str">
        <f t="shared" si="56"/>
        <v/>
      </c>
      <c r="T754" s="18" t="str">
        <f t="shared" si="57"/>
        <v/>
      </c>
      <c r="U754" s="18" t="str">
        <f t="shared" si="58"/>
        <v/>
      </c>
      <c r="V754" s="18" t="str">
        <f t="shared" si="59"/>
        <v/>
      </c>
      <c r="W754" s="14"/>
    </row>
    <row r="755" spans="1:23" x14ac:dyDescent="0.25">
      <c r="A755" s="6"/>
      <c r="B755" s="33" t="s">
        <v>103</v>
      </c>
      <c r="C755" s="19"/>
      <c r="D755" s="56"/>
      <c r="E755" s="56"/>
      <c r="F755" s="41"/>
      <c r="G755" s="36"/>
      <c r="H755" s="10"/>
      <c r="I755" s="11"/>
      <c r="J755" s="13"/>
      <c r="K755" s="45"/>
      <c r="L755" s="37"/>
      <c r="M755" s="17"/>
      <c r="N755" s="11"/>
      <c r="O755" s="16"/>
      <c r="P755" s="16"/>
      <c r="Q755" s="18" t="str">
        <f t="shared" si="54"/>
        <v/>
      </c>
      <c r="R755" s="18" t="str">
        <f t="shared" si="55"/>
        <v/>
      </c>
      <c r="S755" s="18" t="str">
        <f t="shared" si="56"/>
        <v/>
      </c>
      <c r="T755" s="18" t="str">
        <f t="shared" si="57"/>
        <v/>
      </c>
      <c r="U755" s="18" t="str">
        <f t="shared" si="58"/>
        <v/>
      </c>
      <c r="V755" s="18" t="str">
        <f t="shared" si="59"/>
        <v/>
      </c>
      <c r="W755" s="14"/>
    </row>
    <row r="756" spans="1:23" x14ac:dyDescent="0.25">
      <c r="A756" s="6"/>
      <c r="B756" s="50"/>
      <c r="C756" s="19"/>
      <c r="D756" s="56"/>
      <c r="E756" s="56"/>
      <c r="F756" s="41"/>
      <c r="G756" s="36"/>
      <c r="H756" s="10"/>
      <c r="I756" s="11"/>
      <c r="J756" s="13"/>
      <c r="K756" s="45"/>
      <c r="L756" s="37"/>
      <c r="M756" s="17"/>
      <c r="N756" s="11"/>
      <c r="O756" s="16"/>
      <c r="P756" s="16"/>
      <c r="Q756" s="18" t="str">
        <f t="shared" si="54"/>
        <v/>
      </c>
      <c r="R756" s="18" t="str">
        <f t="shared" si="55"/>
        <v/>
      </c>
      <c r="S756" s="18" t="str">
        <f t="shared" si="56"/>
        <v/>
      </c>
      <c r="T756" s="18" t="str">
        <f t="shared" si="57"/>
        <v/>
      </c>
      <c r="U756" s="18" t="str">
        <f t="shared" si="58"/>
        <v/>
      </c>
      <c r="V756" s="18" t="str">
        <f t="shared" si="59"/>
        <v/>
      </c>
      <c r="W756" s="14"/>
    </row>
    <row r="757" spans="1:23" x14ac:dyDescent="0.25">
      <c r="A757" s="6">
        <v>48</v>
      </c>
      <c r="B757" s="33" t="s">
        <v>94</v>
      </c>
      <c r="C757" s="44"/>
      <c r="D757" s="62">
        <v>3.9750000000000001</v>
      </c>
      <c r="E757" s="62"/>
      <c r="F757" s="41"/>
      <c r="G757" s="36">
        <v>0.25</v>
      </c>
      <c r="H757" s="10">
        <v>25</v>
      </c>
      <c r="I757" s="11">
        <v>1</v>
      </c>
      <c r="J757" s="13">
        <f>ROUND(6.08/G757+1,0)</f>
        <v>25</v>
      </c>
      <c r="K757" s="45">
        <f>D757</f>
        <v>3.9750000000000001</v>
      </c>
      <c r="L757" s="37" t="str">
        <f>IF(O757&lt;12,"0",0.049*H757)</f>
        <v>0</v>
      </c>
      <c r="M757" s="17">
        <v>0</v>
      </c>
      <c r="N757" s="11">
        <f>M757*2*H757/1000</f>
        <v>0</v>
      </c>
      <c r="O757" s="16">
        <f>(D757)-N757</f>
        <v>3.9750000000000001</v>
      </c>
      <c r="P757" s="16">
        <f>(I757*J757*O757)+L757</f>
        <v>99.375</v>
      </c>
      <c r="Q757" s="18" t="str">
        <f t="shared" si="54"/>
        <v/>
      </c>
      <c r="R757" s="18" t="str">
        <f t="shared" si="55"/>
        <v/>
      </c>
      <c r="S757" s="18" t="str">
        <f t="shared" si="56"/>
        <v/>
      </c>
      <c r="T757" s="18" t="str">
        <f t="shared" si="57"/>
        <v/>
      </c>
      <c r="U757" s="18" t="str">
        <f t="shared" si="58"/>
        <v/>
      </c>
      <c r="V757" s="18">
        <f t="shared" si="59"/>
        <v>99.375</v>
      </c>
      <c r="W757" s="14"/>
    </row>
    <row r="758" spans="1:23" x14ac:dyDescent="0.25">
      <c r="A758" s="6"/>
      <c r="B758" s="33" t="s">
        <v>104</v>
      </c>
      <c r="C758" s="19"/>
      <c r="D758" s="56"/>
      <c r="E758" s="56"/>
      <c r="F758" s="41"/>
      <c r="G758" s="36"/>
      <c r="H758" s="10"/>
      <c r="I758" s="11"/>
      <c r="J758" s="13"/>
      <c r="K758" s="45"/>
      <c r="L758" s="37"/>
      <c r="M758" s="17"/>
      <c r="N758" s="11"/>
      <c r="O758" s="16"/>
      <c r="P758" s="16"/>
      <c r="Q758" s="18" t="str">
        <f t="shared" si="54"/>
        <v/>
      </c>
      <c r="R758" s="18" t="str">
        <f t="shared" si="55"/>
        <v/>
      </c>
      <c r="S758" s="18" t="str">
        <f t="shared" si="56"/>
        <v/>
      </c>
      <c r="T758" s="18" t="str">
        <f t="shared" si="57"/>
        <v/>
      </c>
      <c r="U758" s="18" t="str">
        <f t="shared" si="58"/>
        <v/>
      </c>
      <c r="V758" s="18" t="str">
        <f t="shared" si="59"/>
        <v/>
      </c>
      <c r="W758" s="14"/>
    </row>
    <row r="759" spans="1:23" x14ac:dyDescent="0.25">
      <c r="A759" s="6"/>
      <c r="B759" s="50"/>
      <c r="C759" s="19"/>
      <c r="D759" s="56"/>
      <c r="E759" s="56"/>
      <c r="F759" s="41"/>
      <c r="G759" s="36"/>
      <c r="H759" s="10"/>
      <c r="I759" s="11"/>
      <c r="J759" s="13"/>
      <c r="K759" s="45"/>
      <c r="L759" s="37"/>
      <c r="M759" s="17"/>
      <c r="N759" s="11"/>
      <c r="O759" s="16"/>
      <c r="P759" s="16"/>
      <c r="Q759" s="18" t="str">
        <f t="shared" si="54"/>
        <v/>
      </c>
      <c r="R759" s="18" t="str">
        <f t="shared" si="55"/>
        <v/>
      </c>
      <c r="S759" s="18" t="str">
        <f t="shared" si="56"/>
        <v/>
      </c>
      <c r="T759" s="18" t="str">
        <f t="shared" si="57"/>
        <v/>
      </c>
      <c r="U759" s="18" t="str">
        <f t="shared" si="58"/>
        <v/>
      </c>
      <c r="V759" s="18" t="str">
        <f t="shared" si="59"/>
        <v/>
      </c>
      <c r="W759" s="14"/>
    </row>
    <row r="760" spans="1:23" x14ac:dyDescent="0.25">
      <c r="A760" s="6">
        <v>49</v>
      </c>
      <c r="B760" s="33" t="s">
        <v>95</v>
      </c>
      <c r="C760" s="44"/>
      <c r="D760" s="62">
        <v>6.08</v>
      </c>
      <c r="E760" s="62"/>
      <c r="F760" s="41"/>
      <c r="G760" s="36">
        <v>0.25</v>
      </c>
      <c r="H760" s="10">
        <v>16</v>
      </c>
      <c r="I760" s="11">
        <v>1</v>
      </c>
      <c r="J760" s="13">
        <f>ROUND(3.975/G760+1,0)</f>
        <v>17</v>
      </c>
      <c r="K760" s="45">
        <f>D760</f>
        <v>6.08</v>
      </c>
      <c r="L760" s="37" t="str">
        <f>IF(O760&lt;12,"0",0.049*H760)</f>
        <v>0</v>
      </c>
      <c r="M760" s="17">
        <v>0</v>
      </c>
      <c r="N760" s="11">
        <f>M760*2*H760/1000</f>
        <v>0</v>
      </c>
      <c r="O760" s="16">
        <f>(D760)-N760</f>
        <v>6.08</v>
      </c>
      <c r="P760" s="16">
        <f>(I760*J760*O760)+L760</f>
        <v>103.36</v>
      </c>
      <c r="Q760" s="18" t="str">
        <f t="shared" si="54"/>
        <v/>
      </c>
      <c r="R760" s="18" t="str">
        <f t="shared" si="55"/>
        <v/>
      </c>
      <c r="S760" s="18" t="str">
        <f t="shared" si="56"/>
        <v/>
      </c>
      <c r="T760" s="18">
        <f t="shared" si="57"/>
        <v>103.36</v>
      </c>
      <c r="U760" s="18" t="str">
        <f t="shared" si="58"/>
        <v/>
      </c>
      <c r="V760" s="18" t="str">
        <f t="shared" si="59"/>
        <v/>
      </c>
      <c r="W760" s="14"/>
    </row>
    <row r="761" spans="1:23" x14ac:dyDescent="0.25">
      <c r="A761" s="6"/>
      <c r="B761" s="33" t="s">
        <v>104</v>
      </c>
      <c r="C761" s="19"/>
      <c r="D761" s="56"/>
      <c r="E761" s="56"/>
      <c r="F761" s="41"/>
      <c r="G761" s="36"/>
      <c r="H761" s="10"/>
      <c r="I761" s="11"/>
      <c r="J761" s="13"/>
      <c r="K761" s="45"/>
      <c r="L761" s="37"/>
      <c r="M761" s="17"/>
      <c r="N761" s="11"/>
      <c r="O761" s="16"/>
      <c r="P761" s="16"/>
      <c r="Q761" s="18" t="str">
        <f t="shared" si="54"/>
        <v/>
      </c>
      <c r="R761" s="18" t="str">
        <f t="shared" si="55"/>
        <v/>
      </c>
      <c r="S761" s="18" t="str">
        <f t="shared" si="56"/>
        <v/>
      </c>
      <c r="T761" s="18" t="str">
        <f t="shared" si="57"/>
        <v/>
      </c>
      <c r="U761" s="18" t="str">
        <f t="shared" si="58"/>
        <v/>
      </c>
      <c r="V761" s="18" t="str">
        <f t="shared" si="59"/>
        <v/>
      </c>
      <c r="W761" s="14"/>
    </row>
    <row r="762" spans="1:23" x14ac:dyDescent="0.25">
      <c r="A762" s="6"/>
      <c r="B762" s="50"/>
      <c r="C762" s="19"/>
      <c r="D762" s="56"/>
      <c r="E762" s="56"/>
      <c r="F762" s="41"/>
      <c r="G762" s="36"/>
      <c r="H762" s="10"/>
      <c r="I762" s="11"/>
      <c r="J762" s="13"/>
      <c r="K762" s="45"/>
      <c r="L762" s="37"/>
      <c r="M762" s="17"/>
      <c r="N762" s="11"/>
      <c r="O762" s="16"/>
      <c r="P762" s="16"/>
      <c r="Q762" s="18" t="str">
        <f t="shared" si="54"/>
        <v/>
      </c>
      <c r="R762" s="18" t="str">
        <f t="shared" si="55"/>
        <v/>
      </c>
      <c r="S762" s="18" t="str">
        <f t="shared" si="56"/>
        <v/>
      </c>
      <c r="T762" s="18" t="str">
        <f t="shared" si="57"/>
        <v/>
      </c>
      <c r="U762" s="18" t="str">
        <f t="shared" si="58"/>
        <v/>
      </c>
      <c r="V762" s="18" t="str">
        <f t="shared" si="59"/>
        <v/>
      </c>
      <c r="W762" s="14"/>
    </row>
    <row r="763" spans="1:23" x14ac:dyDescent="0.25">
      <c r="A763" s="6">
        <v>50</v>
      </c>
      <c r="B763" s="33" t="s">
        <v>94</v>
      </c>
      <c r="C763" s="44"/>
      <c r="D763" s="62">
        <v>1.95</v>
      </c>
      <c r="E763" s="62"/>
      <c r="F763" s="41"/>
      <c r="G763" s="36">
        <v>0.25</v>
      </c>
      <c r="H763" s="10">
        <v>12</v>
      </c>
      <c r="I763" s="11">
        <v>1</v>
      </c>
      <c r="J763" s="13">
        <f>ROUND(6.08/G763+1,0)</f>
        <v>25</v>
      </c>
      <c r="K763" s="45">
        <f>D763</f>
        <v>1.95</v>
      </c>
      <c r="L763" s="37" t="str">
        <f>IF(O763&lt;12,"0",0.049*H763)</f>
        <v>0</v>
      </c>
      <c r="M763" s="17">
        <v>0</v>
      </c>
      <c r="N763" s="11">
        <f>M763*2*H763/1000</f>
        <v>0</v>
      </c>
      <c r="O763" s="16">
        <f>(D763)-N763</f>
        <v>1.95</v>
      </c>
      <c r="P763" s="16">
        <f>(I763*J763*O763)+L763</f>
        <v>48.75</v>
      </c>
      <c r="Q763" s="18" t="str">
        <f t="shared" si="54"/>
        <v/>
      </c>
      <c r="R763" s="18" t="str">
        <f t="shared" si="55"/>
        <v/>
      </c>
      <c r="S763" s="18">
        <f t="shared" si="56"/>
        <v>48.75</v>
      </c>
      <c r="T763" s="18" t="str">
        <f t="shared" si="57"/>
        <v/>
      </c>
      <c r="U763" s="18" t="str">
        <f t="shared" si="58"/>
        <v/>
      </c>
      <c r="V763" s="18" t="str">
        <f t="shared" si="59"/>
        <v/>
      </c>
      <c r="W763" s="14"/>
    </row>
    <row r="764" spans="1:23" x14ac:dyDescent="0.25">
      <c r="A764" s="6"/>
      <c r="B764" s="33" t="s">
        <v>105</v>
      </c>
      <c r="C764" s="19"/>
      <c r="D764" s="56"/>
      <c r="E764" s="56"/>
      <c r="F764" s="41"/>
      <c r="G764" s="36"/>
      <c r="H764" s="10"/>
      <c r="I764" s="11"/>
      <c r="J764" s="13"/>
      <c r="K764" s="45"/>
      <c r="L764" s="37"/>
      <c r="M764" s="17"/>
      <c r="N764" s="11"/>
      <c r="O764" s="16"/>
      <c r="P764" s="16"/>
      <c r="Q764" s="18" t="str">
        <f t="shared" si="54"/>
        <v/>
      </c>
      <c r="R764" s="18" t="str">
        <f t="shared" si="55"/>
        <v/>
      </c>
      <c r="S764" s="18" t="str">
        <f t="shared" si="56"/>
        <v/>
      </c>
      <c r="T764" s="18" t="str">
        <f t="shared" si="57"/>
        <v/>
      </c>
      <c r="U764" s="18" t="str">
        <f t="shared" si="58"/>
        <v/>
      </c>
      <c r="V764" s="18" t="str">
        <f t="shared" si="59"/>
        <v/>
      </c>
      <c r="W764" s="14"/>
    </row>
    <row r="765" spans="1:23" x14ac:dyDescent="0.25">
      <c r="A765" s="6"/>
      <c r="B765" s="50"/>
      <c r="C765" s="19"/>
      <c r="D765" s="56"/>
      <c r="E765" s="56"/>
      <c r="F765" s="41"/>
      <c r="G765" s="36"/>
      <c r="H765" s="10"/>
      <c r="I765" s="11"/>
      <c r="J765" s="13"/>
      <c r="K765" s="45"/>
      <c r="L765" s="37"/>
      <c r="M765" s="17"/>
      <c r="N765" s="11"/>
      <c r="O765" s="16"/>
      <c r="P765" s="16"/>
      <c r="Q765" s="18" t="str">
        <f t="shared" si="54"/>
        <v/>
      </c>
      <c r="R765" s="18" t="str">
        <f t="shared" si="55"/>
        <v/>
      </c>
      <c r="S765" s="18" t="str">
        <f t="shared" si="56"/>
        <v/>
      </c>
      <c r="T765" s="18" t="str">
        <f t="shared" si="57"/>
        <v/>
      </c>
      <c r="U765" s="18" t="str">
        <f t="shared" si="58"/>
        <v/>
      </c>
      <c r="V765" s="18" t="str">
        <f t="shared" si="59"/>
        <v/>
      </c>
      <c r="W765" s="14"/>
    </row>
    <row r="766" spans="1:23" x14ac:dyDescent="0.25">
      <c r="A766" s="6">
        <v>51</v>
      </c>
      <c r="B766" s="33" t="s">
        <v>95</v>
      </c>
      <c r="C766" s="44"/>
      <c r="D766" s="62">
        <v>6.08</v>
      </c>
      <c r="E766" s="62"/>
      <c r="F766" s="41"/>
      <c r="G766" s="36">
        <v>0.25</v>
      </c>
      <c r="H766" s="10">
        <v>12</v>
      </c>
      <c r="I766" s="11">
        <v>1</v>
      </c>
      <c r="J766" s="13">
        <f>ROUND(1.95/G766+1,0)</f>
        <v>9</v>
      </c>
      <c r="K766" s="45">
        <f>D766</f>
        <v>6.08</v>
      </c>
      <c r="L766" s="37" t="str">
        <f>IF(O766&lt;12,"0",0.049*H766)</f>
        <v>0</v>
      </c>
      <c r="M766" s="17">
        <v>0</v>
      </c>
      <c r="N766" s="11">
        <f>M766*2*H766/1000</f>
        <v>0</v>
      </c>
      <c r="O766" s="16">
        <f>(D766)-N766</f>
        <v>6.08</v>
      </c>
      <c r="P766" s="16">
        <f>(I766*J766*O766)+L766</f>
        <v>54.72</v>
      </c>
      <c r="Q766" s="18" t="str">
        <f t="shared" si="54"/>
        <v/>
      </c>
      <c r="R766" s="18" t="str">
        <f t="shared" si="55"/>
        <v/>
      </c>
      <c r="S766" s="18">
        <f t="shared" si="56"/>
        <v>54.72</v>
      </c>
      <c r="T766" s="18" t="str">
        <f t="shared" si="57"/>
        <v/>
      </c>
      <c r="U766" s="18" t="str">
        <f t="shared" si="58"/>
        <v/>
      </c>
      <c r="V766" s="18" t="str">
        <f t="shared" si="59"/>
        <v/>
      </c>
      <c r="W766" s="14"/>
    </row>
    <row r="767" spans="1:23" x14ac:dyDescent="0.25">
      <c r="A767" s="6"/>
      <c r="B767" s="33" t="s">
        <v>105</v>
      </c>
      <c r="C767" s="19"/>
      <c r="D767" s="56"/>
      <c r="E767" s="56"/>
      <c r="F767" s="41"/>
      <c r="G767" s="36"/>
      <c r="H767" s="10"/>
      <c r="I767" s="11"/>
      <c r="J767" s="13"/>
      <c r="K767" s="45"/>
      <c r="L767" s="37"/>
      <c r="M767" s="17"/>
      <c r="N767" s="11"/>
      <c r="O767" s="16"/>
      <c r="P767" s="16"/>
      <c r="Q767" s="18" t="str">
        <f t="shared" si="54"/>
        <v/>
      </c>
      <c r="R767" s="18" t="str">
        <f t="shared" si="55"/>
        <v/>
      </c>
      <c r="S767" s="18" t="str">
        <f t="shared" si="56"/>
        <v/>
      </c>
      <c r="T767" s="18" t="str">
        <f t="shared" si="57"/>
        <v/>
      </c>
      <c r="U767" s="18" t="str">
        <f t="shared" si="58"/>
        <v/>
      </c>
      <c r="V767" s="18" t="str">
        <f t="shared" si="59"/>
        <v/>
      </c>
      <c r="W767" s="14"/>
    </row>
    <row r="768" spans="1:23" x14ac:dyDescent="0.25">
      <c r="A768" s="6"/>
      <c r="B768" s="50"/>
      <c r="C768" s="19"/>
      <c r="D768" s="56"/>
      <c r="E768" s="56"/>
      <c r="F768" s="41"/>
      <c r="G768" s="36"/>
      <c r="H768" s="10"/>
      <c r="I768" s="11"/>
      <c r="J768" s="13"/>
      <c r="K768" s="45"/>
      <c r="L768" s="37"/>
      <c r="M768" s="17"/>
      <c r="N768" s="11"/>
      <c r="O768" s="16"/>
      <c r="P768" s="16"/>
      <c r="Q768" s="18" t="str">
        <f t="shared" si="54"/>
        <v/>
      </c>
      <c r="R768" s="18" t="str">
        <f t="shared" si="55"/>
        <v/>
      </c>
      <c r="S768" s="18" t="str">
        <f t="shared" si="56"/>
        <v/>
      </c>
      <c r="T768" s="18" t="str">
        <f t="shared" si="57"/>
        <v/>
      </c>
      <c r="U768" s="18" t="str">
        <f t="shared" si="58"/>
        <v/>
      </c>
      <c r="V768" s="18" t="str">
        <f t="shared" si="59"/>
        <v/>
      </c>
      <c r="W768" s="14"/>
    </row>
    <row r="769" spans="1:23" x14ac:dyDescent="0.25">
      <c r="A769" s="6">
        <v>52</v>
      </c>
      <c r="B769" s="33" t="s">
        <v>95</v>
      </c>
      <c r="C769" s="44"/>
      <c r="D769" s="62">
        <v>7.71</v>
      </c>
      <c r="E769" s="62"/>
      <c r="F769" s="41"/>
      <c r="G769" s="36">
        <v>0.25</v>
      </c>
      <c r="H769" s="10">
        <v>12</v>
      </c>
      <c r="I769" s="11">
        <v>1</v>
      </c>
      <c r="J769" s="13">
        <f>ROUND(2.635/G769+1,0)</f>
        <v>12</v>
      </c>
      <c r="K769" s="45">
        <f>D769</f>
        <v>7.71</v>
      </c>
      <c r="L769" s="37" t="str">
        <f>IF(O769&lt;12,"0",0.049*H769)</f>
        <v>0</v>
      </c>
      <c r="M769" s="17">
        <v>0</v>
      </c>
      <c r="N769" s="11">
        <f>M769*2*H769/1000</f>
        <v>0</v>
      </c>
      <c r="O769" s="16">
        <f>(D769)-N769</f>
        <v>7.71</v>
      </c>
      <c r="P769" s="16">
        <f>(I769*J769*O769)+L769</f>
        <v>92.52</v>
      </c>
      <c r="Q769" s="18" t="str">
        <f t="shared" si="54"/>
        <v/>
      </c>
      <c r="R769" s="18" t="str">
        <f t="shared" si="55"/>
        <v/>
      </c>
      <c r="S769" s="18">
        <f t="shared" si="56"/>
        <v>92.52</v>
      </c>
      <c r="T769" s="18" t="str">
        <f t="shared" si="57"/>
        <v/>
      </c>
      <c r="U769" s="18" t="str">
        <f t="shared" si="58"/>
        <v/>
      </c>
      <c r="V769" s="18" t="str">
        <f t="shared" si="59"/>
        <v/>
      </c>
      <c r="W769" s="14"/>
    </row>
    <row r="770" spans="1:23" x14ac:dyDescent="0.25">
      <c r="A770" s="6"/>
      <c r="B770" s="33" t="s">
        <v>106</v>
      </c>
      <c r="C770" s="19"/>
      <c r="D770" s="56"/>
      <c r="E770" s="56"/>
      <c r="F770" s="41"/>
      <c r="G770" s="36"/>
      <c r="H770" s="10"/>
      <c r="I770" s="11"/>
      <c r="J770" s="13"/>
      <c r="K770" s="45"/>
      <c r="L770" s="37"/>
      <c r="M770" s="17"/>
      <c r="N770" s="11"/>
      <c r="O770" s="16"/>
      <c r="P770" s="16"/>
      <c r="Q770" s="18" t="str">
        <f t="shared" si="54"/>
        <v/>
      </c>
      <c r="R770" s="18" t="str">
        <f t="shared" si="55"/>
        <v/>
      </c>
      <c r="S770" s="18" t="str">
        <f t="shared" si="56"/>
        <v/>
      </c>
      <c r="T770" s="18" t="str">
        <f t="shared" si="57"/>
        <v/>
      </c>
      <c r="U770" s="18" t="str">
        <f t="shared" si="58"/>
        <v/>
      </c>
      <c r="V770" s="18" t="str">
        <f t="shared" si="59"/>
        <v/>
      </c>
      <c r="W770" s="14"/>
    </row>
    <row r="771" spans="1:23" x14ac:dyDescent="0.25">
      <c r="A771" s="6"/>
      <c r="B771" s="50"/>
      <c r="C771" s="19"/>
      <c r="D771" s="56"/>
      <c r="E771" s="56"/>
      <c r="F771" s="41"/>
      <c r="G771" s="36"/>
      <c r="H771" s="10"/>
      <c r="I771" s="11"/>
      <c r="J771" s="13"/>
      <c r="K771" s="45"/>
      <c r="L771" s="37"/>
      <c r="M771" s="17"/>
      <c r="N771" s="11"/>
      <c r="O771" s="16"/>
      <c r="P771" s="16"/>
      <c r="Q771" s="18" t="str">
        <f t="shared" si="54"/>
        <v/>
      </c>
      <c r="R771" s="18" t="str">
        <f t="shared" si="55"/>
        <v/>
      </c>
      <c r="S771" s="18" t="str">
        <f t="shared" si="56"/>
        <v/>
      </c>
      <c r="T771" s="18" t="str">
        <f t="shared" si="57"/>
        <v/>
      </c>
      <c r="U771" s="18" t="str">
        <f t="shared" si="58"/>
        <v/>
      </c>
      <c r="V771" s="18" t="str">
        <f t="shared" si="59"/>
        <v/>
      </c>
      <c r="W771" s="14"/>
    </row>
    <row r="772" spans="1:23" x14ac:dyDescent="0.25">
      <c r="A772" s="6">
        <v>53</v>
      </c>
      <c r="B772" s="33" t="s">
        <v>94</v>
      </c>
      <c r="C772" s="44"/>
      <c r="D772" s="62">
        <v>2.85</v>
      </c>
      <c r="E772" s="62"/>
      <c r="F772" s="41"/>
      <c r="G772" s="36">
        <v>0.25</v>
      </c>
      <c r="H772" s="10">
        <v>10</v>
      </c>
      <c r="I772" s="11">
        <v>1</v>
      </c>
      <c r="J772" s="13">
        <f>ROUND(4.12/G772+1,0)</f>
        <v>17</v>
      </c>
      <c r="K772" s="45">
        <f>D772</f>
        <v>2.85</v>
      </c>
      <c r="L772" s="37" t="str">
        <f>IF(O772&lt;12,"0",0.049*H772)</f>
        <v>0</v>
      </c>
      <c r="M772" s="17">
        <v>0</v>
      </c>
      <c r="N772" s="11">
        <f>M772*2*H772/1000</f>
        <v>0</v>
      </c>
      <c r="O772" s="16">
        <f>(D772)-N772</f>
        <v>2.85</v>
      </c>
      <c r="P772" s="16">
        <f>(I772*J772*O772)+L772</f>
        <v>48.45</v>
      </c>
      <c r="Q772" s="18" t="str">
        <f t="shared" si="54"/>
        <v/>
      </c>
      <c r="R772" s="18">
        <f t="shared" si="55"/>
        <v>48.45</v>
      </c>
      <c r="S772" s="18" t="str">
        <f t="shared" si="56"/>
        <v/>
      </c>
      <c r="T772" s="18" t="str">
        <f t="shared" si="57"/>
        <v/>
      </c>
      <c r="U772" s="18" t="str">
        <f t="shared" si="58"/>
        <v/>
      </c>
      <c r="V772" s="18" t="str">
        <f t="shared" si="59"/>
        <v/>
      </c>
      <c r="W772" s="14"/>
    </row>
    <row r="773" spans="1:23" x14ac:dyDescent="0.25">
      <c r="A773" s="6"/>
      <c r="B773" s="33" t="s">
        <v>107</v>
      </c>
      <c r="C773" s="19"/>
      <c r="D773" s="56"/>
      <c r="E773" s="56"/>
      <c r="F773" s="41"/>
      <c r="G773" s="36"/>
      <c r="H773" s="10"/>
      <c r="I773" s="11"/>
      <c r="J773" s="13"/>
      <c r="K773" s="45"/>
      <c r="L773" s="37"/>
      <c r="M773" s="17"/>
      <c r="N773" s="11"/>
      <c r="O773" s="16"/>
      <c r="P773" s="16"/>
      <c r="Q773" s="18" t="str">
        <f t="shared" si="54"/>
        <v/>
      </c>
      <c r="R773" s="18" t="str">
        <f t="shared" si="55"/>
        <v/>
      </c>
      <c r="S773" s="18" t="str">
        <f t="shared" si="56"/>
        <v/>
      </c>
      <c r="T773" s="18" t="str">
        <f t="shared" si="57"/>
        <v/>
      </c>
      <c r="U773" s="18" t="str">
        <f t="shared" si="58"/>
        <v/>
      </c>
      <c r="V773" s="18" t="str">
        <f t="shared" si="59"/>
        <v/>
      </c>
      <c r="W773" s="14"/>
    </row>
    <row r="774" spans="1:23" x14ac:dyDescent="0.25">
      <c r="A774" s="6"/>
      <c r="B774" s="50"/>
      <c r="C774" s="19"/>
      <c r="D774" s="56"/>
      <c r="E774" s="56"/>
      <c r="F774" s="41"/>
      <c r="G774" s="36"/>
      <c r="H774" s="10"/>
      <c r="I774" s="11"/>
      <c r="J774" s="13"/>
      <c r="K774" s="45"/>
      <c r="L774" s="37"/>
      <c r="M774" s="17"/>
      <c r="N774" s="11"/>
      <c r="O774" s="16"/>
      <c r="P774" s="16"/>
      <c r="Q774" s="18" t="str">
        <f t="shared" si="54"/>
        <v/>
      </c>
      <c r="R774" s="18" t="str">
        <f t="shared" si="55"/>
        <v/>
      </c>
      <c r="S774" s="18" t="str">
        <f t="shared" si="56"/>
        <v/>
      </c>
      <c r="T774" s="18" t="str">
        <f t="shared" si="57"/>
        <v/>
      </c>
      <c r="U774" s="18" t="str">
        <f t="shared" si="58"/>
        <v/>
      </c>
      <c r="V774" s="18" t="str">
        <f t="shared" si="59"/>
        <v/>
      </c>
      <c r="W774" s="14"/>
    </row>
    <row r="775" spans="1:23" x14ac:dyDescent="0.25">
      <c r="A775" s="6">
        <v>54</v>
      </c>
      <c r="B775" s="33" t="s">
        <v>95</v>
      </c>
      <c r="C775" s="44"/>
      <c r="D775" s="62">
        <v>5.47</v>
      </c>
      <c r="E775" s="62"/>
      <c r="F775" s="41"/>
      <c r="G775" s="36">
        <v>0.25</v>
      </c>
      <c r="H775" s="10">
        <v>20</v>
      </c>
      <c r="I775" s="11">
        <v>1</v>
      </c>
      <c r="J775" s="13">
        <f>ROUND(8.16/G775+1,0)</f>
        <v>34</v>
      </c>
      <c r="K775" s="45">
        <f>D775</f>
        <v>5.47</v>
      </c>
      <c r="L775" s="37" t="str">
        <f>IF(O775&lt;12,"0",0.049*H775)</f>
        <v>0</v>
      </c>
      <c r="M775" s="17">
        <v>0</v>
      </c>
      <c r="N775" s="11">
        <f>M775*2*H775/1000</f>
        <v>0</v>
      </c>
      <c r="O775" s="16">
        <f>(D775)-N775</f>
        <v>5.47</v>
      </c>
      <c r="P775" s="16">
        <f>(I775*J775*O775)+L775</f>
        <v>185.98</v>
      </c>
      <c r="Q775" s="18" t="str">
        <f t="shared" si="54"/>
        <v/>
      </c>
      <c r="R775" s="18" t="str">
        <f t="shared" si="55"/>
        <v/>
      </c>
      <c r="S775" s="18" t="str">
        <f t="shared" si="56"/>
        <v/>
      </c>
      <c r="T775" s="18" t="str">
        <f t="shared" si="57"/>
        <v/>
      </c>
      <c r="U775" s="18">
        <f t="shared" si="58"/>
        <v>185.98</v>
      </c>
      <c r="V775" s="18" t="str">
        <f t="shared" si="59"/>
        <v/>
      </c>
      <c r="W775" s="14"/>
    </row>
    <row r="776" spans="1:23" x14ac:dyDescent="0.25">
      <c r="A776" s="6"/>
      <c r="B776" s="33" t="s">
        <v>107</v>
      </c>
      <c r="C776" s="19"/>
      <c r="D776" s="56"/>
      <c r="E776" s="56"/>
      <c r="F776" s="41"/>
      <c r="G776" s="36"/>
      <c r="H776" s="10"/>
      <c r="I776" s="11"/>
      <c r="J776" s="13"/>
      <c r="K776" s="45"/>
      <c r="L776" s="37"/>
      <c r="M776" s="17"/>
      <c r="N776" s="11"/>
      <c r="O776" s="16"/>
      <c r="P776" s="16"/>
      <c r="Q776" s="18" t="str">
        <f t="shared" si="54"/>
        <v/>
      </c>
      <c r="R776" s="18" t="str">
        <f t="shared" si="55"/>
        <v/>
      </c>
      <c r="S776" s="18" t="str">
        <f t="shared" si="56"/>
        <v/>
      </c>
      <c r="T776" s="18" t="str">
        <f t="shared" si="57"/>
        <v/>
      </c>
      <c r="U776" s="18" t="str">
        <f t="shared" si="58"/>
        <v/>
      </c>
      <c r="V776" s="18" t="str">
        <f t="shared" si="59"/>
        <v/>
      </c>
      <c r="W776" s="14"/>
    </row>
    <row r="777" spans="1:23" x14ac:dyDescent="0.25">
      <c r="A777" s="6"/>
      <c r="B777" s="50"/>
      <c r="C777" s="19"/>
      <c r="D777" s="56"/>
      <c r="E777" s="56"/>
      <c r="F777" s="41"/>
      <c r="G777" s="36"/>
      <c r="H777" s="10"/>
      <c r="I777" s="11"/>
      <c r="J777" s="13"/>
      <c r="K777" s="45"/>
      <c r="L777" s="37"/>
      <c r="M777" s="17"/>
      <c r="N777" s="11"/>
      <c r="O777" s="16"/>
      <c r="P777" s="16"/>
      <c r="Q777" s="18" t="str">
        <f t="shared" si="54"/>
        <v/>
      </c>
      <c r="R777" s="18" t="str">
        <f t="shared" si="55"/>
        <v/>
      </c>
      <c r="S777" s="18" t="str">
        <f t="shared" si="56"/>
        <v/>
      </c>
      <c r="T777" s="18" t="str">
        <f t="shared" si="57"/>
        <v/>
      </c>
      <c r="U777" s="18" t="str">
        <f t="shared" si="58"/>
        <v/>
      </c>
      <c r="V777" s="18" t="str">
        <f t="shared" si="59"/>
        <v/>
      </c>
      <c r="W777" s="14"/>
    </row>
    <row r="778" spans="1:23" ht="15" customHeight="1" x14ac:dyDescent="0.25">
      <c r="A778" s="6">
        <v>55</v>
      </c>
      <c r="B778" s="33" t="s">
        <v>95</v>
      </c>
      <c r="C778" s="44"/>
      <c r="D778" s="62">
        <v>4.1900000000000004</v>
      </c>
      <c r="E778" s="62"/>
      <c r="F778" s="41"/>
      <c r="G778" s="36">
        <v>0.25</v>
      </c>
      <c r="H778" s="10">
        <v>16</v>
      </c>
      <c r="I778" s="11">
        <v>1</v>
      </c>
      <c r="J778" s="13">
        <f>ROUND(2.56/G778+1,0)</f>
        <v>11</v>
      </c>
      <c r="K778" s="45">
        <f>D778</f>
        <v>4.1900000000000004</v>
      </c>
      <c r="L778" s="37" t="str">
        <f>IF(O778&lt;12,"0",0.049*H778)</f>
        <v>0</v>
      </c>
      <c r="M778" s="17">
        <v>0</v>
      </c>
      <c r="N778" s="11">
        <f>M778*2*H778/1000</f>
        <v>0</v>
      </c>
      <c r="O778" s="16">
        <f>(D778)-N778</f>
        <v>4.1900000000000004</v>
      </c>
      <c r="P778" s="16">
        <f>(I778*J778*O778)+L778</f>
        <v>46.09</v>
      </c>
      <c r="Q778" s="18" t="str">
        <f t="shared" si="54"/>
        <v/>
      </c>
      <c r="R778" s="18" t="str">
        <f t="shared" si="55"/>
        <v/>
      </c>
      <c r="S778" s="18" t="str">
        <f t="shared" si="56"/>
        <v/>
      </c>
      <c r="T778" s="18">
        <f t="shared" si="57"/>
        <v>46.09</v>
      </c>
      <c r="U778" s="18" t="str">
        <f t="shared" si="58"/>
        <v/>
      </c>
      <c r="V778" s="18" t="str">
        <f t="shared" si="59"/>
        <v/>
      </c>
      <c r="W778" s="14"/>
    </row>
    <row r="779" spans="1:23" x14ac:dyDescent="0.25">
      <c r="A779" s="6"/>
      <c r="B779" s="33" t="s">
        <v>107</v>
      </c>
      <c r="C779" s="19"/>
      <c r="D779" s="56"/>
      <c r="E779" s="56"/>
      <c r="F779" s="41"/>
      <c r="G779" s="36"/>
      <c r="H779" s="10"/>
      <c r="I779" s="11"/>
      <c r="J779" s="13"/>
      <c r="K779" s="45"/>
      <c r="L779" s="37"/>
      <c r="M779" s="17"/>
      <c r="N779" s="11"/>
      <c r="O779" s="16"/>
      <c r="P779" s="16"/>
      <c r="Q779" s="18" t="str">
        <f t="shared" si="54"/>
        <v/>
      </c>
      <c r="R779" s="18" t="str">
        <f t="shared" si="55"/>
        <v/>
      </c>
      <c r="S779" s="18" t="str">
        <f t="shared" si="56"/>
        <v/>
      </c>
      <c r="T779" s="18" t="str">
        <f t="shared" si="57"/>
        <v/>
      </c>
      <c r="U779" s="18" t="str">
        <f t="shared" si="58"/>
        <v/>
      </c>
      <c r="V779" s="18" t="str">
        <f t="shared" si="59"/>
        <v/>
      </c>
      <c r="W779" s="14"/>
    </row>
    <row r="780" spans="1:23" x14ac:dyDescent="0.25">
      <c r="A780" s="6"/>
      <c r="B780" s="50"/>
      <c r="C780" s="19"/>
      <c r="D780" s="56"/>
      <c r="E780" s="56"/>
      <c r="F780" s="41"/>
      <c r="G780" s="36"/>
      <c r="H780" s="10"/>
      <c r="I780" s="11"/>
      <c r="J780" s="13"/>
      <c r="K780" s="45"/>
      <c r="L780" s="37"/>
      <c r="M780" s="17"/>
      <c r="N780" s="11"/>
      <c r="O780" s="16"/>
      <c r="P780" s="16"/>
      <c r="Q780" s="18" t="str">
        <f t="shared" si="54"/>
        <v/>
      </c>
      <c r="R780" s="18" t="str">
        <f t="shared" si="55"/>
        <v/>
      </c>
      <c r="S780" s="18" t="str">
        <f t="shared" si="56"/>
        <v/>
      </c>
      <c r="T780" s="18" t="str">
        <f t="shared" si="57"/>
        <v/>
      </c>
      <c r="U780" s="18" t="str">
        <f t="shared" si="58"/>
        <v/>
      </c>
      <c r="V780" s="18" t="str">
        <f t="shared" si="59"/>
        <v/>
      </c>
      <c r="W780" s="14"/>
    </row>
    <row r="781" spans="1:23" x14ac:dyDescent="0.25">
      <c r="A781" s="6"/>
      <c r="B781" s="33"/>
      <c r="C781" s="19"/>
      <c r="D781" s="56"/>
      <c r="E781" s="56"/>
      <c r="F781" s="41"/>
      <c r="G781" s="36"/>
      <c r="H781" s="10"/>
      <c r="I781" s="11"/>
      <c r="J781" s="13"/>
      <c r="K781" s="45"/>
      <c r="L781" s="37"/>
      <c r="M781" s="17"/>
      <c r="N781" s="11"/>
      <c r="O781" s="16"/>
      <c r="P781" s="16"/>
      <c r="Q781" s="18" t="str">
        <f t="shared" si="54"/>
        <v/>
      </c>
      <c r="R781" s="18" t="str">
        <f t="shared" si="55"/>
        <v/>
      </c>
      <c r="S781" s="18" t="str">
        <f t="shared" si="56"/>
        <v/>
      </c>
      <c r="T781" s="18" t="str">
        <f t="shared" si="57"/>
        <v/>
      </c>
      <c r="U781" s="18" t="str">
        <f t="shared" si="58"/>
        <v/>
      </c>
      <c r="V781" s="18" t="str">
        <f t="shared" si="59"/>
        <v/>
      </c>
      <c r="W781" s="14"/>
    </row>
    <row r="782" spans="1:23" x14ac:dyDescent="0.25">
      <c r="A782" s="6"/>
      <c r="B782" s="7"/>
      <c r="C782" s="19"/>
      <c r="D782" s="56"/>
      <c r="E782" s="56"/>
      <c r="F782" s="41"/>
      <c r="G782" s="36"/>
      <c r="H782" s="10"/>
      <c r="I782" s="11"/>
      <c r="J782" s="13"/>
      <c r="K782" s="45"/>
      <c r="L782" s="37"/>
      <c r="M782" s="17"/>
      <c r="N782" s="11"/>
      <c r="O782" s="16"/>
      <c r="P782" s="16"/>
      <c r="Q782" s="18" t="str">
        <f t="shared" si="54"/>
        <v/>
      </c>
      <c r="R782" s="18" t="str">
        <f t="shared" si="55"/>
        <v/>
      </c>
      <c r="S782" s="18" t="str">
        <f t="shared" si="56"/>
        <v/>
      </c>
      <c r="T782" s="18" t="str">
        <f t="shared" si="57"/>
        <v/>
      </c>
      <c r="U782" s="18" t="str">
        <f t="shared" si="58"/>
        <v/>
      </c>
      <c r="V782" s="18" t="str">
        <f t="shared" si="59"/>
        <v/>
      </c>
      <c r="W782" s="14"/>
    </row>
    <row r="783" spans="1:23" x14ac:dyDescent="0.25">
      <c r="A783" s="6"/>
      <c r="B783" s="22"/>
      <c r="C783" s="8"/>
      <c r="D783" s="20"/>
      <c r="E783" s="20"/>
      <c r="F783" s="34"/>
      <c r="G783" s="35"/>
      <c r="H783" s="10"/>
      <c r="I783" s="11"/>
      <c r="J783" s="11"/>
      <c r="K783" s="12"/>
      <c r="L783" s="11"/>
      <c r="M783" s="11"/>
      <c r="N783" s="11"/>
      <c r="O783" s="11"/>
      <c r="P783" s="13"/>
      <c r="Q783" s="18" t="str">
        <f t="shared" si="54"/>
        <v/>
      </c>
      <c r="R783" s="18" t="str">
        <f t="shared" si="55"/>
        <v/>
      </c>
      <c r="S783" s="18" t="str">
        <f t="shared" si="56"/>
        <v/>
      </c>
      <c r="T783" s="18" t="str">
        <f t="shared" si="57"/>
        <v/>
      </c>
      <c r="U783" s="18" t="str">
        <f t="shared" si="58"/>
        <v/>
      </c>
      <c r="V783" s="18" t="str">
        <f t="shared" si="59"/>
        <v/>
      </c>
      <c r="W783" s="14"/>
    </row>
    <row r="784" spans="1:23" x14ac:dyDescent="0.25">
      <c r="A784" s="57"/>
      <c r="B784" s="23" t="s">
        <v>15</v>
      </c>
      <c r="C784" s="71"/>
      <c r="D784" s="72"/>
      <c r="E784" s="72"/>
      <c r="F784" s="73"/>
      <c r="G784" s="24"/>
      <c r="H784" s="24"/>
      <c r="I784" s="58"/>
      <c r="J784" s="58"/>
      <c r="K784" s="26"/>
      <c r="L784" s="58"/>
      <c r="M784" s="58"/>
      <c r="N784" s="58"/>
      <c r="O784" s="58"/>
      <c r="P784" s="58"/>
      <c r="Q784" s="27">
        <f t="shared" ref="Q784:V784" si="60">SUM(Q4:Q783)</f>
        <v>0</v>
      </c>
      <c r="R784" s="27">
        <f t="shared" si="60"/>
        <v>930.71000000000015</v>
      </c>
      <c r="S784" s="27">
        <f t="shared" si="60"/>
        <v>1295.9949999999999</v>
      </c>
      <c r="T784" s="27">
        <f t="shared" si="60"/>
        <v>15948.725</v>
      </c>
      <c r="U784" s="27">
        <f t="shared" si="60"/>
        <v>6907.165</v>
      </c>
      <c r="V784" s="27">
        <f t="shared" si="60"/>
        <v>2206.42</v>
      </c>
      <c r="W784" s="28"/>
    </row>
    <row r="785" spans="1:24" x14ac:dyDescent="0.25">
      <c r="A785" s="57"/>
      <c r="B785" s="23" t="s">
        <v>16</v>
      </c>
      <c r="C785" s="70"/>
      <c r="D785" s="70"/>
      <c r="E785" s="70"/>
      <c r="F785" s="70"/>
      <c r="G785" s="24"/>
      <c r="H785" s="24"/>
      <c r="I785" s="58"/>
      <c r="J785" s="58"/>
      <c r="K785" s="26"/>
      <c r="L785" s="58"/>
      <c r="M785" s="58"/>
      <c r="N785" s="58"/>
      <c r="O785" s="58"/>
      <c r="P785" s="58"/>
      <c r="Q785" s="58">
        <v>0.39500000000000002</v>
      </c>
      <c r="R785" s="58">
        <v>0.61699999999999999</v>
      </c>
      <c r="S785" s="58">
        <v>0.88800000000000001</v>
      </c>
      <c r="T785" s="58">
        <v>1.58</v>
      </c>
      <c r="U785" s="58">
        <v>2.4689999999999999</v>
      </c>
      <c r="V785" s="58">
        <v>3.8580000000000001</v>
      </c>
      <c r="W785" s="28"/>
    </row>
    <row r="786" spans="1:24" x14ac:dyDescent="0.25">
      <c r="A786" s="57"/>
      <c r="B786" s="23" t="s">
        <v>17</v>
      </c>
      <c r="C786" s="70"/>
      <c r="D786" s="70"/>
      <c r="E786" s="70"/>
      <c r="F786" s="70"/>
      <c r="G786" s="24"/>
      <c r="H786" s="24"/>
      <c r="I786" s="58"/>
      <c r="J786" s="58"/>
      <c r="K786" s="26"/>
      <c r="L786" s="58"/>
      <c r="M786" s="58"/>
      <c r="N786" s="58"/>
      <c r="O786" s="58"/>
      <c r="P786" s="58"/>
      <c r="Q786" s="29">
        <f t="shared" ref="Q786:V786" si="61">Q784*Q785</f>
        <v>0</v>
      </c>
      <c r="R786" s="29">
        <f t="shared" si="61"/>
        <v>574.2480700000001</v>
      </c>
      <c r="S786" s="29">
        <f t="shared" si="61"/>
        <v>1150.84356</v>
      </c>
      <c r="T786" s="29">
        <f t="shared" si="61"/>
        <v>25198.985500000003</v>
      </c>
      <c r="U786" s="29">
        <f t="shared" si="61"/>
        <v>17053.790385</v>
      </c>
      <c r="V786" s="29">
        <f t="shared" si="61"/>
        <v>8512.3683600000004</v>
      </c>
      <c r="W786" s="28">
        <f>SUM(Q786:V786)</f>
        <v>52490.235875000006</v>
      </c>
      <c r="X786" s="33" t="s">
        <v>20</v>
      </c>
    </row>
    <row r="788" spans="1:24" x14ac:dyDescent="0.25">
      <c r="W788" s="30"/>
    </row>
    <row r="789" spans="1:24" x14ac:dyDescent="0.25">
      <c r="A789" s="31"/>
    </row>
  </sheetData>
  <mergeCells count="264">
    <mergeCell ref="D612:E612"/>
    <mergeCell ref="D16:E16"/>
    <mergeCell ref="D19:E19"/>
    <mergeCell ref="D22:E22"/>
    <mergeCell ref="D25:E25"/>
    <mergeCell ref="D28:E28"/>
    <mergeCell ref="D31:E31"/>
    <mergeCell ref="A1:B1"/>
    <mergeCell ref="C3:F3"/>
    <mergeCell ref="Q3:V3"/>
    <mergeCell ref="D7:E7"/>
    <mergeCell ref="D10:E10"/>
    <mergeCell ref="D13:E13"/>
    <mergeCell ref="D54:E54"/>
    <mergeCell ref="D57:E57"/>
    <mergeCell ref="D60:E60"/>
    <mergeCell ref="D63:E63"/>
    <mergeCell ref="D66:E66"/>
    <mergeCell ref="D71:E71"/>
    <mergeCell ref="D34:E34"/>
    <mergeCell ref="D37:E37"/>
    <mergeCell ref="D40:E40"/>
    <mergeCell ref="D43:E43"/>
    <mergeCell ref="D48:E48"/>
    <mergeCell ref="D51:E51"/>
    <mergeCell ref="D92:E92"/>
    <mergeCell ref="D95:E95"/>
    <mergeCell ref="D98:E98"/>
    <mergeCell ref="D101:E101"/>
    <mergeCell ref="D104:E104"/>
    <mergeCell ref="D107:E107"/>
    <mergeCell ref="D74:E74"/>
    <mergeCell ref="D77:E77"/>
    <mergeCell ref="D80:E80"/>
    <mergeCell ref="D83:E83"/>
    <mergeCell ref="D86:E86"/>
    <mergeCell ref="D89:E89"/>
    <mergeCell ref="D130:E130"/>
    <mergeCell ref="D134:E134"/>
    <mergeCell ref="D136:E136"/>
    <mergeCell ref="D138:E138"/>
    <mergeCell ref="D140:E140"/>
    <mergeCell ref="D142:E142"/>
    <mergeCell ref="D112:E112"/>
    <mergeCell ref="D115:E115"/>
    <mergeCell ref="D118:E118"/>
    <mergeCell ref="D121:E121"/>
    <mergeCell ref="D124:E124"/>
    <mergeCell ref="D127:E127"/>
    <mergeCell ref="D156:E156"/>
    <mergeCell ref="D158:E158"/>
    <mergeCell ref="D162:E162"/>
    <mergeCell ref="D168:E168"/>
    <mergeCell ref="D171:E171"/>
    <mergeCell ref="D174:E174"/>
    <mergeCell ref="D144:E144"/>
    <mergeCell ref="D146:E146"/>
    <mergeCell ref="D148:E148"/>
    <mergeCell ref="D150:E150"/>
    <mergeCell ref="D152:E152"/>
    <mergeCell ref="D154:E154"/>
    <mergeCell ref="D195:E195"/>
    <mergeCell ref="D198:E198"/>
    <mergeCell ref="D201:E201"/>
    <mergeCell ref="D204:E204"/>
    <mergeCell ref="D207:E207"/>
    <mergeCell ref="D210:E210"/>
    <mergeCell ref="D177:E177"/>
    <mergeCell ref="D180:E180"/>
    <mergeCell ref="D183:E183"/>
    <mergeCell ref="D186:E186"/>
    <mergeCell ref="D189:E189"/>
    <mergeCell ref="D192:E192"/>
    <mergeCell ref="D231:E231"/>
    <mergeCell ref="D234:E234"/>
    <mergeCell ref="D237:E237"/>
    <mergeCell ref="D240:E240"/>
    <mergeCell ref="D243:E243"/>
    <mergeCell ref="D246:E246"/>
    <mergeCell ref="D213:E213"/>
    <mergeCell ref="D216:E216"/>
    <mergeCell ref="D219:E219"/>
    <mergeCell ref="D222:E222"/>
    <mergeCell ref="D225:E225"/>
    <mergeCell ref="D228:E228"/>
    <mergeCell ref="D267:E267"/>
    <mergeCell ref="D270:E270"/>
    <mergeCell ref="D273:E273"/>
    <mergeCell ref="D276:E276"/>
    <mergeCell ref="D279:E279"/>
    <mergeCell ref="D282:E282"/>
    <mergeCell ref="D249:E249"/>
    <mergeCell ref="D252:E252"/>
    <mergeCell ref="D255:E255"/>
    <mergeCell ref="D258:E258"/>
    <mergeCell ref="D261:E261"/>
    <mergeCell ref="D264:E264"/>
    <mergeCell ref="D303:E303"/>
    <mergeCell ref="D306:E306"/>
    <mergeCell ref="D309:E309"/>
    <mergeCell ref="D312:E312"/>
    <mergeCell ref="D315:E315"/>
    <mergeCell ref="D318:E318"/>
    <mergeCell ref="D285:E285"/>
    <mergeCell ref="D288:E288"/>
    <mergeCell ref="D291:E291"/>
    <mergeCell ref="D294:E294"/>
    <mergeCell ref="D297:E297"/>
    <mergeCell ref="D300:E300"/>
    <mergeCell ref="D339:E339"/>
    <mergeCell ref="D342:E342"/>
    <mergeCell ref="D345:E345"/>
    <mergeCell ref="D348:E348"/>
    <mergeCell ref="D351:E351"/>
    <mergeCell ref="D354:E354"/>
    <mergeCell ref="D321:E321"/>
    <mergeCell ref="D324:E324"/>
    <mergeCell ref="D327:E327"/>
    <mergeCell ref="D330:E330"/>
    <mergeCell ref="D333:E333"/>
    <mergeCell ref="D336:E336"/>
    <mergeCell ref="D375:E375"/>
    <mergeCell ref="D378:E378"/>
    <mergeCell ref="D381:E381"/>
    <mergeCell ref="D384:E384"/>
    <mergeCell ref="D387:E387"/>
    <mergeCell ref="D390:E390"/>
    <mergeCell ref="D357:E357"/>
    <mergeCell ref="D360:E360"/>
    <mergeCell ref="D363:E363"/>
    <mergeCell ref="D366:E366"/>
    <mergeCell ref="D369:E369"/>
    <mergeCell ref="D372:E372"/>
    <mergeCell ref="D411:E411"/>
    <mergeCell ref="D414:E414"/>
    <mergeCell ref="D417:E417"/>
    <mergeCell ref="D420:E420"/>
    <mergeCell ref="D423:E423"/>
    <mergeCell ref="D426:E426"/>
    <mergeCell ref="D393:E393"/>
    <mergeCell ref="D396:E396"/>
    <mergeCell ref="D399:E399"/>
    <mergeCell ref="D402:E402"/>
    <mergeCell ref="D405:E405"/>
    <mergeCell ref="D408:E408"/>
    <mergeCell ref="D447:E447"/>
    <mergeCell ref="D450:E450"/>
    <mergeCell ref="D453:E453"/>
    <mergeCell ref="D456:E456"/>
    <mergeCell ref="D459:E459"/>
    <mergeCell ref="D462:E462"/>
    <mergeCell ref="D429:E429"/>
    <mergeCell ref="D432:E432"/>
    <mergeCell ref="D435:E435"/>
    <mergeCell ref="D438:E438"/>
    <mergeCell ref="D441:E441"/>
    <mergeCell ref="D444:E444"/>
    <mergeCell ref="D483:E483"/>
    <mergeCell ref="D486:E486"/>
    <mergeCell ref="D489:E489"/>
    <mergeCell ref="D492:E492"/>
    <mergeCell ref="D495:E495"/>
    <mergeCell ref="D498:E498"/>
    <mergeCell ref="D465:E465"/>
    <mergeCell ref="D468:E468"/>
    <mergeCell ref="D471:E471"/>
    <mergeCell ref="D474:E474"/>
    <mergeCell ref="D477:E477"/>
    <mergeCell ref="D480:E480"/>
    <mergeCell ref="D519:E519"/>
    <mergeCell ref="D522:E522"/>
    <mergeCell ref="D525:E525"/>
    <mergeCell ref="D528:E528"/>
    <mergeCell ref="D531:E531"/>
    <mergeCell ref="D534:E534"/>
    <mergeCell ref="D501:E501"/>
    <mergeCell ref="D504:E504"/>
    <mergeCell ref="D507:E507"/>
    <mergeCell ref="D510:E510"/>
    <mergeCell ref="D513:E513"/>
    <mergeCell ref="D516:E516"/>
    <mergeCell ref="D555:E555"/>
    <mergeCell ref="D558:E558"/>
    <mergeCell ref="D561:E561"/>
    <mergeCell ref="D564:E564"/>
    <mergeCell ref="D567:E567"/>
    <mergeCell ref="D570:E570"/>
    <mergeCell ref="D537:E537"/>
    <mergeCell ref="D540:E540"/>
    <mergeCell ref="D543:E543"/>
    <mergeCell ref="D546:E546"/>
    <mergeCell ref="D549:E549"/>
    <mergeCell ref="D552:E552"/>
    <mergeCell ref="D631:E631"/>
    <mergeCell ref="D634:E634"/>
    <mergeCell ref="D637:E637"/>
    <mergeCell ref="D640:E640"/>
    <mergeCell ref="D643:E643"/>
    <mergeCell ref="D646:E646"/>
    <mergeCell ref="D573:E573"/>
    <mergeCell ref="D616:E616"/>
    <mergeCell ref="D619:E619"/>
    <mergeCell ref="D622:E622"/>
    <mergeCell ref="D625:E625"/>
    <mergeCell ref="D628:E628"/>
    <mergeCell ref="D582:E582"/>
    <mergeCell ref="D585:E585"/>
    <mergeCell ref="D588:E588"/>
    <mergeCell ref="D591:E591"/>
    <mergeCell ref="D594:E594"/>
    <mergeCell ref="D597:E597"/>
    <mergeCell ref="D600:E600"/>
    <mergeCell ref="D603:E603"/>
    <mergeCell ref="D606:E606"/>
    <mergeCell ref="D609:E609"/>
    <mergeCell ref="D576:E576"/>
    <mergeCell ref="D579:E579"/>
    <mergeCell ref="D667:E667"/>
    <mergeCell ref="D670:E670"/>
    <mergeCell ref="D673:E673"/>
    <mergeCell ref="D676:E676"/>
    <mergeCell ref="D679:E679"/>
    <mergeCell ref="D682:E682"/>
    <mergeCell ref="D649:E649"/>
    <mergeCell ref="D652:E652"/>
    <mergeCell ref="D655:E655"/>
    <mergeCell ref="D658:E658"/>
    <mergeCell ref="D661:E661"/>
    <mergeCell ref="D664:E664"/>
    <mergeCell ref="D703:E703"/>
    <mergeCell ref="D706:E706"/>
    <mergeCell ref="D709:E709"/>
    <mergeCell ref="D712:E712"/>
    <mergeCell ref="D715:E715"/>
    <mergeCell ref="D718:E718"/>
    <mergeCell ref="D685:E685"/>
    <mergeCell ref="D688:E688"/>
    <mergeCell ref="D691:E691"/>
    <mergeCell ref="D694:E694"/>
    <mergeCell ref="D697:E697"/>
    <mergeCell ref="D700:E700"/>
    <mergeCell ref="D739:E739"/>
    <mergeCell ref="D742:E742"/>
    <mergeCell ref="D745:E745"/>
    <mergeCell ref="D748:E748"/>
    <mergeCell ref="D751:E751"/>
    <mergeCell ref="D754:E754"/>
    <mergeCell ref="D721:E721"/>
    <mergeCell ref="D724:E724"/>
    <mergeCell ref="D727:E727"/>
    <mergeCell ref="D730:E730"/>
    <mergeCell ref="D733:E733"/>
    <mergeCell ref="D736:E736"/>
    <mergeCell ref="D775:E775"/>
    <mergeCell ref="D778:E778"/>
    <mergeCell ref="C784:F784"/>
    <mergeCell ref="C785:F785"/>
    <mergeCell ref="C786:F786"/>
    <mergeCell ref="D757:E757"/>
    <mergeCell ref="D760:E760"/>
    <mergeCell ref="D763:E763"/>
    <mergeCell ref="D766:E766"/>
    <mergeCell ref="D769:E769"/>
    <mergeCell ref="D772:E7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2025-05-29T12:02:47Z</cp:lastPrinted>
  <dcterms:created xsi:type="dcterms:W3CDTF">2025-03-22T08:20:19Z</dcterms:created>
  <dcterms:modified xsi:type="dcterms:W3CDTF">2025-05-30T06:11:10Z</dcterms:modified>
</cp:coreProperties>
</file>