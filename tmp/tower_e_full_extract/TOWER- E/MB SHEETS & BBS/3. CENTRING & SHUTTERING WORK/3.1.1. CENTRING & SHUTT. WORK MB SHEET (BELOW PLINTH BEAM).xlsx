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24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I21" i="1" l="1"/>
  <c r="F21" i="1"/>
  <c r="I20" i="1"/>
  <c r="I19" i="1"/>
  <c r="I18" i="1"/>
  <c r="I17" i="1"/>
  <c r="I16" i="1"/>
  <c r="I15" i="1"/>
  <c r="I14" i="1"/>
  <c r="I13" i="1"/>
  <c r="I12" i="1"/>
  <c r="I11" i="1"/>
  <c r="F10" i="1"/>
  <c r="I10" i="1" s="1"/>
  <c r="I9" i="1"/>
  <c r="F35" i="1" l="1"/>
  <c r="I35" i="1" s="1"/>
  <c r="H34" i="1"/>
  <c r="I34" i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H23" i="1"/>
  <c r="I23" i="1" s="1"/>
  <c r="F24" i="1"/>
  <c r="I24" i="1" l="1"/>
  <c r="I37" i="1" s="1"/>
</calcChain>
</file>

<file path=xl/sharedStrings.xml><?xml version="1.0" encoding="utf-8"?>
<sst xmlns="http://schemas.openxmlformats.org/spreadsheetml/2006/main" count="70" uniqueCount="30">
  <si>
    <t>COMPANY- OMAXE PANCHAM REALCON PVT LTD</t>
  </si>
  <si>
    <t>PROJECT- TOWER-E</t>
  </si>
  <si>
    <t>LOCATION- NAINI, PRAYAGRAJ</t>
  </si>
  <si>
    <t>S.NO.</t>
  </si>
  <si>
    <t>DESCRIPTION</t>
  </si>
  <si>
    <t>UNIT</t>
  </si>
  <si>
    <t>NOS</t>
  </si>
  <si>
    <t>MEASUREMENT</t>
  </si>
  <si>
    <t>QTY.</t>
  </si>
  <si>
    <t>REMARKS</t>
  </si>
  <si>
    <t>L</t>
  </si>
  <si>
    <t>B</t>
  </si>
  <si>
    <t>H/T</t>
  </si>
  <si>
    <t>TOTAL</t>
  </si>
  <si>
    <t>MB SHEET- SHUTTERING BELOW PLINTH BEAM</t>
  </si>
  <si>
    <t>SQM</t>
  </si>
  <si>
    <t>GRID (22'-26'/M')</t>
  </si>
  <si>
    <t>GRID (26'-43'/Q')</t>
  </si>
  <si>
    <t>GRID (43'/E'-Q')</t>
  </si>
  <si>
    <t>GRID (38'-43'/E')</t>
  </si>
  <si>
    <t>GRID (38'/A-E')</t>
  </si>
  <si>
    <t>GRID (30-38'/A)</t>
  </si>
  <si>
    <t>GRID (30/A-A')</t>
  </si>
  <si>
    <t>GRID (27'-30/A')</t>
  </si>
  <si>
    <t>GRID (27'/A'-B)</t>
  </si>
  <si>
    <t>GRID (26'-27'/B)</t>
  </si>
  <si>
    <t>GRID (26'/B-B')</t>
  </si>
  <si>
    <t>GRID (22'-26'/B')</t>
  </si>
  <si>
    <t>RAFT SHUTTERING</t>
  </si>
  <si>
    <t>PCC SHUTTERING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</si>
</sst>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0" xfId="0" applyBorder="1"/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2" fontId="1" fillId="2" borderId="7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topLeftCell="A16" workbookViewId="0">
      <selection activeCell="F35" sqref="F35"/>
    </sheetView>
  </sheetViews>
  <sheetFormatPr defaultRowHeight="15" x14ac:dyDescent="0.25"/>
  <cols>
    <col min="2" max="2" width="19.140625" customWidth="1"/>
    <col min="9" max="9" width="9.85546875" customWidth="1"/>
    <col min="10" max="10" width="11.140625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spans="1:10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6"/>
    </row>
    <row r="4" spans="1:10" x14ac:dyDescent="0.25">
      <c r="A4" s="4" t="s">
        <v>14</v>
      </c>
      <c r="B4" s="5"/>
      <c r="C4" s="5"/>
      <c r="D4" s="5"/>
      <c r="E4" s="5"/>
      <c r="F4" s="5"/>
      <c r="G4" s="5"/>
      <c r="H4" s="5"/>
      <c r="I4" s="5"/>
      <c r="J4" s="6"/>
    </row>
    <row r="5" spans="1:10" x14ac:dyDescent="0.25">
      <c r="A5" s="7"/>
      <c r="B5" s="8"/>
      <c r="C5" s="8"/>
      <c r="D5" s="8"/>
      <c r="E5" s="8"/>
      <c r="F5" s="8"/>
      <c r="G5" s="8"/>
      <c r="H5" s="8"/>
      <c r="I5" s="8"/>
      <c r="J5" s="9"/>
    </row>
    <row r="6" spans="1:10" x14ac:dyDescent="0.25">
      <c r="A6" s="24" t="s">
        <v>3</v>
      </c>
      <c r="B6" s="22" t="s">
        <v>4</v>
      </c>
      <c r="C6" s="22" t="s">
        <v>5</v>
      </c>
      <c r="D6" s="22" t="s">
        <v>6</v>
      </c>
      <c r="E6" s="22" t="s">
        <v>6</v>
      </c>
      <c r="F6" s="22" t="s">
        <v>7</v>
      </c>
      <c r="G6" s="22"/>
      <c r="H6" s="22"/>
      <c r="I6" s="22" t="s">
        <v>8</v>
      </c>
      <c r="J6" s="23" t="s">
        <v>9</v>
      </c>
    </row>
    <row r="7" spans="1:10" x14ac:dyDescent="0.25">
      <c r="A7" s="24"/>
      <c r="B7" s="22"/>
      <c r="C7" s="22"/>
      <c r="D7" s="22"/>
      <c r="E7" s="22"/>
      <c r="F7" s="10" t="s">
        <v>10</v>
      </c>
      <c r="G7" s="10" t="s">
        <v>11</v>
      </c>
      <c r="H7" s="10" t="s">
        <v>12</v>
      </c>
      <c r="I7" s="22"/>
      <c r="J7" s="23"/>
    </row>
    <row r="8" spans="1:10" x14ac:dyDescent="0.25">
      <c r="A8" s="11"/>
      <c r="B8" s="16" t="s">
        <v>29</v>
      </c>
      <c r="C8" s="12"/>
      <c r="D8" s="12"/>
      <c r="E8" s="12"/>
      <c r="F8" s="12"/>
      <c r="G8" s="12"/>
      <c r="H8" s="12"/>
      <c r="I8" s="12"/>
      <c r="J8" s="13"/>
    </row>
    <row r="9" spans="1:10" x14ac:dyDescent="0.25">
      <c r="A9" s="11">
        <v>1</v>
      </c>
      <c r="B9" s="12" t="s">
        <v>16</v>
      </c>
      <c r="C9" s="12" t="s">
        <v>15</v>
      </c>
      <c r="D9" s="12">
        <v>1</v>
      </c>
      <c r="E9" s="12">
        <v>1</v>
      </c>
      <c r="F9" s="14">
        <v>11.005000000000001</v>
      </c>
      <c r="G9" s="14"/>
      <c r="H9" s="14">
        <v>0.1</v>
      </c>
      <c r="I9" s="15">
        <f t="shared" ref="I9:I21" si="0">PRODUCT(D9:H9)</f>
        <v>1.1005</v>
      </c>
      <c r="J9" s="13"/>
    </row>
    <row r="10" spans="1:10" x14ac:dyDescent="0.25">
      <c r="A10" s="11">
        <v>2</v>
      </c>
      <c r="B10" s="12" t="s">
        <v>17</v>
      </c>
      <c r="C10" s="12" t="s">
        <v>15</v>
      </c>
      <c r="D10" s="12">
        <v>1</v>
      </c>
      <c r="E10" s="12">
        <v>1</v>
      </c>
      <c r="F10" s="14">
        <f>25.89+0.515+0.515</f>
        <v>26.92</v>
      </c>
      <c r="G10" s="14"/>
      <c r="H10" s="14">
        <v>0.1</v>
      </c>
      <c r="I10" s="15">
        <f t="shared" si="0"/>
        <v>2.6920000000000002</v>
      </c>
      <c r="J10" s="13"/>
    </row>
    <row r="11" spans="1:10" x14ac:dyDescent="0.25">
      <c r="A11" s="11">
        <v>3</v>
      </c>
      <c r="B11" s="12" t="s">
        <v>18</v>
      </c>
      <c r="C11" s="12" t="s">
        <v>15</v>
      </c>
      <c r="D11" s="12">
        <v>1</v>
      </c>
      <c r="E11" s="12">
        <v>1</v>
      </c>
      <c r="F11" s="14">
        <v>21.65</v>
      </c>
      <c r="G11" s="14"/>
      <c r="H11" s="14">
        <v>0.1</v>
      </c>
      <c r="I11" s="15">
        <f t="shared" si="0"/>
        <v>2.165</v>
      </c>
      <c r="J11" s="13"/>
    </row>
    <row r="12" spans="1:10" x14ac:dyDescent="0.25">
      <c r="A12" s="11">
        <v>4</v>
      </c>
      <c r="B12" s="12" t="s">
        <v>19</v>
      </c>
      <c r="C12" s="12" t="s">
        <v>15</v>
      </c>
      <c r="D12" s="12">
        <v>1</v>
      </c>
      <c r="E12" s="12">
        <v>1</v>
      </c>
      <c r="F12" s="14">
        <v>11.09</v>
      </c>
      <c r="G12" s="14"/>
      <c r="H12" s="14">
        <v>0.1</v>
      </c>
      <c r="I12" s="15">
        <f t="shared" si="0"/>
        <v>1.109</v>
      </c>
      <c r="J12" s="13"/>
    </row>
    <row r="13" spans="1:10" x14ac:dyDescent="0.25">
      <c r="A13" s="11">
        <v>5</v>
      </c>
      <c r="B13" s="12" t="s">
        <v>20</v>
      </c>
      <c r="C13" s="12" t="s">
        <v>15</v>
      </c>
      <c r="D13" s="12">
        <v>1</v>
      </c>
      <c r="E13" s="12">
        <v>1</v>
      </c>
      <c r="F13" s="14">
        <v>10.285</v>
      </c>
      <c r="G13" s="14"/>
      <c r="H13" s="14">
        <v>0.1</v>
      </c>
      <c r="I13" s="15">
        <f t="shared" si="0"/>
        <v>1.0285</v>
      </c>
      <c r="J13" s="13"/>
    </row>
    <row r="14" spans="1:10" x14ac:dyDescent="0.25">
      <c r="A14" s="11">
        <v>6</v>
      </c>
      <c r="B14" s="12" t="s">
        <v>21</v>
      </c>
      <c r="C14" s="12" t="s">
        <v>15</v>
      </c>
      <c r="D14" s="12">
        <v>1</v>
      </c>
      <c r="E14" s="12">
        <v>1</v>
      </c>
      <c r="F14" s="14">
        <v>8.875</v>
      </c>
      <c r="G14" s="14"/>
      <c r="H14" s="14">
        <v>0.1</v>
      </c>
      <c r="I14" s="15">
        <f t="shared" si="0"/>
        <v>0.88750000000000007</v>
      </c>
      <c r="J14" s="13"/>
    </row>
    <row r="15" spans="1:10" x14ac:dyDescent="0.25">
      <c r="A15" s="11">
        <v>7</v>
      </c>
      <c r="B15" s="12" t="s">
        <v>22</v>
      </c>
      <c r="C15" s="12" t="s">
        <v>15</v>
      </c>
      <c r="D15" s="12">
        <v>1</v>
      </c>
      <c r="E15" s="12">
        <v>1</v>
      </c>
      <c r="F15" s="14">
        <v>1.5</v>
      </c>
      <c r="G15" s="14"/>
      <c r="H15" s="14">
        <v>0.1</v>
      </c>
      <c r="I15" s="15">
        <f t="shared" si="0"/>
        <v>0.15000000000000002</v>
      </c>
      <c r="J15" s="13"/>
    </row>
    <row r="16" spans="1:10" x14ac:dyDescent="0.25">
      <c r="A16" s="11">
        <v>8</v>
      </c>
      <c r="B16" s="12" t="s">
        <v>23</v>
      </c>
      <c r="C16" s="12" t="s">
        <v>15</v>
      </c>
      <c r="D16" s="12">
        <v>1</v>
      </c>
      <c r="E16" s="12">
        <v>1</v>
      </c>
      <c r="F16" s="14">
        <v>3.95</v>
      </c>
      <c r="G16" s="14"/>
      <c r="H16" s="14">
        <v>0.1</v>
      </c>
      <c r="I16" s="15">
        <f t="shared" si="0"/>
        <v>0.39500000000000002</v>
      </c>
      <c r="J16" s="13"/>
    </row>
    <row r="17" spans="1:10" x14ac:dyDescent="0.25">
      <c r="A17" s="11">
        <v>9</v>
      </c>
      <c r="B17" s="12" t="s">
        <v>24</v>
      </c>
      <c r="C17" s="12" t="s">
        <v>15</v>
      </c>
      <c r="D17" s="12">
        <v>1</v>
      </c>
      <c r="E17" s="12">
        <v>1</v>
      </c>
      <c r="F17" s="14">
        <v>0.81499999999999995</v>
      </c>
      <c r="G17" s="14"/>
      <c r="H17" s="14">
        <v>0.1</v>
      </c>
      <c r="I17" s="15">
        <f t="shared" si="0"/>
        <v>8.1500000000000003E-2</v>
      </c>
      <c r="J17" s="13"/>
    </row>
    <row r="18" spans="1:10" x14ac:dyDescent="0.25">
      <c r="A18" s="11">
        <v>10</v>
      </c>
      <c r="B18" s="12" t="s">
        <v>25</v>
      </c>
      <c r="C18" s="12" t="s">
        <v>15</v>
      </c>
      <c r="D18" s="12">
        <v>1</v>
      </c>
      <c r="E18" s="12">
        <v>1</v>
      </c>
      <c r="F18" s="14">
        <v>1.6950000000000001</v>
      </c>
      <c r="G18" s="14"/>
      <c r="H18" s="14">
        <v>0.1</v>
      </c>
      <c r="I18" s="15">
        <f t="shared" si="0"/>
        <v>0.16950000000000001</v>
      </c>
      <c r="J18" s="13"/>
    </row>
    <row r="19" spans="1:10" x14ac:dyDescent="0.25">
      <c r="A19" s="11">
        <v>11</v>
      </c>
      <c r="B19" s="12" t="s">
        <v>26</v>
      </c>
      <c r="C19" s="12" t="s">
        <v>15</v>
      </c>
      <c r="D19" s="12">
        <v>1</v>
      </c>
      <c r="E19" s="12">
        <v>1</v>
      </c>
      <c r="F19" s="14">
        <v>1.405</v>
      </c>
      <c r="G19" s="14"/>
      <c r="H19" s="14">
        <v>0.1</v>
      </c>
      <c r="I19" s="15">
        <f t="shared" si="0"/>
        <v>0.14050000000000001</v>
      </c>
      <c r="J19" s="13"/>
    </row>
    <row r="20" spans="1:10" x14ac:dyDescent="0.25">
      <c r="A20" s="11">
        <v>12</v>
      </c>
      <c r="B20" s="12" t="s">
        <v>27</v>
      </c>
      <c r="C20" s="12" t="s">
        <v>15</v>
      </c>
      <c r="D20" s="12">
        <v>1</v>
      </c>
      <c r="E20" s="12">
        <v>1</v>
      </c>
      <c r="F20" s="14">
        <v>11.285</v>
      </c>
      <c r="G20" s="14"/>
      <c r="H20" s="14">
        <v>0.1</v>
      </c>
      <c r="I20" s="15">
        <f t="shared" si="0"/>
        <v>1.1285000000000001</v>
      </c>
      <c r="J20" s="13"/>
    </row>
    <row r="21" spans="1:10" x14ac:dyDescent="0.25">
      <c r="A21" s="11">
        <v>13</v>
      </c>
      <c r="B21" s="12" t="s">
        <v>27</v>
      </c>
      <c r="C21" s="12" t="s">
        <v>15</v>
      </c>
      <c r="D21" s="12">
        <v>1</v>
      </c>
      <c r="E21" s="12">
        <v>1</v>
      </c>
      <c r="F21" s="14">
        <f>15.8-0.1+0.16+0.16</f>
        <v>16.02</v>
      </c>
      <c r="G21" s="14"/>
      <c r="H21" s="14">
        <v>0.1</v>
      </c>
      <c r="I21" s="15">
        <f t="shared" si="0"/>
        <v>1.6020000000000001</v>
      </c>
      <c r="J21" s="13"/>
    </row>
    <row r="22" spans="1:10" x14ac:dyDescent="0.25">
      <c r="A22" s="11"/>
      <c r="B22" s="16" t="s">
        <v>28</v>
      </c>
      <c r="C22" s="12"/>
      <c r="D22" s="12"/>
      <c r="E22" s="12"/>
      <c r="F22" s="12"/>
      <c r="G22" s="12"/>
      <c r="H22" s="12"/>
      <c r="I22" s="12"/>
      <c r="J22" s="13"/>
    </row>
    <row r="23" spans="1:10" x14ac:dyDescent="0.25">
      <c r="A23" s="11">
        <v>1</v>
      </c>
      <c r="B23" s="12" t="s">
        <v>16</v>
      </c>
      <c r="C23" s="12" t="s">
        <v>15</v>
      </c>
      <c r="D23" s="12">
        <v>1</v>
      </c>
      <c r="E23" s="12">
        <v>1</v>
      </c>
      <c r="F23" s="14">
        <v>11.005000000000001</v>
      </c>
      <c r="G23" s="14"/>
      <c r="H23" s="14">
        <f t="shared" ref="H23:H34" si="1">0.85-0.3</f>
        <v>0.55000000000000004</v>
      </c>
      <c r="I23" s="15">
        <f t="shared" ref="I23:I24" si="2">PRODUCT(D23:H23)</f>
        <v>6.0527500000000005</v>
      </c>
      <c r="J23" s="13"/>
    </row>
    <row r="24" spans="1:10" x14ac:dyDescent="0.25">
      <c r="A24" s="11">
        <v>2</v>
      </c>
      <c r="B24" s="12" t="s">
        <v>17</v>
      </c>
      <c r="C24" s="12" t="s">
        <v>15</v>
      </c>
      <c r="D24" s="12">
        <v>1</v>
      </c>
      <c r="E24" s="12">
        <v>1</v>
      </c>
      <c r="F24" s="14">
        <f>25.89+0.515+0.515</f>
        <v>26.92</v>
      </c>
      <c r="G24" s="14"/>
      <c r="H24" s="14">
        <f t="shared" si="1"/>
        <v>0.55000000000000004</v>
      </c>
      <c r="I24" s="15">
        <f t="shared" si="2"/>
        <v>14.806000000000003</v>
      </c>
      <c r="J24" s="13"/>
    </row>
    <row r="25" spans="1:10" x14ac:dyDescent="0.25">
      <c r="A25" s="11">
        <v>3</v>
      </c>
      <c r="B25" s="12" t="s">
        <v>18</v>
      </c>
      <c r="C25" s="12" t="s">
        <v>15</v>
      </c>
      <c r="D25" s="12">
        <v>1</v>
      </c>
      <c r="E25" s="12">
        <v>1</v>
      </c>
      <c r="F25" s="14">
        <v>21.65</v>
      </c>
      <c r="G25" s="14"/>
      <c r="H25" s="14">
        <f t="shared" si="1"/>
        <v>0.55000000000000004</v>
      </c>
      <c r="I25" s="15">
        <f t="shared" ref="I25" si="3">PRODUCT(D25:H25)</f>
        <v>11.907500000000001</v>
      </c>
      <c r="J25" s="13"/>
    </row>
    <row r="26" spans="1:10" x14ac:dyDescent="0.25">
      <c r="A26" s="11">
        <v>4</v>
      </c>
      <c r="B26" s="12" t="s">
        <v>19</v>
      </c>
      <c r="C26" s="12" t="s">
        <v>15</v>
      </c>
      <c r="D26" s="12">
        <v>1</v>
      </c>
      <c r="E26" s="12">
        <v>1</v>
      </c>
      <c r="F26" s="14">
        <v>11.09</v>
      </c>
      <c r="G26" s="14"/>
      <c r="H26" s="14">
        <f t="shared" si="1"/>
        <v>0.55000000000000004</v>
      </c>
      <c r="I26" s="15">
        <f t="shared" ref="I26" si="4">PRODUCT(D26:H26)</f>
        <v>6.0995000000000008</v>
      </c>
      <c r="J26" s="13"/>
    </row>
    <row r="27" spans="1:10" x14ac:dyDescent="0.25">
      <c r="A27" s="11">
        <v>5</v>
      </c>
      <c r="B27" s="12" t="s">
        <v>20</v>
      </c>
      <c r="C27" s="12" t="s">
        <v>15</v>
      </c>
      <c r="D27" s="12">
        <v>1</v>
      </c>
      <c r="E27" s="12">
        <v>1</v>
      </c>
      <c r="F27" s="14">
        <v>10.285</v>
      </c>
      <c r="G27" s="14"/>
      <c r="H27" s="14">
        <f t="shared" si="1"/>
        <v>0.55000000000000004</v>
      </c>
      <c r="I27" s="15">
        <f t="shared" ref="I27" si="5">PRODUCT(D27:H27)</f>
        <v>5.6567500000000006</v>
      </c>
      <c r="J27" s="13"/>
    </row>
    <row r="28" spans="1:10" x14ac:dyDescent="0.25">
      <c r="A28" s="11">
        <v>6</v>
      </c>
      <c r="B28" s="12" t="s">
        <v>21</v>
      </c>
      <c r="C28" s="12" t="s">
        <v>15</v>
      </c>
      <c r="D28" s="12">
        <v>1</v>
      </c>
      <c r="E28" s="12">
        <v>1</v>
      </c>
      <c r="F28" s="14">
        <v>8.875</v>
      </c>
      <c r="G28" s="14"/>
      <c r="H28" s="14">
        <f t="shared" si="1"/>
        <v>0.55000000000000004</v>
      </c>
      <c r="I28" s="15">
        <f t="shared" ref="I28" si="6">PRODUCT(D28:H28)</f>
        <v>4.8812500000000005</v>
      </c>
      <c r="J28" s="13"/>
    </row>
    <row r="29" spans="1:10" x14ac:dyDescent="0.25">
      <c r="A29" s="11">
        <v>7</v>
      </c>
      <c r="B29" s="12" t="s">
        <v>22</v>
      </c>
      <c r="C29" s="12" t="s">
        <v>15</v>
      </c>
      <c r="D29" s="12">
        <v>1</v>
      </c>
      <c r="E29" s="12">
        <v>1</v>
      </c>
      <c r="F29" s="14">
        <v>1.5</v>
      </c>
      <c r="G29" s="14"/>
      <c r="H29" s="14">
        <f t="shared" si="1"/>
        <v>0.55000000000000004</v>
      </c>
      <c r="I29" s="15">
        <f t="shared" ref="I29" si="7">PRODUCT(D29:H29)</f>
        <v>0.82500000000000007</v>
      </c>
      <c r="J29" s="13"/>
    </row>
    <row r="30" spans="1:10" x14ac:dyDescent="0.25">
      <c r="A30" s="11">
        <v>8</v>
      </c>
      <c r="B30" s="12" t="s">
        <v>23</v>
      </c>
      <c r="C30" s="12" t="s">
        <v>15</v>
      </c>
      <c r="D30" s="12">
        <v>1</v>
      </c>
      <c r="E30" s="12">
        <v>1</v>
      </c>
      <c r="F30" s="14">
        <v>3.95</v>
      </c>
      <c r="G30" s="14"/>
      <c r="H30" s="14">
        <f t="shared" si="1"/>
        <v>0.55000000000000004</v>
      </c>
      <c r="I30" s="15">
        <f t="shared" ref="I30" si="8">PRODUCT(D30:H30)</f>
        <v>2.1725000000000003</v>
      </c>
      <c r="J30" s="13"/>
    </row>
    <row r="31" spans="1:10" x14ac:dyDescent="0.25">
      <c r="A31" s="11">
        <v>9</v>
      </c>
      <c r="B31" s="12" t="s">
        <v>24</v>
      </c>
      <c r="C31" s="12" t="s">
        <v>15</v>
      </c>
      <c r="D31" s="12">
        <v>1</v>
      </c>
      <c r="E31" s="12">
        <v>1</v>
      </c>
      <c r="F31" s="14">
        <v>0.81499999999999995</v>
      </c>
      <c r="G31" s="14"/>
      <c r="H31" s="14">
        <f t="shared" si="1"/>
        <v>0.55000000000000004</v>
      </c>
      <c r="I31" s="15">
        <f t="shared" ref="I31" si="9">PRODUCT(D31:H31)</f>
        <v>0.44824999999999998</v>
      </c>
      <c r="J31" s="13"/>
    </row>
    <row r="32" spans="1:10" x14ac:dyDescent="0.25">
      <c r="A32" s="11">
        <v>10</v>
      </c>
      <c r="B32" s="12" t="s">
        <v>25</v>
      </c>
      <c r="C32" s="12" t="s">
        <v>15</v>
      </c>
      <c r="D32" s="12">
        <v>1</v>
      </c>
      <c r="E32" s="12">
        <v>1</v>
      </c>
      <c r="F32" s="14">
        <v>1.6950000000000001</v>
      </c>
      <c r="G32" s="14"/>
      <c r="H32" s="14">
        <f t="shared" si="1"/>
        <v>0.55000000000000004</v>
      </c>
      <c r="I32" s="15">
        <f t="shared" ref="I32" si="10">PRODUCT(D32:H32)</f>
        <v>0.93225000000000013</v>
      </c>
      <c r="J32" s="13"/>
    </row>
    <row r="33" spans="1:10" x14ac:dyDescent="0.25">
      <c r="A33" s="11">
        <v>11</v>
      </c>
      <c r="B33" s="12" t="s">
        <v>26</v>
      </c>
      <c r="C33" s="12" t="s">
        <v>15</v>
      </c>
      <c r="D33" s="12">
        <v>1</v>
      </c>
      <c r="E33" s="12">
        <v>1</v>
      </c>
      <c r="F33" s="14">
        <v>1.405</v>
      </c>
      <c r="G33" s="14"/>
      <c r="H33" s="14">
        <f t="shared" si="1"/>
        <v>0.55000000000000004</v>
      </c>
      <c r="I33" s="15">
        <f t="shared" ref="I33" si="11">PRODUCT(D33:H33)</f>
        <v>0.77275000000000005</v>
      </c>
      <c r="J33" s="13"/>
    </row>
    <row r="34" spans="1:10" x14ac:dyDescent="0.25">
      <c r="A34" s="11">
        <v>12</v>
      </c>
      <c r="B34" s="12" t="s">
        <v>27</v>
      </c>
      <c r="C34" s="12" t="s">
        <v>15</v>
      </c>
      <c r="D34" s="12">
        <v>1</v>
      </c>
      <c r="E34" s="12">
        <v>1</v>
      </c>
      <c r="F34" s="14">
        <v>11.285</v>
      </c>
      <c r="G34" s="14"/>
      <c r="H34" s="14">
        <f t="shared" si="1"/>
        <v>0.55000000000000004</v>
      </c>
      <c r="I34" s="15">
        <f t="shared" ref="I34" si="12">PRODUCT(D34:H34)</f>
        <v>6.2067500000000004</v>
      </c>
      <c r="J34" s="13"/>
    </row>
    <row r="35" spans="1:10" x14ac:dyDescent="0.25">
      <c r="A35" s="11">
        <v>13</v>
      </c>
      <c r="B35" s="12" t="s">
        <v>27</v>
      </c>
      <c r="C35" s="12" t="s">
        <v>15</v>
      </c>
      <c r="D35" s="12">
        <v>1</v>
      </c>
      <c r="E35" s="12">
        <v>1</v>
      </c>
      <c r="F35" s="14">
        <f>15.8-0.1+0.16+0.16</f>
        <v>16.02</v>
      </c>
      <c r="G35" s="14"/>
      <c r="H35" s="14">
        <v>0.85</v>
      </c>
      <c r="I35" s="15">
        <f t="shared" ref="I35" si="13">PRODUCT(D35:H35)</f>
        <v>13.616999999999999</v>
      </c>
      <c r="J35" s="13"/>
    </row>
    <row r="36" spans="1:10" x14ac:dyDescent="0.25">
      <c r="A36" s="11"/>
      <c r="B36" s="12"/>
      <c r="C36" s="12"/>
      <c r="D36" s="12"/>
      <c r="E36" s="12"/>
      <c r="F36" s="12"/>
      <c r="G36" s="12"/>
      <c r="H36" s="12"/>
      <c r="I36" s="15"/>
      <c r="J36" s="13"/>
    </row>
    <row r="37" spans="1:10" x14ac:dyDescent="0.25">
      <c r="A37" s="11"/>
      <c r="B37" s="12"/>
      <c r="C37" s="12"/>
      <c r="D37" s="12"/>
      <c r="E37" s="12"/>
      <c r="F37" s="12"/>
      <c r="G37" s="12"/>
      <c r="H37" s="16" t="s">
        <v>13</v>
      </c>
      <c r="I37" s="17">
        <f>SUM(I8:I36)</f>
        <v>87.027750000000012</v>
      </c>
      <c r="J37" s="13"/>
    </row>
    <row r="38" spans="1:10" ht="15.75" thickBo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</row>
  </sheetData>
  <mergeCells count="8">
    <mergeCell ref="I6:I7"/>
    <mergeCell ref="J6:J7"/>
    <mergeCell ref="A6:A7"/>
    <mergeCell ref="B6:B7"/>
    <mergeCell ref="C6:C7"/>
    <mergeCell ref="D6:D7"/>
    <mergeCell ref="E6:E7"/>
    <mergeCell ref="F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2025-03-30T10:21:33Z</dcterms:created>
  <dcterms:modified xsi:type="dcterms:W3CDTF">2025-05-28T18:19:57Z</dcterms:modified>
</cp:coreProperties>
</file>