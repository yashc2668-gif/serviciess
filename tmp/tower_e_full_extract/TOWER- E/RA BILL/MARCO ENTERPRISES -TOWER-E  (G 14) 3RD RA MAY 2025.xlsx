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0" yWindow="0" windowWidth="20490" windowHeight="7755" tabRatio="931" firstSheet="1" activeTab="1"/>
  </bookViews>
  <sheets>
    <sheet name="TOP SHEET" sheetId="3" r:id="rId1"/>
    <sheet name="ABSTRACT" sheetId="7" r:id="rId2"/>
    <sheet name="EARTH WORK MB" sheetId="8" r:id="rId3"/>
    <sheet name="CONCRETE SUMMARY" sheetId="21" r:id="rId4"/>
    <sheet name="CONCRETE RECO." sheetId="17" r:id="rId5"/>
    <sheet name="PCC &amp; RCC REC." sheetId="18" r:id="rId6"/>
    <sheet name="RMC RECEIVING" sheetId="22" r:id="rId7"/>
    <sheet name="CONCRETE WORK MB" sheetId="9" r:id="rId8"/>
    <sheet name="SHUTT. WORK SUMMARY" sheetId="19" r:id="rId9"/>
    <sheet name="SHUTTERING WORK MB" sheetId="10" r:id="rId10"/>
    <sheet name="BRICK WORK SUMMARY" sheetId="20" r:id="rId11"/>
    <sheet name="BRICK WORK MB" sheetId="13" r:id="rId12"/>
    <sheet name="TMT STEEL RECO." sheetId="15" r:id="rId13"/>
    <sheet name="TMT STEEL REC." sheetId="16" r:id="rId14"/>
    <sheet name="TMT SUMMARY" sheetId="14" r:id="rId15"/>
    <sheet name="RAFT BBS" sheetId="11" r:id="rId16"/>
    <sheet name="COLUMN BBS" sheetId="12" r:id="rId17"/>
  </sheets>
  <definedNames>
    <definedName name="\" hidden="1">{#N/A,#N/A,TRUE,"Front";#N/A,#N/A,TRUE,"Simple Letter";#N/A,#N/A,TRUE,"Inside";#N/A,#N/A,TRUE,"Contents";#N/A,#N/A,TRUE,"Basis";#N/A,#N/A,TRUE,"Inclusions";#N/A,#N/A,TRUE,"Exclusions";#N/A,#N/A,TRUE,"Areas";#N/A,#N/A,TRUE,"Summary";#N/A,#N/A,TRUE,"Detail"}</definedName>
    <definedName name="\0" localSheetId="6">#REF!</definedName>
    <definedName name="\0">#REF!</definedName>
    <definedName name="\B" localSheetId="6">#REF!</definedName>
    <definedName name="\B">#REF!</definedName>
    <definedName name="\C" localSheetId="6">#REF!</definedName>
    <definedName name="\C">#REF!</definedName>
    <definedName name="\G">#REF!</definedName>
    <definedName name="\I">#REF!</definedName>
    <definedName name="\M">#REF!</definedName>
    <definedName name="\O">#REF!</definedName>
    <definedName name="\P">#REF!</definedName>
    <definedName name="\Q">#REF!</definedName>
    <definedName name="\R">#REF!</definedName>
    <definedName name="\S">#REF!</definedName>
    <definedName name="______________________cat12" hidden="1">{#N/A,#N/A,TRUE,"Front";#N/A,#N/A,TRUE,"Simple Letter";#N/A,#N/A,TRUE,"Inside";#N/A,#N/A,TRUE,"Contents";#N/A,#N/A,TRUE,"Basis";#N/A,#N/A,TRUE,"Inclusions";#N/A,#N/A,TRUE,"Exclusions";#N/A,#N/A,TRUE,"Areas";#N/A,#N/A,TRUE,"Summary";#N/A,#N/A,TRUE,"Detail"}</definedName>
    <definedName name="____________________cat12" hidden="1">{#N/A,#N/A,TRUE,"Front";#N/A,#N/A,TRUE,"Simple Letter";#N/A,#N/A,TRUE,"Inside";#N/A,#N/A,TRUE,"Contents";#N/A,#N/A,TRUE,"Basis";#N/A,#N/A,TRUE,"Inclusions";#N/A,#N/A,TRUE,"Exclusions";#N/A,#N/A,TRUE,"Areas";#N/A,#N/A,TRUE,"Summary";#N/A,#N/A,TRUE,"Detail"}</definedName>
    <definedName name="__________________cat12" hidden="1">{#N/A,#N/A,TRUE,"Front";#N/A,#N/A,TRUE,"Simple Letter";#N/A,#N/A,TRUE,"Inside";#N/A,#N/A,TRUE,"Contents";#N/A,#N/A,TRUE,"Basis";#N/A,#N/A,TRUE,"Inclusions";#N/A,#N/A,TRUE,"Exclusions";#N/A,#N/A,TRUE,"Areas";#N/A,#N/A,TRUE,"Summary";#N/A,#N/A,TRUE,"Detail"}</definedName>
    <definedName name="_________________cat12" hidden="1">{#N/A,#N/A,TRUE,"Front";#N/A,#N/A,TRUE,"Simple Letter";#N/A,#N/A,TRUE,"Inside";#N/A,#N/A,TRUE,"Contents";#N/A,#N/A,TRUE,"Basis";#N/A,#N/A,TRUE,"Inclusions";#N/A,#N/A,TRUE,"Exclusions";#N/A,#N/A,TRUE,"Areas";#N/A,#N/A,TRUE,"Summary";#N/A,#N/A,TRUE,"Detail"}</definedName>
    <definedName name="________________cat12" hidden="1">{#N/A,#N/A,TRUE,"Front";#N/A,#N/A,TRUE,"Simple Letter";#N/A,#N/A,TRUE,"Inside";#N/A,#N/A,TRUE,"Contents";#N/A,#N/A,TRUE,"Basis";#N/A,#N/A,TRUE,"Inclusions";#N/A,#N/A,TRUE,"Exclusions";#N/A,#N/A,TRUE,"Areas";#N/A,#N/A,TRUE,"Summary";#N/A,#N/A,TRUE,"Detail"}</definedName>
    <definedName name="_______________cat12"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xlfn.BAHTTEXT" hidden="1">#NAME?</definedName>
    <definedName name="__aoc10">#N/A</definedName>
    <definedName name="__aoc11" localSheetId="5">#REF!</definedName>
    <definedName name="__aoc11" localSheetId="6">#REF!</definedName>
    <definedName name="__aoc11">#REF!</definedName>
    <definedName name="__aoc7" localSheetId="5">#REF!</definedName>
    <definedName name="__aoc7" localSheetId="6">#REF!</definedName>
    <definedName name="__aoc7">#REF!</definedName>
    <definedName name="__aoc8" localSheetId="5">#REF!</definedName>
    <definedName name="__aoc8">#REF!</definedName>
    <definedName name="__aoc9" localSheetId="5">#REF!</definedName>
    <definedName name="__aoc9">#REF!</definedName>
    <definedName name="__cat12" hidden="1">{#N/A,#N/A,TRUE,"Front";#N/A,#N/A,TRUE,"Simple Letter";#N/A,#N/A,TRUE,"Inside";#N/A,#N/A,TRUE,"Contents";#N/A,#N/A,TRUE,"Basis";#N/A,#N/A,TRUE,"Inclusions";#N/A,#N/A,TRUE,"Exclusions";#N/A,#N/A,TRUE,"Areas";#N/A,#N/A,TRUE,"Summary";#N/A,#N/A,TRUE,"Detail"}</definedName>
    <definedName name="__ERA1" localSheetId="6">#REF!</definedName>
    <definedName name="__ERA1">#REF!</definedName>
    <definedName name="__ERA10" localSheetId="6">#REF!</definedName>
    <definedName name="__ERA10">#REF!</definedName>
    <definedName name="__ERA11" localSheetId="6">#REF!</definedName>
    <definedName name="__ERA11">#REF!</definedName>
    <definedName name="__ERA2">#REF!</definedName>
    <definedName name="__ERA3">#REF!</definedName>
    <definedName name="__ERA5" localSheetId="6">#REF!</definedName>
    <definedName name="__ERA5">#REF!</definedName>
    <definedName name="__ERA9" localSheetId="6">#REF!</definedName>
    <definedName name="__ERA9">#REF!</definedName>
    <definedName name="__FDS_HYPERLINK_TOGGLE_STATE__" hidden="1">"ON"</definedName>
    <definedName name="__HED1" localSheetId="6">#REF!</definedName>
    <definedName name="__HED1">#REF!</definedName>
    <definedName name="__HED2" localSheetId="6">#REF!</definedName>
    <definedName name="__HED2">#REF!</definedName>
    <definedName name="__hp10" hidden="1">{#N/A,#N/A,TRUE,"Front";#N/A,#N/A,TRUE,"Simple Letter";#N/A,#N/A,TRUE,"Inside";#N/A,#N/A,TRUE,"Contents";#N/A,#N/A,TRUE,"Basis";#N/A,#N/A,TRUE,"Inclusions";#N/A,#N/A,TRUE,"Exclusions";#N/A,#N/A,TRUE,"Areas";#N/A,#N/A,TRUE,"Summary";#N/A,#N/A,TRUE,"Detail"}</definedName>
    <definedName name="__IntlFixup" hidden="1">TRUE</definedName>
    <definedName name="__IntlFixupTable" hidden="1">#REF!</definedName>
    <definedName name="__vut02533" localSheetId="5">#REF!</definedName>
    <definedName name="__vut02533" localSheetId="6">#REF!</definedName>
    <definedName name="__vut02533">#REF!</definedName>
    <definedName name="__xlfn.BAHTTEXT" hidden="1">#NAME?</definedName>
    <definedName name="__xlnm.Print_Area">"$#REF!.$A$2:$I$161"</definedName>
    <definedName name="__xlnm.Print_Area_1" localSheetId="5">#REF!</definedName>
    <definedName name="__xlnm.Print_Area_1" localSheetId="6">#REF!</definedName>
    <definedName name="__xlnm.Print_Area_1">#REF!</definedName>
    <definedName name="__xlnm.Print_Area_10" localSheetId="5">#REF!</definedName>
    <definedName name="__xlnm.Print_Area_10">#REF!</definedName>
    <definedName name="__xlnm.Print_Area_11" localSheetId="5">#REF!</definedName>
    <definedName name="__xlnm.Print_Area_11">#REF!</definedName>
    <definedName name="__xlnm.Print_Area_12" localSheetId="5">#REF!</definedName>
    <definedName name="__xlnm.Print_Area_12">#REF!</definedName>
    <definedName name="__xlnm.Print_Area_13" localSheetId="5">#REF!</definedName>
    <definedName name="__xlnm.Print_Area_13">#REF!</definedName>
    <definedName name="__xlnm.Print_Area_14" localSheetId="5">#REF!</definedName>
    <definedName name="__xlnm.Print_Area_14">#REF!</definedName>
    <definedName name="__xlnm.Print_Area_15" localSheetId="5">#REF!</definedName>
    <definedName name="__xlnm.Print_Area_15">#REF!</definedName>
    <definedName name="__xlnm.Print_Area_16" localSheetId="5">#REF!</definedName>
    <definedName name="__xlnm.Print_Area_16">#REF!</definedName>
    <definedName name="__xlnm.Print_Area_17" localSheetId="5">#REF!</definedName>
    <definedName name="__xlnm.Print_Area_17">#REF!</definedName>
    <definedName name="__xlnm.Print_Area_18" localSheetId="5">#REF!</definedName>
    <definedName name="__xlnm.Print_Area_18">#REF!</definedName>
    <definedName name="__xlnm.Print_Area_19" localSheetId="5">#REF!</definedName>
    <definedName name="__xlnm.Print_Area_19">#REF!</definedName>
    <definedName name="__xlnm.Print_Area_2" localSheetId="5">#REF!</definedName>
    <definedName name="__xlnm.Print_Area_2">#REF!</definedName>
    <definedName name="__xlnm.Print_Area_20" localSheetId="5">#REF!</definedName>
    <definedName name="__xlnm.Print_Area_20">#REF!</definedName>
    <definedName name="__xlnm.Print_Area_22" localSheetId="5">#REF!</definedName>
    <definedName name="__xlnm.Print_Area_22">#REF!</definedName>
    <definedName name="__xlnm.Print_Area_25" localSheetId="5">#REF!</definedName>
    <definedName name="__xlnm.Print_Area_25">#REF!</definedName>
    <definedName name="__xlnm.Print_Area_26" localSheetId="5">#REF!</definedName>
    <definedName name="__xlnm.Print_Area_26">#REF!</definedName>
    <definedName name="__xlnm.Print_Area_27" localSheetId="5">#REF!</definedName>
    <definedName name="__xlnm.Print_Area_27">#REF!</definedName>
    <definedName name="__xlnm.Print_Area_3" localSheetId="5">#REF!</definedName>
    <definedName name="__xlnm.Print_Area_3">#REF!</definedName>
    <definedName name="__xlnm.Print_Area_4" localSheetId="5">#REF!</definedName>
    <definedName name="__xlnm.Print_Area_4">#REF!</definedName>
    <definedName name="__xlnm.Print_Area_5" localSheetId="5">#REF!</definedName>
    <definedName name="__xlnm.Print_Area_5">#REF!</definedName>
    <definedName name="__xlnm.Print_Area_6" localSheetId="5">#REF!</definedName>
    <definedName name="__xlnm.Print_Area_6">#REF!</definedName>
    <definedName name="__xlnm.Print_Area_8" localSheetId="5">#REF!</definedName>
    <definedName name="__xlnm.Print_Area_8">#REF!</definedName>
    <definedName name="__xlnm.Print_Area_9" localSheetId="5">#REF!</definedName>
    <definedName name="__xlnm.Print_Area_9">#REF!</definedName>
    <definedName name="__xlnm.Print_Titles">#N/A</definedName>
    <definedName name="__xlnm.Print_Titles_1">"$'Soft landscape'.$A$4:$AMJ$5"</definedName>
    <definedName name="__xlnm.Print_Titles_10" localSheetId="5">#REF!</definedName>
    <definedName name="__xlnm.Print_Titles_10" localSheetId="6">#REF!</definedName>
    <definedName name="__xlnm.Print_Titles_10">#REF!</definedName>
    <definedName name="__xlnm.Print_Titles_11" localSheetId="5">#REF!</definedName>
    <definedName name="__xlnm.Print_Titles_11">#REF!</definedName>
    <definedName name="__xlnm.Print_Titles_12" localSheetId="5">#REF!</definedName>
    <definedName name="__xlnm.Print_Titles_12">#REF!</definedName>
    <definedName name="__xlnm.Print_Titles_14" localSheetId="5">#REF!</definedName>
    <definedName name="__xlnm.Print_Titles_14">#REF!</definedName>
    <definedName name="__xlnm.Print_Titles_15" localSheetId="5">#REF!</definedName>
    <definedName name="__xlnm.Print_Titles_15">#REF!</definedName>
    <definedName name="__xlnm.Print_Titles_16" localSheetId="5">#REF!</definedName>
    <definedName name="__xlnm.Print_Titles_16">#REF!</definedName>
    <definedName name="__xlnm.Print_Titles_17" localSheetId="5">#REF!</definedName>
    <definedName name="__xlnm.Print_Titles_17">#REF!</definedName>
    <definedName name="__xlnm.Print_Titles_18" localSheetId="5">#REF!</definedName>
    <definedName name="__xlnm.Print_Titles_18">#REF!</definedName>
    <definedName name="__xlnm.Print_Titles_19" localSheetId="5">#REF!</definedName>
    <definedName name="__xlnm.Print_Titles_19">#REF!</definedName>
    <definedName name="__xlnm.Print_Titles_2" localSheetId="5">#REF!</definedName>
    <definedName name="__xlnm.Print_Titles_2">#REF!</definedName>
    <definedName name="__xlnm.Print_Titles_20" localSheetId="5">#REF!</definedName>
    <definedName name="__xlnm.Print_Titles_20">#REF!</definedName>
    <definedName name="__xlnm.Print_Titles_22" localSheetId="5">#REF!</definedName>
    <definedName name="__xlnm.Print_Titles_22">#REF!</definedName>
    <definedName name="__xlnm.Print_Titles_23" localSheetId="5">#REF!</definedName>
    <definedName name="__xlnm.Print_Titles_23">#REF!</definedName>
    <definedName name="__xlnm.Print_Titles_24" localSheetId="5">#REF!</definedName>
    <definedName name="__xlnm.Print_Titles_24">#REF!</definedName>
    <definedName name="__xlnm.Print_Titles_27" localSheetId="5">#REF!</definedName>
    <definedName name="__xlnm.Print_Titles_27">#REF!</definedName>
    <definedName name="__xlnm.Print_Titles_3" localSheetId="5">#REF!</definedName>
    <definedName name="__xlnm.Print_Titles_3">#REF!</definedName>
    <definedName name="__xlnm.Print_Titles_4" localSheetId="5">#REF!</definedName>
    <definedName name="__xlnm.Print_Titles_4">#REF!</definedName>
    <definedName name="__xlnm.Print_Titles_5" localSheetId="5">#REF!</definedName>
    <definedName name="__xlnm.Print_Titles_5">#REF!</definedName>
    <definedName name="__xlnm.Print_Titles_6" localSheetId="5">#REF!</definedName>
    <definedName name="__xlnm.Print_Titles_6">#REF!</definedName>
    <definedName name="__xlnm.Print_Titles_7" localSheetId="5">#REF!</definedName>
    <definedName name="__xlnm.Print_Titles_7">#REF!</definedName>
    <definedName name="__xlnm.Print_Titles_8" localSheetId="5">#REF!</definedName>
    <definedName name="__xlnm.Print_Titles_8">#REF!</definedName>
    <definedName name="__xlnm.Print_Titles_9" localSheetId="5">#REF!</definedName>
    <definedName name="__xlnm.Print_Titles_9">#REF!</definedName>
    <definedName name="_1" localSheetId="5">#N/A</definedName>
    <definedName name="_1" localSheetId="6">#N/A</definedName>
    <definedName name="_10" localSheetId="5">#N/A</definedName>
    <definedName name="_10" localSheetId="6">#N/A</definedName>
    <definedName name="_11" localSheetId="5">#N/A</definedName>
    <definedName name="_11" localSheetId="6">#N/A</definedName>
    <definedName name="_11A">#N/A</definedName>
    <definedName name="_12" localSheetId="5">#N/A</definedName>
    <definedName name="_12" localSheetId="6">#N/A</definedName>
    <definedName name="_12Excel_BuiltIn_Print_Area_5_1_1" localSheetId="5">#REF!</definedName>
    <definedName name="_12Excel_BuiltIn_Print_Area_5_1_1" localSheetId="6">#REF!</definedName>
    <definedName name="_12Excel_BuiltIn_Print_Area_5_1_1">#REF!</definedName>
    <definedName name="_13" localSheetId="5">#N/A</definedName>
    <definedName name="_13" localSheetId="6">#N/A</definedName>
    <definedName name="_14" localSheetId="5">#N/A</definedName>
    <definedName name="_14" localSheetId="6">#N/A</definedName>
    <definedName name="_15" localSheetId="5">#N/A</definedName>
    <definedName name="_15" localSheetId="6">#N/A</definedName>
    <definedName name="_16" localSheetId="5">#N/A</definedName>
    <definedName name="_16" localSheetId="6">#N/A</definedName>
    <definedName name="_17" localSheetId="5">#N/A</definedName>
    <definedName name="_17" localSheetId="6">#N/A</definedName>
    <definedName name="_18" localSheetId="5">#N/A</definedName>
    <definedName name="_18" localSheetId="6">#N/A</definedName>
    <definedName name="_19" localSheetId="5">#N/A</definedName>
    <definedName name="_19" localSheetId="6">#N/A</definedName>
    <definedName name="_1Excel_BuiltIn_Print_Area_5_1_1" localSheetId="5">#REF!</definedName>
    <definedName name="_1Excel_BuiltIn_Print_Area_5_1_1" localSheetId="6">#REF!</definedName>
    <definedName name="_1Excel_BuiltIn_Print_Area_5_1_1">#REF!</definedName>
    <definedName name="_2" localSheetId="5">#N/A</definedName>
    <definedName name="_2" localSheetId="6">#N/A</definedName>
    <definedName name="_20" localSheetId="5">#N/A</definedName>
    <definedName name="_20" localSheetId="6">#N/A</definedName>
    <definedName name="_21" localSheetId="5">#N/A</definedName>
    <definedName name="_21" localSheetId="6">#N/A</definedName>
    <definedName name="_22" localSheetId="5">#N/A</definedName>
    <definedName name="_22" localSheetId="6">#N/A</definedName>
    <definedName name="_23" localSheetId="5">#N/A</definedName>
    <definedName name="_23" localSheetId="6">#N/A</definedName>
    <definedName name="_24" localSheetId="5">#N/A</definedName>
    <definedName name="_24" localSheetId="6">#N/A</definedName>
    <definedName name="_25" localSheetId="5">#N/A</definedName>
    <definedName name="_25" localSheetId="6">#N/A</definedName>
    <definedName name="_26" localSheetId="5">#N/A</definedName>
    <definedName name="_26" localSheetId="6">#N/A</definedName>
    <definedName name="_27" localSheetId="5">#N/A</definedName>
    <definedName name="_27" localSheetId="6">#N/A</definedName>
    <definedName name="_28" localSheetId="5">#N/A</definedName>
    <definedName name="_28" localSheetId="6">#N/A</definedName>
    <definedName name="_29" localSheetId="5">#N/A</definedName>
    <definedName name="_29" localSheetId="6">#N/A</definedName>
    <definedName name="_3" localSheetId="5">#N/A</definedName>
    <definedName name="_3" localSheetId="6">#N/A</definedName>
    <definedName name="_30" localSheetId="5">#N/A</definedName>
    <definedName name="_30" localSheetId="6">#N/A</definedName>
    <definedName name="_31" localSheetId="5">#N/A</definedName>
    <definedName name="_31" localSheetId="6">#N/A</definedName>
    <definedName name="_32" localSheetId="5">#N/A</definedName>
    <definedName name="_32" localSheetId="6">#N/A</definedName>
    <definedName name="_33" localSheetId="5">#N/A</definedName>
    <definedName name="_33" localSheetId="6">#N/A</definedName>
    <definedName name="_4" localSheetId="5">#N/A</definedName>
    <definedName name="_4" localSheetId="6">#N/A</definedName>
    <definedName name="_5" localSheetId="5">#N/A</definedName>
    <definedName name="_5" localSheetId="6">#N/A</definedName>
    <definedName name="_6" localSheetId="5">#N/A</definedName>
    <definedName name="_6" localSheetId="6">#N/A</definedName>
    <definedName name="_7" localSheetId="5">#N/A</definedName>
    <definedName name="_7" localSheetId="6">#N/A</definedName>
    <definedName name="_8" localSheetId="5">#N/A</definedName>
    <definedName name="_8" localSheetId="6">#N/A</definedName>
    <definedName name="_9" localSheetId="5">#N/A</definedName>
    <definedName name="_9" localSheetId="6">#N/A</definedName>
    <definedName name="_aoc10" localSheetId="5">#REF!</definedName>
    <definedName name="_aoc10" localSheetId="6">#REF!</definedName>
    <definedName name="_aoc10">#REF!</definedName>
    <definedName name="_aoc11" localSheetId="5">#REF!</definedName>
    <definedName name="_aoc11">#REF!</definedName>
    <definedName name="_aoc7" localSheetId="5">#REF!</definedName>
    <definedName name="_aoc7" localSheetId="6">#REF!</definedName>
    <definedName name="_aoc7">#REF!</definedName>
    <definedName name="_aoc8" localSheetId="5">#REF!</definedName>
    <definedName name="_aoc8">#REF!</definedName>
    <definedName name="_aoc9" localSheetId="5">#REF!</definedName>
    <definedName name="_aoc9">#REF!</definedName>
    <definedName name="_B98518">#REF!</definedName>
    <definedName name="_cat12" hidden="1">{#N/A,#N/A,TRUE,"Front";#N/A,#N/A,TRUE,"Simple Letter";#N/A,#N/A,TRUE,"Inside";#N/A,#N/A,TRUE,"Contents";#N/A,#N/A,TRUE,"Basis";#N/A,#N/A,TRUE,"Inclusions";#N/A,#N/A,TRUE,"Exclusions";#N/A,#N/A,TRUE,"Areas";#N/A,#N/A,TRUE,"Summary";#N/A,#N/A,TRUE,"Detail"}</definedName>
    <definedName name="_e772" localSheetId="5">#REF!</definedName>
    <definedName name="_e772" localSheetId="6">#REF!</definedName>
    <definedName name="_e772">#REF!</definedName>
    <definedName name="_ERA1" localSheetId="6">#REF!</definedName>
    <definedName name="_ERA1">#REF!</definedName>
    <definedName name="_ERA10">#REF!</definedName>
    <definedName name="_ERA11">#REF!</definedName>
    <definedName name="_ERA2">#REF!</definedName>
    <definedName name="_ERA3">#REF!</definedName>
    <definedName name="_ERA5" localSheetId="6">#REF!</definedName>
    <definedName name="_ERA5">#REF!</definedName>
    <definedName name="_ERA9" localSheetId="6">#REF!</definedName>
    <definedName name="_ERA9">#REF!</definedName>
    <definedName name="_Fill" localSheetId="5" hidden="1">#REF!</definedName>
    <definedName name="_Fill" localSheetId="6" hidden="1">#REF!</definedName>
    <definedName name="_Fill" hidden="1">#REF!</definedName>
    <definedName name="_xlnm._FilterDatabase" localSheetId="15" hidden="1">'RAFT BBS'!$A$3:$X$3</definedName>
    <definedName name="_xlnm._FilterDatabase" localSheetId="6" hidden="1">'RMC RECEIVING'!$A$2:$S$122</definedName>
    <definedName name="_g147114">#REF!</definedName>
    <definedName name="_hp10" hidden="1">{#N/A,#N/A,TRUE,"Front";#N/A,#N/A,TRUE,"Simple Letter";#N/A,#N/A,TRUE,"Inside";#N/A,#N/A,TRUE,"Contents";#N/A,#N/A,TRUE,"Basis";#N/A,#N/A,TRUE,"Inclusions";#N/A,#N/A,TRUE,"Exclusions";#N/A,#N/A,TRUE,"Areas";#N/A,#N/A,TRUE,"Summary";#N/A,#N/A,TRUE,"Detail"}</definedName>
    <definedName name="_ll17" localSheetId="5">#REF!</definedName>
    <definedName name="_ll17" localSheetId="6">#REF!</definedName>
    <definedName name="_ll17">#REF!</definedName>
    <definedName name="_Order1" hidden="1">0</definedName>
    <definedName name="_Order2" hidden="1">0</definedName>
    <definedName name="_ra4" localSheetId="5">#REF!</definedName>
    <definedName name="_ra4" localSheetId="6">#REF!</definedName>
    <definedName name="_ra4">#REF!</definedName>
    <definedName name="_Ra6" localSheetId="5">#REF!</definedName>
    <definedName name="_Ra6">#REF!</definedName>
    <definedName name="_s056" localSheetId="5">#REF!</definedName>
    <definedName name="_s056">#REF!</definedName>
    <definedName name="_s0564" localSheetId="5">#REF!</definedName>
    <definedName name="_s0564">#REF!</definedName>
    <definedName name="_s105640" localSheetId="5">#REF!</definedName>
    <definedName name="_s105640">#REF!</definedName>
    <definedName name="_s12" localSheetId="5">#REF!</definedName>
    <definedName name="_s12">#REF!</definedName>
    <definedName name="_s15604" localSheetId="5">#REF!</definedName>
    <definedName name="_s15604">#REF!</definedName>
    <definedName name="_s1564" localSheetId="5">#REF!</definedName>
    <definedName name="_s1564">#REF!</definedName>
    <definedName name="_s4560" localSheetId="5">#REF!</definedName>
    <definedName name="_s4560">#REF!</definedName>
    <definedName name="_s45620" localSheetId="5">#REF!</definedName>
    <definedName name="_s45620">#REF!</definedName>
    <definedName name="_s560" localSheetId="5">#REF!</definedName>
    <definedName name="_s560">#REF!</definedName>
    <definedName name="_sep05" localSheetId="5">#REF!</definedName>
    <definedName name="_sep05">#REF!</definedName>
    <definedName name="_sls5" localSheetId="5">#REF!</definedName>
    <definedName name="_sls5">#REF!</definedName>
    <definedName name="_vbr8" localSheetId="6">#REF!</definedName>
    <definedName name="_vbr8">#REF!</definedName>
    <definedName name="_vut02533" localSheetId="5">#REF!</definedName>
    <definedName name="_vut02533" localSheetId="6">#REF!</definedName>
    <definedName name="_vut02533">#REF!</definedName>
    <definedName name="a" hidden="1">{"'AC LOAD'!$H$14:$J$15"}</definedName>
    <definedName name="a0">#REF!</definedName>
    <definedName name="aa" localSheetId="5">#REF!</definedName>
    <definedName name="aa" localSheetId="6">#REF!</definedName>
    <definedName name="aa">#REF!</definedName>
    <definedName name="AA.Report.Files" hidden="1">#REF!</definedName>
    <definedName name="AA.Reports.Available" hidden="1">#REF!</definedName>
    <definedName name="aaa" localSheetId="5">#N/A</definedName>
    <definedName name="aaa" localSheetId="6">#N/A</definedName>
    <definedName name="AAA" hidden="1">{#N/A,#N/A,TRUE,"Front";#N/A,#N/A,TRUE,"Simple Letter";#N/A,#N/A,TRUE,"Inside";#N/A,#N/A,TRUE,"Contents";#N/A,#N/A,TRUE,"Basis";#N/A,#N/A,TRUE,"Inclusions";#N/A,#N/A,TRUE,"Exclusions";#N/A,#N/A,TRUE,"Areas";#N/A,#N/A,TRUE,"Summary";#N/A,#N/A,TRUE,"Detail"}</definedName>
    <definedName name="aaaa">#REF!</definedName>
    <definedName name="AB" hidden="1">{"'AC LOAD'!$H$14:$J$15"}</definedName>
    <definedName name="abc">#REF!</definedName>
    <definedName name="ABUTCAP1" localSheetId="6">#REF!</definedName>
    <definedName name="ABUTCAP1">#REF!</definedName>
    <definedName name="ABUTCAP2" localSheetId="6">#REF!</definedName>
    <definedName name="ABUTCAP2">#REF!</definedName>
    <definedName name="AC" localSheetId="6">#REF!</definedName>
    <definedName name="AC">#REF!</definedName>
    <definedName name="acBridge" localSheetId="5">#REF!</definedName>
    <definedName name="acBridge">#REF!</definedName>
    <definedName name="AccessDatabase" hidden="1">"D:\VOLTAGE DROP FOR THREE PHASE.mdb"</definedName>
    <definedName name="ADD" localSheetId="5">#REF!</definedName>
    <definedName name="ADD" localSheetId="6">#REF!</definedName>
    <definedName name="ADD">#REF!</definedName>
    <definedName name="AE">#REF!</definedName>
    <definedName name="ag">#REF!</definedName>
    <definedName name="aggr10" localSheetId="5">#REF!</definedName>
    <definedName name="aggr10" localSheetId="6">#REF!</definedName>
    <definedName name="aggr10">#REF!</definedName>
    <definedName name="aggr11" localSheetId="5">#REF!</definedName>
    <definedName name="aggr11">#REF!</definedName>
    <definedName name="aggr13" localSheetId="5">#REF!</definedName>
    <definedName name="aggr13">#REF!</definedName>
    <definedName name="aggr2" localSheetId="5">#REF!</definedName>
    <definedName name="aggr2">#REF!</definedName>
    <definedName name="aggr2.36" localSheetId="5">#REF!</definedName>
    <definedName name="aggr2.36">#REF!</definedName>
    <definedName name="aggr20" localSheetId="5">#REF!</definedName>
    <definedName name="aggr20">#REF!</definedName>
    <definedName name="aggr22" localSheetId="5">#REF!</definedName>
    <definedName name="aggr22">#REF!</definedName>
    <definedName name="aggr26" localSheetId="5">#REF!</definedName>
    <definedName name="aggr26">#REF!</definedName>
    <definedName name="aggr40" localSheetId="5">#REF!</definedName>
    <definedName name="aggr40">#REF!</definedName>
    <definedName name="aggr53" localSheetId="5">#REF!</definedName>
    <definedName name="aggr53">#REF!</definedName>
    <definedName name="aggr6" localSheetId="5">#REF!</definedName>
    <definedName name="aggr6">#REF!</definedName>
    <definedName name="aggr63" localSheetId="5">#REF!</definedName>
    <definedName name="aggr63">#REF!</definedName>
    <definedName name="AGN" localSheetId="5">#REF!</definedName>
    <definedName name="AGN">#REF!</definedName>
    <definedName name="agrr10" localSheetId="5">#REF!</definedName>
    <definedName name="agrr10">#REF!</definedName>
    <definedName name="agrr63mm" localSheetId="5">#REF!</definedName>
    <definedName name="agrr63mm">#REF!</definedName>
    <definedName name="aja" localSheetId="5">#REF!</definedName>
    <definedName name="aja">#REF!</definedName>
    <definedName name="AJAY" localSheetId="5">#REF!</definedName>
    <definedName name="AJAY">#REF!</definedName>
    <definedName name="ALPHA">#REF!</definedName>
    <definedName name="an" localSheetId="5">#REF!</definedName>
    <definedName name="an">#REF!</definedName>
    <definedName name="ankit" localSheetId="5">#REF!</definedName>
    <definedName name="ankit" localSheetId="6">#REF!</definedName>
    <definedName name="ankit">#REF!</definedName>
    <definedName name="anscount" hidden="1">1</definedName>
    <definedName name="anu" localSheetId="5">#REF!</definedName>
    <definedName name="anu" localSheetId="6">#REF!</definedName>
    <definedName name="anu">#REF!</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proachslab" localSheetId="5">#REF!</definedName>
    <definedName name="approachslab" localSheetId="6">#REF!</definedName>
    <definedName name="approachslab">#REF!</definedName>
    <definedName name="ard">#REF!</definedName>
    <definedName name="area" localSheetId="5">#REF!</definedName>
    <definedName name="area" localSheetId="6">#REF!</definedName>
    <definedName name="area">#REF!</definedName>
    <definedName name="AREAS_CA_CANOPY__WAREHOUSE" localSheetId="5">#REF!</definedName>
    <definedName name="AREAS_CA_CANOPY__WAREHOUSE">#REF!</definedName>
    <definedName name="AREAS_CB_Canteen_Building" localSheetId="5">#REF!</definedName>
    <definedName name="AREAS_CB_Canteen_Building">#REF!</definedName>
    <definedName name="AREAS_CIPT_Tanker_CIP_Shed" localSheetId="5">#REF!</definedName>
    <definedName name="AREAS_CIPT_Tanker_CIP_Shed">#REF!</definedName>
    <definedName name="AREAS_CLRR_Contract_Labour_Rest_Room" localSheetId="5">#REF!</definedName>
    <definedName name="AREAS_CLRR_Contract_Labour_Rest_Room">#REF!</definedName>
    <definedName name="AREAS_CS_Chemical_Store" localSheetId="5">#REF!</definedName>
    <definedName name="AREAS_CS_Chemical_Store">#REF!</definedName>
    <definedName name="AREAS_ETPC_ETP_Civil_Works" localSheetId="5">#REF!</definedName>
    <definedName name="AREAS_ETPC_ETP_Civil_Works">#REF!</definedName>
    <definedName name="AREAS_EX_EXTERNAL_WORKS" localSheetId="5">#REF!</definedName>
    <definedName name="AREAS_EX_EXTERNAL_WORKS">#REF!</definedName>
    <definedName name="AREAS_FC_Farmer_s_Conference" localSheetId="5">#REF!</definedName>
    <definedName name="AREAS_FC_Farmer_s_Conference">#REF!</definedName>
    <definedName name="AREAS_FU_Fumigation" localSheetId="5">#REF!</definedName>
    <definedName name="AREAS_FU_Fumigation">#REF!</definedName>
    <definedName name="AREAS_GA_General_Area___Overall" localSheetId="5">#REF!</definedName>
    <definedName name="AREAS_GA_General_Area___Overall">#REF!</definedName>
    <definedName name="AREAS_GP_Guard_Posts" localSheetId="5">#REF!</definedName>
    <definedName name="AREAS_GP_Guard_Posts">#REF!</definedName>
    <definedName name="AREAS_LS_LubeOil_Stores" localSheetId="5">#REF!</definedName>
    <definedName name="AREAS_LS_LubeOil_Stores">#REF!</definedName>
    <definedName name="AREAS_MR_TB_Milk_Reception_Tanker_s_Bay" localSheetId="5">#REF!</definedName>
    <definedName name="AREAS_MR_TB_Milk_Reception_Tanker_s_Bay">#REF!</definedName>
    <definedName name="AREAS_MTF_Milk_Tank_Foundations" localSheetId="5">#REF!</definedName>
    <definedName name="AREAS_MTF_Milk_Tank_Foundations">#REF!</definedName>
    <definedName name="AREAS_PB_PROCESS_BUILDING" localSheetId="5">#REF!</definedName>
    <definedName name="AREAS_PB_PROCESS_BUILDING">#REF!</definedName>
    <definedName name="AREAS_PR_Pipe_Racks" localSheetId="5">#REF!</definedName>
    <definedName name="AREAS_PR_Pipe_Racks">#REF!</definedName>
    <definedName name="AREAS_SR_2_Security_Room___2" localSheetId="5">#REF!</definedName>
    <definedName name="AREAS_SR_2_Security_Room___2">#REF!</definedName>
    <definedName name="AREAS_SR_3_Store_Room" localSheetId="5">#REF!</definedName>
    <definedName name="AREAS_SR_3_Store_Room">#REF!</definedName>
    <definedName name="AREAS_ST_Stacks_near_Utility_Buildings" localSheetId="5">#REF!</definedName>
    <definedName name="AREAS_ST_Stacks_near_Utility_Buildings">#REF!</definedName>
    <definedName name="AREAS_SY_Scrap_Yard" localSheetId="5">#REF!</definedName>
    <definedName name="AREAS_SY_Scrap_Yard">#REF!</definedName>
    <definedName name="AREAS_TWW_Truck_Wheel_Wash" localSheetId="5">#REF!</definedName>
    <definedName name="AREAS_TWW_Truck_Wheel_Wash">#REF!</definedName>
    <definedName name="AREAS_TY_Transformer_Yard" localSheetId="5">#REF!</definedName>
    <definedName name="AREAS_TY_Transformer_Yard">#REF!</definedName>
    <definedName name="AREAS_UB_UTILITY_BLOCK" localSheetId="5">#REF!</definedName>
    <definedName name="AREAS_UB_UTILITY_BLOCK">#REF!</definedName>
    <definedName name="AREAS_WH_Ware_House_Area" localSheetId="5">#REF!</definedName>
    <definedName name="AREAS_WH_Ware_House_Area">#REF!</definedName>
    <definedName name="areatitle" localSheetId="5">#REF!</definedName>
    <definedName name="areatitle">#REF!</definedName>
    <definedName name="as" localSheetId="5">#REF!</definedName>
    <definedName name="as">#REF!</definedName>
    <definedName name="AS2DocOpenMode" hidden="1">"AS2DocumentEdit"</definedName>
    <definedName name="AS2HasNoAutoHeaderFooter" hidden="1">" "</definedName>
    <definedName name="ASD">#REF!</definedName>
    <definedName name="asdsf" localSheetId="5">#REF!</definedName>
    <definedName name="asdsf" localSheetId="6">#REF!</definedName>
    <definedName name="asdsf">#REF!</definedName>
    <definedName name="ASE" localSheetId="5">#REF!</definedName>
    <definedName name="ASE">#REF!</definedName>
    <definedName name="ass">#REF!</definedName>
    <definedName name="asw">#REF!</definedName>
    <definedName name="av3333333">#REF!</definedName>
    <definedName name="AvgFlowTable2040">#REF!</definedName>
    <definedName name="b" hidden="1">{"'AC LOAD'!$H$14:$J$15"}</definedName>
    <definedName name="Barkedasalam" localSheetId="5">#REF!</definedName>
    <definedName name="Barkedasalam" localSheetId="6">#REF!</definedName>
    <definedName name="Barkedasalam">#REF!</definedName>
    <definedName name="Barkhedabondar" localSheetId="5">#REF!</definedName>
    <definedName name="Barkhedabondar">#REF!</definedName>
    <definedName name="BB" hidden="1">{#N/A,#N/A,FALSE,"Organisation Chart"}</definedName>
    <definedName name="bbb">#REF!</definedName>
    <definedName name="bf" localSheetId="5">#REF!</definedName>
    <definedName name="bf" localSheetId="6">#REF!</definedName>
    <definedName name="bf">#REF!</definedName>
    <definedName name="bheel" localSheetId="6">#REF!</definedName>
    <definedName name="bheel">#REF!</definedName>
    <definedName name="bhistee" localSheetId="5">#REF!</definedName>
    <definedName name="bhistee">#REF!</definedName>
    <definedName name="bhisti" localSheetId="5">#REF!</definedName>
    <definedName name="bhisti">#REF!</definedName>
    <definedName name="bill" localSheetId="5" hidden="1">{"'AC LOAD'!$H$14:$J$15"}</definedName>
    <definedName name="bill" localSheetId="6" hidden="1">{"'AC LOAD'!$H$14:$J$15"}</definedName>
    <definedName name="bill" hidden="1">{"'AC LOAD'!$H$14:$J$15"}</definedName>
    <definedName name="bit">#REF!</definedName>
    <definedName name="bitumen">#REF!</definedName>
    <definedName name="bitumen6070" localSheetId="5">#REF!</definedName>
    <definedName name="bitumen6070">#REF!</definedName>
    <definedName name="bitumenboiler" localSheetId="5">#REF!</definedName>
    <definedName name="bitumenboiler">#REF!</definedName>
    <definedName name="bitumenemul" localSheetId="5">#REF!</definedName>
    <definedName name="bitumenemul">#REF!</definedName>
    <definedName name="blacksmith" localSheetId="5">#REF!</definedName>
    <definedName name="blacksmith">#REF!</definedName>
    <definedName name="blacksmithhelper" localSheetId="5">#REF!</definedName>
    <definedName name="blacksmithhelper">#REF!</definedName>
    <definedName name="blaster" localSheetId="5">#REF!</definedName>
    <definedName name="blaster">#REF!</definedName>
    <definedName name="BLOCK" localSheetId="5">#REF!</definedName>
    <definedName name="BLOCK">#REF!</definedName>
    <definedName name="Block1" localSheetId="5">#REF!</definedName>
    <definedName name="Block1">#REF!</definedName>
    <definedName name="BM" localSheetId="5">#REF!</definedName>
    <definedName name="BM" localSheetId="6">#REF!</definedName>
    <definedName name="BM">#REF!</definedName>
    <definedName name="bose" localSheetId="5">#REF!</definedName>
    <definedName name="bose" localSheetId="6">#REF!</definedName>
    <definedName name="bose">#REF!</definedName>
    <definedName name="boulder" localSheetId="5">#REF!</definedName>
    <definedName name="boulder">#REF!</definedName>
    <definedName name="bricks" localSheetId="5">#REF!</definedName>
    <definedName name="bricks">#REF!</definedName>
    <definedName name="Bsalam" localSheetId="5">#REF!</definedName>
    <definedName name="Bsalam">#REF!</definedName>
    <definedName name="BSNmeasure">#REF!</definedName>
    <definedName name="btoe">#REF!</definedName>
    <definedName name="BuiltIn_Print_Area___0" localSheetId="5">#REF!</definedName>
    <definedName name="BuiltIn_Print_Area___0">#REF!</definedName>
    <definedName name="BuiltIn_Print_Titles___0">#N/A</definedName>
    <definedName name="Button_1">"VOLTAGE_DROP_FOR_THREE_PHASE_Sheet2_List"</definedName>
    <definedName name="Button_5">"AS_PER_TALLY_31_09_04_ONYX_List"</definedName>
    <definedName name="Button_7">"AS_PER_TALLY_31_09_04_ONYX_List1"</definedName>
    <definedName name="Button_8">"AS_PER_TALLY_31_09_04_ONYX_List1"</definedName>
    <definedName name="bw" localSheetId="6">#REF!</definedName>
    <definedName name="bw">#REF!</definedName>
    <definedName name="C_">#N/A</definedName>
    <definedName name="carpenter" localSheetId="5">#REF!</definedName>
    <definedName name="carpenter" localSheetId="6">#REF!</definedName>
    <definedName name="carpenter">#REF!</definedName>
    <definedName name="carpenter1" localSheetId="5">#REF!</definedName>
    <definedName name="carpenter1">#REF!</definedName>
    <definedName name="carpenter2" localSheetId="5">#REF!</definedName>
    <definedName name="carpenter2">#REF!</definedName>
    <definedName name="carpenterI" localSheetId="5">#REF!</definedName>
    <definedName name="carpenterI">#REF!</definedName>
    <definedName name="carpenterII" localSheetId="5">#REF!</definedName>
    <definedName name="carpenterII">#REF!</definedName>
    <definedName name="ccc" localSheetId="6">#REF!</definedName>
    <definedName name="ccc">#REF!</definedName>
    <definedName name="CCCC" localSheetId="5">#REF!</definedName>
    <definedName name="CCCC" localSheetId="6">#REF!</definedName>
    <definedName name="ccv" hidden="1">{#N/A,#N/A,TRUE,"Front";#N/A,#N/A,TRUE,"Simple Letter";#N/A,#N/A,TRUE,"Inside";#N/A,#N/A,TRUE,"Contents";#N/A,#N/A,TRUE,"Basis";#N/A,#N/A,TRUE,"Inclusions";#N/A,#N/A,TRUE,"Exclusions";#N/A,#N/A,TRUE,"Areas";#N/A,#N/A,TRUE,"Summary";#N/A,#N/A,TRUE,"Detail"}</definedName>
    <definedName name="CE">#REF!</definedName>
    <definedName name="CEE">#REF!</definedName>
    <definedName name="Cement" localSheetId="6">#REF!</definedName>
    <definedName name="Cement">#REF!</definedName>
    <definedName name="chiseler" localSheetId="5">#REF!</definedName>
    <definedName name="chiseler" localSheetId="6">#REF!</definedName>
    <definedName name="chiseler">#REF!</definedName>
    <definedName name="CI_SPECIALS" localSheetId="6">#REF!</definedName>
    <definedName name="CI_SPECIALS">#REF!</definedName>
    <definedName name="clearspan11" localSheetId="6">#REF!</definedName>
    <definedName name="clearspan11">#REF!</definedName>
    <definedName name="cod">#REF!</definedName>
    <definedName name="COLM25">#REF!</definedName>
    <definedName name="COLM30">#REF!</definedName>
    <definedName name="COMELEC" localSheetId="5">#REF!</definedName>
    <definedName name="COMELEC" localSheetId="6">#REF!</definedName>
    <definedName name="COMELEC">#REF!</definedName>
    <definedName name="compactor" localSheetId="5">#REF!</definedName>
    <definedName name="compactor" localSheetId="6">#REF!</definedName>
    <definedName name="compactor">#REF!</definedName>
    <definedName name="COMPLUMB">#REF!</definedName>
    <definedName name="conc_dens" localSheetId="6">#REF!</definedName>
    <definedName name="conc_dens">#REF!</definedName>
    <definedName name="concretepump" localSheetId="5">#REF!</definedName>
    <definedName name="concretepump" localSheetId="6">#REF!</definedName>
    <definedName name="concretepump">#REF!</definedName>
    <definedName name="Contra" hidden="1">{#N/A,#N/A,TRUE,"Front";#N/A,#N/A,TRUE,"Simple Letter";#N/A,#N/A,TRUE,"Inside";#N/A,#N/A,TRUE,"Contents";#N/A,#N/A,TRUE,"Basis";#N/A,#N/A,TRUE,"Inclusions";#N/A,#N/A,TRUE,"Exclusions";#N/A,#N/A,TRUE,"Areas";#N/A,#N/A,TRUE,"Summary";#N/A,#N/A,TRUE,"Detail"}</definedName>
    <definedName name="Contractdetors" hidden="1">{#N/A,#N/A,TRUE,"Front";#N/A,#N/A,TRUE,"Simple Letter";#N/A,#N/A,TRUE,"Inside";#N/A,#N/A,TRUE,"Contents";#N/A,#N/A,TRUE,"Basis";#N/A,#N/A,TRUE,"Inclusions";#N/A,#N/A,TRUE,"Exclusions";#N/A,#N/A,TRUE,"Areas";#N/A,#N/A,TRUE,"Summary";#N/A,#N/A,TRUE,"Detail"}</definedName>
    <definedName name="copperplate" localSheetId="5">#REF!</definedName>
    <definedName name="copperplate" localSheetId="6">#REF!</definedName>
    <definedName name="copperplate">#REF!</definedName>
    <definedName name="cost" hidden="1">{#N/A,#N/A,TRUE,"Front";#N/A,#N/A,TRUE,"Simple Letter";#N/A,#N/A,TRUE,"Inside";#N/A,#N/A,TRUE,"Contents";#N/A,#N/A,TRUE,"Basis";#N/A,#N/A,TRUE,"Inclusions";#N/A,#N/A,TRUE,"Exclusions";#N/A,#N/A,TRUE,"Areas";#N/A,#N/A,TRUE,"Summary";#N/A,#N/A,TRUE,"Detail"}</definedName>
    <definedName name="CP">#REF!</definedName>
    <definedName name="crane" localSheetId="5">#REF!</definedName>
    <definedName name="crane" localSheetId="6">#REF!</definedName>
    <definedName name="crane">#REF!</definedName>
    <definedName name="crashbarrier" localSheetId="5">#REF!</definedName>
    <definedName name="crashbarrier">#REF!</definedName>
    <definedName name="_xlnm.Criteria" localSheetId="5">#REF!</definedName>
    <definedName name="_xlnm.Criteria">#REF!</definedName>
    <definedName name="cvrtoe" localSheetId="6">#REF!</definedName>
    <definedName name="cvrtoe">#REF!</definedName>
    <definedName name="cxz" localSheetId="5">#REF!</definedName>
    <definedName name="cxz" localSheetId="6">#REF!</definedName>
    <definedName name="cxz">#REF!</definedName>
    <definedName name="Damkheda" localSheetId="5">#REF!</definedName>
    <definedName name="Damkheda">#REF!</definedName>
    <definedName name="DATA1">#REF!</definedName>
    <definedName name="DATA10">#REF!</definedName>
    <definedName name="DATA11">#REF!</definedName>
    <definedName name="DATA12">#REF!</definedName>
    <definedName name="DATA13">#REF!</definedName>
    <definedName name="DATA134110" localSheetId="5">#REF!</definedName>
    <definedName name="DATA134110">#REF!</definedName>
    <definedName name="DATA134125" localSheetId="5">#REF!</definedName>
    <definedName name="DATA134125">#REF!</definedName>
    <definedName name="DATA134140" localSheetId="5">#REF!</definedName>
    <definedName name="DATA134140">#REF!</definedName>
    <definedName name="DATA134160" localSheetId="5">#REF!</definedName>
    <definedName name="DATA134160">#REF!</definedName>
    <definedName name="DATA134180" localSheetId="5">#REF!</definedName>
    <definedName name="DATA134180">#REF!</definedName>
    <definedName name="DATA134200" localSheetId="5">#REF!</definedName>
    <definedName name="DATA134200">#REF!</definedName>
    <definedName name="DATA134225" localSheetId="5">#REF!</definedName>
    <definedName name="DATA134225">#REF!</definedName>
    <definedName name="DATA134250" localSheetId="5">#REF!</definedName>
    <definedName name="DATA134250">#REF!</definedName>
    <definedName name="DATA134280" localSheetId="5">#REF!</definedName>
    <definedName name="DATA134280">#REF!</definedName>
    <definedName name="DATA134315" localSheetId="5">#REF!</definedName>
    <definedName name="DATA134315">#REF!</definedName>
    <definedName name="DATA134355" localSheetId="5">#REF!</definedName>
    <definedName name="DATA134355">#REF!</definedName>
    <definedName name="DATA134400" localSheetId="5">#REF!</definedName>
    <definedName name="DATA134400">#REF!</definedName>
    <definedName name="DATA13450" localSheetId="5">#REF!</definedName>
    <definedName name="DATA13450">#REF!</definedName>
    <definedName name="DATA13463" localSheetId="5">#REF!</definedName>
    <definedName name="DATA13463">#REF!</definedName>
    <definedName name="DATA13475" localSheetId="5">#REF!</definedName>
    <definedName name="DATA13475">#REF!</definedName>
    <definedName name="DATA13490" localSheetId="5">#REF!</definedName>
    <definedName name="DATA13490">#REF!</definedName>
    <definedName name="DATA135110" localSheetId="5">#REF!</definedName>
    <definedName name="DATA135110">#REF!</definedName>
    <definedName name="DATA135125" localSheetId="5">#REF!</definedName>
    <definedName name="DATA135125">#REF!</definedName>
    <definedName name="DATA135140" localSheetId="5">#REF!</definedName>
    <definedName name="DATA135140">#REF!</definedName>
    <definedName name="DATA135160" localSheetId="5">#REF!</definedName>
    <definedName name="DATA135160">#REF!</definedName>
    <definedName name="DATA135180" localSheetId="5">#REF!</definedName>
    <definedName name="DATA135180">#REF!</definedName>
    <definedName name="DATA135200" localSheetId="5">#REF!</definedName>
    <definedName name="DATA135200">#REF!</definedName>
    <definedName name="DATA135225" localSheetId="5">#REF!</definedName>
    <definedName name="DATA135225">#REF!</definedName>
    <definedName name="DATA135250" localSheetId="5">#REF!</definedName>
    <definedName name="DATA135250">#REF!</definedName>
    <definedName name="DATA135280" localSheetId="5">#REF!</definedName>
    <definedName name="DATA135280">#REF!</definedName>
    <definedName name="DATA135315" localSheetId="5">#REF!</definedName>
    <definedName name="DATA135315">#REF!</definedName>
    <definedName name="DATA135355" localSheetId="5">#REF!</definedName>
    <definedName name="DATA135355">#REF!</definedName>
    <definedName name="DATA135400" localSheetId="5">#REF!</definedName>
    <definedName name="DATA135400">#REF!</definedName>
    <definedName name="DATA13550" localSheetId="5">#REF!</definedName>
    <definedName name="DATA13550">#REF!</definedName>
    <definedName name="DATA13563" localSheetId="5">#REF!</definedName>
    <definedName name="DATA13563">#REF!</definedName>
    <definedName name="DATA13575" localSheetId="5">#REF!</definedName>
    <definedName name="DATA13575">#REF!</definedName>
    <definedName name="DATA13590" localSheetId="5">#REF!</definedName>
    <definedName name="DATA13590">#REF!</definedName>
    <definedName name="DATA136A" localSheetId="5">#REF!</definedName>
    <definedName name="DATA136A">#REF!</definedName>
    <definedName name="DATA136B" localSheetId="5">#REF!</definedName>
    <definedName name="DATA136B">#REF!</definedName>
    <definedName name="DATA136C" localSheetId="5">#REF!</definedName>
    <definedName name="DATA136C">#REF!</definedName>
    <definedName name="DATA136D" localSheetId="5">#REF!</definedName>
    <definedName name="DATA136D">#REF!</definedName>
    <definedName name="DATA136E" localSheetId="5">#REF!</definedName>
    <definedName name="DATA136E">#REF!</definedName>
    <definedName name="DATA136F" localSheetId="5">#REF!</definedName>
    <definedName name="DATA136F">#REF!</definedName>
    <definedName name="DATA136G" localSheetId="5">#REF!</definedName>
    <definedName name="DATA136G">#REF!</definedName>
    <definedName name="DATA136H" localSheetId="5">#REF!</definedName>
    <definedName name="DATA136H">#REF!</definedName>
    <definedName name="DATA136I" localSheetId="5">#REF!</definedName>
    <definedName name="DATA136I">#REF!</definedName>
    <definedName name="DATA136J" localSheetId="5">#REF!</definedName>
    <definedName name="DATA136J">#REF!</definedName>
    <definedName name="DATA136K" localSheetId="5">#REF!</definedName>
    <definedName name="DATA136K">#REF!</definedName>
    <definedName name="DATA136L" localSheetId="5">#REF!</definedName>
    <definedName name="DATA136L">#REF!</definedName>
    <definedName name="DATA136M" localSheetId="5">#REF!</definedName>
    <definedName name="DATA136M">#REF!</definedName>
    <definedName name="DATA136N" localSheetId="5">#REF!</definedName>
    <definedName name="DATA136N">#REF!</definedName>
    <definedName name="DATA136O" localSheetId="5">#REF!</definedName>
    <definedName name="DATA136O">#REF!</definedName>
    <definedName name="DATA136P" localSheetId="5">#REF!</definedName>
    <definedName name="DATA136P">#REF!</definedName>
    <definedName name="DATA137I" localSheetId="5">#REF!</definedName>
    <definedName name="DATA137I">#REF!</definedName>
    <definedName name="DATA137II" localSheetId="5">#REF!</definedName>
    <definedName name="DATA137II">#REF!</definedName>
    <definedName name="DATA137III" localSheetId="5">#REF!</definedName>
    <definedName name="DATA137III">#REF!</definedName>
    <definedName name="DATA137IV" localSheetId="5">#REF!</definedName>
    <definedName name="DATA137IV">#REF!</definedName>
    <definedName name="DATA137V" localSheetId="5">#REF!</definedName>
    <definedName name="DATA137V">#REF!</definedName>
    <definedName name="DATA138I" localSheetId="5">#REF!</definedName>
    <definedName name="DATA138I">#REF!</definedName>
    <definedName name="DATA138II" localSheetId="5">#REF!</definedName>
    <definedName name="DATA138II">#REF!</definedName>
    <definedName name="DATA138III" localSheetId="5">#REF!</definedName>
    <definedName name="DATA138III">#REF!</definedName>
    <definedName name="DATA138IV" localSheetId="5">#REF!</definedName>
    <definedName name="DATA138IV">#REF!</definedName>
    <definedName name="DATA138V" localSheetId="5">#REF!</definedName>
    <definedName name="DATA138V">#REF!</definedName>
    <definedName name="DATA138VI" localSheetId="5">#REF!</definedName>
    <definedName name="DATA138VI">#REF!</definedName>
    <definedName name="DATA139IX" localSheetId="5">#REF!</definedName>
    <definedName name="DATA139IX">#REF!</definedName>
    <definedName name="DATA139V" localSheetId="5">#REF!</definedName>
    <definedName name="DATA139V">#REF!</definedName>
    <definedName name="DATA139VI" localSheetId="5">#REF!</definedName>
    <definedName name="DATA139VI">#REF!</definedName>
    <definedName name="DATA139VII" localSheetId="5">#REF!</definedName>
    <definedName name="DATA139VII">#REF!</definedName>
    <definedName name="DATA139VIII" localSheetId="5">#REF!</definedName>
    <definedName name="DATA139VIII">#REF!</definedName>
    <definedName name="DATA14">#REF!</definedName>
    <definedName name="DATA140I" localSheetId="5">#REF!</definedName>
    <definedName name="DATA140I">#REF!</definedName>
    <definedName name="DATA140II" localSheetId="5">#REF!</definedName>
    <definedName name="DATA140II">#REF!</definedName>
    <definedName name="DATA140III" localSheetId="5">#REF!</definedName>
    <definedName name="DATA140III">#REF!</definedName>
    <definedName name="DATA140IV" localSheetId="5">#REF!</definedName>
    <definedName name="DATA140IV">#REF!</definedName>
    <definedName name="DATA140V" localSheetId="5">#REF!</definedName>
    <definedName name="DATA140V">#REF!</definedName>
    <definedName name="DATA141I" localSheetId="5">#REF!</definedName>
    <definedName name="DATA141I">#REF!</definedName>
    <definedName name="DATA141II" localSheetId="5">#REF!</definedName>
    <definedName name="DATA141II">#REF!</definedName>
    <definedName name="DATA141III" localSheetId="5">#REF!</definedName>
    <definedName name="DATA141III">#REF!</definedName>
    <definedName name="DATA141IV" localSheetId="5">#REF!</definedName>
    <definedName name="DATA141IV">#REF!</definedName>
    <definedName name="DATA141V" localSheetId="5">#REF!</definedName>
    <definedName name="DATA141V">#REF!</definedName>
    <definedName name="DATA142I" localSheetId="5">#REF!</definedName>
    <definedName name="DATA142I">#REF!</definedName>
    <definedName name="DATA142II" localSheetId="5">#REF!</definedName>
    <definedName name="DATA142II">#REF!</definedName>
    <definedName name="DATA142III" localSheetId="5">#REF!</definedName>
    <definedName name="DATA142III">#REF!</definedName>
    <definedName name="DATA142IV" localSheetId="5">#REF!</definedName>
    <definedName name="DATA142IV">#REF!</definedName>
    <definedName name="DATA142V" localSheetId="5">#REF!</definedName>
    <definedName name="DATA142V">#REF!</definedName>
    <definedName name="DATA15">#REF!</definedName>
    <definedName name="DATA16">#REF!</definedName>
    <definedName name="DATA17">#REF!</definedName>
    <definedName name="DATA18">#REF!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 localSheetId="5">#REF!</definedName>
    <definedName name="_xlnm.Database">#REF!</definedName>
    <definedName name="Database.File" hidden="1">#REF!</definedName>
    <definedName name="datonators" localSheetId="5">#REF!</definedName>
    <definedName name="datonators" localSheetId="6">#REF!</definedName>
    <definedName name="datonators">#REF!</definedName>
    <definedName name="DBM" localSheetId="5">#REF!</definedName>
    <definedName name="DBM">#REF!</definedName>
    <definedName name="DCX">#REF!</definedName>
    <definedName name="dd" localSheetId="5">#REF!</definedName>
    <definedName name="dd" localSheetId="6">#REF!</definedName>
    <definedName name="dd">#REF!</definedName>
    <definedName name="DDD" localSheetId="5">#REF!</definedName>
    <definedName name="DDD">#REF!</definedName>
    <definedName name="dddddddd" localSheetId="5">#REF!</definedName>
    <definedName name="dddddddd" localSheetId="6">#REF!</definedName>
    <definedName name="dddddddd">#REF!</definedName>
    <definedName name="ddfdfgfg" localSheetId="6">#REF!</definedName>
    <definedName name="ddfdfgfg">#REF!</definedName>
    <definedName name="Deck_hh">#REF!</definedName>
    <definedName name="Deck_hv">#REF!</definedName>
    <definedName name="delta">#REF!</definedName>
    <definedName name="DEPTH" localSheetId="5">#REF!</definedName>
    <definedName name="DEPTH" localSheetId="6">#REF!</definedName>
    <definedName name="DEPTH">#REF!</definedName>
    <definedName name="Depth1" localSheetId="5">#REF!</definedName>
    <definedName name="Depth1">#REF!</definedName>
    <definedName name="DERF">#REF!</definedName>
    <definedName name="Detonator" localSheetId="5">#REF!</definedName>
    <definedName name="Detonator">#REF!</definedName>
    <definedName name="dffds" hidden="1">{#N/A,#N/A,TRUE,"Front";#N/A,#N/A,TRUE,"Simple Letter";#N/A,#N/A,TRUE,"Inside";#N/A,#N/A,TRUE,"Contents";#N/A,#N/A,TRUE,"Basis";#N/A,#N/A,TRUE,"Inclusions";#N/A,#N/A,TRUE,"Exclusions";#N/A,#N/A,TRUE,"Areas";#N/A,#N/A,TRUE,"Summary";#N/A,#N/A,TRUE,"Detail"}</definedName>
    <definedName name="dia">#REF!</definedName>
    <definedName name="dia_12">#N/A</definedName>
    <definedName name="dia_13">#N/A</definedName>
    <definedName name="dia_14">#N/A</definedName>
    <definedName name="dia_23">#N/A</definedName>
    <definedName name="dia_24">#N/A</definedName>
    <definedName name="dia_25">#N/A</definedName>
    <definedName name="dia_3">#N/A</definedName>
    <definedName name="diameter" localSheetId="5">#REF!</definedName>
    <definedName name="diameter" localSheetId="6">#REF!</definedName>
    <definedName name="diameter">#REF!</definedName>
    <definedName name="diameter_14">#N/A</definedName>
    <definedName name="diameter_3">#N/A</definedName>
    <definedName name="diesel">#REF!</definedName>
    <definedName name="Dis" localSheetId="6">#REF!</definedName>
    <definedName name="Dis">#REF!</definedName>
    <definedName name="DK" localSheetId="5">#REF!</definedName>
    <definedName name="DK" localSheetId="6">#REF!</definedName>
    <definedName name="DK">#REF!</definedName>
    <definedName name="DLP" localSheetId="5">#REF!</definedName>
    <definedName name="DLP">#REF!</definedName>
    <definedName name="DM" localSheetId="5">#REF!</definedName>
    <definedName name="DM">#REF!</definedName>
    <definedName name="dozer" localSheetId="5">#REF!</definedName>
    <definedName name="dozer" localSheetId="6">#REF!</definedName>
    <definedName name="dozer">#REF!</definedName>
    <definedName name="dozer200" localSheetId="5">#REF!</definedName>
    <definedName name="dozer200">#REF!</definedName>
    <definedName name="drains" localSheetId="5">#REF!</definedName>
    <definedName name="drains">#REF!</definedName>
    <definedName name="dresser" localSheetId="5">#REF!</definedName>
    <definedName name="dresser">#REF!</definedName>
    <definedName name="driller" localSheetId="5">#REF!</definedName>
    <definedName name="driller">#REF!</definedName>
    <definedName name="drillingequipment" localSheetId="5">#REF!</definedName>
    <definedName name="drillingequipment">#REF!</definedName>
    <definedName name="DRREW">#REF!</definedName>
    <definedName name="Dust" localSheetId="5">#REF!</definedName>
    <definedName name="Dust" localSheetId="6">#REF!</definedName>
    <definedName name="Dust">#REF!</definedName>
    <definedName name="DWIT22" localSheetId="5">#REF!</definedName>
    <definedName name="DWIT22">#REF!</definedName>
    <definedName name="Dx">#REF!</definedName>
    <definedName name="Dy">#REF!</definedName>
    <definedName name="E" localSheetId="5">#REF!</definedName>
    <definedName name="e">#REF!</definedName>
    <definedName name="E_span">#REF!</definedName>
    <definedName name="ee" localSheetId="5">#REF!</definedName>
    <definedName name="ee" localSheetId="6">#REF!</definedName>
    <definedName name="EE">#REF!</definedName>
    <definedName name="electrician" localSheetId="5">#REF!</definedName>
    <definedName name="electrician">#REF!</definedName>
    <definedName name="electricpoles">#N/A</definedName>
    <definedName name="Embankment" localSheetId="5">#REF!</definedName>
    <definedName name="Embankment" localSheetId="6">#REF!</definedName>
    <definedName name="Embankment">#REF!</definedName>
    <definedName name="emulsion" localSheetId="5">#REF!</definedName>
    <definedName name="emulsion">#REF!</definedName>
    <definedName name="environmentalcost">#N/A</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tyqw">#REF!</definedName>
    <definedName name="ertyw">#REF!</definedName>
    <definedName name="ESSR1" localSheetId="5">#REF!</definedName>
    <definedName name="ESSR1">#REF!</definedName>
    <definedName name="ESSR10" localSheetId="5">#REF!</definedName>
    <definedName name="ESSR10">#REF!</definedName>
    <definedName name="ESSR11" localSheetId="5">#REF!</definedName>
    <definedName name="ESSR11">#REF!</definedName>
    <definedName name="ESSR12" localSheetId="5">#REF!</definedName>
    <definedName name="ESSR12">#REF!</definedName>
    <definedName name="ESSR13" localSheetId="5">#REF!</definedName>
    <definedName name="ESSR13">#REF!</definedName>
    <definedName name="ESSR2" localSheetId="5">#REF!</definedName>
    <definedName name="ESSR2">#REF!</definedName>
    <definedName name="ESSR3" localSheetId="5">#REF!</definedName>
    <definedName name="ESSR3">#REF!</definedName>
    <definedName name="ESSR4" localSheetId="5">#REF!</definedName>
    <definedName name="ESSR4">#REF!</definedName>
    <definedName name="ESSR5" localSheetId="5">#REF!</definedName>
    <definedName name="ESSR5">#REF!</definedName>
    <definedName name="ESSR6" localSheetId="5">#REF!</definedName>
    <definedName name="ESSR6">#REF!</definedName>
    <definedName name="ESSR7" localSheetId="5">#REF!</definedName>
    <definedName name="ESSR7">#REF!</definedName>
    <definedName name="ESSR8" localSheetId="5">#REF!</definedName>
    <definedName name="ESSR8">#REF!</definedName>
    <definedName name="ESSR9" localSheetId="5">#REF!</definedName>
    <definedName name="ESSR9">#REF!</definedName>
    <definedName name="ew" localSheetId="5">#REF!</definedName>
    <definedName name="ew">#REF!</definedName>
    <definedName name="Excavation" localSheetId="5">#REF!</definedName>
    <definedName name="Excavation" localSheetId="6">#REF!</definedName>
    <definedName name="Excavation">#REF!</definedName>
    <definedName name="excavator" localSheetId="5">#REF!</definedName>
    <definedName name="excavator">#REF!</definedName>
    <definedName name="excel">#REF!</definedName>
    <definedName name="Excel_BuiltIn_Database_0" localSheetId="5">#REF!</definedName>
    <definedName name="Excel_BuiltIn_Database_0">#REF!</definedName>
    <definedName name="Excel_BuiltIn_Print_Area_1" localSheetId="5">#REF!</definedName>
    <definedName name="Excel_BuiltIn_Print_Area_1">#REF!</definedName>
    <definedName name="Excel_BuiltIn_Print_Area_1_1_1" localSheetId="5">#REF!</definedName>
    <definedName name="Excel_BuiltIn_Print_Area_1_1_1">#REF!</definedName>
    <definedName name="Excel_BuiltIn_Print_Area_10" localSheetId="5">#REF!</definedName>
    <definedName name="Excel_BuiltIn_Print_Area_10">#REF!</definedName>
    <definedName name="Excel_BuiltIn_Print_Area_12" localSheetId="5">#REF!</definedName>
    <definedName name="Excel_BuiltIn_Print_Area_12">#REF!</definedName>
    <definedName name="Excel_BuiltIn_Print_Area_14" localSheetId="5">#REF!</definedName>
    <definedName name="Excel_BuiltIn_Print_Area_14">#REF!</definedName>
    <definedName name="Excel_BuiltIn_Print_Area_15" localSheetId="5">#REF!</definedName>
    <definedName name="Excel_BuiltIn_Print_Area_15">#REF!</definedName>
    <definedName name="Excel_BuiltIn_Print_Area_16" localSheetId="5">#REF!</definedName>
    <definedName name="Excel_BuiltIn_Print_Area_16">#REF!</definedName>
    <definedName name="Excel_BuiltIn_Print_Area_17" localSheetId="5">#REF!</definedName>
    <definedName name="Excel_BuiltIn_Print_Area_17">#REF!</definedName>
    <definedName name="Excel_BuiltIn_Print_Area_18" localSheetId="5">#REF!</definedName>
    <definedName name="Excel_BuiltIn_Print_Area_18">#REF!</definedName>
    <definedName name="Excel_BuiltIn_Print_Area_19" localSheetId="5">#REF!</definedName>
    <definedName name="Excel_BuiltIn_Print_Area_19">#REF!</definedName>
    <definedName name="Excel_BuiltIn_Print_Area_2" localSheetId="5">#REF!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0" localSheetId="5">#REF!</definedName>
    <definedName name="Excel_BuiltIn_Print_Area_20">#REF!</definedName>
    <definedName name="Excel_BuiltIn_Print_Area_21" localSheetId="5">#REF!</definedName>
    <definedName name="Excel_BuiltIn_Print_Area_21">#REF!</definedName>
    <definedName name="Excel_BuiltIn_Print_Area_3_1" localSheetId="5">#REF!</definedName>
    <definedName name="Excel_BuiltIn_Print_Area_3_1">#REF!</definedName>
    <definedName name="Excel_BuiltIn_Print_Area_3_1_1" localSheetId="5">#REF!</definedName>
    <definedName name="Excel_BuiltIn_Print_Area_3_1_1">#REF!</definedName>
    <definedName name="Excel_BuiltIn_Print_Area_4_1" localSheetId="5">#REF!</definedName>
    <definedName name="Excel_BuiltIn_Print_Area_4_1">#REF!</definedName>
    <definedName name="Excel_BuiltIn_Print_Area_4_1_1" localSheetId="5">#REF!</definedName>
    <definedName name="Excel_BuiltIn_Print_Area_4_1_1">#REF!</definedName>
    <definedName name="Excel_BuiltIn_Print_Area_4_1_1_1" localSheetId="5">#REF!</definedName>
    <definedName name="Excel_BuiltIn_Print_Area_4_1_1_1">#REF!</definedName>
    <definedName name="Excel_BuiltIn_Print_Area_5_1" localSheetId="5">#REF!</definedName>
    <definedName name="Excel_BuiltIn_Print_Area_5_1">#REF!</definedName>
    <definedName name="Excel_BuiltIn_Print_Area_6" localSheetId="5">#REF!</definedName>
    <definedName name="Excel_BuiltIn_Print_Area_6">#REF!</definedName>
    <definedName name="Excel_BuiltIn_Print_Area_6_1" localSheetId="5">#REF!</definedName>
    <definedName name="Excel_BuiltIn_Print_Area_6_1">#REF!</definedName>
    <definedName name="Excel_BuiltIn_Print_Area_7" localSheetId="5">#REF!</definedName>
    <definedName name="Excel_BuiltIn_Print_Area_7">#REF!</definedName>
    <definedName name="Excel_BuiltIn_Print_Area_8" localSheetId="5">#REF!</definedName>
    <definedName name="Excel_BuiltIn_Print_Area_8">#REF!</definedName>
    <definedName name="Excel_BuiltIn_Print_Area_9" localSheetId="5">#REF!</definedName>
    <definedName name="Excel_BuiltIn_Print_Area_9">#REF!</definedName>
    <definedName name="Excel_BuiltIn_Print_Titles_1_1">#REF!</definedName>
    <definedName name="Excel_BuiltIn_Print_Titles_2" localSheetId="5">#REF!</definedName>
    <definedName name="Excel_BuiltIn_Print_Titles_2">#REF!</definedName>
    <definedName name="Excel_BuiltIn_Print_Titles_4" localSheetId="5">#REF!</definedName>
    <definedName name="Excel_BuiltIn_Print_Titles_4">#REF!</definedName>
    <definedName name="_xlnm.Extract">#REF!</definedName>
    <definedName name="facia" localSheetId="5">#REF!</definedName>
    <definedName name="facia" localSheetId="6">#REF!</definedName>
    <definedName name="facia">#REF!</definedName>
    <definedName name="faraz" localSheetId="5">#REF!</definedName>
    <definedName name="faraz" localSheetId="6">#REF!</definedName>
    <definedName name="faraz">#REF!</definedName>
    <definedName name="farazd7723" localSheetId="5">#REF!</definedName>
    <definedName name="farazd7723">#REF!</definedName>
    <definedName name="FBLbearing14" localSheetId="6">#REF!</definedName>
    <definedName name="FBLbearing14">#REF!</definedName>
    <definedName name="FBLclearspan11" localSheetId="6">#REF!</definedName>
    <definedName name="FBLclearspan11">#REF!</definedName>
    <definedName name="FBLeffectivespan12" localSheetId="6">#REF!</definedName>
    <definedName name="FBLeffectivespan12">#REF!</definedName>
    <definedName name="FBLoverallspan13" localSheetId="6">#REF!</definedName>
    <definedName name="FBLoverallspan13">#REF!</definedName>
    <definedName name="fc" localSheetId="6">#REF!</definedName>
    <definedName name="fc">#REF!</definedName>
    <definedName name="FCK" localSheetId="6">#REF!</definedName>
    <definedName name="FCK">#REF!</definedName>
    <definedName name="ff" hidden="1">{#N/A,#N/A,TRUE,"Front";#N/A,#N/A,TRUE,"Simple Letter";#N/A,#N/A,TRUE,"Inside";#N/A,#N/A,TRUE,"Contents";#N/A,#N/A,TRUE,"Basis";#N/A,#N/A,TRUE,"Inclusions";#N/A,#N/A,TRUE,"Exclusions";#N/A,#N/A,TRUE,"Areas";#N/A,#N/A,TRUE,"Summary";#N/A,#N/A,TRUE,"Detail"}</definedName>
    <definedName name="fgfgsfdg" hidden="1">{#N/A,#N/A,FALSE,"Organisation Chart"}</definedName>
    <definedName name="fiberboard" localSheetId="5">#REF!</definedName>
    <definedName name="fiberboard" localSheetId="6">#REF!</definedName>
    <definedName name="fiberboard">#REF!</definedName>
    <definedName name="fiberboard20" localSheetId="5">#REF!</definedName>
    <definedName name="fiberboard20">#REF!</definedName>
    <definedName name="fiberboard5" localSheetId="5">#REF!</definedName>
    <definedName name="fiberboard5">#REF!</definedName>
    <definedName name="fibreboard12" localSheetId="5">#REF!</definedName>
    <definedName name="fibreboard12">#REF!</definedName>
    <definedName name="File.Type" hidden="1">#REF!</definedName>
    <definedName name="filtermaterial" localSheetId="5">#REF!</definedName>
    <definedName name="filtermaterial">#REF!</definedName>
    <definedName name="final" localSheetId="5" hidden="1">{"'Sheet1'!$A$4386:$N$4591"}</definedName>
    <definedName name="final" localSheetId="6" hidden="1">{"'Sheet1'!$A$4386:$N$4591"}</definedName>
    <definedName name="final" hidden="1">{"'Sheet1'!$A$4386:$N$4591"}</definedName>
    <definedName name="fitter">#REF!</definedName>
    <definedName name="FLAT30X5" localSheetId="5">#REF!</definedName>
    <definedName name="FLAT30X5">#REF!</definedName>
    <definedName name="FLAT32X5" localSheetId="5">#REF!</definedName>
    <definedName name="FLAT32X5">#REF!</definedName>
    <definedName name="FLAT40X5" localSheetId="5">#REF!</definedName>
    <definedName name="FLAT40X5">#REF!</definedName>
    <definedName name="FLOOR">#REF!</definedName>
    <definedName name="fm" localSheetId="5">#REF!</definedName>
    <definedName name="fm" localSheetId="6">#REF!</definedName>
    <definedName name="fm">#REF!</definedName>
    <definedName name="FOIUY" localSheetId="6">City&amp;" "&amp;State</definedName>
    <definedName name="FOIUY">City&amp;" "&amp;State</definedName>
    <definedName name="FOOTERLFT2" localSheetId="6">#REF!</definedName>
    <definedName name="FOOTERLFT2">#REF!</definedName>
    <definedName name="FOOTERLFT3" localSheetId="6">#REF!</definedName>
    <definedName name="FOOTERLFT3">#REF!</definedName>
    <definedName name="FOOTERLFTM" localSheetId="6">#REF!</definedName>
    <definedName name="FOOTERLFTM">#REF!</definedName>
    <definedName name="FOOTERRGHT">#REF!</definedName>
    <definedName name="FOOTERRGHT1">#REF!</definedName>
    <definedName name="Footing_Shuttering">#REF!</definedName>
    <definedName name="format" localSheetId="5" hidden="1">#REF!</definedName>
    <definedName name="format" localSheetId="6" hidden="1">#REF!</definedName>
    <definedName name="format" hidden="1">#REF!</definedName>
    <definedName name="FSLclearspan11" localSheetId="6">#REF!</definedName>
    <definedName name="FSLclearspan11">#REF!</definedName>
    <definedName name="FSLeffectivespan12" localSheetId="6">#REF!</definedName>
    <definedName name="FSLeffectivespan12">#REF!</definedName>
    <definedName name="FSLoverallspan13" localSheetId="6">#REF!</definedName>
    <definedName name="FSLoverallspan13">#REF!</definedName>
    <definedName name="FST." localSheetId="6">#REF!</definedName>
    <definedName name="FST.">#REF!</definedName>
    <definedName name="fusewire" localSheetId="5">#REF!</definedName>
    <definedName name="fusewire" localSheetId="6">#REF!</definedName>
    <definedName name="fusewire">#REF!</definedName>
    <definedName name="fv" hidden="1">{#N/A,#N/A,FALSE,"Organisation Chart"}</definedName>
    <definedName name="g6216.">#REF!</definedName>
    <definedName name="Garhakala" localSheetId="5">#REF!</definedName>
    <definedName name="Garhakala" localSheetId="6">#REF!</definedName>
    <definedName name="Garhakala">#REF!</definedName>
    <definedName name="gelatine" localSheetId="5">#REF!</definedName>
    <definedName name="gelatine">#REF!</definedName>
    <definedName name="geofabric" localSheetId="5">#REF!</definedName>
    <definedName name="geofabric" localSheetId="6">#REF!</definedName>
    <definedName name="geofabric">#REF!</definedName>
    <definedName name="GGG" localSheetId="5">#REF!</definedName>
    <definedName name="GGG">#REF!</definedName>
    <definedName name="grader" localSheetId="5">#REF!</definedName>
    <definedName name="grader" localSheetId="6">#REF!</definedName>
    <definedName name="grader">#REF!</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SB">#REF!</definedName>
    <definedName name="guhj">#REF!</definedName>
    <definedName name="gunga" localSheetId="5">#REF!</definedName>
    <definedName name="gunga" localSheetId="6">#REF!</definedName>
    <definedName name="gunga">#REF!</definedName>
    <definedName name="gungakalara" localSheetId="5">#REF!</definedName>
    <definedName name="gungakalara">#REF!</definedName>
    <definedName name="Hammerman" localSheetId="5">#REF!</definedName>
    <definedName name="Hammerman">#REF!</definedName>
    <definedName name="headblacksmith" localSheetId="5">#REF!</definedName>
    <definedName name="headblacksmith">#REF!</definedName>
    <definedName name="header">#REF!</definedName>
    <definedName name="HEADERGHT">#REF!</definedName>
    <definedName name="HEADERGT">#REF!</definedName>
    <definedName name="HEADERLFT2" localSheetId="6">#REF!</definedName>
    <definedName name="HEADERLFT2">#REF!</definedName>
    <definedName name="HEADERLFT3" localSheetId="6">#REF!</definedName>
    <definedName name="HEADERLFT3">#REF!</definedName>
    <definedName name="HEADERRT2" localSheetId="6">#REF!</definedName>
    <definedName name="HEADERRT2">#REF!</definedName>
    <definedName name="headmason" localSheetId="5">#REF!</definedName>
    <definedName name="headmason" localSheetId="6">#REF!</definedName>
    <definedName name="headmason">#REF!</definedName>
    <definedName name="hghjh" localSheetId="5">#REF!</definedName>
    <definedName name="hghjh" localSheetId="6">#REF!</definedName>
    <definedName name="hghjh">#REF!</definedName>
    <definedName name="hkjjhkhkhk" hidden="1">{#N/A,#N/A,TRUE,"Front";#N/A,#N/A,TRUE,"Simple Letter";#N/A,#N/A,TRUE,"Inside";#N/A,#N/A,TRUE,"Contents";#N/A,#N/A,TRUE,"Basis";#N/A,#N/A,TRUE,"Inclusions";#N/A,#N/A,TRUE,"Exclusions";#N/A,#N/A,TRUE,"Areas";#N/A,#N/A,TRUE,"Summary";#N/A,#N/A,TRUE,"Detail"}</definedName>
    <definedName name="hmplant" localSheetId="5">#REF!</definedName>
    <definedName name="hmplant" localSheetId="6">#REF!</definedName>
    <definedName name="hmplant">#REF!</definedName>
    <definedName name="hmplant10" localSheetId="5">#REF!</definedName>
    <definedName name="hmplant10">#REF!</definedName>
    <definedName name="hmplant30" localSheetId="5">#REF!</definedName>
    <definedName name="hmplant30">#REF!</definedName>
    <definedName name="hotmixmidium" localSheetId="5">#REF!</definedName>
    <definedName name="hotmixmidium">#REF!</definedName>
    <definedName name="hotmixplant" localSheetId="5">#REF!</definedName>
    <definedName name="hotmixplant">#REF!</definedName>
    <definedName name="hotmixsmall" localSheetId="5">#REF!</definedName>
    <definedName name="hotmixsmall">#REF!</definedName>
    <definedName name="HT" localSheetId="6">#REF!</definedName>
    <definedName name="HT">#REF!</definedName>
    <definedName name="HTA" localSheetId="6">#REF!</definedName>
    <definedName name="HTA">#REF!</definedName>
    <definedName name="HTML_CodePage" hidden="1">1252</definedName>
    <definedName name="HTML_Control" hidden="1">{"'AC LOAD'!$H$14:$J$15"}</definedName>
    <definedName name="HTML_Description" hidden="1">""</definedName>
    <definedName name="HTML_Email" hidden="1">""</definedName>
    <definedName name="HTML_Header" hidden="1">"AC LOAD"</definedName>
    <definedName name="HTML_LastUpdate" hidden="1">"4/10/03"</definedName>
    <definedName name="HTML_LineAfter" hidden="1">FALSE</definedName>
    <definedName name="HTML_LineBefore" hidden="1">FALSE</definedName>
    <definedName name="HTML_Name" hidden="1">"RAJIV Kr. MEHTA"</definedName>
    <definedName name="HTML_OBDlg2" hidden="1">TRUE</definedName>
    <definedName name="HTML_OBDlg4" hidden="1">TRUE</definedName>
    <definedName name="HTML_OS" hidden="1">0</definedName>
    <definedName name="HTML_PathFile" hidden="1">"C:\My Documents\MyHTML.htm"</definedName>
    <definedName name="HTML_Title" hidden="1">"MD HOUSE AC"</definedName>
    <definedName name="humepipe1000" localSheetId="5">#REF!</definedName>
    <definedName name="humepipe1000" localSheetId="6">#REF!</definedName>
    <definedName name="humepipe1000">#REF!</definedName>
    <definedName name="Humepipe600" localSheetId="5">#REF!</definedName>
    <definedName name="Humepipe600" localSheetId="6">#REF!</definedName>
    <definedName name="Humepipe600">#REF!</definedName>
    <definedName name="Humepipe900" localSheetId="5">#REF!</definedName>
    <definedName name="Humepipe900">#REF!</definedName>
    <definedName name="hysd" localSheetId="5">#REF!</definedName>
    <definedName name="hysd" localSheetId="6">#REF!</definedName>
    <definedName name="hysd">#REF!</definedName>
    <definedName name="Interior" localSheetId="5">#REF!</definedName>
    <definedName name="Interior" localSheetId="6">#REF!</definedName>
    <definedName name="Interior">#REF!</definedName>
    <definedName name="INTT">#REF!</definedName>
    <definedName name="invoice1">#REF!</definedName>
    <definedName name="io" hidden="1">{#N/A,#N/A,TRUE,"Front";#N/A,#N/A,TRUE,"Simple Letter";#N/A,#N/A,TRUE,"Inside";#N/A,#N/A,TRUE,"Contents";#N/A,#N/A,TRUE,"Basis";#N/A,#N/A,TRUE,"Inclusions";#N/A,#N/A,TRUE,"Exclusions";#N/A,#N/A,TRUE,"Areas";#N/A,#N/A,TRUE,"Summary";#N/A,#N/A,TRUE,"Detail"}</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39245.8345138889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A35X5">#REF!</definedName>
    <definedName name="ISA40X5" localSheetId="5">#REF!</definedName>
    <definedName name="ISA40X5" localSheetId="6">#REF!</definedName>
    <definedName name="ISA40X5">#REF!</definedName>
    <definedName name="ISA65X5">#REF!</definedName>
    <definedName name="ISMB100">#REF!</definedName>
    <definedName name="ISMC100X50X5">#REF!</definedName>
    <definedName name="ISMC75">#REF!</definedName>
    <definedName name="ISMC75X40X5" localSheetId="5">#REF!</definedName>
    <definedName name="ISMC75X40X5">#REF!</definedName>
    <definedName name="J">#REF!</definedName>
    <definedName name="JHH">#REF!</definedName>
    <definedName name="jhjkh">#REF!</definedName>
    <definedName name="jlk" localSheetId="5">#REF!</definedName>
    <definedName name="jlk" localSheetId="6">#REF!</definedName>
    <definedName name="jlk">#REF!</definedName>
    <definedName name="JMBVC">#REF!</definedName>
    <definedName name="kap" localSheetId="6">#REF!</definedName>
    <definedName name="kap">#REF!</definedName>
    <definedName name="khalasi" localSheetId="5">#REF!</definedName>
    <definedName name="khalasi" localSheetId="6">#REF!</definedName>
    <definedName name="khalasi">#REF!</definedName>
    <definedName name="khamkheda" localSheetId="5">#REF!</definedName>
    <definedName name="khamkheda">#REF!</definedName>
    <definedName name="kkkkkkkkk">#REF!</definedName>
    <definedName name="kolukhedi" localSheetId="5">#REF!</definedName>
    <definedName name="kolukhedi">#REF!</definedName>
    <definedName name="KOMT2341" localSheetId="5">#REF!</definedName>
    <definedName name="KOMT2341">#REF!</definedName>
    <definedName name="kopui">#REF!</definedName>
    <definedName name="ksnagar_abs">#REF!</definedName>
    <definedName name="ksnagar_meas">#REF!</definedName>
    <definedName name="L" localSheetId="5">#REF!</definedName>
    <definedName name="L" localSheetId="6">#REF!</definedName>
    <definedName name="l" hidden="1">{#N/A,#N/A,TRUE,"Front";#N/A,#N/A,TRUE,"Simple Letter";#N/A,#N/A,TRUE,"Inside";#N/A,#N/A,TRUE,"Contents";#N/A,#N/A,TRUE,"Basis";#N/A,#N/A,TRUE,"Inclusions";#N/A,#N/A,TRUE,"Exclusions";#N/A,#N/A,TRUE,"Areas";#N/A,#N/A,TRUE,"Summary";#N/A,#N/A,TRUE,"Detail"}</definedName>
    <definedName name="landacqcost">#N/A</definedName>
    <definedName name="LBMod" localSheetId="6">#REF!</definedName>
    <definedName name="LBMod">#REF!</definedName>
    <definedName name="levelling" localSheetId="5">#REF!</definedName>
    <definedName name="levelling" localSheetId="6">#REF!</definedName>
    <definedName name="levelling">#REF!</definedName>
    <definedName name="light" localSheetId="5">#REF!</definedName>
    <definedName name="light">#REF!</definedName>
    <definedName name="limcount" hidden="1">1</definedName>
    <definedName name="lk" localSheetId="5">#REF!</definedName>
    <definedName name="lk" localSheetId="6">#REF!</definedName>
    <definedName name="lk">#REF!</definedName>
    <definedName name="loader" localSheetId="5">#REF!</definedName>
    <definedName name="loader">#REF!</definedName>
    <definedName name="Location" localSheetId="6">City&amp;" "&amp;State</definedName>
    <definedName name="Location">City&amp;" "&amp;State</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OP" localSheetId="6">#REF!</definedName>
    <definedName name="LOOP">#REF!</definedName>
    <definedName name="LOP" hidden="1">{#N/A,#N/A,TRUE,"Front";#N/A,#N/A,TRUE,"Simple Letter";#N/A,#N/A,TRUE,"Inside";#N/A,#N/A,TRUE,"Contents";#N/A,#N/A,TRUE,"Basis";#N/A,#N/A,TRUE,"Inclusions";#N/A,#N/A,TRUE,"Exclusions";#N/A,#N/A,TRUE,"Areas";#N/A,#N/A,TRUE,"Summary";#N/A,#N/A,TRUE,"Detail"}</definedName>
    <definedName name="LSNO1" localSheetId="5">#REF!</definedName>
    <definedName name="LSNO1" localSheetId="6">#REF!</definedName>
    <definedName name="LSNO1">#REF!</definedName>
    <definedName name="LSNO10" localSheetId="5">#REF!</definedName>
    <definedName name="LSNO10">#REF!</definedName>
    <definedName name="LSNO100" localSheetId="5">#REF!</definedName>
    <definedName name="LSNO100">#REF!</definedName>
    <definedName name="LSNO101" localSheetId="5">#REF!</definedName>
    <definedName name="LSNO101">#REF!</definedName>
    <definedName name="LSNO102" localSheetId="5">#REF!</definedName>
    <definedName name="LSNO102">#REF!</definedName>
    <definedName name="LSNO103" localSheetId="5">#REF!</definedName>
    <definedName name="LSNO103">#REF!</definedName>
    <definedName name="LSNO104" localSheetId="5">#REF!</definedName>
    <definedName name="LSNO104">#REF!</definedName>
    <definedName name="LSNO105" localSheetId="5">#REF!</definedName>
    <definedName name="LSNO105">#REF!</definedName>
    <definedName name="LSNO106" localSheetId="5">#REF!</definedName>
    <definedName name="LSNO106">#REF!</definedName>
    <definedName name="LSNO107" localSheetId="5">#REF!</definedName>
    <definedName name="LSNO107">#REF!</definedName>
    <definedName name="LSNO108" localSheetId="5">#REF!</definedName>
    <definedName name="LSNO108">#REF!</definedName>
    <definedName name="LSNO109" localSheetId="5">#REF!</definedName>
    <definedName name="LSNO109">#REF!</definedName>
    <definedName name="LSNO11" localSheetId="5">#REF!</definedName>
    <definedName name="LSNO11">#REF!</definedName>
    <definedName name="LSNO110" localSheetId="5">#REF!</definedName>
    <definedName name="LSNO110">#REF!</definedName>
    <definedName name="LSNO111" localSheetId="5">#REF!</definedName>
    <definedName name="LSNO111">#REF!</definedName>
    <definedName name="LSNO112" localSheetId="5">#REF!</definedName>
    <definedName name="LSNO112">#REF!</definedName>
    <definedName name="LSNO113" localSheetId="5">#REF!</definedName>
    <definedName name="LSNO113">#REF!</definedName>
    <definedName name="LSNO114" localSheetId="5">#REF!</definedName>
    <definedName name="LSNO114">#REF!</definedName>
    <definedName name="LSNO115" localSheetId="5">#REF!</definedName>
    <definedName name="LSNO115">#REF!</definedName>
    <definedName name="LSNO116" localSheetId="5">#REF!</definedName>
    <definedName name="LSNO116">#REF!</definedName>
    <definedName name="LSNO117" localSheetId="5">#REF!</definedName>
    <definedName name="LSNO117">#REF!</definedName>
    <definedName name="LSNO118" localSheetId="5">#REF!</definedName>
    <definedName name="LSNO118">#REF!</definedName>
    <definedName name="LSNO119" localSheetId="5">#REF!</definedName>
    <definedName name="LSNO119">#REF!</definedName>
    <definedName name="LSNO12" localSheetId="5">#REF!</definedName>
    <definedName name="LSNO12">#REF!</definedName>
    <definedName name="LSNO120" localSheetId="5">#REF!</definedName>
    <definedName name="LSNO120">#REF!</definedName>
    <definedName name="LSNO121" localSheetId="5">#REF!</definedName>
    <definedName name="LSNO121">#REF!</definedName>
    <definedName name="LSNO122" localSheetId="5">#REF!</definedName>
    <definedName name="LSNO122">#REF!</definedName>
    <definedName name="LSNO123" localSheetId="5">#REF!</definedName>
    <definedName name="LSNO123">#REF!</definedName>
    <definedName name="LSNO124" localSheetId="5">#REF!</definedName>
    <definedName name="LSNO124">#REF!</definedName>
    <definedName name="LSNO125" localSheetId="5">#REF!</definedName>
    <definedName name="LSNO125">#REF!</definedName>
    <definedName name="LSNO126" localSheetId="5">#REF!</definedName>
    <definedName name="LSNO126">#REF!</definedName>
    <definedName name="LSNO127" localSheetId="5">#REF!</definedName>
    <definedName name="LSNO127">#REF!</definedName>
    <definedName name="LSNO128" localSheetId="5">#REF!</definedName>
    <definedName name="LSNO128">#REF!</definedName>
    <definedName name="LSNO129" localSheetId="5">#REF!</definedName>
    <definedName name="LSNO129">#REF!</definedName>
    <definedName name="LSNO13" localSheetId="5">#REF!</definedName>
    <definedName name="LSNO13">#REF!</definedName>
    <definedName name="LSNO130" localSheetId="5">#REF!</definedName>
    <definedName name="LSNO130">#REF!</definedName>
    <definedName name="LSNO131" localSheetId="5">#REF!</definedName>
    <definedName name="LSNO131">#REF!</definedName>
    <definedName name="LSNO132" localSheetId="5">#REF!</definedName>
    <definedName name="LSNO132">#REF!</definedName>
    <definedName name="LSNO133" localSheetId="5">#REF!</definedName>
    <definedName name="LSNO133">#REF!</definedName>
    <definedName name="LSNO134" localSheetId="5">#REF!</definedName>
    <definedName name="LSNO134">#REF!</definedName>
    <definedName name="LSNO135" localSheetId="5">#REF!</definedName>
    <definedName name="LSNO135">#REF!</definedName>
    <definedName name="LSNO136" localSheetId="5">#REF!</definedName>
    <definedName name="LSNO136">#REF!</definedName>
    <definedName name="LSNO137" localSheetId="5">#REF!</definedName>
    <definedName name="LSNO137">#REF!</definedName>
    <definedName name="LSNO138" localSheetId="5">#REF!</definedName>
    <definedName name="LSNO138">#REF!</definedName>
    <definedName name="LSNO139" localSheetId="5">#REF!</definedName>
    <definedName name="LSNO139">#REF!</definedName>
    <definedName name="LSNO14" localSheetId="5">#REF!</definedName>
    <definedName name="LSNO14">#REF!</definedName>
    <definedName name="LSNO140" localSheetId="5">#REF!</definedName>
    <definedName name="LSNO140">#REF!</definedName>
    <definedName name="LSNO141" localSheetId="5">#REF!</definedName>
    <definedName name="LSNO141">#REF!</definedName>
    <definedName name="LSNO142" localSheetId="5">#REF!</definedName>
    <definedName name="LSNO142">#REF!</definedName>
    <definedName name="LSNO143" localSheetId="5">#REF!</definedName>
    <definedName name="LSNO143">#REF!</definedName>
    <definedName name="LSNO144" localSheetId="5">#REF!</definedName>
    <definedName name="LSNO144">#REF!</definedName>
    <definedName name="LSNO145" localSheetId="5">#REF!</definedName>
    <definedName name="LSNO145">#REF!</definedName>
    <definedName name="LSNO146" localSheetId="5">#REF!</definedName>
    <definedName name="LSNO146">#REF!</definedName>
    <definedName name="LSNO147" localSheetId="5">#REF!</definedName>
    <definedName name="LSNO147">#REF!</definedName>
    <definedName name="LSNO148" localSheetId="5">#REF!</definedName>
    <definedName name="LSNO148">#REF!</definedName>
    <definedName name="LSNO149" localSheetId="5">#REF!</definedName>
    <definedName name="LSNO149">#REF!</definedName>
    <definedName name="LSNO15" localSheetId="5">#REF!</definedName>
    <definedName name="LSNO15">#REF!</definedName>
    <definedName name="LSNO150" localSheetId="5">#REF!</definedName>
    <definedName name="LSNO150">#REF!</definedName>
    <definedName name="LSNO151" localSheetId="5">#REF!</definedName>
    <definedName name="LSNO151">#REF!</definedName>
    <definedName name="LSNO152" localSheetId="5">#REF!</definedName>
    <definedName name="LSNO152">#REF!</definedName>
    <definedName name="LSNO153" localSheetId="5">#REF!</definedName>
    <definedName name="LSNO153">#REF!</definedName>
    <definedName name="LSNO154" localSheetId="5">#REF!</definedName>
    <definedName name="LSNO154">#REF!</definedName>
    <definedName name="LSNO155" localSheetId="5">#REF!</definedName>
    <definedName name="LSNO155">#REF!</definedName>
    <definedName name="LSNO156" localSheetId="5">#REF!</definedName>
    <definedName name="LSNO156">#REF!</definedName>
    <definedName name="LSNO157" localSheetId="5">#REF!</definedName>
    <definedName name="LSNO157">#REF!</definedName>
    <definedName name="LSNO158" localSheetId="5">#REF!</definedName>
    <definedName name="LSNO158">#REF!</definedName>
    <definedName name="LSNO159" localSheetId="5">#REF!</definedName>
    <definedName name="LSNO159">#REF!</definedName>
    <definedName name="LSNO16" localSheetId="5">#REF!</definedName>
    <definedName name="LSNO16">#REF!</definedName>
    <definedName name="LSNO160" localSheetId="5">#REF!</definedName>
    <definedName name="LSNO160">#REF!</definedName>
    <definedName name="LSNO161" localSheetId="5">#REF!</definedName>
    <definedName name="LSNO161">#REF!</definedName>
    <definedName name="LSNO162" localSheetId="5">#REF!</definedName>
    <definedName name="LSNO162">#REF!</definedName>
    <definedName name="LSNO163" localSheetId="5">#REF!</definedName>
    <definedName name="LSNO163">#REF!</definedName>
    <definedName name="LSNO164" localSheetId="5">#REF!</definedName>
    <definedName name="LSNO164">#REF!</definedName>
    <definedName name="LSNO165" localSheetId="5">#REF!</definedName>
    <definedName name="LSNO165">#REF!</definedName>
    <definedName name="LSNO166" localSheetId="5">#REF!</definedName>
    <definedName name="LSNO166">#REF!</definedName>
    <definedName name="LSNO167" localSheetId="5">#REF!</definedName>
    <definedName name="LSNO167">#REF!</definedName>
    <definedName name="LSNO168" localSheetId="5">#REF!</definedName>
    <definedName name="LSNO168">#REF!</definedName>
    <definedName name="LSNO169" localSheetId="5">#REF!</definedName>
    <definedName name="LSNO169">#REF!</definedName>
    <definedName name="LSNO17" localSheetId="5">#REF!</definedName>
    <definedName name="LSNO17">#REF!</definedName>
    <definedName name="LSNO170" localSheetId="5">#REF!</definedName>
    <definedName name="LSNO170">#REF!</definedName>
    <definedName name="LSNO171" localSheetId="5">#REF!</definedName>
    <definedName name="LSNO171">#REF!</definedName>
    <definedName name="LSNO172" localSheetId="5">#REF!</definedName>
    <definedName name="LSNO172">#REF!</definedName>
    <definedName name="LSNO173" localSheetId="5">#REF!</definedName>
    <definedName name="LSNO173">#REF!</definedName>
    <definedName name="LSNO174" localSheetId="5">#REF!</definedName>
    <definedName name="LSNO174">#REF!</definedName>
    <definedName name="LSNO175" localSheetId="5">#REF!</definedName>
    <definedName name="LSNO175">#REF!</definedName>
    <definedName name="LSNO176" localSheetId="5">#REF!</definedName>
    <definedName name="LSNO176">#REF!</definedName>
    <definedName name="LSNO177" localSheetId="5">#REF!</definedName>
    <definedName name="LSNO177">#REF!</definedName>
    <definedName name="LSNO178" localSheetId="5">#REF!</definedName>
    <definedName name="LSNO178">#REF!</definedName>
    <definedName name="LSNO179" localSheetId="5">#REF!</definedName>
    <definedName name="LSNO179">#REF!</definedName>
    <definedName name="LSNO18" localSheetId="5">#REF!</definedName>
    <definedName name="LSNO18">#REF!</definedName>
    <definedName name="LSNO180" localSheetId="5">#REF!</definedName>
    <definedName name="LSNO180">#REF!</definedName>
    <definedName name="LSNO181" localSheetId="5">#REF!</definedName>
    <definedName name="LSNO181">#REF!</definedName>
    <definedName name="LSNO182" localSheetId="5">#REF!</definedName>
    <definedName name="LSNO182">#REF!</definedName>
    <definedName name="LSNO183" localSheetId="5">#REF!</definedName>
    <definedName name="LSNO183">#REF!</definedName>
    <definedName name="LSNO184" localSheetId="5">#REF!</definedName>
    <definedName name="LSNO184">#REF!</definedName>
    <definedName name="LSNO185" localSheetId="5">#REF!</definedName>
    <definedName name="LSNO185">#REF!</definedName>
    <definedName name="LSNO186" localSheetId="5">#REF!</definedName>
    <definedName name="LSNO186">#REF!</definedName>
    <definedName name="LSNO187" localSheetId="5">#REF!</definedName>
    <definedName name="LSNO187">#REF!</definedName>
    <definedName name="LSNO188" localSheetId="5">#REF!</definedName>
    <definedName name="LSNO188">#REF!</definedName>
    <definedName name="LSNO189" localSheetId="5">#REF!</definedName>
    <definedName name="LSNO189">#REF!</definedName>
    <definedName name="LSNO19" localSheetId="5">#REF!</definedName>
    <definedName name="LSNO19">#REF!</definedName>
    <definedName name="LSNO190" localSheetId="5">#REF!</definedName>
    <definedName name="LSNO190">#REF!</definedName>
    <definedName name="LSNO191" localSheetId="5">#REF!</definedName>
    <definedName name="LSNO191">#REF!</definedName>
    <definedName name="LSNO192" localSheetId="5">#REF!</definedName>
    <definedName name="LSNO192">#REF!</definedName>
    <definedName name="LSNO193" localSheetId="5">#REF!</definedName>
    <definedName name="LSNO193">#REF!</definedName>
    <definedName name="LSNO194" localSheetId="5">#REF!</definedName>
    <definedName name="LSNO194">#REF!</definedName>
    <definedName name="LSNO195" localSheetId="5">#REF!</definedName>
    <definedName name="LSNO195">#REF!</definedName>
    <definedName name="LSNO196" localSheetId="5">#REF!</definedName>
    <definedName name="LSNO196">#REF!</definedName>
    <definedName name="LSNO197" localSheetId="5">#REF!</definedName>
    <definedName name="LSNO197">#REF!</definedName>
    <definedName name="LSNO198" localSheetId="5">#REF!</definedName>
    <definedName name="LSNO198">#REF!</definedName>
    <definedName name="LSNO199" localSheetId="5">#REF!</definedName>
    <definedName name="LSNO199">#REF!</definedName>
    <definedName name="LSNO2" localSheetId="5">#REF!</definedName>
    <definedName name="LSNO2">#REF!</definedName>
    <definedName name="LSNO20" localSheetId="5">#REF!</definedName>
    <definedName name="LSNO20">#REF!</definedName>
    <definedName name="LSNO200" localSheetId="5">#REF!</definedName>
    <definedName name="LSNO200">#REF!</definedName>
    <definedName name="LSNO201" localSheetId="5">#REF!</definedName>
    <definedName name="LSNO201">#REF!</definedName>
    <definedName name="LSNO202" localSheetId="5">#REF!</definedName>
    <definedName name="LSNO202">#REF!</definedName>
    <definedName name="LSNO203" localSheetId="5">#REF!</definedName>
    <definedName name="LSNO203">#REF!</definedName>
    <definedName name="LSNO204" localSheetId="5">#REF!</definedName>
    <definedName name="LSNO204">#REF!</definedName>
    <definedName name="LSNO205" localSheetId="5">#REF!</definedName>
    <definedName name="LSNO205">#REF!</definedName>
    <definedName name="LSNO206" localSheetId="5">#REF!</definedName>
    <definedName name="LSNO206">#REF!</definedName>
    <definedName name="LSNO207" localSheetId="5">#REF!</definedName>
    <definedName name="LSNO207">#REF!</definedName>
    <definedName name="LSNO208" localSheetId="5">#REF!</definedName>
    <definedName name="LSNO208">#REF!</definedName>
    <definedName name="LSNO209" localSheetId="5">#REF!</definedName>
    <definedName name="LSNO209">#REF!</definedName>
    <definedName name="LSNO21" localSheetId="5">#REF!</definedName>
    <definedName name="LSNO21">#REF!</definedName>
    <definedName name="LSNO210" localSheetId="5">#REF!</definedName>
    <definedName name="LSNO210">#REF!</definedName>
    <definedName name="LSNO211" localSheetId="5">#REF!</definedName>
    <definedName name="LSNO211">#REF!</definedName>
    <definedName name="LSNO212" localSheetId="5">#REF!</definedName>
    <definedName name="LSNO212">#REF!</definedName>
    <definedName name="LSNO213" localSheetId="5">#REF!</definedName>
    <definedName name="LSNO213">#REF!</definedName>
    <definedName name="LSNO214" localSheetId="5">#REF!</definedName>
    <definedName name="LSNO214">#REF!</definedName>
    <definedName name="LSNO215" localSheetId="5">#REF!</definedName>
    <definedName name="LSNO215">#REF!</definedName>
    <definedName name="LSNO216" localSheetId="5">#REF!</definedName>
    <definedName name="LSNO216">#REF!</definedName>
    <definedName name="LSNO217" localSheetId="5">#REF!</definedName>
    <definedName name="LSNO217">#REF!</definedName>
    <definedName name="LSNO218" localSheetId="5">#REF!</definedName>
    <definedName name="LSNO218">#REF!</definedName>
    <definedName name="LSNO219" localSheetId="5">#REF!</definedName>
    <definedName name="LSNO219">#REF!</definedName>
    <definedName name="LSNO22" localSheetId="5">#REF!</definedName>
    <definedName name="LSNO22">#REF!</definedName>
    <definedName name="LSNO220" localSheetId="5">#REF!</definedName>
    <definedName name="LSNO220">#REF!</definedName>
    <definedName name="LSNO221" localSheetId="5">#REF!</definedName>
    <definedName name="LSNO221">#REF!</definedName>
    <definedName name="LSNO222" localSheetId="5">#REF!</definedName>
    <definedName name="LSNO222">#REF!</definedName>
    <definedName name="LSNO223" localSheetId="5">#REF!</definedName>
    <definedName name="LSNO223">#REF!</definedName>
    <definedName name="LSNO224" localSheetId="5">#REF!</definedName>
    <definedName name="LSNO224">#REF!</definedName>
    <definedName name="LSNO225" localSheetId="5">#REF!</definedName>
    <definedName name="LSNO225">#REF!</definedName>
    <definedName name="LSNO226" localSheetId="5">#REF!</definedName>
    <definedName name="LSNO226">#REF!</definedName>
    <definedName name="LSNO227" localSheetId="5">#REF!</definedName>
    <definedName name="LSNO227">#REF!</definedName>
    <definedName name="LSNO228" localSheetId="5">#REF!</definedName>
    <definedName name="LSNO228">#REF!</definedName>
    <definedName name="LSNO229" localSheetId="5">#REF!</definedName>
    <definedName name="LSNO229">#REF!</definedName>
    <definedName name="LSNO23" localSheetId="5">#REF!</definedName>
    <definedName name="LSNO23">#REF!</definedName>
    <definedName name="LSNO230" localSheetId="5">#REF!</definedName>
    <definedName name="LSNO230">#REF!</definedName>
    <definedName name="LSNO231" localSheetId="5">#REF!</definedName>
    <definedName name="LSNO231">#REF!</definedName>
    <definedName name="LSNO232" localSheetId="5">#REF!</definedName>
    <definedName name="LSNO232">#REF!</definedName>
    <definedName name="LSNO233" localSheetId="5">#REF!</definedName>
    <definedName name="LSNO233">#REF!</definedName>
    <definedName name="LSNO234" localSheetId="5">#REF!</definedName>
    <definedName name="LSNO234">#REF!</definedName>
    <definedName name="LSNO235" localSheetId="5">#REF!</definedName>
    <definedName name="LSNO235">#REF!</definedName>
    <definedName name="LSNO236" localSheetId="5">#REF!</definedName>
    <definedName name="LSNO236">#REF!</definedName>
    <definedName name="LSNO237" localSheetId="5">#REF!</definedName>
    <definedName name="LSNO237">#REF!</definedName>
    <definedName name="LSNO238" localSheetId="5">#REF!</definedName>
    <definedName name="LSNO238">#REF!</definedName>
    <definedName name="LSNO239" localSheetId="5">#REF!</definedName>
    <definedName name="LSNO239">#REF!</definedName>
    <definedName name="LSNO24" localSheetId="5">#REF!</definedName>
    <definedName name="LSNO24">#REF!</definedName>
    <definedName name="LSNO240" localSheetId="5">#REF!</definedName>
    <definedName name="LSNO240">#REF!</definedName>
    <definedName name="LSNO241" localSheetId="5">#REF!</definedName>
    <definedName name="LSNO241">#REF!</definedName>
    <definedName name="LSNO242" localSheetId="5">#REF!</definedName>
    <definedName name="LSNO242">#REF!</definedName>
    <definedName name="LSNO243" localSheetId="5">#REF!</definedName>
    <definedName name="LSNO243">#REF!</definedName>
    <definedName name="LSNO244" localSheetId="5">#REF!</definedName>
    <definedName name="LSNO244">#REF!</definedName>
    <definedName name="LSNO245" localSheetId="5">#REF!</definedName>
    <definedName name="LSNO245">#REF!</definedName>
    <definedName name="LSNO246" localSheetId="5">#REF!</definedName>
    <definedName name="LSNO246">#REF!</definedName>
    <definedName name="LSNO247" localSheetId="5">#REF!</definedName>
    <definedName name="LSNO247">#REF!</definedName>
    <definedName name="LSNO248" localSheetId="5">#REF!</definedName>
    <definedName name="LSNO248">#REF!</definedName>
    <definedName name="LSNO249" localSheetId="5">#REF!</definedName>
    <definedName name="LSNO249">#REF!</definedName>
    <definedName name="LSNO25" localSheetId="5">#REF!</definedName>
    <definedName name="LSNO25">#REF!</definedName>
    <definedName name="LSNO250" localSheetId="5">#REF!</definedName>
    <definedName name="LSNO250">#REF!</definedName>
    <definedName name="LSNO251" localSheetId="5">#REF!</definedName>
    <definedName name="LSNO251">#REF!</definedName>
    <definedName name="LSNO26" localSheetId="5">#REF!</definedName>
    <definedName name="LSNO26">#REF!</definedName>
    <definedName name="LSNO27" localSheetId="5">#REF!</definedName>
    <definedName name="LSNO27">#REF!</definedName>
    <definedName name="LSNO28" localSheetId="5">#REF!</definedName>
    <definedName name="LSNO28">#REF!</definedName>
    <definedName name="LSNO29" localSheetId="5">#REF!</definedName>
    <definedName name="LSNO29">#REF!</definedName>
    <definedName name="LSNO3" localSheetId="5">#REF!</definedName>
    <definedName name="LSNO3">#REF!</definedName>
    <definedName name="LSNO30" localSheetId="5">#REF!</definedName>
    <definedName name="LSNO30">#REF!</definedName>
    <definedName name="LSNO31" localSheetId="5">#REF!</definedName>
    <definedName name="LSNO31">#REF!</definedName>
    <definedName name="LSNO32" localSheetId="5">#REF!</definedName>
    <definedName name="LSNO32">#REF!</definedName>
    <definedName name="LSNO33" localSheetId="5">#REF!</definedName>
    <definedName name="LSNO33">#REF!</definedName>
    <definedName name="LSNO34" localSheetId="5">#REF!</definedName>
    <definedName name="LSNO34">#REF!</definedName>
    <definedName name="LSNO35" localSheetId="5">#REF!</definedName>
    <definedName name="LSNO35">#REF!</definedName>
    <definedName name="LSNO36" localSheetId="5">#REF!</definedName>
    <definedName name="LSNO36">#REF!</definedName>
    <definedName name="LSNO37" localSheetId="5">#REF!</definedName>
    <definedName name="LSNO37">#REF!</definedName>
    <definedName name="LSNO38" localSheetId="5">#REF!</definedName>
    <definedName name="LSNO38">#REF!</definedName>
    <definedName name="LSNO39" localSheetId="5">#REF!</definedName>
    <definedName name="LSNO39">#REF!</definedName>
    <definedName name="LSNO4" localSheetId="5">#REF!</definedName>
    <definedName name="LSNO4">#REF!</definedName>
    <definedName name="LSNO40" localSheetId="5">#REF!</definedName>
    <definedName name="LSNO40">#REF!</definedName>
    <definedName name="LSNO41" localSheetId="5">#REF!</definedName>
    <definedName name="LSNO41">#REF!</definedName>
    <definedName name="LSNO42" localSheetId="5">#REF!</definedName>
    <definedName name="LSNO42">#REF!</definedName>
    <definedName name="LSNO43" localSheetId="5">#REF!</definedName>
    <definedName name="LSNO43">#REF!</definedName>
    <definedName name="LSNO44" localSheetId="5">#REF!</definedName>
    <definedName name="LSNO44">#REF!</definedName>
    <definedName name="LSNO45" localSheetId="5">#REF!</definedName>
    <definedName name="LSNO45">#REF!</definedName>
    <definedName name="LSNO46" localSheetId="5">#REF!</definedName>
    <definedName name="LSNO46">#REF!</definedName>
    <definedName name="LSNO47" localSheetId="5">#REF!</definedName>
    <definedName name="LSNO47">#REF!</definedName>
    <definedName name="LSNO48" localSheetId="5">#REF!</definedName>
    <definedName name="LSNO48">#REF!</definedName>
    <definedName name="LSNO49" localSheetId="5">#REF!</definedName>
    <definedName name="LSNO49">#REF!</definedName>
    <definedName name="LSNO5" localSheetId="5">#REF!</definedName>
    <definedName name="LSNO5">#REF!</definedName>
    <definedName name="LSNO50" localSheetId="5">#REF!</definedName>
    <definedName name="LSNO50">#REF!</definedName>
    <definedName name="LSNO51" localSheetId="5">#REF!</definedName>
    <definedName name="LSNO51">#REF!</definedName>
    <definedName name="LSNO52" localSheetId="5">#REF!</definedName>
    <definedName name="LSNO52">#REF!</definedName>
    <definedName name="LSNO53" localSheetId="5">#REF!</definedName>
    <definedName name="LSNO53">#REF!</definedName>
    <definedName name="LSNO54" localSheetId="5">#REF!</definedName>
    <definedName name="LSNO54">#REF!</definedName>
    <definedName name="LSNO55" localSheetId="5">#REF!</definedName>
    <definedName name="LSNO55">#REF!</definedName>
    <definedName name="LSNO56" localSheetId="5">#REF!</definedName>
    <definedName name="LSNO56">#REF!</definedName>
    <definedName name="LSNO57" localSheetId="5">#REF!</definedName>
    <definedName name="LSNO57">#REF!</definedName>
    <definedName name="LSNO58" localSheetId="5">#REF!</definedName>
    <definedName name="LSNO58">#REF!</definedName>
    <definedName name="LSNO59" localSheetId="5">#REF!</definedName>
    <definedName name="LSNO59">#REF!</definedName>
    <definedName name="LSNO6" localSheetId="5">#REF!</definedName>
    <definedName name="LSNO6">#REF!</definedName>
    <definedName name="LSNO60" localSheetId="5">#REF!</definedName>
    <definedName name="LSNO60">#REF!</definedName>
    <definedName name="LSNO61" localSheetId="5">#REF!</definedName>
    <definedName name="LSNO61">#REF!</definedName>
    <definedName name="LSNO62" localSheetId="5">#REF!</definedName>
    <definedName name="LSNO62">#REF!</definedName>
    <definedName name="LSNO63" localSheetId="5">#REF!</definedName>
    <definedName name="LSNO63">#REF!</definedName>
    <definedName name="LSNO64" localSheetId="5">#REF!</definedName>
    <definedName name="LSNO64">#REF!</definedName>
    <definedName name="LSNO65" localSheetId="5">#REF!</definedName>
    <definedName name="LSNO65">#REF!</definedName>
    <definedName name="LSNO66" localSheetId="5">#REF!</definedName>
    <definedName name="LSNO66">#REF!</definedName>
    <definedName name="LSNO67" localSheetId="5">#REF!</definedName>
    <definedName name="LSNO67">#REF!</definedName>
    <definedName name="LSNO68" localSheetId="5">#REF!</definedName>
    <definedName name="LSNO68">#REF!</definedName>
    <definedName name="LSNO69" localSheetId="5">#REF!</definedName>
    <definedName name="LSNO69">#REF!</definedName>
    <definedName name="LSNO7" localSheetId="5">#REF!</definedName>
    <definedName name="LSNO7">#REF!</definedName>
    <definedName name="LSNO70" localSheetId="5">#REF!</definedName>
    <definedName name="LSNO70">#REF!</definedName>
    <definedName name="LSNO71" localSheetId="5">#REF!</definedName>
    <definedName name="LSNO71">#REF!</definedName>
    <definedName name="LSNO72" localSheetId="5">#REF!</definedName>
    <definedName name="LSNO72">#REF!</definedName>
    <definedName name="LSNO73" localSheetId="5">#REF!</definedName>
    <definedName name="LSNO73">#REF!</definedName>
    <definedName name="LSNO74" localSheetId="5">#REF!</definedName>
    <definedName name="LSNO74">#REF!</definedName>
    <definedName name="LSNO75" localSheetId="5">#REF!</definedName>
    <definedName name="LSNO75">#REF!</definedName>
    <definedName name="LSNO76" localSheetId="5">#REF!</definedName>
    <definedName name="LSNO76">#REF!</definedName>
    <definedName name="LSNO77" localSheetId="5">#REF!</definedName>
    <definedName name="LSNO77">#REF!</definedName>
    <definedName name="LSNO78" localSheetId="5">#REF!</definedName>
    <definedName name="LSNO78">#REF!</definedName>
    <definedName name="LSNO79" localSheetId="5">#REF!</definedName>
    <definedName name="LSNO79">#REF!</definedName>
    <definedName name="LSNO8" localSheetId="5">#REF!</definedName>
    <definedName name="LSNO8">#REF!</definedName>
    <definedName name="LSNO80" localSheetId="5">#REF!</definedName>
    <definedName name="LSNO80">#REF!</definedName>
    <definedName name="LSNO81" localSheetId="5">#REF!</definedName>
    <definedName name="LSNO81">#REF!</definedName>
    <definedName name="LSNO82" localSheetId="5">#REF!</definedName>
    <definedName name="LSNO82">#REF!</definedName>
    <definedName name="LSNO83" localSheetId="5">#REF!</definedName>
    <definedName name="LSNO83">#REF!</definedName>
    <definedName name="LSNO84" localSheetId="5">#REF!</definedName>
    <definedName name="LSNO84">#REF!</definedName>
    <definedName name="LSNO85" localSheetId="5">#REF!</definedName>
    <definedName name="LSNO85">#REF!</definedName>
    <definedName name="LSNO86" localSheetId="5">#REF!</definedName>
    <definedName name="LSNO86">#REF!</definedName>
    <definedName name="LSNO87" localSheetId="5">#REF!</definedName>
    <definedName name="LSNO87">#REF!</definedName>
    <definedName name="LSNO88" localSheetId="5">#REF!</definedName>
    <definedName name="LSNO88">#REF!</definedName>
    <definedName name="LSNO89" localSheetId="5">#REF!</definedName>
    <definedName name="LSNO89">#REF!</definedName>
    <definedName name="LSNO9" localSheetId="5">#REF!</definedName>
    <definedName name="LSNO9">#REF!</definedName>
    <definedName name="LSNO90" localSheetId="5">#REF!</definedName>
    <definedName name="LSNO90">#REF!</definedName>
    <definedName name="LSNO91" localSheetId="5">#REF!</definedName>
    <definedName name="LSNO91">#REF!</definedName>
    <definedName name="LSNO92" localSheetId="5">#REF!</definedName>
    <definedName name="LSNO92">#REF!</definedName>
    <definedName name="LSNO93" localSheetId="5">#REF!</definedName>
    <definedName name="LSNO93">#REF!</definedName>
    <definedName name="LSNO94" localSheetId="5">#REF!</definedName>
    <definedName name="LSNO94">#REF!</definedName>
    <definedName name="LSNO95" localSheetId="5">#REF!</definedName>
    <definedName name="LSNO95">#REF!</definedName>
    <definedName name="LSNO96" localSheetId="5">#REF!</definedName>
    <definedName name="LSNO96">#REF!</definedName>
    <definedName name="LSNO97" localSheetId="5">#REF!</definedName>
    <definedName name="LSNO97">#REF!</definedName>
    <definedName name="LSNO98" localSheetId="5">#REF!</definedName>
    <definedName name="LSNO98">#REF!</definedName>
    <definedName name="LSNO99" localSheetId="5">#REF!</definedName>
    <definedName name="LSNO99">#REF!</definedName>
    <definedName name="m">#REF!</definedName>
    <definedName name="M.B.">#REF!</definedName>
    <definedName name="M_25_box_Culvert" localSheetId="5">#REF!</definedName>
    <definedName name="M_25_box_Culvert">#REF!</definedName>
    <definedName name="m15levelling" localSheetId="5">#REF!</definedName>
    <definedName name="m15levelling" localSheetId="6">#REF!</definedName>
    <definedName name="m15levelling">#REF!</definedName>
    <definedName name="Macro1">#N/A</definedName>
    <definedName name="Macro2">#N/A</definedName>
    <definedName name="March_11">#REF!</definedName>
    <definedName name="mason" localSheetId="5">#REF!</definedName>
    <definedName name="mason" localSheetId="6">#REF!</definedName>
    <definedName name="mason">#REF!</definedName>
    <definedName name="masonhelper" localSheetId="5">#REF!</definedName>
    <definedName name="masonhelper" localSheetId="6">#REF!</definedName>
    <definedName name="masonhelper">#REF!</definedName>
    <definedName name="mat" localSheetId="5" hidden="1">{#N/A,#N/A,TRUE,"Front";#N/A,#N/A,TRUE,"Simple Letter";#N/A,#N/A,TRUE,"Inside";#N/A,#N/A,TRUE,"Contents";#N/A,#N/A,TRUE,"Basis";#N/A,#N/A,TRUE,"Inclusions";#N/A,#N/A,TRUE,"Exclusions";#N/A,#N/A,TRUE,"Areas";#N/A,#N/A,TRUE,"Summary";#N/A,#N/A,TRUE,"Detail"}</definedName>
    <definedName name="mat" localSheetId="6"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e" localSheetId="5">#REF!</definedName>
    <definedName name="Mate" localSheetId="6">#REF!</definedName>
    <definedName name="Mate">#REF!</definedName>
    <definedName name="Mazdoor" localSheetId="5">#REF!</definedName>
    <definedName name="Mazdoor" localSheetId="6">#REF!</definedName>
    <definedName name="Mazdoor">#REF!</definedName>
    <definedName name="MB" hidden="1">{"'AC LOAD'!$H$14:$J$15"}</definedName>
    <definedName name="measur" hidden="1">{#N/A,#N/A,TRUE,"Front";#N/A,#N/A,TRUE,"Simple Letter";#N/A,#N/A,TRUE,"Inside";#N/A,#N/A,TRUE,"Contents";#N/A,#N/A,TRUE,"Basis";#N/A,#N/A,TRUE,"Inclusions";#N/A,#N/A,TRUE,"Exclusions";#N/A,#N/A,TRUE,"Areas";#N/A,#N/A,TRUE,"Summary";#N/A,#N/A,TRUE,"Detail"}</definedName>
    <definedName name="Median" localSheetId="5">#REF!</definedName>
    <definedName name="Median" localSheetId="6">#REF!</definedName>
    <definedName name="Median">#REF!</definedName>
    <definedName name="Mera" localSheetId="5">#REF!</definedName>
    <definedName name="Mera" localSheetId="6">#REF!</definedName>
    <definedName name="Mera">#REF!</definedName>
    <definedName name="Miss" hidden="1">{#N/A,#N/A,TRUE,"Front";#N/A,#N/A,TRUE,"Simple Letter";#N/A,#N/A,TRUE,"Inside";#N/A,#N/A,TRUE,"Contents";#N/A,#N/A,TRUE,"Basis";#N/A,#N/A,TRUE,"Inclusions";#N/A,#N/A,TRUE,"Exclusions";#N/A,#N/A,TRUE,"Areas";#N/A,#N/A,TRUE,"Summary";#N/A,#N/A,TRUE,"Detail"}</definedName>
    <definedName name="mixer" localSheetId="5">#REF!</definedName>
    <definedName name="mixer" localSheetId="6">#REF!</definedName>
    <definedName name="mixer">#REF!</definedName>
    <definedName name="modifiedbitumen" localSheetId="5">#REF!</definedName>
    <definedName name="modifiedbitumen" localSheetId="6">#REF!</definedName>
    <definedName name="modifiedbitumen">#REF!</definedName>
    <definedName name="Moh" localSheetId="5">#REF!</definedName>
    <definedName name="Moh">#REF!</definedName>
    <definedName name="msbars" localSheetId="5">#REF!</definedName>
    <definedName name="msbars">#REF!</definedName>
    <definedName name="MSFLAT32X5">#REF!</definedName>
    <definedName name="msssssssssssssssssssssss">#REF!</definedName>
    <definedName name="mta" hidden="1">{#N/A,#N/A,TRUE,"Front";#N/A,#N/A,TRUE,"Simple Letter";#N/A,#N/A,TRUE,"Inside";#N/A,#N/A,TRUE,"Contents";#N/A,#N/A,TRUE,"Basis";#N/A,#N/A,TRUE,"Inclusions";#N/A,#N/A,TRUE,"Exclusions";#N/A,#N/A,TRUE,"Areas";#N/A,#N/A,TRUE,"Summary";#N/A,#N/A,TRUE,"Detail"}</definedName>
    <definedName name="Mugaliyahat" localSheetId="5">#REF!</definedName>
    <definedName name="Mugaliyahat" localSheetId="6">#REF!</definedName>
    <definedName name="Mugaliyahat">#REF!</definedName>
    <definedName name="Muram" localSheetId="5">#REF!</definedName>
    <definedName name="Muram">#REF!</definedName>
    <definedName name="mus">#REF!</definedName>
    <definedName name="MWL">#REF!</definedName>
    <definedName name="Nalkheda" localSheetId="5">#REF!</definedName>
    <definedName name="Nalkheda">#REF!</definedName>
    <definedName name="ncrtovn_abs" localSheetId="6">#REF!</definedName>
    <definedName name="ncrtovn_abs">#REF!</definedName>
    <definedName name="ncrtovn_meas" localSheetId="6">#REF!</definedName>
    <definedName name="ncrtovn_meas">#REF!</definedName>
    <definedName name="neoprene" localSheetId="5">#REF!</definedName>
    <definedName name="neoprene">#REF!</definedName>
    <definedName name="neoprinbearing" localSheetId="5">#REF!</definedName>
    <definedName name="neoprinbearing">#REF!</definedName>
    <definedName name="nothing" localSheetId="5">#REF!</definedName>
    <definedName name="nothing" localSheetId="6">#REF!</definedName>
    <definedName name="nothing">#REF!</definedName>
    <definedName name="NP3HP450" localSheetId="5">#REF!</definedName>
    <definedName name="NP3HP450">#REF!</definedName>
    <definedName name="NP3HP600" localSheetId="5">#REF!</definedName>
    <definedName name="NP3HP600">#REF!</definedName>
    <definedName name="NP3HP750" localSheetId="5">#REF!</definedName>
    <definedName name="NP3HP750">#REF!</definedName>
    <definedName name="np3humepipe600" localSheetId="5">#REF!</definedName>
    <definedName name="np3humepipe600">#REF!</definedName>
    <definedName name="np3humepipe750" localSheetId="5">#REF!</definedName>
    <definedName name="np3humepipe750">#REF!</definedName>
    <definedName name="NP4Hume1.2" localSheetId="5">#REF!</definedName>
    <definedName name="NP4Hume1.2">#REF!</definedName>
    <definedName name="NP4Hume1000" localSheetId="5">#REF!</definedName>
    <definedName name="NP4Hume1000">#REF!</definedName>
    <definedName name="NP4Hume1200" localSheetId="5">#REF!</definedName>
    <definedName name="NP4Hume1200">#REF!</definedName>
    <definedName name="NP4Hume600" localSheetId="5">#REF!</definedName>
    <definedName name="NP4Hume600">#REF!</definedName>
    <definedName name="NP4Hume900" localSheetId="5">#REF!</definedName>
    <definedName name="NP4Hume900">#REF!</definedName>
    <definedName name="NSSR1" localSheetId="5">#REF!</definedName>
    <definedName name="NSSR1">#REF!</definedName>
    <definedName name="NSSR10" localSheetId="5">#REF!</definedName>
    <definedName name="NSSR10">#REF!</definedName>
    <definedName name="NSSR100" localSheetId="5">#REF!</definedName>
    <definedName name="NSSR100">#REF!</definedName>
    <definedName name="NSSR101" localSheetId="5">#REF!</definedName>
    <definedName name="NSSR101">#REF!</definedName>
    <definedName name="NSSR102" localSheetId="5">#REF!</definedName>
    <definedName name="NSSR102">#REF!</definedName>
    <definedName name="NSSR103" localSheetId="5">#REF!</definedName>
    <definedName name="NSSR103">#REF!</definedName>
    <definedName name="NSSR104" localSheetId="5">#REF!</definedName>
    <definedName name="NSSR104">#REF!</definedName>
    <definedName name="NSSR105" localSheetId="5">#REF!</definedName>
    <definedName name="NSSR105">#REF!</definedName>
    <definedName name="NSSR106" localSheetId="5">#REF!</definedName>
    <definedName name="NSSR106">#REF!</definedName>
    <definedName name="NSSR107" localSheetId="5">#REF!</definedName>
    <definedName name="NSSR107">#REF!</definedName>
    <definedName name="NSSR108" localSheetId="5">#REF!</definedName>
    <definedName name="NSSR108">#REF!</definedName>
    <definedName name="NSSR109" localSheetId="5">#REF!</definedName>
    <definedName name="NSSR109">#REF!</definedName>
    <definedName name="NSSR11" localSheetId="5">#REF!</definedName>
    <definedName name="NSSR11">#REF!</definedName>
    <definedName name="NSSR110" localSheetId="5">#REF!</definedName>
    <definedName name="NSSR110">#REF!</definedName>
    <definedName name="NSSR111" localSheetId="5">#REF!</definedName>
    <definedName name="NSSR111">#REF!</definedName>
    <definedName name="NSSR112" localSheetId="5">#REF!</definedName>
    <definedName name="NSSR112">#REF!</definedName>
    <definedName name="NSSR113" localSheetId="5">#REF!</definedName>
    <definedName name="NSSR113">#REF!</definedName>
    <definedName name="NSSR114" localSheetId="5">#REF!</definedName>
    <definedName name="NSSR114">#REF!</definedName>
    <definedName name="NSSR115" localSheetId="5">#REF!</definedName>
    <definedName name="NSSR115">#REF!</definedName>
    <definedName name="NSSR116" localSheetId="5">#REF!</definedName>
    <definedName name="NSSR116">#REF!</definedName>
    <definedName name="NSSR117" localSheetId="5">#REF!</definedName>
    <definedName name="NSSR117">#REF!</definedName>
    <definedName name="NSSR118" localSheetId="5">#REF!</definedName>
    <definedName name="NSSR118">#REF!</definedName>
    <definedName name="NSSR119" localSheetId="5">#REF!</definedName>
    <definedName name="NSSR119">#REF!</definedName>
    <definedName name="NSSR12" localSheetId="5">#REF!</definedName>
    <definedName name="NSSR12">#REF!</definedName>
    <definedName name="NSSR120" localSheetId="5">#REF!</definedName>
    <definedName name="NSSR120">#REF!</definedName>
    <definedName name="NSSR121" localSheetId="5">#REF!</definedName>
    <definedName name="NSSR121">#REF!</definedName>
    <definedName name="NSSR122" localSheetId="5">#REF!</definedName>
    <definedName name="NSSR122">#REF!</definedName>
    <definedName name="NSSR123" localSheetId="5">#REF!</definedName>
    <definedName name="NSSR123">#REF!</definedName>
    <definedName name="NSSR124" localSheetId="5">#REF!</definedName>
    <definedName name="NSSR124">#REF!</definedName>
    <definedName name="NSSR125" localSheetId="5">#REF!</definedName>
    <definedName name="NSSR125">#REF!</definedName>
    <definedName name="NSSR126" localSheetId="5">#REF!</definedName>
    <definedName name="NSSR126">#REF!</definedName>
    <definedName name="NSSR127" localSheetId="5">#REF!</definedName>
    <definedName name="NSSR127">#REF!</definedName>
    <definedName name="NSSR128" localSheetId="5">#REF!</definedName>
    <definedName name="NSSR128">#REF!</definedName>
    <definedName name="NSSR129" localSheetId="5">#REF!</definedName>
    <definedName name="NSSR129">#REF!</definedName>
    <definedName name="NSSR13" localSheetId="5">#REF!</definedName>
    <definedName name="NSSR13">#REF!</definedName>
    <definedName name="NSSR130" localSheetId="5">#REF!</definedName>
    <definedName name="NSSR130">#REF!</definedName>
    <definedName name="NSSR131" localSheetId="5">#REF!</definedName>
    <definedName name="NSSR131">#REF!</definedName>
    <definedName name="NSSR132" localSheetId="5">#REF!</definedName>
    <definedName name="NSSR132">#REF!</definedName>
    <definedName name="NSSR133" localSheetId="5">#REF!</definedName>
    <definedName name="NSSR133">#REF!</definedName>
    <definedName name="NSSR134" localSheetId="5">#REF!</definedName>
    <definedName name="NSSR134">#REF!</definedName>
    <definedName name="NSSR135" localSheetId="5">#REF!</definedName>
    <definedName name="NSSR135">#REF!</definedName>
    <definedName name="NSSR136" localSheetId="5">#REF!</definedName>
    <definedName name="NSSR136">#REF!</definedName>
    <definedName name="NSSR137" localSheetId="5">#REF!</definedName>
    <definedName name="NSSR137">#REF!</definedName>
    <definedName name="NSSR138" localSheetId="5">#REF!</definedName>
    <definedName name="NSSR138">#REF!</definedName>
    <definedName name="NSSR139" localSheetId="5">#REF!</definedName>
    <definedName name="NSSR139">#REF!</definedName>
    <definedName name="NSSR14" localSheetId="5">#REF!</definedName>
    <definedName name="NSSR14">#REF!</definedName>
    <definedName name="NSSR140" localSheetId="5">#REF!</definedName>
    <definedName name="NSSR140">#REF!</definedName>
    <definedName name="NSSR141" localSheetId="5">#REF!</definedName>
    <definedName name="NSSR141">#REF!</definedName>
    <definedName name="NSSR142" localSheetId="5">#REF!</definedName>
    <definedName name="NSSR142">#REF!</definedName>
    <definedName name="NSSR143" localSheetId="5">#REF!</definedName>
    <definedName name="NSSR143">#REF!</definedName>
    <definedName name="NSSR144" localSheetId="5">#REF!</definedName>
    <definedName name="NSSR144">#REF!</definedName>
    <definedName name="NSSR145" localSheetId="5">#REF!</definedName>
    <definedName name="NSSR145">#REF!</definedName>
    <definedName name="NSSR146" localSheetId="5">#REF!</definedName>
    <definedName name="NSSR146">#REF!</definedName>
    <definedName name="NSSR147" localSheetId="5">#REF!</definedName>
    <definedName name="NSSR147">#REF!</definedName>
    <definedName name="NSSR148" localSheetId="5">#REF!</definedName>
    <definedName name="NSSR148">#REF!</definedName>
    <definedName name="NSSR149" localSheetId="5">#REF!</definedName>
    <definedName name="NSSR149">#REF!</definedName>
    <definedName name="NSSR15" localSheetId="5">#REF!</definedName>
    <definedName name="NSSR15">#REF!</definedName>
    <definedName name="NSSR150" localSheetId="5">#REF!</definedName>
    <definedName name="NSSR150">#REF!</definedName>
    <definedName name="NSSR151" localSheetId="5">#REF!</definedName>
    <definedName name="NSSR151">#REF!</definedName>
    <definedName name="NSSR152" localSheetId="5">#REF!</definedName>
    <definedName name="NSSR152">#REF!</definedName>
    <definedName name="NSSR153" localSheetId="5">#REF!</definedName>
    <definedName name="NSSR153">#REF!</definedName>
    <definedName name="NSSR154" localSheetId="5">#REF!</definedName>
    <definedName name="NSSR154">#REF!</definedName>
    <definedName name="NSSR155" localSheetId="5">#REF!</definedName>
    <definedName name="NSSR155">#REF!</definedName>
    <definedName name="NSSR156" localSheetId="5">#REF!</definedName>
    <definedName name="NSSR156">#REF!</definedName>
    <definedName name="NSSR157" localSheetId="5">#REF!</definedName>
    <definedName name="NSSR157">#REF!</definedName>
    <definedName name="NSSR158" localSheetId="5">#REF!</definedName>
    <definedName name="NSSR158">#REF!</definedName>
    <definedName name="NSSR159" localSheetId="5">#REF!</definedName>
    <definedName name="NSSR159">#REF!</definedName>
    <definedName name="NSSR16" localSheetId="5">#REF!</definedName>
    <definedName name="NSSR16">#REF!</definedName>
    <definedName name="NSSR160" localSheetId="5">#REF!</definedName>
    <definedName name="NSSR160">#REF!</definedName>
    <definedName name="NSSR161" localSheetId="5">#REF!</definedName>
    <definedName name="NSSR161">#REF!</definedName>
    <definedName name="NSSR162" localSheetId="5">#REF!</definedName>
    <definedName name="NSSR162">#REF!</definedName>
    <definedName name="NSSR163" localSheetId="5">#REF!</definedName>
    <definedName name="NSSR163">#REF!</definedName>
    <definedName name="NSSR164" localSheetId="5">#REF!</definedName>
    <definedName name="NSSR164">#REF!</definedName>
    <definedName name="NSSR165" localSheetId="5">#REF!</definedName>
    <definedName name="NSSR165">#REF!</definedName>
    <definedName name="NSSR166" localSheetId="5">#REF!</definedName>
    <definedName name="NSSR166">#REF!</definedName>
    <definedName name="NSSR167" localSheetId="5">#REF!</definedName>
    <definedName name="NSSR167">#REF!</definedName>
    <definedName name="NSSR168" localSheetId="5">#REF!</definedName>
    <definedName name="NSSR168">#REF!</definedName>
    <definedName name="NSSR169" localSheetId="5">#REF!</definedName>
    <definedName name="NSSR169">#REF!</definedName>
    <definedName name="NSSR17" localSheetId="5">#REF!</definedName>
    <definedName name="NSSR17">#REF!</definedName>
    <definedName name="NSSR170" localSheetId="5">#REF!</definedName>
    <definedName name="NSSR170">#REF!</definedName>
    <definedName name="NSSR171" localSheetId="5">#REF!</definedName>
    <definedName name="NSSR171">#REF!</definedName>
    <definedName name="NSSR172" localSheetId="5">#REF!</definedName>
    <definedName name="NSSR172">#REF!</definedName>
    <definedName name="NSSR173" localSheetId="5">#REF!</definedName>
    <definedName name="NSSR173">#REF!</definedName>
    <definedName name="NSSR174" localSheetId="5">#REF!</definedName>
    <definedName name="NSSR174">#REF!</definedName>
    <definedName name="NSSR18" localSheetId="5">#REF!</definedName>
    <definedName name="NSSR18">#REF!</definedName>
    <definedName name="NSSR19" localSheetId="5">#REF!</definedName>
    <definedName name="NSSR19">#REF!</definedName>
    <definedName name="NSSR2" localSheetId="5">#REF!</definedName>
    <definedName name="NSSR2">#REF!</definedName>
    <definedName name="NSSR20" localSheetId="5">#REF!</definedName>
    <definedName name="NSSR20">#REF!</definedName>
    <definedName name="NSSR21" localSheetId="5">#REF!</definedName>
    <definedName name="NSSR21">#REF!</definedName>
    <definedName name="NSSR22" localSheetId="5">#REF!</definedName>
    <definedName name="NSSR22">#REF!</definedName>
    <definedName name="NSSR23" localSheetId="5">#REF!</definedName>
    <definedName name="NSSR23">#REF!</definedName>
    <definedName name="NSSR24" localSheetId="5">#REF!</definedName>
    <definedName name="NSSR24">#REF!</definedName>
    <definedName name="NSSR25" localSheetId="5">#REF!</definedName>
    <definedName name="NSSR25">#REF!</definedName>
    <definedName name="NSSR26" localSheetId="5">#REF!</definedName>
    <definedName name="NSSR26">#REF!</definedName>
    <definedName name="NSSR27" localSheetId="5">#REF!</definedName>
    <definedName name="NSSR27">#REF!</definedName>
    <definedName name="NSSR28" localSheetId="5">#REF!</definedName>
    <definedName name="NSSR28">#REF!</definedName>
    <definedName name="NSSR29" localSheetId="5">#REF!</definedName>
    <definedName name="NSSR29">#REF!</definedName>
    <definedName name="NSSR3" localSheetId="5">#REF!</definedName>
    <definedName name="NSSR3">#REF!</definedName>
    <definedName name="NSSR30" localSheetId="5">#REF!</definedName>
    <definedName name="NSSR30">#REF!</definedName>
    <definedName name="NSSR31" localSheetId="5">#REF!</definedName>
    <definedName name="NSSR31">#REF!</definedName>
    <definedName name="NSSR32" localSheetId="5">#REF!</definedName>
    <definedName name="NSSR32">#REF!</definedName>
    <definedName name="NSSR33" localSheetId="5">#REF!</definedName>
    <definedName name="NSSR33">#REF!</definedName>
    <definedName name="NSSR34" localSheetId="5">#REF!</definedName>
    <definedName name="NSSR34">#REF!</definedName>
    <definedName name="NSSR35" localSheetId="5">#REF!</definedName>
    <definedName name="NSSR35">#REF!</definedName>
    <definedName name="NSSR36" localSheetId="5">#REF!</definedName>
    <definedName name="NSSR36">#REF!</definedName>
    <definedName name="NSSR37" localSheetId="5">#REF!</definedName>
    <definedName name="NSSR37">#REF!</definedName>
    <definedName name="NSSR38" localSheetId="5">#REF!</definedName>
    <definedName name="NSSR38">#REF!</definedName>
    <definedName name="NSSR39" localSheetId="5">#REF!</definedName>
    <definedName name="NSSR39">#REF!</definedName>
    <definedName name="NSSR4" localSheetId="5">#REF!</definedName>
    <definedName name="NSSR4">#REF!</definedName>
    <definedName name="NSSR40" localSheetId="5">#REF!</definedName>
    <definedName name="NSSR40">#REF!</definedName>
    <definedName name="NSSR41" localSheetId="5">#REF!</definedName>
    <definedName name="NSSR41">#REF!</definedName>
    <definedName name="NSSR42" localSheetId="5">#REF!</definedName>
    <definedName name="NSSR42">#REF!</definedName>
    <definedName name="NSSR43" localSheetId="5">#REF!</definedName>
    <definedName name="NSSR43">#REF!</definedName>
    <definedName name="NSSR44" localSheetId="5">#REF!</definedName>
    <definedName name="NSSR44">#REF!</definedName>
    <definedName name="NSSR45" localSheetId="5">#REF!</definedName>
    <definedName name="NSSR45">#REF!</definedName>
    <definedName name="NSSR46" localSheetId="5">#REF!</definedName>
    <definedName name="NSSR46">#REF!</definedName>
    <definedName name="NSSR47" localSheetId="5">#REF!</definedName>
    <definedName name="NSSR47">#REF!</definedName>
    <definedName name="NSSR48" localSheetId="5">#REF!</definedName>
    <definedName name="NSSR48">#REF!</definedName>
    <definedName name="NSSR49" localSheetId="5">#REF!</definedName>
    <definedName name="NSSR49">#REF!</definedName>
    <definedName name="NSSR5" localSheetId="5">#REF!</definedName>
    <definedName name="NSSR5">#REF!</definedName>
    <definedName name="NSSR50" localSheetId="5">#REF!</definedName>
    <definedName name="NSSR50">#REF!</definedName>
    <definedName name="NSSR51" localSheetId="5">#REF!</definedName>
    <definedName name="NSSR51">#REF!</definedName>
    <definedName name="NSSR52" localSheetId="5">#REF!</definedName>
    <definedName name="NSSR52">#REF!</definedName>
    <definedName name="NSSR53" localSheetId="5">#REF!</definedName>
    <definedName name="NSSR53">#REF!</definedName>
    <definedName name="NSSR54" localSheetId="5">#REF!</definedName>
    <definedName name="NSSR54">#REF!</definedName>
    <definedName name="NSSR55" localSheetId="5">#REF!</definedName>
    <definedName name="NSSR55">#REF!</definedName>
    <definedName name="NSSR56" localSheetId="5">#REF!</definedName>
    <definedName name="NSSR56">#REF!</definedName>
    <definedName name="NSSR57" localSheetId="5">#REF!</definedName>
    <definedName name="NSSR57">#REF!</definedName>
    <definedName name="NSSR58" localSheetId="5">#REF!</definedName>
    <definedName name="NSSR58">#REF!</definedName>
    <definedName name="NSSR59" localSheetId="5">#REF!</definedName>
    <definedName name="NSSR59">#REF!</definedName>
    <definedName name="NSSR6" localSheetId="5">#REF!</definedName>
    <definedName name="NSSR6">#REF!</definedName>
    <definedName name="NSSR60" localSheetId="5">#REF!</definedName>
    <definedName name="NSSR60">#REF!</definedName>
    <definedName name="NSSR61" localSheetId="5">#REF!</definedName>
    <definedName name="NSSR61">#REF!</definedName>
    <definedName name="NSSR62" localSheetId="5">#REF!</definedName>
    <definedName name="NSSR62">#REF!</definedName>
    <definedName name="NSSR63" localSheetId="5">#REF!</definedName>
    <definedName name="NSSR63">#REF!</definedName>
    <definedName name="NSSR64" localSheetId="5">#REF!</definedName>
    <definedName name="NSSR64">#REF!</definedName>
    <definedName name="NSSR65" localSheetId="5">#REF!</definedName>
    <definedName name="NSSR65">#REF!</definedName>
    <definedName name="NSSR66" localSheetId="5">#REF!</definedName>
    <definedName name="NSSR66">#REF!</definedName>
    <definedName name="NSSR67" localSheetId="5">#REF!</definedName>
    <definedName name="NSSR67">#REF!</definedName>
    <definedName name="NSSR68" localSheetId="5">#REF!</definedName>
    <definedName name="NSSR68">#REF!</definedName>
    <definedName name="NSSR69" localSheetId="5">#REF!</definedName>
    <definedName name="NSSR69">#REF!</definedName>
    <definedName name="NSSR7" localSheetId="5">#REF!</definedName>
    <definedName name="NSSR7">#REF!</definedName>
    <definedName name="NSSR70" localSheetId="5">#REF!</definedName>
    <definedName name="NSSR70">#REF!</definedName>
    <definedName name="NSSR71" localSheetId="5">#REF!</definedName>
    <definedName name="NSSR71">#REF!</definedName>
    <definedName name="NSSR72" localSheetId="5">#REF!</definedName>
    <definedName name="NSSR72">#REF!</definedName>
    <definedName name="NSSR73" localSheetId="5">#REF!</definedName>
    <definedName name="NSSR73">#REF!</definedName>
    <definedName name="NSSR74" localSheetId="5">#REF!</definedName>
    <definedName name="NSSR74">#REF!</definedName>
    <definedName name="NSSR75" localSheetId="5">#REF!</definedName>
    <definedName name="NSSR75">#REF!</definedName>
    <definedName name="NSSR76" localSheetId="5">#REF!</definedName>
    <definedName name="NSSR76">#REF!</definedName>
    <definedName name="NSSR77" localSheetId="5">#REF!</definedName>
    <definedName name="NSSR77">#REF!</definedName>
    <definedName name="NSSR78" localSheetId="5">#REF!</definedName>
    <definedName name="NSSR78">#REF!</definedName>
    <definedName name="NSSR79" localSheetId="5">#REF!</definedName>
    <definedName name="NSSR79">#REF!</definedName>
    <definedName name="NSSR8" localSheetId="5">#REF!</definedName>
    <definedName name="NSSR8">#REF!</definedName>
    <definedName name="NSSR80" localSheetId="5">#REF!</definedName>
    <definedName name="NSSR80">#REF!</definedName>
    <definedName name="NSSR81" localSheetId="5">#REF!</definedName>
    <definedName name="NSSR81">#REF!</definedName>
    <definedName name="NSSR82" localSheetId="5">#REF!</definedName>
    <definedName name="NSSR82">#REF!</definedName>
    <definedName name="NSSR83" localSheetId="5">#REF!</definedName>
    <definedName name="NSSR83">#REF!</definedName>
    <definedName name="NSSR84" localSheetId="5">#REF!</definedName>
    <definedName name="NSSR84">#REF!</definedName>
    <definedName name="NSSR85" localSheetId="5">#REF!</definedName>
    <definedName name="NSSR85">#REF!</definedName>
    <definedName name="NSSR86" localSheetId="5">#REF!</definedName>
    <definedName name="NSSR86">#REF!</definedName>
    <definedName name="NSSR87" localSheetId="5">#REF!</definedName>
    <definedName name="NSSR87">#REF!</definedName>
    <definedName name="NSSR88" localSheetId="5">#REF!</definedName>
    <definedName name="NSSR88">#REF!</definedName>
    <definedName name="NSSR89" localSheetId="5">#REF!</definedName>
    <definedName name="NSSR89">#REF!</definedName>
    <definedName name="NSSR9" localSheetId="5">#REF!</definedName>
    <definedName name="NSSR9">#REF!</definedName>
    <definedName name="NSSR90" localSheetId="5">#REF!</definedName>
    <definedName name="NSSR90">#REF!</definedName>
    <definedName name="NSSR91" localSheetId="5">#REF!</definedName>
    <definedName name="NSSR91">#REF!</definedName>
    <definedName name="NSSR92" localSheetId="5">#REF!</definedName>
    <definedName name="NSSR92">#REF!</definedName>
    <definedName name="NSSR93" localSheetId="5">#REF!</definedName>
    <definedName name="NSSR93">#REF!</definedName>
    <definedName name="NSSR94" localSheetId="5">#REF!</definedName>
    <definedName name="NSSR94">#REF!</definedName>
    <definedName name="NSSR95" localSheetId="5">#REF!</definedName>
    <definedName name="NSSR95">#REF!</definedName>
    <definedName name="NSSR96" localSheetId="5">#REF!</definedName>
    <definedName name="NSSR96">#REF!</definedName>
    <definedName name="NSSR97" localSheetId="5">#REF!</definedName>
    <definedName name="NSSR97">#REF!</definedName>
    <definedName name="NSSR98" localSheetId="5">#REF!</definedName>
    <definedName name="NSSR98">#REF!</definedName>
    <definedName name="NSSR99" localSheetId="5">#REF!</definedName>
    <definedName name="NSSR99">#REF!</definedName>
    <definedName name="nta">#REF!</definedName>
    <definedName name="OB" localSheetId="5">#REF!</definedName>
    <definedName name="OB">#REF!</definedName>
    <definedName name="ofcablescost">#N/A</definedName>
    <definedName name="off" localSheetId="6">City&amp;" "&amp;State</definedName>
    <definedName name="off">City&amp;" "&amp;State</definedName>
    <definedName name="offset">1</definedName>
    <definedName name="OLE_LINK1">"$boq.$"</definedName>
    <definedName name="OLE_LINK2">"$boq.$"</definedName>
    <definedName name="OrdinaryRodBinder" localSheetId="5">#REF!</definedName>
    <definedName name="OrdinaryRodBinder" localSheetId="6">#REF!</definedName>
    <definedName name="OrdinaryRodBinder">#REF!</definedName>
    <definedName name="os">#REF!</definedName>
    <definedName name="p">#REF!</definedName>
    <definedName name="painter" localSheetId="5">#REF!</definedName>
    <definedName name="painter" localSheetId="6">#REF!</definedName>
    <definedName name="painter">#REF!</definedName>
    <definedName name="painting" localSheetId="5">#REF!</definedName>
    <definedName name="painting" localSheetId="6">#REF!</definedName>
    <definedName name="painting">#REF!</definedName>
    <definedName name="paver">#REF!</definedName>
    <definedName name="pawan">#REF!</definedName>
    <definedName name="PCC" localSheetId="5">#REF!</definedName>
    <definedName name="PCC" localSheetId="6">#REF!</definedName>
    <definedName name="PCC">#REF!</definedName>
    <definedName name="pilingfinal" hidden="1">{#N/A,#N/A,FALSE,"Organisation Chart"}</definedName>
    <definedName name="pitching" localSheetId="5">#REF!</definedName>
    <definedName name="pitching" localSheetId="6">#REF!</definedName>
    <definedName name="pitching">#REF!</definedName>
    <definedName name="platecompactor" localSheetId="5">#REF!</definedName>
    <definedName name="platecompactor">#REF!</definedName>
    <definedName name="plumber" localSheetId="5">#REF!</definedName>
    <definedName name="plumber">#REF!</definedName>
    <definedName name="PM">#REF!</definedName>
    <definedName name="POP">#REF!</definedName>
    <definedName name="Premould20" localSheetId="5">#REF!</definedName>
    <definedName name="Premould20" localSheetId="6">#REF!</definedName>
    <definedName name="Premould20">#REF!</definedName>
    <definedName name="premoulded" localSheetId="5">#REF!</definedName>
    <definedName name="premoulded">#REF!</definedName>
    <definedName name="pRICE">0</definedName>
    <definedName name="_xlnm.Print_Area" localSheetId="1">ABSTRACT!$A$1:$F$109</definedName>
    <definedName name="_xlnm.Print_Area" localSheetId="6">'RMC RECEIVING'!$A$1:$S$125</definedName>
    <definedName name="_xlnm.Print_Area" localSheetId="0">'TOP SHEET'!$A$1:$G$46</definedName>
    <definedName name="_xlnm.Print_Area">#REF!</definedName>
    <definedName name="Print_Area_MI" localSheetId="5">#REF!</definedName>
    <definedName name="Print_Area_MI" localSheetId="6">#REF!</definedName>
    <definedName name="Print_Area_MI">#REF!</definedName>
    <definedName name="_xlnm.Print_Titles" localSheetId="1">ABSTRACT!$1:$6</definedName>
    <definedName name="_xlnm.Print_Titles" localSheetId="5">'PCC &amp; RCC REC.'!$1:$3</definedName>
    <definedName name="_xlnm.Print_Titles" localSheetId="15">'RAFT BBS'!$3:$3</definedName>
    <definedName name="_xlnm.Print_Titles" localSheetId="6">'RMC RECEIVING'!$2:$2</definedName>
    <definedName name="_xlnm.Print_Titles">#REF!</definedName>
    <definedName name="program" hidden="1">{#N/A,#N/A,TRUE,"Front";#N/A,#N/A,TRUE,"Simple Letter";#N/A,#N/A,TRUE,"Inside";#N/A,#N/A,TRUE,"Contents";#N/A,#N/A,TRUE,"Basis";#N/A,#N/A,TRUE,"Inclusions";#N/A,#N/A,TRUE,"Exclusions";#N/A,#N/A,TRUE,"Areas";#N/A,#N/A,TRUE,"Summary";#N/A,#N/A,TRUE,"Detail"}</definedName>
    <definedName name="PRWMAY07" localSheetId="5">#REF!</definedName>
    <definedName name="PRWMAY07" localSheetId="6">#REF!</definedName>
    <definedName name="PRWMAY07">#REF!</definedName>
    <definedName name="PRWSEP05" localSheetId="5">#REF!</definedName>
    <definedName name="PRWSEP05">#REF!</definedName>
    <definedName name="PT">#REF!</definedName>
    <definedName name="Ptroller" localSheetId="5">#REF!</definedName>
    <definedName name="Ptroller">#REF!</definedName>
    <definedName name="PUB_FileID" hidden="1">"L10003363.xls"</definedName>
    <definedName name="PUB_UserID" hidden="1">"MAYERX"</definedName>
    <definedName name="Pugmill" localSheetId="5">#REF!</definedName>
    <definedName name="Pugmill" localSheetId="6">#REF!</definedName>
    <definedName name="Pugmill">#REF!</definedName>
    <definedName name="Punjab_National_Bank">#REF!</definedName>
    <definedName name="pvcpipe100" localSheetId="5">#REF!</definedName>
    <definedName name="pvcpipe100">#REF!</definedName>
    <definedName name="pvcpipe150" localSheetId="5">#REF!</definedName>
    <definedName name="pvcpipe150">#REF!</definedName>
    <definedName name="pvcpipe50" localSheetId="5">#REF!</definedName>
    <definedName name="pvcpipe50">#REF!</definedName>
    <definedName name="PW" localSheetId="6">City&amp;" "&amp;State</definedName>
    <definedName name="PW">City&amp;" "&amp;State</definedName>
    <definedName name="PWF" localSheetId="6">#REF!</definedName>
    <definedName name="PWF">#REF!</definedName>
    <definedName name="q">#REF!</definedName>
    <definedName name="qr" localSheetId="5">#REF!</definedName>
    <definedName name="qr">#REF!</definedName>
    <definedName name="QS" localSheetId="5">#REF!</definedName>
    <definedName name="QS">#REF!</definedName>
    <definedName name="qwe" hidden="1">{#N/A,#N/A,TRUE,"Front";#N/A,#N/A,TRUE,"Simple Letter";#N/A,#N/A,TRUE,"Inside";#N/A,#N/A,TRUE,"Contents";#N/A,#N/A,TRUE,"Basis";#N/A,#N/A,TRUE,"Inclusions";#N/A,#N/A,TRUE,"Exclusions";#N/A,#N/A,TRUE,"Areas";#N/A,#N/A,TRUE,"Summary";#N/A,#N/A,TRUE,"Detail"}</definedName>
    <definedName name="qwera">#REF!</definedName>
    <definedName name="RA" localSheetId="5">#REF!</definedName>
    <definedName name="RA" localSheetId="6">#REF!</definedName>
    <definedName name="RA">#REF!</definedName>
    <definedName name="Raj" hidden="1">{"'Sheet1'!$A$4386:$N$4591"}</definedName>
    <definedName name="Rampura">#REF!</definedName>
    <definedName name="_xlnm.Recorder" localSheetId="5">#REF!</definedName>
    <definedName name="_xlnm.Recorder" localSheetId="6">#REF!</definedName>
    <definedName name="_xlnm.Recorder">#REF!</definedName>
    <definedName name="Resources" hidden="1">{#N/A,#N/A,FALSE,"Organisation Chart"}</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1</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FALSE</definedName>
    <definedName name="Rodbinder" localSheetId="5">#REF!</definedName>
    <definedName name="Rodbinder" localSheetId="6">#REF!</definedName>
    <definedName name="Rodbinder">#REF!</definedName>
    <definedName name="roller" localSheetId="5">#REF!</definedName>
    <definedName name="roller">#REF!</definedName>
    <definedName name="roughstone" localSheetId="5">#REF!</definedName>
    <definedName name="roughstone">#REF!</definedName>
    <definedName name="ROUNDPIPE40DIA">#REF!</definedName>
    <definedName name="rr" localSheetId="5">#REF!</definedName>
    <definedName name="rr">#REF!</definedName>
    <definedName name="rrcost">#N/A</definedName>
    <definedName name="rt" localSheetId="5">#REF!</definedName>
    <definedName name="rt" localSheetId="6">#REF!</definedName>
    <definedName name="rt">#REF!</definedName>
    <definedName name="s1234560">#REF!</definedName>
    <definedName name="sa" hidden="1">{"'AC LOAD'!$H$14:$J$15"}</definedName>
    <definedName name="sab">#REF!</definedName>
    <definedName name="salballies" localSheetId="5">#REF!</definedName>
    <definedName name="salballies">#REF!</definedName>
    <definedName name="Saleable_Area__Sq.M">#REF!</definedName>
    <definedName name="sand" localSheetId="5">#REF!</definedName>
    <definedName name="sand">#REF!</definedName>
    <definedName name="sandfilling" localSheetId="5">#REF!</definedName>
    <definedName name="sandfilling">#REF!</definedName>
    <definedName name="SANITARY">#REF!</definedName>
    <definedName name="sarkna" localSheetId="5">#REF!</definedName>
    <definedName name="sarkna">#REF!</definedName>
    <definedName name="sat" hidden="1">{#N/A,#N/A,TRUE,"Front";#N/A,#N/A,TRUE,"Simple Letter";#N/A,#N/A,TRUE,"Inside";#N/A,#N/A,TRUE,"Contents";#N/A,#N/A,TRUE,"Basis";#N/A,#N/A,TRUE,"Inclusions";#N/A,#N/A,TRUE,"Exclusions";#N/A,#N/A,TRUE,"Areas";#N/A,#N/A,TRUE,"Summary";#N/A,#N/A,TRUE,"Detail"}</definedName>
    <definedName name="scraper" localSheetId="5">#REF!</definedName>
    <definedName name="scraper" localSheetId="6">#REF!</definedName>
    <definedName name="scraper">#REF!</definedName>
    <definedName name="SCS" localSheetId="5">#REF!</definedName>
    <definedName name="SCS">#REF!</definedName>
    <definedName name="SCSS" localSheetId="5">#REF!</definedName>
    <definedName name="SCSS">#REF!</definedName>
    <definedName name="sdafdsa" hidden="1">{#N/A,#N/A,TRUE,"Front";#N/A,#N/A,TRUE,"Simple Letter";#N/A,#N/A,TRUE,"Inside";#N/A,#N/A,TRUE,"Contents";#N/A,#N/A,TRUE,"Basis";#N/A,#N/A,TRUE,"Inclusions";#N/A,#N/A,TRUE,"Exclusions";#N/A,#N/A,TRUE,"Areas";#N/A,#N/A,TRUE,"Summary";#N/A,#N/A,TRUE,"Detail"}</definedName>
    <definedName name="sdassdad" localSheetId="5">#REF!</definedName>
    <definedName name="sdassdad" localSheetId="6">#REF!</definedName>
    <definedName name="sdassdad">#REF!</definedName>
    <definedName name="sddff455">#REF!</definedName>
    <definedName name="SDERT" localSheetId="5">#REF!</definedName>
    <definedName name="SDERT" localSheetId="6">#REF!</definedName>
    <definedName name="SDERT">#REF!</definedName>
    <definedName name="sdfds" hidden="1">{#N/A,#N/A,TRUE,"Front";#N/A,#N/A,TRUE,"Simple Letter";#N/A,#N/A,TRUE,"Inside";#N/A,#N/A,TRUE,"Contents";#N/A,#N/A,TRUE,"Basis";#N/A,#N/A,TRUE,"Inclusions";#N/A,#N/A,TRUE,"Exclusions";#N/A,#N/A,TRUE,"Areas";#N/A,#N/A,TRUE,"Summary";#N/A,#N/A,TRUE,"Detail"}</definedName>
    <definedName name="Sdfgh" localSheetId="5">#REF!</definedName>
    <definedName name="Sdfgh" localSheetId="6">#REF!</definedName>
    <definedName name="Sdfgh">#REF!</definedName>
    <definedName name="sdfsd" hidden="1">{#N/A,#N/A,TRUE,"Front";#N/A,#N/A,TRUE,"Simple Letter";#N/A,#N/A,TRUE,"Inside";#N/A,#N/A,TRUE,"Contents";#N/A,#N/A,TRUE,"Basis";#N/A,#N/A,TRUE,"Inclusions";#N/A,#N/A,TRUE,"Exclusions";#N/A,#N/A,TRUE,"Areas";#N/A,#N/A,TRUE,"Summary";#N/A,#N/A,TRUE,"Detail"}</definedName>
    <definedName name="SE" localSheetId="5">#REF!</definedName>
    <definedName name="SE" localSheetId="6">#REF!</definedName>
    <definedName name="SE">#REF!</definedName>
    <definedName name="sencount" hidden="1">1</definedName>
    <definedName name="senserpaver" localSheetId="5">#REF!</definedName>
    <definedName name="senserpaver" localSheetId="6">#REF!</definedName>
    <definedName name="senserpaver">#REF!</definedName>
    <definedName name="Services_Floor">#REF!</definedName>
    <definedName name="SEWERAGE">#REF!</definedName>
    <definedName name="sfvdafv" hidden="1">{#N/A,#N/A,TRUE,"Front";#N/A,#N/A,TRUE,"Simple Letter";#N/A,#N/A,TRUE,"Inside";#N/A,#N/A,TRUE,"Contents";#N/A,#N/A,TRUE,"Basis";#N/A,#N/A,TRUE,"Inclusions";#N/A,#N/A,TRUE,"Exclusions";#N/A,#N/A,TRUE,"Areas";#N/A,#N/A,TRUE,"Summary";#N/A,#N/A,TRUE,"Detail"}</definedName>
    <definedName name="SHARED_FORMULA_5_239_5_239_3">+((5200)*1.03)</definedName>
    <definedName name="SHARED_FORMULA_5_256_5_256_8">300*10.764*1.1+((((0.024*0.25*1.02*1000*1.05)+2*1.05)*(275/50)+4.5*1.05*23)+((1.07/2)*0.024*(8000/2.83)*1.05*1.15)+((1.07/2)*0.024*(6000/2.83)*1.05*1.15)+50*1.05)</definedName>
    <definedName name="SHARED_FORMULA_5_284_5_284_8">300*10.764*1.1+((((0.024*0.25*1.05*1000)+4.5*1.05)*(275/50)+2*23*1.05)+((1.07/2)*0.024*(8000/2.83)*1.05*1.15)+((1.07/2)*0.024*(6000/2.83)*1.05*1.15)+50*1.05)</definedName>
    <definedName name="SHARED_FORMULA_5_335_5_335_8">(200*10.764*1.15+(((0.024*0.38*1000*1.05))*(5.5)+3*1.05*23)+((1.07/2)*0.024*(8000/2.83)*1.05*1.15)+((1.07/2)*0.024*(6000/2.83)*1.05*1.15)+(50*1.05))*0.3</definedName>
    <definedName name="SHARED_FORMULA_5_382_5_382_8">300*10.764*1.15+(((0.024*0.38*1.05*1000)*(275/50)+5*1.05*23))+((1.07/2)*0.024*(8000/2.83)*1.05*1.15)+((1.07/2)*0.024*(6000/2.83)*1.05*1.15)+50*1.05</definedName>
    <definedName name="SHARED_FORMULA_5_413_5_413_8">300*10.764*1.15+250*1.05</definedName>
    <definedName name="Shoulder" localSheetId="5">#REF!</definedName>
    <definedName name="Shoulder" localSheetId="6">#REF!</definedName>
    <definedName name="Shoulder">#REF!</definedName>
    <definedName name="Show.Acct.Update.Warning" hidden="1">#REF!</definedName>
    <definedName name="Show.MDB.Update.Warning" hidden="1">#REF!</definedName>
    <definedName name="shutter">#REF!</definedName>
    <definedName name="shutteringtimber" localSheetId="5">#REF!</definedName>
    <definedName name="shutteringtimber" localSheetId="6">#REF!</definedName>
    <definedName name="shutteringtimber">#REF!</definedName>
    <definedName name="SK">#REF!</definedName>
    <definedName name="skilldresser" localSheetId="5">#REF!</definedName>
    <definedName name="skilldresser" localSheetId="6">#REF!</definedName>
    <definedName name="skilldresser">#REF!</definedName>
    <definedName name="skilledmazdoor" localSheetId="5">#REF!</definedName>
    <definedName name="skilledmazdoor">#REF!</definedName>
    <definedName name="skillmazdoor" localSheetId="5">#REF!</definedName>
    <definedName name="skillmazdoor">#REF!</definedName>
    <definedName name="slss">#REF!</definedName>
    <definedName name="slsssss" localSheetId="5">#REF!</definedName>
    <definedName name="slsssss" localSheetId="6">#REF!</definedName>
    <definedName name="slsssss">#REF!</definedName>
    <definedName name="slssssss" localSheetId="5">#REF!</definedName>
    <definedName name="slssssss">#REF!</definedName>
    <definedName name="SM" localSheetId="5">#REF!</definedName>
    <definedName name="SM">#REF!</definedName>
    <definedName name="sohan">#REF!</definedName>
    <definedName name="SOIL" localSheetId="5">#REF!</definedName>
    <definedName name="SOIL" localSheetId="6">#REF!</definedName>
    <definedName name="SOIL">#REF!</definedName>
    <definedName name="soil_dens">#REF!</definedName>
    <definedName name="soil_sub">#REF!</definedName>
    <definedName name="soilden">#REF!</definedName>
    <definedName name="span">#REF!</definedName>
    <definedName name="SPR" localSheetId="5">#REF!</definedName>
    <definedName name="SPR" localSheetId="6">#REF!</definedName>
    <definedName name="SPR">#REF!</definedName>
    <definedName name="sprayer" localSheetId="5">#REF!</definedName>
    <definedName name="sprayer">#REF!</definedName>
    <definedName name="srtthyrt" hidden="1">{#N/A,#N/A,TRUE,"Front";#N/A,#N/A,TRUE,"Simple Letter";#N/A,#N/A,TRUE,"Inside";#N/A,#N/A,TRUE,"Contents";#N/A,#N/A,TRUE,"Basis";#N/A,#N/A,TRUE,"Inclusions";#N/A,#N/A,TRUE,"Exclusions";#N/A,#N/A,TRUE,"Areas";#N/A,#N/A,TRUE,"Summary";#N/A,#N/A,TRUE,"Detail"}</definedName>
    <definedName name="sss">#REF!</definedName>
    <definedName name="ssss">#REF!</definedName>
    <definedName name="ssss056">#REF!</definedName>
    <definedName name="sssss15605" localSheetId="5">#REF!</definedName>
    <definedName name="sssss15605">#REF!</definedName>
    <definedName name="ssssss" localSheetId="5">#REF!</definedName>
    <definedName name="ssssss">#REF!</definedName>
    <definedName name="sssssss" localSheetId="5">#REF!</definedName>
    <definedName name="sssssss">#REF!</definedName>
    <definedName name="ssssssslff" localSheetId="5">#REF!</definedName>
    <definedName name="ssssssslff">#REF!</definedName>
    <definedName name="ssssssss" localSheetId="5">#REF!</definedName>
    <definedName name="ssssssss">#REF!</definedName>
    <definedName name="ssssssss456" localSheetId="5">#REF!</definedName>
    <definedName name="ssssssss456">#REF!</definedName>
    <definedName name="sssssssssss" localSheetId="5">#REF!</definedName>
    <definedName name="sssssssssss">#REF!</definedName>
    <definedName name="ssssssSsssss45566s" localSheetId="5">#REF!</definedName>
    <definedName name="ssssssSsssss45566s">#REF!</definedName>
    <definedName name="staff" hidden="1">{#N/A,#N/A,TRUE,"Front";#N/A,#N/A,TRUE,"Simple Letter";#N/A,#N/A,TRUE,"Inside";#N/A,#N/A,TRUE,"Contents";#N/A,#N/A,TRUE,"Basis";#N/A,#N/A,TRUE,"Inclusions";#N/A,#N/A,TRUE,"Exclusions";#N/A,#N/A,TRUE,"Areas";#N/A,#N/A,TRUE,"Summary";#N/A,#N/A,TRUE,"Detail"}</definedName>
    <definedName name="Start1" localSheetId="6">#REF!</definedName>
    <definedName name="Start1">#REF!</definedName>
    <definedName name="Start10" localSheetId="6">#REF!</definedName>
    <definedName name="Start10">#REF!</definedName>
    <definedName name="Start11" localSheetId="6">#REF!</definedName>
    <definedName name="Start11">#REF!</definedName>
    <definedName name="Start12">#REF!</definedName>
    <definedName name="Start13">#REF!</definedName>
    <definedName name="Start14">#REF!</definedName>
    <definedName name="Start15">#REF!</definedName>
    <definedName name="Start27" localSheetId="6">#REF!</definedName>
    <definedName name="Start27">#REF!</definedName>
    <definedName name="Start28" localSheetId="6">#REF!</definedName>
    <definedName name="Start28">#REF!</definedName>
    <definedName name="Start7" localSheetId="6">#REF!</definedName>
    <definedName name="Start7">#REF!</definedName>
    <definedName name="Start8" localSheetId="6">#REF!</definedName>
    <definedName name="Start8">#REF!</definedName>
    <definedName name="staticpaver" localSheetId="5">#REF!</definedName>
    <definedName name="staticpaver">#REF!</definedName>
    <definedName name="stationary">#REF!</definedName>
    <definedName name="STE">#REF!</definedName>
    <definedName name="steelbars" localSheetId="5">#REF!</definedName>
    <definedName name="steelbars" localSheetId="6">#REF!</definedName>
    <definedName name="steelbars">#REF!</definedName>
    <definedName name="steelrod" localSheetId="5">#REF!</definedName>
    <definedName name="steelrod">#REF!</definedName>
    <definedName name="steelstrands" localSheetId="5">#REF!</definedName>
    <definedName name="steelstrands">#REF!</definedName>
    <definedName name="steelwire" localSheetId="5">#REF!</definedName>
    <definedName name="steelwire">#REF!</definedName>
    <definedName name="steelwires" localSheetId="5">#REF!</definedName>
    <definedName name="steelwires">#REF!</definedName>
    <definedName name="Stirrups" localSheetId="5">#REF!</definedName>
    <definedName name="Stirrups">#REF!</definedName>
    <definedName name="stonebreaker" localSheetId="5">#REF!</definedName>
    <definedName name="stonebreaker">#REF!</definedName>
    <definedName name="strands" localSheetId="5">#REF!</definedName>
    <definedName name="strands">#REF!</definedName>
    <definedName name="structuralsteel" localSheetId="5">#REF!</definedName>
    <definedName name="structuralsteel">#REF!</definedName>
    <definedName name="SUB" localSheetId="6">#REF!</definedName>
    <definedName name="SUB">#REF!</definedName>
    <definedName name="Subgrade" localSheetId="5">#REF!</definedName>
    <definedName name="Subgrade" localSheetId="6">#REF!</definedName>
    <definedName name="Subgrade">#REF!</definedName>
    <definedName name="substructure" localSheetId="5">#REF!</definedName>
    <definedName name="substructure">#REF!</definedName>
    <definedName name="sumana" localSheetId="5">#REF!</definedName>
    <definedName name="sumana">#REF!</definedName>
    <definedName name="SUMCOLUMN">#REF!</definedName>
    <definedName name="summ" hidden="1">{#N/A,#N/A,TRUE,"Front";#N/A,#N/A,TRUE,"Simple Letter";#N/A,#N/A,TRUE,"Inside";#N/A,#N/A,TRUE,"Contents";#N/A,#N/A,TRUE,"Basis";#N/A,#N/A,TRUE,"Inclusions";#N/A,#N/A,TRUE,"Exclusions";#N/A,#N/A,TRUE,"Areas";#N/A,#N/A,TRUE,"Summary";#N/A,#N/A,TRUE,"Detail"}</definedName>
    <definedName name="SUMSHEAR" localSheetId="5">#REF!</definedName>
    <definedName name="SUMSHEAR" localSheetId="6">#REF!</definedName>
    <definedName name="SUMSHEAR">#REF!</definedName>
    <definedName name="super" localSheetId="5">#REF!</definedName>
    <definedName name="super">#REF!</definedName>
    <definedName name="suresh" hidden="1">{#N/A,#N/A,TRUE,"Front";#N/A,#N/A,TRUE,"Simple Letter";#N/A,#N/A,TRUE,"Inside";#N/A,#N/A,TRUE,"Contents";#N/A,#N/A,TRUE,"Basis";#N/A,#N/A,TRUE,"Inclusions";#N/A,#N/A,TRUE,"Exclusions";#N/A,#N/A,TRUE,"Areas";#N/A,#N/A,TRUE,"Summary";#N/A,#N/A,TRUE,"Detail"}</definedName>
    <definedName name="SuS">#REF!</definedName>
    <definedName name="TableName">"Dummy"</definedName>
    <definedName name="TAHOMA" localSheetId="5">#REF!</definedName>
    <definedName name="TAHOMA" localSheetId="6">#REF!</definedName>
    <definedName name="TAHOMA">#REF!</definedName>
    <definedName name="tarnian" localSheetId="5">#REF!</definedName>
    <definedName name="tarnian" localSheetId="6">#REF!</definedName>
    <definedName name="tarnian">#REF!</definedName>
    <definedName name="tcr" localSheetId="6">#REF!</definedName>
    <definedName name="tcr">#REF!</definedName>
    <definedName name="TE" localSheetId="6">#REF!</definedName>
    <definedName name="TE">#REF!</definedName>
    <definedName name="telephonepoles">#N/A</definedName>
    <definedName name="TEST" localSheetId="6">#REF!</definedName>
    <definedName name="TEST">#REF!</definedName>
    <definedName name="TEST0">#REF!</definedName>
    <definedName name="TESTHKEY">#REF!</definedName>
    <definedName name="TESTKEYS">#REF!</definedName>
    <definedName name="TESTVKEY">#REF!</definedName>
    <definedName name="teta">#REF!</definedName>
    <definedName name="TextRefCopyRangeCount" hidden="1">2</definedName>
    <definedName name="Tiles" localSheetId="5">#REF!</definedName>
    <definedName name="Tiles" localSheetId="6">#REF!</definedName>
    <definedName name="Tiles">#REF!</definedName>
    <definedName name="tipp5t" localSheetId="5">#REF!</definedName>
    <definedName name="tipp5t" localSheetId="6">#REF!</definedName>
    <definedName name="tipp5t">#REF!</definedName>
    <definedName name="tipper" localSheetId="5">#REF!</definedName>
    <definedName name="tipper">#REF!</definedName>
    <definedName name="tipper5t" localSheetId="5">#REF!</definedName>
    <definedName name="tipper5t" localSheetId="6">#REF!</definedName>
    <definedName name="tipper5t">#REF!</definedName>
    <definedName name="Title">#REF!</definedName>
    <definedName name="TOED2">#REF!</definedName>
    <definedName name="TOEHT">#REF!</definedName>
    <definedName name="TOPW">#REF!</definedName>
    <definedName name="tractor" localSheetId="5">#REF!</definedName>
    <definedName name="tractor" localSheetId="6">#REF!</definedName>
    <definedName name="tractor">#REF!</definedName>
    <definedName name="transitmixer" localSheetId="5">#REF!</definedName>
    <definedName name="transitmixer">#REF!</definedName>
    <definedName name="truck5t" localSheetId="5">#REF!</definedName>
    <definedName name="truck5t">#REF!</definedName>
    <definedName name="tttt" hidden="1">{#N/A,#N/A,TRUE,"Front";#N/A,#N/A,TRUE,"Simple Letter";#N/A,#N/A,TRUE,"Inside";#N/A,#N/A,TRUE,"Contents";#N/A,#N/A,TRUE,"Basis";#N/A,#N/A,TRUE,"Inclusions";#N/A,#N/A,TRUE,"Exclusions";#N/A,#N/A,TRUE,"Areas";#N/A,#N/A,TRUE,"Summary";#N/A,#N/A,TRUE,"Detail"}</definedName>
    <definedName name="ty" localSheetId="5">#REF!</definedName>
    <definedName name="ty" localSheetId="6">#REF!</definedName>
    <definedName name="ty">#REF!</definedName>
    <definedName name="Unit" localSheetId="5">#REF!</definedName>
    <definedName name="Unit" localSheetId="6">#REF!</definedName>
    <definedName name="Unit">#REF!</definedName>
    <definedName name="unit_wts_22">#N/A</definedName>
    <definedName name="Unit_wts_23">#N/A</definedName>
    <definedName name="Unit_wts_24">#N/A</definedName>
    <definedName name="v" localSheetId="5" hidden="1">{"'AC LOAD'!$H$14:$J$15"}</definedName>
    <definedName name="v" localSheetId="6" hidden="1">{"'AC LOAD'!$H$14:$J$15"}</definedName>
    <definedName name="v" hidden="1">{"'AC LOAD'!$H$14:$J$15"}</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ibrator" localSheetId="5">#REF!</definedName>
    <definedName name="vibrator" localSheetId="6">#REF!</definedName>
    <definedName name="vibrator">#REF!</definedName>
    <definedName name="vibro" localSheetId="5">#REF!</definedName>
    <definedName name="vibro" localSheetId="6">#REF!</definedName>
    <definedName name="vibro">#REF!</definedName>
    <definedName name="vvvvv" localSheetId="5">#REF!</definedName>
    <definedName name="vvvvv">#REF!</definedName>
    <definedName name="W">#REF!</definedName>
    <definedName name="Waiting">"Picture 1"</definedName>
    <definedName name="WATER">#REF!</definedName>
    <definedName name="watertank" localSheetId="5">#REF!</definedName>
    <definedName name="watertank" localSheetId="6">#REF!</definedName>
    <definedName name="watertank">#REF!</definedName>
    <definedName name="watertanker" localSheetId="5">#REF!</definedName>
    <definedName name="watertanker">#REF!</definedName>
    <definedName name="wearingcourse" localSheetId="5">#REF!</definedName>
    <definedName name="wearingcourse" localSheetId="6">#REF!</definedName>
    <definedName name="wearingcourse">#REF!</definedName>
    <definedName name="weepholes" localSheetId="5">#REF!</definedName>
    <definedName name="weepholes">#REF!</definedName>
    <definedName name="Welder" localSheetId="5">#REF!</definedName>
    <definedName name="Welder">#REF!</definedName>
    <definedName name="welderhelper" localSheetId="5">#REF!</definedName>
    <definedName name="welderhelper">#REF!</definedName>
    <definedName name="wertdft" localSheetId="5">#REF!</definedName>
    <definedName name="wertdft">#REF!</definedName>
    <definedName name="WMM">#REF!</definedName>
    <definedName name="wmmplant" localSheetId="5">#REF!</definedName>
    <definedName name="wmmplant" localSheetId="6">#REF!</definedName>
    <definedName name="wmmplant">#REF!</definedName>
    <definedName name="wrn.ADSS._.CONT._.432._._._.Organisation._.Chart." hidden="1">{#N/A,#N/A,FALSE,"Organisation Chart"}</definedName>
    <definedName name="wrn.Full._.Report." localSheetId="5"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WWRTCF" localSheetId="5">#REF!</definedName>
    <definedName name="WWWRTCF" localSheetId="6">#REF!</definedName>
    <definedName name="WWWRTCF">#REF!</definedName>
    <definedName name="x" hidden="1">{"'AC LOAD'!$H$14:$J$15"}</definedName>
    <definedName name="XRefColumnsCount" hidden="1">12</definedName>
    <definedName name="XRefCopyRangeCount" hidden="1">7</definedName>
    <definedName name="XRefPasteRangeCount" hidden="1">142</definedName>
    <definedName name="xxxx" localSheetId="5">#REF!</definedName>
    <definedName name="xxxx" localSheetId="6">#REF!</definedName>
    <definedName name="xxxx" hidden="1">{#N/A,#N/A,TRUE,"Front";#N/A,#N/A,TRUE,"Simple Letter";#N/A,#N/A,TRUE,"Inside";#N/A,#N/A,TRUE,"Contents";#N/A,#N/A,TRUE,"Basis";#N/A,#N/A,TRUE,"Inclusions";#N/A,#N/A,TRUE,"Exclusions";#N/A,#N/A,TRUE,"Areas";#N/A,#N/A,TRUE,"Summary";#N/A,#N/A,TRUE,"Detail"}</definedName>
    <definedName name="xxxxxxxxx">#REF!</definedName>
    <definedName name="Y"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z">#REF!</definedName>
    <definedName name="Zero" localSheetId="5">#REF!</definedName>
    <definedName name="Zero" localSheetId="6">#REF!</definedName>
    <definedName name="Zero">#REF!</definedName>
    <definedName name="Zip1" hidden="1">{#N/A,#N/A,TRUE,"Front";#N/A,#N/A,TRUE,"Simple Letter";#N/A,#N/A,TRUE,"Inside";#N/A,#N/A,TRUE,"Contents";#N/A,#N/A,TRUE,"Basis";#N/A,#N/A,TRUE,"Inclusions";#N/A,#N/A,TRUE,"Exclusions";#N/A,#N/A,TRUE,"Areas";#N/A,#N/A,TRUE,"Summary";#N/A,#N/A,TRUE,"Detail"}</definedName>
    <definedName name="ZONE">#REF!</definedName>
    <definedName name="zxcdfe">#REF!</definedName>
    <definedName name="管理施設費計" localSheetId="5">#REF!</definedName>
    <definedName name="管理施設費計">#REF!</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2" i="17" l="1"/>
  <c r="I23" i="17"/>
  <c r="I24" i="17"/>
  <c r="M11" i="7" l="1"/>
  <c r="G11" i="7"/>
  <c r="M66" i="7" l="1"/>
  <c r="M56" i="7"/>
  <c r="M23" i="7"/>
  <c r="M17" i="7"/>
  <c r="G66" i="7"/>
  <c r="G56" i="7"/>
  <c r="G39" i="7"/>
  <c r="G2" i="3"/>
  <c r="G6" i="14" l="1"/>
  <c r="H6" i="14"/>
  <c r="I6" i="14"/>
  <c r="J6" i="14"/>
  <c r="K6" i="14"/>
  <c r="L6" i="14"/>
  <c r="J6" i="21"/>
  <c r="D567" i="11" l="1"/>
  <c r="D534" i="11"/>
  <c r="D516" i="11"/>
  <c r="D372" i="11"/>
  <c r="D336" i="11"/>
  <c r="J333" i="11"/>
  <c r="J336" i="11"/>
  <c r="J330" i="11"/>
  <c r="D330" i="11"/>
  <c r="J285" i="11"/>
  <c r="D288" i="11"/>
  <c r="J195" i="11"/>
  <c r="J192" i="11"/>
  <c r="E562" i="12"/>
  <c r="E560" i="12"/>
  <c r="M575" i="12"/>
  <c r="M570" i="12"/>
  <c r="M565" i="12"/>
  <c r="M560" i="12"/>
  <c r="M550" i="12"/>
  <c r="M545" i="12"/>
  <c r="M540" i="12"/>
  <c r="M535" i="12"/>
  <c r="M530" i="12"/>
  <c r="M525" i="12"/>
  <c r="M520" i="12"/>
  <c r="M510" i="12"/>
  <c r="M505" i="12"/>
  <c r="M500" i="12"/>
  <c r="M495" i="12"/>
  <c r="M483" i="12"/>
  <c r="M478" i="12"/>
  <c r="M473" i="12"/>
  <c r="M468" i="12"/>
  <c r="M457" i="12"/>
  <c r="M452" i="12"/>
  <c r="M175" i="12"/>
  <c r="M186" i="12"/>
  <c r="M191" i="12"/>
  <c r="M196" i="12"/>
  <c r="M200" i="12"/>
  <c r="M205" i="12"/>
  <c r="M217" i="12"/>
  <c r="M222" i="12"/>
  <c r="M226" i="12"/>
  <c r="M231" i="12"/>
  <c r="M243" i="12"/>
  <c r="M248" i="12"/>
  <c r="M253" i="12"/>
  <c r="M258" i="12"/>
  <c r="M263" i="12"/>
  <c r="M268" i="12"/>
  <c r="M273" i="12"/>
  <c r="M283" i="12"/>
  <c r="M288" i="12"/>
  <c r="M293" i="12"/>
  <c r="M298" i="12"/>
  <c r="M303" i="12"/>
  <c r="M308" i="12"/>
  <c r="M313" i="12"/>
  <c r="M323" i="12"/>
  <c r="M328" i="12"/>
  <c r="M341" i="12"/>
  <c r="M346" i="12"/>
  <c r="M351" i="12"/>
  <c r="M364" i="12"/>
  <c r="M369" i="12"/>
  <c r="M374" i="12"/>
  <c r="M379" i="12"/>
  <c r="M391" i="12"/>
  <c r="M396" i="12"/>
  <c r="M411" i="12"/>
  <c r="M416" i="12"/>
  <c r="M427" i="12"/>
  <c r="M432" i="12"/>
  <c r="M437" i="12"/>
  <c r="M442" i="12"/>
  <c r="M447" i="12"/>
  <c r="M169" i="12"/>
  <c r="M164" i="12"/>
  <c r="M160" i="12"/>
  <c r="M155" i="12"/>
  <c r="M144" i="12"/>
  <c r="M138" i="12"/>
  <c r="M133" i="12"/>
  <c r="M129" i="12"/>
  <c r="M124" i="12"/>
  <c r="M112" i="12"/>
  <c r="M106" i="12"/>
  <c r="M101" i="12"/>
  <c r="M97" i="12"/>
  <c r="M92" i="12"/>
  <c r="M79" i="12"/>
  <c r="M74" i="12"/>
  <c r="M70" i="12"/>
  <c r="M65" i="12"/>
  <c r="M53" i="12"/>
  <c r="M48" i="12"/>
  <c r="M44" i="12"/>
  <c r="M39" i="12"/>
  <c r="M27" i="12"/>
  <c r="M22" i="12"/>
  <c r="M18" i="12"/>
  <c r="M10" i="12"/>
  <c r="M13" i="12"/>
  <c r="J112" i="12"/>
  <c r="J231" i="12"/>
  <c r="J226" i="12"/>
  <c r="J205" i="12"/>
  <c r="J200" i="12"/>
  <c r="J169" i="12"/>
  <c r="J164" i="12"/>
  <c r="J138" i="12"/>
  <c r="J133" i="12"/>
  <c r="J106" i="12"/>
  <c r="J101" i="12"/>
  <c r="J79" i="12"/>
  <c r="J74" i="12"/>
  <c r="J53" i="12"/>
  <c r="J48" i="12"/>
  <c r="J27" i="12"/>
  <c r="J22" i="12"/>
  <c r="J560" i="12"/>
  <c r="J570" i="12"/>
  <c r="J565" i="12"/>
  <c r="J545" i="12"/>
  <c r="J540" i="12"/>
  <c r="J535" i="12"/>
  <c r="J530" i="12"/>
  <c r="J525" i="12"/>
  <c r="J520" i="12"/>
  <c r="J505" i="12"/>
  <c r="J500" i="12"/>
  <c r="J495" i="12"/>
  <c r="J478" i="12"/>
  <c r="J473" i="12"/>
  <c r="J468" i="12"/>
  <c r="J452" i="12"/>
  <c r="J447" i="12"/>
  <c r="J442" i="12"/>
  <c r="J437" i="12"/>
  <c r="J432" i="12"/>
  <c r="J427" i="12"/>
  <c r="J416" i="12"/>
  <c r="J411" i="12"/>
  <c r="J396" i="12"/>
  <c r="J391" i="12"/>
  <c r="J374" i="12"/>
  <c r="J369" i="12"/>
  <c r="J364" i="12"/>
  <c r="J346" i="12"/>
  <c r="J341" i="12"/>
  <c r="J328" i="12"/>
  <c r="J323" i="12"/>
  <c r="J308" i="12"/>
  <c r="J303" i="12"/>
  <c r="J298" i="12"/>
  <c r="J293" i="12"/>
  <c r="J288" i="12"/>
  <c r="J283" i="12"/>
  <c r="J268" i="12"/>
  <c r="J263" i="12"/>
  <c r="J258" i="12"/>
  <c r="J253" i="12"/>
  <c r="J248" i="12"/>
  <c r="J243" i="12"/>
  <c r="J222" i="12"/>
  <c r="J217" i="12"/>
  <c r="J196" i="12"/>
  <c r="J191" i="12"/>
  <c r="J186" i="12"/>
  <c r="J160" i="12"/>
  <c r="J155" i="12"/>
  <c r="J129" i="12"/>
  <c r="J124" i="12"/>
  <c r="J97" i="12"/>
  <c r="J92" i="12"/>
  <c r="J70" i="12"/>
  <c r="J65" i="12"/>
  <c r="J44" i="12"/>
  <c r="J39" i="12"/>
  <c r="N18" i="12"/>
  <c r="J18" i="12"/>
  <c r="N13" i="12"/>
  <c r="J104" i="11" l="1"/>
  <c r="J101" i="11"/>
  <c r="J98" i="11"/>
  <c r="J95" i="11"/>
  <c r="J92" i="11"/>
  <c r="J89" i="11"/>
  <c r="J86" i="11"/>
  <c r="J83" i="11"/>
  <c r="J80" i="11"/>
  <c r="J77" i="11"/>
  <c r="J74" i="11"/>
  <c r="J71" i="11"/>
  <c r="J40" i="11"/>
  <c r="J37" i="11"/>
  <c r="J34" i="11"/>
  <c r="J31" i="11"/>
  <c r="J25" i="11"/>
  <c r="J28" i="11"/>
  <c r="J19" i="11"/>
  <c r="J22" i="11"/>
  <c r="J13" i="11"/>
  <c r="J16" i="11"/>
  <c r="J10" i="11"/>
  <c r="J7" i="11"/>
  <c r="J13" i="12"/>
  <c r="N7" i="12"/>
  <c r="I10" i="13"/>
  <c r="A10" i="13"/>
  <c r="A11" i="13" s="1"/>
  <c r="A12" i="13" s="1"/>
  <c r="A13" i="13" s="1"/>
  <c r="A14" i="13" s="1"/>
  <c r="A15" i="13" s="1"/>
  <c r="A16" i="13" s="1"/>
  <c r="A17" i="13" s="1"/>
  <c r="A18" i="13" s="1"/>
  <c r="A19" i="13" s="1"/>
  <c r="A20" i="13" s="1"/>
  <c r="A21" i="13" s="1"/>
  <c r="A24" i="10"/>
  <c r="A25" i="10" s="1"/>
  <c r="A26" i="10" s="1"/>
  <c r="A27" i="10" s="1"/>
  <c r="A28" i="10" s="1"/>
  <c r="A29" i="10" s="1"/>
  <c r="A30" i="10" s="1"/>
  <c r="A31" i="10" s="1"/>
  <c r="A32" i="10" s="1"/>
  <c r="A33" i="10" s="1"/>
  <c r="A34" i="10" s="1"/>
  <c r="A35" i="10" s="1"/>
  <c r="A23" i="10"/>
  <c r="H23" i="10"/>
  <c r="I23" i="10"/>
  <c r="F35" i="10"/>
  <c r="I9" i="10"/>
  <c r="F20" i="10"/>
  <c r="I16" i="9"/>
  <c r="G16" i="9"/>
  <c r="F10" i="9"/>
  <c r="G9" i="9"/>
  <c r="F9" i="9"/>
  <c r="G16" i="8"/>
  <c r="I16" i="8"/>
  <c r="F10" i="8"/>
  <c r="F9" i="8"/>
  <c r="G9" i="8"/>
  <c r="E11" i="18" l="1"/>
  <c r="K122" i="22"/>
  <c r="M122" i="22" s="1"/>
  <c r="K121" i="22" l="1"/>
  <c r="M121" i="22"/>
  <c r="K120" i="22"/>
  <c r="M120" i="22" s="1"/>
  <c r="K119" i="22"/>
  <c r="M119" i="22" s="1"/>
  <c r="K13" i="17"/>
  <c r="I20" i="17"/>
  <c r="I25" i="17"/>
  <c r="H124" i="22"/>
  <c r="I124" i="22"/>
  <c r="J124" i="22"/>
  <c r="G124" i="22"/>
  <c r="K3" i="22"/>
  <c r="M3" i="22" s="1"/>
  <c r="K4" i="22"/>
  <c r="M4" i="22" s="1"/>
  <c r="K5" i="22"/>
  <c r="K6" i="22"/>
  <c r="M6" i="22" s="1"/>
  <c r="K7" i="22"/>
  <c r="M7" i="22" s="1"/>
  <c r="K8" i="22"/>
  <c r="M8" i="22" s="1"/>
  <c r="K9" i="22"/>
  <c r="K10" i="22"/>
  <c r="M10" i="22" s="1"/>
  <c r="K11" i="22"/>
  <c r="M11" i="22" s="1"/>
  <c r="K12" i="22"/>
  <c r="M12" i="22" s="1"/>
  <c r="M9" i="22"/>
  <c r="M5" i="22"/>
  <c r="K97" i="22" l="1"/>
  <c r="M97" i="22" s="1"/>
  <c r="K98" i="22"/>
  <c r="M98" i="22" s="1"/>
  <c r="K99" i="22"/>
  <c r="M99" i="22" s="1"/>
  <c r="K100" i="22"/>
  <c r="M100" i="22" s="1"/>
  <c r="K101" i="22"/>
  <c r="M101" i="22" s="1"/>
  <c r="K102" i="22"/>
  <c r="M102" i="22" s="1"/>
  <c r="K103" i="22"/>
  <c r="M103" i="22" s="1"/>
  <c r="K104" i="22"/>
  <c r="M104" i="22" s="1"/>
  <c r="K105" i="22"/>
  <c r="M105" i="22" s="1"/>
  <c r="K106" i="22"/>
  <c r="M106" i="22" s="1"/>
  <c r="K107" i="22"/>
  <c r="M107" i="22" s="1"/>
  <c r="K108" i="22"/>
  <c r="M108" i="22" s="1"/>
  <c r="K109" i="22"/>
  <c r="M109" i="22" s="1"/>
  <c r="K110" i="22"/>
  <c r="M110" i="22" s="1"/>
  <c r="K111" i="22"/>
  <c r="M111" i="22" s="1"/>
  <c r="K112" i="22"/>
  <c r="M112" i="22" s="1"/>
  <c r="K113" i="22"/>
  <c r="M113" i="22" s="1"/>
  <c r="K114" i="22"/>
  <c r="M114" i="22" s="1"/>
  <c r="K115" i="22"/>
  <c r="M115" i="22" s="1"/>
  <c r="K116" i="22"/>
  <c r="M116" i="22" s="1"/>
  <c r="K117" i="22"/>
  <c r="M117" i="22" s="1"/>
  <c r="K118" i="22"/>
  <c r="M118" i="22" s="1"/>
  <c r="K63" i="22" l="1"/>
  <c r="M63" i="22" s="1"/>
  <c r="K64" i="22"/>
  <c r="M64" i="22" s="1"/>
  <c r="K65" i="22"/>
  <c r="M65" i="22" s="1"/>
  <c r="K66" i="22"/>
  <c r="M66" i="22" s="1"/>
  <c r="K67" i="22"/>
  <c r="M67" i="22" s="1"/>
  <c r="K68" i="22"/>
  <c r="M68" i="22" s="1"/>
  <c r="K69" i="22"/>
  <c r="M69" i="22" s="1"/>
  <c r="K70" i="22"/>
  <c r="M70" i="22" s="1"/>
  <c r="K23" i="22"/>
  <c r="M23" i="22" s="1"/>
  <c r="K22" i="22"/>
  <c r="M22" i="22" s="1"/>
  <c r="K21" i="22"/>
  <c r="M21" i="22" s="1"/>
  <c r="K20" i="22"/>
  <c r="M20" i="22" s="1"/>
  <c r="K19" i="22"/>
  <c r="M19" i="22" s="1"/>
  <c r="K62" i="22" l="1"/>
  <c r="M62" i="22" s="1"/>
  <c r="K71" i="22"/>
  <c r="M71" i="22" s="1"/>
  <c r="K72" i="22"/>
  <c r="M72" i="22" s="1"/>
  <c r="K73" i="22"/>
  <c r="K74" i="22"/>
  <c r="M74" i="22" s="1"/>
  <c r="K75" i="22"/>
  <c r="M75" i="22" s="1"/>
  <c r="K76" i="22"/>
  <c r="M76" i="22" s="1"/>
  <c r="K77" i="22"/>
  <c r="M77" i="22" s="1"/>
  <c r="K78" i="22"/>
  <c r="M78" i="22" s="1"/>
  <c r="K79" i="22"/>
  <c r="M79" i="22" s="1"/>
  <c r="K80" i="22"/>
  <c r="M80" i="22" s="1"/>
  <c r="K81" i="22"/>
  <c r="M81" i="22" s="1"/>
  <c r="K82" i="22"/>
  <c r="M82" i="22" s="1"/>
  <c r="K83" i="22"/>
  <c r="M83" i="22" s="1"/>
  <c r="K84" i="22"/>
  <c r="M84" i="22" s="1"/>
  <c r="K85" i="22"/>
  <c r="M85" i="22" s="1"/>
  <c r="K86" i="22"/>
  <c r="M86" i="22" s="1"/>
  <c r="K87" i="22"/>
  <c r="M87" i="22" s="1"/>
  <c r="K88" i="22"/>
  <c r="M88" i="22" s="1"/>
  <c r="K89" i="22"/>
  <c r="M89" i="22" s="1"/>
  <c r="K90" i="22"/>
  <c r="M90" i="22" s="1"/>
  <c r="K91" i="22"/>
  <c r="M91" i="22" s="1"/>
  <c r="K92" i="22"/>
  <c r="M92" i="22" s="1"/>
  <c r="K93" i="22"/>
  <c r="M93" i="22" s="1"/>
  <c r="K94" i="22"/>
  <c r="M94" i="22" s="1"/>
  <c r="K95" i="22"/>
  <c r="M95" i="22" s="1"/>
  <c r="K96" i="22"/>
  <c r="M96" i="22" s="1"/>
  <c r="M73" i="22"/>
  <c r="K61" i="22"/>
  <c r="M61" i="22" s="1"/>
  <c r="K52" i="22"/>
  <c r="M52" i="22" s="1"/>
  <c r="K53" i="22"/>
  <c r="M53" i="22" s="1"/>
  <c r="K54" i="22"/>
  <c r="M54" i="22" s="1"/>
  <c r="K55" i="22"/>
  <c r="M55" i="22" s="1"/>
  <c r="K56" i="22"/>
  <c r="M56" i="22" s="1"/>
  <c r="K57" i="22"/>
  <c r="M57" i="22" s="1"/>
  <c r="K58" i="22"/>
  <c r="M58" i="22" s="1"/>
  <c r="K59" i="22"/>
  <c r="M59" i="22" s="1"/>
  <c r="K60" i="22"/>
  <c r="M60" i="22" s="1"/>
  <c r="K51" i="22"/>
  <c r="M51" i="22" s="1"/>
  <c r="K50" i="22"/>
  <c r="M50" i="22" s="1"/>
  <c r="K49" i="22"/>
  <c r="M49" i="22" s="1"/>
  <c r="K48" i="22"/>
  <c r="M48" i="22" s="1"/>
  <c r="K47" i="22"/>
  <c r="M47" i="22" s="1"/>
  <c r="K46" i="22"/>
  <c r="M46" i="22" s="1"/>
  <c r="K45" i="22"/>
  <c r="M45" i="22" s="1"/>
  <c r="K14" i="22" l="1"/>
  <c r="M14" i="22" s="1"/>
  <c r="K15" i="22"/>
  <c r="M15" i="22" s="1"/>
  <c r="K16" i="22"/>
  <c r="M16" i="22" s="1"/>
  <c r="K17" i="22"/>
  <c r="M17" i="22" s="1"/>
  <c r="K18" i="22"/>
  <c r="M18" i="22" s="1"/>
  <c r="K24" i="22"/>
  <c r="M24" i="22" s="1"/>
  <c r="K25" i="22"/>
  <c r="M25" i="22" s="1"/>
  <c r="K26" i="22"/>
  <c r="M26" i="22" s="1"/>
  <c r="K27" i="22"/>
  <c r="M27" i="22" s="1"/>
  <c r="K28" i="22"/>
  <c r="M28" i="22" s="1"/>
  <c r="K29" i="22"/>
  <c r="M29" i="22" s="1"/>
  <c r="K30" i="22"/>
  <c r="M30" i="22" s="1"/>
  <c r="K31" i="22"/>
  <c r="M31" i="22" s="1"/>
  <c r="K32" i="22"/>
  <c r="M32" i="22" s="1"/>
  <c r="K33" i="22"/>
  <c r="M33" i="22" s="1"/>
  <c r="K34" i="22"/>
  <c r="M34" i="22" s="1"/>
  <c r="K35" i="22"/>
  <c r="M35" i="22" s="1"/>
  <c r="K36" i="22"/>
  <c r="M36" i="22" s="1"/>
  <c r="K37" i="22"/>
  <c r="M37" i="22" s="1"/>
  <c r="K38" i="22"/>
  <c r="M38" i="22" s="1"/>
  <c r="K39" i="22"/>
  <c r="M39" i="22" s="1"/>
  <c r="K40" i="22"/>
  <c r="M40" i="22" s="1"/>
  <c r="K41" i="22"/>
  <c r="M41" i="22" s="1"/>
  <c r="K42" i="22"/>
  <c r="M42" i="22" s="1"/>
  <c r="K43" i="22"/>
  <c r="M43" i="22" s="1"/>
  <c r="K44" i="22"/>
  <c r="M44" i="22" s="1"/>
  <c r="K13" i="22"/>
  <c r="M13" i="22" s="1"/>
  <c r="L124" i="22"/>
  <c r="L125" i="22" s="1"/>
  <c r="M124" i="22" l="1"/>
  <c r="G125" i="22"/>
  <c r="K124" i="22"/>
  <c r="K125" i="22" s="1"/>
  <c r="G14" i="8" l="1"/>
  <c r="G13" i="8"/>
  <c r="P16" i="18" l="1"/>
  <c r="E16" i="18"/>
  <c r="F16" i="18"/>
  <c r="G16" i="18"/>
  <c r="G18" i="18" s="1"/>
  <c r="H16" i="18"/>
  <c r="H18" i="18" s="1"/>
  <c r="I16" i="18"/>
  <c r="I18" i="18" s="1"/>
  <c r="J16" i="18"/>
  <c r="K16" i="18"/>
  <c r="K18" i="18" s="1"/>
  <c r="L16" i="18"/>
  <c r="L18" i="18" s="1"/>
  <c r="M16" i="18"/>
  <c r="M18" i="18" s="1"/>
  <c r="N16" i="18"/>
  <c r="O16" i="18"/>
  <c r="O18" i="18" s="1"/>
  <c r="D16" i="18"/>
  <c r="D18" i="18" l="1"/>
  <c r="I13" i="17" s="1"/>
  <c r="Q16" i="18"/>
  <c r="Q18" i="18" s="1"/>
  <c r="L13" i="17"/>
  <c r="E18" i="18"/>
  <c r="J13" i="17" s="1"/>
  <c r="G13" i="17" l="1"/>
  <c r="G23" i="17" s="1"/>
  <c r="J19" i="7"/>
  <c r="J30" i="7"/>
  <c r="J7" i="21"/>
  <c r="J18" i="7" s="1"/>
  <c r="J8" i="21"/>
  <c r="J14" i="21"/>
  <c r="J25" i="7" s="1"/>
  <c r="J15" i="21"/>
  <c r="J26" i="7" s="1"/>
  <c r="J16" i="21"/>
  <c r="J27" i="7" s="1"/>
  <c r="J19" i="21"/>
  <c r="J20" i="21"/>
  <c r="J31" i="7" s="1"/>
  <c r="J21" i="21"/>
  <c r="J32" i="7" s="1"/>
  <c r="J22" i="21"/>
  <c r="J33" i="7" s="1"/>
  <c r="J7" i="20"/>
  <c r="J64" i="7" s="1"/>
  <c r="J12" i="20"/>
  <c r="J69" i="7" s="1"/>
  <c r="J13" i="20"/>
  <c r="J70" i="7" s="1"/>
  <c r="J16" i="20"/>
  <c r="J73" i="7" s="1"/>
  <c r="J17" i="20"/>
  <c r="J74" i="7" s="1"/>
  <c r="J19" i="20"/>
  <c r="J76" i="7" s="1"/>
  <c r="J16" i="19" l="1"/>
  <c r="J50" i="7" s="1"/>
  <c r="J13" i="19"/>
  <c r="J47" i="7" s="1"/>
  <c r="J14" i="19"/>
  <c r="J48" i="7" s="1"/>
  <c r="J12" i="19"/>
  <c r="J46" i="7" s="1"/>
  <c r="J8" i="19"/>
  <c r="J42" i="7" s="1"/>
  <c r="J9" i="19"/>
  <c r="J43" i="7" s="1"/>
  <c r="J7" i="19"/>
  <c r="J41" i="7" s="1"/>
  <c r="P18" i="18"/>
  <c r="P19" i="18" s="1"/>
  <c r="E7" i="17"/>
  <c r="I7" i="17"/>
  <c r="I8" i="17"/>
  <c r="L23" i="17"/>
  <c r="L19" i="17"/>
  <c r="L20" i="17" s="1"/>
  <c r="K19" i="17"/>
  <c r="K20" i="17" s="1"/>
  <c r="J19" i="17"/>
  <c r="J20" i="17" s="1"/>
  <c r="G19" i="17"/>
  <c r="G20" i="17" s="1"/>
  <c r="K23" i="17"/>
  <c r="J23" i="17"/>
  <c r="L7" i="17"/>
  <c r="K7" i="17"/>
  <c r="K6" i="17"/>
  <c r="J579" i="12"/>
  <c r="D579" i="12"/>
  <c r="I579" i="12"/>
  <c r="U582" i="12"/>
  <c r="T582" i="12"/>
  <c r="S582" i="12"/>
  <c r="R582" i="12"/>
  <c r="P582" i="12"/>
  <c r="U581" i="12"/>
  <c r="T581" i="12"/>
  <c r="S581" i="12"/>
  <c r="Q581" i="12"/>
  <c r="P581" i="12"/>
  <c r="U580" i="12"/>
  <c r="T580" i="12"/>
  <c r="S580" i="12"/>
  <c r="Q580" i="12"/>
  <c r="P580" i="12"/>
  <c r="U579" i="12"/>
  <c r="T579" i="12"/>
  <c r="R579" i="12"/>
  <c r="P579" i="12"/>
  <c r="M579" i="12"/>
  <c r="N579" i="12" s="1"/>
  <c r="U578" i="12"/>
  <c r="T578" i="12"/>
  <c r="S578" i="12"/>
  <c r="R578" i="12"/>
  <c r="Q578" i="12"/>
  <c r="P578" i="12"/>
  <c r="E18" i="15"/>
  <c r="K15" i="15"/>
  <c r="D18" i="15"/>
  <c r="M16" i="14"/>
  <c r="M17" i="14"/>
  <c r="M12" i="14"/>
  <c r="M11" i="14"/>
  <c r="F19" i="14"/>
  <c r="D11" i="15" s="1"/>
  <c r="F14" i="14"/>
  <c r="D10" i="15" s="1"/>
  <c r="F9" i="14"/>
  <c r="D9" i="15" s="1"/>
  <c r="L6" i="17" l="1"/>
  <c r="L12" i="17" s="1"/>
  <c r="L22" i="17" s="1"/>
  <c r="L24" i="17" s="1"/>
  <c r="L25" i="17" s="1"/>
  <c r="L19" i="18"/>
  <c r="D19" i="18"/>
  <c r="K12" i="17"/>
  <c r="Q582" i="12"/>
  <c r="R580" i="12"/>
  <c r="D13" i="15"/>
  <c r="H19" i="18" l="1"/>
  <c r="Q19" i="18" s="1"/>
  <c r="L14" i="17"/>
  <c r="L15" i="17" s="1"/>
  <c r="K22" i="17"/>
  <c r="K24" i="17" s="1"/>
  <c r="K25" i="17" s="1"/>
  <c r="K14" i="17"/>
  <c r="K15" i="17" s="1"/>
  <c r="K579" i="12"/>
  <c r="O579" i="12"/>
  <c r="R581" i="12"/>
  <c r="D20" i="18" l="1"/>
  <c r="S579" i="12"/>
  <c r="Q579" i="12"/>
  <c r="D12" i="16" l="1"/>
  <c r="D6" i="15" s="1"/>
  <c r="D14" i="15" s="1"/>
  <c r="D21" i="15" s="1"/>
  <c r="J12" i="16"/>
  <c r="J6" i="15" s="1"/>
  <c r="I12" i="16"/>
  <c r="I6" i="15" s="1"/>
  <c r="H12" i="16"/>
  <c r="H6" i="15" s="1"/>
  <c r="G12" i="16"/>
  <c r="G6" i="15" s="1"/>
  <c r="F12" i="16"/>
  <c r="F6" i="15" s="1"/>
  <c r="E12" i="16"/>
  <c r="E6" i="15" s="1"/>
  <c r="K9" i="16"/>
  <c r="K8" i="16"/>
  <c r="K7" i="16"/>
  <c r="K6" i="16"/>
  <c r="K5" i="16"/>
  <c r="L5" i="16" s="1"/>
  <c r="J18" i="15"/>
  <c r="I18" i="15"/>
  <c r="H18" i="15"/>
  <c r="G18" i="15"/>
  <c r="F18" i="15"/>
  <c r="K17" i="15"/>
  <c r="K16" i="15"/>
  <c r="H19" i="14"/>
  <c r="F11" i="15" s="1"/>
  <c r="I19" i="14"/>
  <c r="G11" i="15" s="1"/>
  <c r="J19" i="14"/>
  <c r="H11" i="15" s="1"/>
  <c r="K19" i="14"/>
  <c r="I11" i="15" s="1"/>
  <c r="L19" i="14"/>
  <c r="J11" i="15" s="1"/>
  <c r="M19" i="14"/>
  <c r="J58" i="7" s="1"/>
  <c r="G19" i="14"/>
  <c r="E11" i="15" s="1"/>
  <c r="K11" i="15" s="1"/>
  <c r="M14" i="14"/>
  <c r="J57" i="7" s="1"/>
  <c r="H14" i="14"/>
  <c r="F10" i="15" s="1"/>
  <c r="I14" i="14"/>
  <c r="G10" i="15" s="1"/>
  <c r="J14" i="14"/>
  <c r="H10" i="15" s="1"/>
  <c r="K14" i="14"/>
  <c r="I10" i="15" s="1"/>
  <c r="L14" i="14"/>
  <c r="J10" i="15" s="1"/>
  <c r="G14" i="14"/>
  <c r="E10" i="15" s="1"/>
  <c r="K10" i="15" s="1"/>
  <c r="K12" i="16" l="1"/>
  <c r="L6" i="16"/>
  <c r="L7" i="16" s="1"/>
  <c r="L8" i="16" s="1"/>
  <c r="L9" i="16" s="1"/>
  <c r="K18" i="15"/>
  <c r="K6" i="15"/>
  <c r="I21" i="13" l="1"/>
  <c r="I20" i="13"/>
  <c r="I19" i="13"/>
  <c r="I18" i="13"/>
  <c r="I17" i="13"/>
  <c r="I16" i="13"/>
  <c r="I15" i="13"/>
  <c r="I14" i="13"/>
  <c r="I13" i="13"/>
  <c r="I12" i="13"/>
  <c r="F11" i="13"/>
  <c r="I11" i="13" s="1"/>
  <c r="I9" i="13"/>
  <c r="I24" i="13" l="1"/>
  <c r="D9" i="20" s="1"/>
  <c r="J9" i="20" s="1"/>
  <c r="U587" i="12"/>
  <c r="T587" i="12"/>
  <c r="S587" i="12"/>
  <c r="R587" i="12"/>
  <c r="Q587" i="12"/>
  <c r="P587" i="12"/>
  <c r="U586" i="12"/>
  <c r="T586" i="12"/>
  <c r="S586" i="12"/>
  <c r="R586" i="12"/>
  <c r="Q586" i="12"/>
  <c r="P586" i="12"/>
  <c r="U585" i="12"/>
  <c r="T585" i="12"/>
  <c r="S585" i="12"/>
  <c r="R585" i="12"/>
  <c r="Q585" i="12"/>
  <c r="P585" i="12"/>
  <c r="U584" i="12"/>
  <c r="T584" i="12"/>
  <c r="S584" i="12"/>
  <c r="R584" i="12"/>
  <c r="Q584" i="12"/>
  <c r="P584" i="12"/>
  <c r="U583" i="12"/>
  <c r="T583" i="12"/>
  <c r="S583" i="12"/>
  <c r="R583" i="12"/>
  <c r="Q583" i="12"/>
  <c r="P583" i="12"/>
  <c r="U577" i="12"/>
  <c r="T577" i="12"/>
  <c r="S577" i="12"/>
  <c r="R577" i="12"/>
  <c r="Q577" i="12"/>
  <c r="P577" i="12"/>
  <c r="U576" i="12"/>
  <c r="T576" i="12"/>
  <c r="S576" i="12"/>
  <c r="R576" i="12"/>
  <c r="Q576" i="12"/>
  <c r="P576" i="12"/>
  <c r="U575" i="12"/>
  <c r="T575" i="12"/>
  <c r="S575" i="12"/>
  <c r="R575" i="12"/>
  <c r="P575" i="12"/>
  <c r="D575" i="12"/>
  <c r="J575" i="12" s="1"/>
  <c r="N575" i="12" s="1"/>
  <c r="O575" i="12" s="1"/>
  <c r="Q575" i="12" s="1"/>
  <c r="U574" i="12"/>
  <c r="T574" i="12"/>
  <c r="S574" i="12"/>
  <c r="R574" i="12"/>
  <c r="Q574" i="12"/>
  <c r="P574" i="12"/>
  <c r="U573" i="12"/>
  <c r="T573" i="12"/>
  <c r="S573" i="12"/>
  <c r="R573" i="12"/>
  <c r="Q573" i="12"/>
  <c r="P573" i="12"/>
  <c r="U572" i="12"/>
  <c r="T572" i="12"/>
  <c r="S572" i="12"/>
  <c r="R572" i="12"/>
  <c r="Q572" i="12"/>
  <c r="P572" i="12"/>
  <c r="D572" i="12"/>
  <c r="U571" i="12"/>
  <c r="T571" i="12"/>
  <c r="S571" i="12"/>
  <c r="R571" i="12"/>
  <c r="Q571" i="12"/>
  <c r="P571" i="12"/>
  <c r="U570" i="12"/>
  <c r="T570" i="12"/>
  <c r="S570" i="12"/>
  <c r="R570" i="12"/>
  <c r="P570" i="12"/>
  <c r="E570" i="12"/>
  <c r="N570" i="12" s="1"/>
  <c r="O570" i="12" s="1"/>
  <c r="Q570" i="12" s="1"/>
  <c r="U569" i="12"/>
  <c r="T569" i="12"/>
  <c r="S569" i="12"/>
  <c r="R569" i="12"/>
  <c r="Q569" i="12"/>
  <c r="P569" i="12"/>
  <c r="U567" i="12"/>
  <c r="T567" i="12"/>
  <c r="S567" i="12"/>
  <c r="R567" i="12"/>
  <c r="Q567" i="12"/>
  <c r="P567" i="12"/>
  <c r="D567" i="12"/>
  <c r="U566" i="12"/>
  <c r="T566" i="12"/>
  <c r="S566" i="12"/>
  <c r="R566" i="12"/>
  <c r="Q566" i="12"/>
  <c r="P566" i="12"/>
  <c r="U565" i="12"/>
  <c r="T565" i="12"/>
  <c r="S565" i="12"/>
  <c r="R565" i="12"/>
  <c r="P565" i="12"/>
  <c r="E565" i="12"/>
  <c r="N565" i="12" s="1"/>
  <c r="O565" i="12" s="1"/>
  <c r="Q565" i="12" s="1"/>
  <c r="U564" i="12"/>
  <c r="T564" i="12"/>
  <c r="S564" i="12"/>
  <c r="R564" i="12"/>
  <c r="Q564" i="12"/>
  <c r="P564" i="12"/>
  <c r="U562" i="12"/>
  <c r="T562" i="12"/>
  <c r="S562" i="12"/>
  <c r="R562" i="12"/>
  <c r="Q562" i="12"/>
  <c r="P562" i="12"/>
  <c r="D562" i="12"/>
  <c r="U561" i="12"/>
  <c r="T561" i="12"/>
  <c r="S561" i="12"/>
  <c r="R561" i="12"/>
  <c r="Q561" i="12"/>
  <c r="P561" i="12"/>
  <c r="U560" i="12"/>
  <c r="T560" i="12"/>
  <c r="S560" i="12"/>
  <c r="R560" i="12"/>
  <c r="P560" i="12"/>
  <c r="I560" i="12"/>
  <c r="U559" i="12"/>
  <c r="T559" i="12"/>
  <c r="S559" i="12"/>
  <c r="R559" i="12"/>
  <c r="Q559" i="12"/>
  <c r="P559" i="12"/>
  <c r="U557" i="12"/>
  <c r="T557" i="12"/>
  <c r="S557" i="12"/>
  <c r="R557" i="12"/>
  <c r="P557" i="12"/>
  <c r="M557" i="12"/>
  <c r="U556" i="12"/>
  <c r="T556" i="12"/>
  <c r="S556" i="12"/>
  <c r="Q556" i="12"/>
  <c r="P556" i="12"/>
  <c r="M556" i="12"/>
  <c r="U555" i="12"/>
  <c r="T555" i="12"/>
  <c r="S555" i="12"/>
  <c r="Q555" i="12"/>
  <c r="P555" i="12"/>
  <c r="M555" i="12"/>
  <c r="U554" i="12"/>
  <c r="T554" i="12"/>
  <c r="R554" i="12"/>
  <c r="Q554" i="12"/>
  <c r="P554" i="12"/>
  <c r="M554" i="12"/>
  <c r="D554" i="12"/>
  <c r="J555" i="12" s="1"/>
  <c r="U553" i="12"/>
  <c r="T553" i="12"/>
  <c r="S553" i="12"/>
  <c r="R553" i="12"/>
  <c r="Q553" i="12"/>
  <c r="P553" i="12"/>
  <c r="U552" i="12"/>
  <c r="T552" i="12"/>
  <c r="S552" i="12"/>
  <c r="R552" i="12"/>
  <c r="Q552" i="12"/>
  <c r="P552" i="12"/>
  <c r="U551" i="12"/>
  <c r="T551" i="12"/>
  <c r="S551" i="12"/>
  <c r="R551" i="12"/>
  <c r="Q551" i="12"/>
  <c r="P551" i="12"/>
  <c r="U550" i="12"/>
  <c r="T550" i="12"/>
  <c r="S550" i="12"/>
  <c r="R550" i="12"/>
  <c r="P550" i="12"/>
  <c r="D550" i="12"/>
  <c r="J550" i="12" s="1"/>
  <c r="N550" i="12" s="1"/>
  <c r="O550" i="12" s="1"/>
  <c r="Q550" i="12" s="1"/>
  <c r="U549" i="12"/>
  <c r="T549" i="12"/>
  <c r="S549" i="12"/>
  <c r="R549" i="12"/>
  <c r="Q549" i="12"/>
  <c r="P549" i="12"/>
  <c r="U548" i="12"/>
  <c r="T548" i="12"/>
  <c r="S548" i="12"/>
  <c r="R548" i="12"/>
  <c r="Q548" i="12"/>
  <c r="P548" i="12"/>
  <c r="U547" i="12"/>
  <c r="T547" i="12"/>
  <c r="S547" i="12"/>
  <c r="R547" i="12"/>
  <c r="Q547" i="12"/>
  <c r="P547" i="12"/>
  <c r="D547" i="12"/>
  <c r="U546" i="12"/>
  <c r="T546" i="12"/>
  <c r="S546" i="12"/>
  <c r="R546" i="12"/>
  <c r="Q546" i="12"/>
  <c r="P546" i="12"/>
  <c r="U545" i="12"/>
  <c r="T545" i="12"/>
  <c r="S545" i="12"/>
  <c r="R545" i="12"/>
  <c r="P545" i="12"/>
  <c r="E545" i="12"/>
  <c r="N545" i="12" s="1"/>
  <c r="O545" i="12" s="1"/>
  <c r="Q545" i="12" s="1"/>
  <c r="U544" i="12"/>
  <c r="T544" i="12"/>
  <c r="S544" i="12"/>
  <c r="R544" i="12"/>
  <c r="Q544" i="12"/>
  <c r="P544" i="12"/>
  <c r="U543" i="12"/>
  <c r="T543" i="12"/>
  <c r="S543" i="12"/>
  <c r="R543" i="12"/>
  <c r="Q543" i="12"/>
  <c r="P543" i="12"/>
  <c r="U542" i="12"/>
  <c r="T542" i="12"/>
  <c r="S542" i="12"/>
  <c r="R542" i="12"/>
  <c r="Q542" i="12"/>
  <c r="P542" i="12"/>
  <c r="D542" i="12"/>
  <c r="U541" i="12"/>
  <c r="T541" i="12"/>
  <c r="S541" i="12"/>
  <c r="R541" i="12"/>
  <c r="Q541" i="12"/>
  <c r="P541" i="12"/>
  <c r="U540" i="12"/>
  <c r="T540" i="12"/>
  <c r="S540" i="12"/>
  <c r="R540" i="12"/>
  <c r="P540" i="12"/>
  <c r="E540" i="12"/>
  <c r="N540" i="12" s="1"/>
  <c r="O540" i="12" s="1"/>
  <c r="Q540" i="12" s="1"/>
  <c r="U539" i="12"/>
  <c r="T539" i="12"/>
  <c r="S539" i="12"/>
  <c r="R539" i="12"/>
  <c r="Q539" i="12"/>
  <c r="P539" i="12"/>
  <c r="U538" i="12"/>
  <c r="T538" i="12"/>
  <c r="S538" i="12"/>
  <c r="R538" i="12"/>
  <c r="Q538" i="12"/>
  <c r="P538" i="12"/>
  <c r="U537" i="12"/>
  <c r="T537" i="12"/>
  <c r="S537" i="12"/>
  <c r="R537" i="12"/>
  <c r="Q537" i="12"/>
  <c r="P537" i="12"/>
  <c r="D537" i="12"/>
  <c r="U536" i="12"/>
  <c r="T536" i="12"/>
  <c r="S536" i="12"/>
  <c r="R536" i="12"/>
  <c r="Q536" i="12"/>
  <c r="P536" i="12"/>
  <c r="U535" i="12"/>
  <c r="T535" i="12"/>
  <c r="S535" i="12"/>
  <c r="R535" i="12"/>
  <c r="P535" i="12"/>
  <c r="E535" i="12"/>
  <c r="U534" i="12"/>
  <c r="T534" i="12"/>
  <c r="S534" i="12"/>
  <c r="R534" i="12"/>
  <c r="Q534" i="12"/>
  <c r="P534" i="12"/>
  <c r="U533" i="12"/>
  <c r="T533" i="12"/>
  <c r="S533" i="12"/>
  <c r="R533" i="12"/>
  <c r="Q533" i="12"/>
  <c r="P533" i="12"/>
  <c r="U532" i="12"/>
  <c r="T532" i="12"/>
  <c r="S532" i="12"/>
  <c r="R532" i="12"/>
  <c r="Q532" i="12"/>
  <c r="P532" i="12"/>
  <c r="D532" i="12"/>
  <c r="U531" i="12"/>
  <c r="T531" i="12"/>
  <c r="S531" i="12"/>
  <c r="R531" i="12"/>
  <c r="Q531" i="12"/>
  <c r="P531" i="12"/>
  <c r="U530" i="12"/>
  <c r="T530" i="12"/>
  <c r="S530" i="12"/>
  <c r="R530" i="12"/>
  <c r="P530" i="12"/>
  <c r="E530" i="12"/>
  <c r="U529" i="12"/>
  <c r="T529" i="12"/>
  <c r="S529" i="12"/>
  <c r="R529" i="12"/>
  <c r="Q529" i="12"/>
  <c r="P529" i="12"/>
  <c r="U528" i="12"/>
  <c r="T528" i="12"/>
  <c r="S528" i="12"/>
  <c r="R528" i="12"/>
  <c r="Q528" i="12"/>
  <c r="P528" i="12"/>
  <c r="U527" i="12"/>
  <c r="T527" i="12"/>
  <c r="S527" i="12"/>
  <c r="R527" i="12"/>
  <c r="Q527" i="12"/>
  <c r="P527" i="12"/>
  <c r="D527" i="12"/>
  <c r="U526" i="12"/>
  <c r="T526" i="12"/>
  <c r="S526" i="12"/>
  <c r="R526" i="12"/>
  <c r="Q526" i="12"/>
  <c r="P526" i="12"/>
  <c r="U525" i="12"/>
  <c r="T525" i="12"/>
  <c r="S525" i="12"/>
  <c r="R525" i="12"/>
  <c r="P525" i="12"/>
  <c r="E525" i="12"/>
  <c r="U524" i="12"/>
  <c r="T524" i="12"/>
  <c r="S524" i="12"/>
  <c r="R524" i="12"/>
  <c r="Q524" i="12"/>
  <c r="P524" i="12"/>
  <c r="U523" i="12"/>
  <c r="T523" i="12"/>
  <c r="S523" i="12"/>
  <c r="R523" i="12"/>
  <c r="Q523" i="12"/>
  <c r="P523" i="12"/>
  <c r="U522" i="12"/>
  <c r="T522" i="12"/>
  <c r="S522" i="12"/>
  <c r="R522" i="12"/>
  <c r="Q522" i="12"/>
  <c r="P522" i="12"/>
  <c r="D522" i="12"/>
  <c r="U521" i="12"/>
  <c r="T521" i="12"/>
  <c r="S521" i="12"/>
  <c r="R521" i="12"/>
  <c r="Q521" i="12"/>
  <c r="P521" i="12"/>
  <c r="U520" i="12"/>
  <c r="T520" i="12"/>
  <c r="S520" i="12"/>
  <c r="R520" i="12"/>
  <c r="P520" i="12"/>
  <c r="E520" i="12"/>
  <c r="N520" i="12" s="1"/>
  <c r="O520" i="12" s="1"/>
  <c r="Q520" i="12" s="1"/>
  <c r="U519" i="12"/>
  <c r="T519" i="12"/>
  <c r="S519" i="12"/>
  <c r="R519" i="12"/>
  <c r="Q519" i="12"/>
  <c r="P519" i="12"/>
  <c r="U518" i="12"/>
  <c r="T518" i="12"/>
  <c r="S518" i="12"/>
  <c r="R518" i="12"/>
  <c r="Q518" i="12"/>
  <c r="P518" i="12"/>
  <c r="U517" i="12"/>
  <c r="T517" i="12"/>
  <c r="S517" i="12"/>
  <c r="R517" i="12"/>
  <c r="Q517" i="12"/>
  <c r="P517" i="12"/>
  <c r="U516" i="12"/>
  <c r="T516" i="12"/>
  <c r="S516" i="12"/>
  <c r="R516" i="12"/>
  <c r="P516" i="12"/>
  <c r="M516" i="12"/>
  <c r="U515" i="12"/>
  <c r="T515" i="12"/>
  <c r="S515" i="12"/>
  <c r="Q515" i="12"/>
  <c r="P515" i="12"/>
  <c r="M515" i="12"/>
  <c r="U514" i="12"/>
  <c r="T514" i="12"/>
  <c r="R514" i="12"/>
  <c r="Q514" i="12"/>
  <c r="P514" i="12"/>
  <c r="M514" i="12"/>
  <c r="D514" i="12"/>
  <c r="J515" i="12" s="1"/>
  <c r="U513" i="12"/>
  <c r="T513" i="12"/>
  <c r="S513" i="12"/>
  <c r="R513" i="12"/>
  <c r="Q513" i="12"/>
  <c r="P513" i="12"/>
  <c r="U512" i="12"/>
  <c r="T512" i="12"/>
  <c r="S512" i="12"/>
  <c r="R512" i="12"/>
  <c r="Q512" i="12"/>
  <c r="P512" i="12"/>
  <c r="U511" i="12"/>
  <c r="T511" i="12"/>
  <c r="S511" i="12"/>
  <c r="R511" i="12"/>
  <c r="Q511" i="12"/>
  <c r="P511" i="12"/>
  <c r="U510" i="12"/>
  <c r="T510" i="12"/>
  <c r="S510" i="12"/>
  <c r="R510" i="12"/>
  <c r="P510" i="12"/>
  <c r="D510" i="12"/>
  <c r="J510" i="12" s="1"/>
  <c r="U509" i="12"/>
  <c r="T509" i="12"/>
  <c r="S509" i="12"/>
  <c r="R509" i="12"/>
  <c r="Q509" i="12"/>
  <c r="P509" i="12"/>
  <c r="U508" i="12"/>
  <c r="T508" i="12"/>
  <c r="S508" i="12"/>
  <c r="R508" i="12"/>
  <c r="Q508" i="12"/>
  <c r="P508" i="12"/>
  <c r="U507" i="12"/>
  <c r="T507" i="12"/>
  <c r="S507" i="12"/>
  <c r="R507" i="12"/>
  <c r="Q507" i="12"/>
  <c r="P507" i="12"/>
  <c r="D507" i="12"/>
  <c r="U506" i="12"/>
  <c r="T506" i="12"/>
  <c r="S506" i="12"/>
  <c r="R506" i="12"/>
  <c r="Q506" i="12"/>
  <c r="P506" i="12"/>
  <c r="U505" i="12"/>
  <c r="T505" i="12"/>
  <c r="S505" i="12"/>
  <c r="R505" i="12"/>
  <c r="P505" i="12"/>
  <c r="E505" i="12"/>
  <c r="N505" i="12" s="1"/>
  <c r="O505" i="12" s="1"/>
  <c r="Q505" i="12" s="1"/>
  <c r="U504" i="12"/>
  <c r="T504" i="12"/>
  <c r="S504" i="12"/>
  <c r="R504" i="12"/>
  <c r="Q504" i="12"/>
  <c r="P504" i="12"/>
  <c r="U502" i="12"/>
  <c r="T502" i="12"/>
  <c r="S502" i="12"/>
  <c r="R502" i="12"/>
  <c r="Q502" i="12"/>
  <c r="P502" i="12"/>
  <c r="D502" i="12"/>
  <c r="U501" i="12"/>
  <c r="T501" i="12"/>
  <c r="S501" i="12"/>
  <c r="R501" i="12"/>
  <c r="Q501" i="12"/>
  <c r="P501" i="12"/>
  <c r="U500" i="12"/>
  <c r="T500" i="12"/>
  <c r="S500" i="12"/>
  <c r="R500" i="12"/>
  <c r="P500" i="12"/>
  <c r="N500" i="12"/>
  <c r="O500" i="12" s="1"/>
  <c r="Q500" i="12" s="1"/>
  <c r="E500" i="12"/>
  <c r="U499" i="12"/>
  <c r="T499" i="12"/>
  <c r="S499" i="12"/>
  <c r="R499" i="12"/>
  <c r="Q499" i="12"/>
  <c r="P499" i="12"/>
  <c r="U497" i="12"/>
  <c r="T497" i="12"/>
  <c r="S497" i="12"/>
  <c r="R497" i="12"/>
  <c r="Q497" i="12"/>
  <c r="P497" i="12"/>
  <c r="D497" i="12"/>
  <c r="U496" i="12"/>
  <c r="T496" i="12"/>
  <c r="S496" i="12"/>
  <c r="R496" i="12"/>
  <c r="Q496" i="12"/>
  <c r="P496" i="12"/>
  <c r="U495" i="12"/>
  <c r="T495" i="12"/>
  <c r="S495" i="12"/>
  <c r="R495" i="12"/>
  <c r="P495" i="12"/>
  <c r="I495" i="12"/>
  <c r="E495" i="12"/>
  <c r="U494" i="12"/>
  <c r="T494" i="12"/>
  <c r="S494" i="12"/>
  <c r="R494" i="12"/>
  <c r="Q494" i="12"/>
  <c r="P494" i="12"/>
  <c r="U492" i="12"/>
  <c r="T492" i="12"/>
  <c r="S492" i="12"/>
  <c r="R492" i="12"/>
  <c r="P492" i="12"/>
  <c r="M492" i="12"/>
  <c r="U491" i="12"/>
  <c r="T491" i="12"/>
  <c r="S491" i="12"/>
  <c r="Q491" i="12"/>
  <c r="P491" i="12"/>
  <c r="M491" i="12"/>
  <c r="U490" i="12"/>
  <c r="T490" i="12"/>
  <c r="S490" i="12"/>
  <c r="Q490" i="12"/>
  <c r="P490" i="12"/>
  <c r="M490" i="12"/>
  <c r="U489" i="12"/>
  <c r="T489" i="12"/>
  <c r="S489" i="12"/>
  <c r="Q489" i="12"/>
  <c r="P489" i="12"/>
  <c r="M489" i="12"/>
  <c r="U488" i="12"/>
  <c r="T488" i="12"/>
  <c r="R488" i="12"/>
  <c r="Q488" i="12"/>
  <c r="P488" i="12"/>
  <c r="M488" i="12"/>
  <c r="U487" i="12"/>
  <c r="T487" i="12"/>
  <c r="R487" i="12"/>
  <c r="Q487" i="12"/>
  <c r="P487" i="12"/>
  <c r="M487" i="12"/>
  <c r="D487" i="12"/>
  <c r="J492" i="12" s="1"/>
  <c r="U486" i="12"/>
  <c r="T486" i="12"/>
  <c r="S486" i="12"/>
  <c r="R486" i="12"/>
  <c r="Q486" i="12"/>
  <c r="P486" i="12"/>
  <c r="U485" i="12"/>
  <c r="T485" i="12"/>
  <c r="S485" i="12"/>
  <c r="R485" i="12"/>
  <c r="Q485" i="12"/>
  <c r="P485" i="12"/>
  <c r="U484" i="12"/>
  <c r="T484" i="12"/>
  <c r="S484" i="12"/>
  <c r="R484" i="12"/>
  <c r="Q484" i="12"/>
  <c r="P484" i="12"/>
  <c r="U483" i="12"/>
  <c r="T483" i="12"/>
  <c r="S483" i="12"/>
  <c r="R483" i="12"/>
  <c r="P483" i="12"/>
  <c r="D483" i="12"/>
  <c r="J483" i="12" s="1"/>
  <c r="N483" i="12" s="1"/>
  <c r="O483" i="12" s="1"/>
  <c r="Q483" i="12" s="1"/>
  <c r="U482" i="12"/>
  <c r="T482" i="12"/>
  <c r="S482" i="12"/>
  <c r="R482" i="12"/>
  <c r="Q482" i="12"/>
  <c r="P482" i="12"/>
  <c r="U481" i="12"/>
  <c r="T481" i="12"/>
  <c r="S481" i="12"/>
  <c r="R481" i="12"/>
  <c r="Q481" i="12"/>
  <c r="P481" i="12"/>
  <c r="U480" i="12"/>
  <c r="T480" i="12"/>
  <c r="S480" i="12"/>
  <c r="R480" i="12"/>
  <c r="Q480" i="12"/>
  <c r="P480" i="12"/>
  <c r="D480" i="12"/>
  <c r="U479" i="12"/>
  <c r="T479" i="12"/>
  <c r="S479" i="12"/>
  <c r="R479" i="12"/>
  <c r="Q479" i="12"/>
  <c r="P479" i="12"/>
  <c r="U478" i="12"/>
  <c r="T478" i="12"/>
  <c r="S478" i="12"/>
  <c r="R478" i="12"/>
  <c r="P478" i="12"/>
  <c r="E478" i="12"/>
  <c r="N478" i="12" s="1"/>
  <c r="O478" i="12" s="1"/>
  <c r="Q478" i="12" s="1"/>
  <c r="U477" i="12"/>
  <c r="T477" i="12"/>
  <c r="S477" i="12"/>
  <c r="R477" i="12"/>
  <c r="Q477" i="12"/>
  <c r="P477" i="12"/>
  <c r="U475" i="12"/>
  <c r="T475" i="12"/>
  <c r="S475" i="12"/>
  <c r="R475" i="12"/>
  <c r="Q475" i="12"/>
  <c r="P475" i="12"/>
  <c r="D475" i="12"/>
  <c r="U474" i="12"/>
  <c r="T474" i="12"/>
  <c r="S474" i="12"/>
  <c r="R474" i="12"/>
  <c r="Q474" i="12"/>
  <c r="P474" i="12"/>
  <c r="U473" i="12"/>
  <c r="T473" i="12"/>
  <c r="S473" i="12"/>
  <c r="R473" i="12"/>
  <c r="P473" i="12"/>
  <c r="E473" i="12"/>
  <c r="N473" i="12" s="1"/>
  <c r="O473" i="12" s="1"/>
  <c r="Q473" i="12" s="1"/>
  <c r="U472" i="12"/>
  <c r="T472" i="12"/>
  <c r="S472" i="12"/>
  <c r="R472" i="12"/>
  <c r="Q472" i="12"/>
  <c r="P472" i="12"/>
  <c r="U470" i="12"/>
  <c r="T470" i="12"/>
  <c r="S470" i="12"/>
  <c r="R470" i="12"/>
  <c r="Q470" i="12"/>
  <c r="P470" i="12"/>
  <c r="D470" i="12"/>
  <c r="U469" i="12"/>
  <c r="T469" i="12"/>
  <c r="S469" i="12"/>
  <c r="R469" i="12"/>
  <c r="Q469" i="12"/>
  <c r="P469" i="12"/>
  <c r="U468" i="12"/>
  <c r="T468" i="12"/>
  <c r="S468" i="12"/>
  <c r="R468" i="12"/>
  <c r="P468" i="12"/>
  <c r="I468" i="12"/>
  <c r="E468" i="12"/>
  <c r="U467" i="12"/>
  <c r="T467" i="12"/>
  <c r="S467" i="12"/>
  <c r="R467" i="12"/>
  <c r="Q467" i="12"/>
  <c r="P467" i="12"/>
  <c r="U465" i="12"/>
  <c r="T465" i="12"/>
  <c r="S465" i="12"/>
  <c r="Q465" i="12"/>
  <c r="P465" i="12"/>
  <c r="M465" i="12"/>
  <c r="U464" i="12"/>
  <c r="T464" i="12"/>
  <c r="S464" i="12"/>
  <c r="Q464" i="12"/>
  <c r="P464" i="12"/>
  <c r="M464" i="12"/>
  <c r="U463" i="12"/>
  <c r="T463" i="12"/>
  <c r="S463" i="12"/>
  <c r="Q463" i="12"/>
  <c r="P463" i="12"/>
  <c r="M463" i="12"/>
  <c r="U462" i="12"/>
  <c r="T462" i="12"/>
  <c r="R462" i="12"/>
  <c r="Q462" i="12"/>
  <c r="P462" i="12"/>
  <c r="M462" i="12"/>
  <c r="U461" i="12"/>
  <c r="T461" i="12"/>
  <c r="R461" i="12"/>
  <c r="Q461" i="12"/>
  <c r="P461" i="12"/>
  <c r="M461" i="12"/>
  <c r="D461" i="12"/>
  <c r="J462" i="12" s="1"/>
  <c r="U460" i="12"/>
  <c r="T460" i="12"/>
  <c r="S460" i="12"/>
  <c r="R460" i="12"/>
  <c r="Q460" i="12"/>
  <c r="P460" i="12"/>
  <c r="U459" i="12"/>
  <c r="T459" i="12"/>
  <c r="S459" i="12"/>
  <c r="R459" i="12"/>
  <c r="Q459" i="12"/>
  <c r="P459" i="12"/>
  <c r="U458" i="12"/>
  <c r="T458" i="12"/>
  <c r="S458" i="12"/>
  <c r="R458" i="12"/>
  <c r="Q458" i="12"/>
  <c r="P458" i="12"/>
  <c r="U457" i="12"/>
  <c r="T457" i="12"/>
  <c r="S457" i="12"/>
  <c r="R457" i="12"/>
  <c r="P457" i="12"/>
  <c r="D457" i="12"/>
  <c r="J457" i="12" s="1"/>
  <c r="N457" i="12" s="1"/>
  <c r="O457" i="12" s="1"/>
  <c r="Q457" i="12" s="1"/>
  <c r="U456" i="12"/>
  <c r="T456" i="12"/>
  <c r="S456" i="12"/>
  <c r="R456" i="12"/>
  <c r="Q456" i="12"/>
  <c r="P456" i="12"/>
  <c r="U455" i="12"/>
  <c r="T455" i="12"/>
  <c r="S455" i="12"/>
  <c r="R455" i="12"/>
  <c r="Q455" i="12"/>
  <c r="P455" i="12"/>
  <c r="U454" i="12"/>
  <c r="T454" i="12"/>
  <c r="S454" i="12"/>
  <c r="R454" i="12"/>
  <c r="Q454" i="12"/>
  <c r="P454" i="12"/>
  <c r="D454" i="12"/>
  <c r="U453" i="12"/>
  <c r="T453" i="12"/>
  <c r="S453" i="12"/>
  <c r="R453" i="12"/>
  <c r="Q453" i="12"/>
  <c r="P453" i="12"/>
  <c r="U452" i="12"/>
  <c r="T452" i="12"/>
  <c r="S452" i="12"/>
  <c r="R452" i="12"/>
  <c r="P452" i="12"/>
  <c r="E452" i="12"/>
  <c r="U451" i="12"/>
  <c r="T451" i="12"/>
  <c r="S451" i="12"/>
  <c r="R451" i="12"/>
  <c r="Q451" i="12"/>
  <c r="P451" i="12"/>
  <c r="U450" i="12"/>
  <c r="T450" i="12"/>
  <c r="S450" i="12"/>
  <c r="R450" i="12"/>
  <c r="Q450" i="12"/>
  <c r="P450" i="12"/>
  <c r="U449" i="12"/>
  <c r="T449" i="12"/>
  <c r="S449" i="12"/>
  <c r="R449" i="12"/>
  <c r="Q449" i="12"/>
  <c r="P449" i="12"/>
  <c r="D449" i="12"/>
  <c r="U448" i="12"/>
  <c r="T448" i="12"/>
  <c r="S448" i="12"/>
  <c r="R448" i="12"/>
  <c r="Q448" i="12"/>
  <c r="P448" i="12"/>
  <c r="U447" i="12"/>
  <c r="T447" i="12"/>
  <c r="S447" i="12"/>
  <c r="R447" i="12"/>
  <c r="P447" i="12"/>
  <c r="E447" i="12"/>
  <c r="N447" i="12" s="1"/>
  <c r="O447" i="12" s="1"/>
  <c r="Q447" i="12" s="1"/>
  <c r="U446" i="12"/>
  <c r="T446" i="12"/>
  <c r="S446" i="12"/>
  <c r="R446" i="12"/>
  <c r="Q446" i="12"/>
  <c r="P446" i="12"/>
  <c r="U445" i="12"/>
  <c r="T445" i="12"/>
  <c r="S445" i="12"/>
  <c r="R445" i="12"/>
  <c r="Q445" i="12"/>
  <c r="P445" i="12"/>
  <c r="U444" i="12"/>
  <c r="T444" i="12"/>
  <c r="S444" i="12"/>
  <c r="R444" i="12"/>
  <c r="Q444" i="12"/>
  <c r="P444" i="12"/>
  <c r="D444" i="12"/>
  <c r="U443" i="12"/>
  <c r="T443" i="12"/>
  <c r="S443" i="12"/>
  <c r="R443" i="12"/>
  <c r="Q443" i="12"/>
  <c r="P443" i="12"/>
  <c r="U442" i="12"/>
  <c r="T442" i="12"/>
  <c r="S442" i="12"/>
  <c r="R442" i="12"/>
  <c r="P442" i="12"/>
  <c r="E442" i="12"/>
  <c r="N442" i="12" s="1"/>
  <c r="O442" i="12" s="1"/>
  <c r="Q442" i="12" s="1"/>
  <c r="U441" i="12"/>
  <c r="T441" i="12"/>
  <c r="S441" i="12"/>
  <c r="R441" i="12"/>
  <c r="Q441" i="12"/>
  <c r="P441" i="12"/>
  <c r="U440" i="12"/>
  <c r="T440" i="12"/>
  <c r="S440" i="12"/>
  <c r="R440" i="12"/>
  <c r="Q440" i="12"/>
  <c r="P440" i="12"/>
  <c r="U439" i="12"/>
  <c r="T439" i="12"/>
  <c r="S439" i="12"/>
  <c r="R439" i="12"/>
  <c r="Q439" i="12"/>
  <c r="P439" i="12"/>
  <c r="D439" i="12"/>
  <c r="U438" i="12"/>
  <c r="T438" i="12"/>
  <c r="S438" i="12"/>
  <c r="R438" i="12"/>
  <c r="Q438" i="12"/>
  <c r="P438" i="12"/>
  <c r="U437" i="12"/>
  <c r="T437" i="12"/>
  <c r="S437" i="12"/>
  <c r="R437" i="12"/>
  <c r="P437" i="12"/>
  <c r="E437" i="12"/>
  <c r="U436" i="12"/>
  <c r="T436" i="12"/>
  <c r="S436" i="12"/>
  <c r="R436" i="12"/>
  <c r="Q436" i="12"/>
  <c r="P436" i="12"/>
  <c r="U435" i="12"/>
  <c r="T435" i="12"/>
  <c r="S435" i="12"/>
  <c r="R435" i="12"/>
  <c r="Q435" i="12"/>
  <c r="P435" i="12"/>
  <c r="U434" i="12"/>
  <c r="T434" i="12"/>
  <c r="S434" i="12"/>
  <c r="R434" i="12"/>
  <c r="Q434" i="12"/>
  <c r="P434" i="12"/>
  <c r="D434" i="12"/>
  <c r="U433" i="12"/>
  <c r="T433" i="12"/>
  <c r="S433" i="12"/>
  <c r="R433" i="12"/>
  <c r="Q433" i="12"/>
  <c r="P433" i="12"/>
  <c r="U432" i="12"/>
  <c r="T432" i="12"/>
  <c r="S432" i="12"/>
  <c r="R432" i="12"/>
  <c r="P432" i="12"/>
  <c r="E432" i="12"/>
  <c r="N432" i="12" s="1"/>
  <c r="O432" i="12" s="1"/>
  <c r="Q432" i="12" s="1"/>
  <c r="U431" i="12"/>
  <c r="T431" i="12"/>
  <c r="S431" i="12"/>
  <c r="R431" i="12"/>
  <c r="Q431" i="12"/>
  <c r="P431" i="12"/>
  <c r="U430" i="12"/>
  <c r="T430" i="12"/>
  <c r="S430" i="12"/>
  <c r="R430" i="12"/>
  <c r="Q430" i="12"/>
  <c r="P430" i="12"/>
  <c r="U429" i="12"/>
  <c r="T429" i="12"/>
  <c r="S429" i="12"/>
  <c r="R429" i="12"/>
  <c r="Q429" i="12"/>
  <c r="P429" i="12"/>
  <c r="D429" i="12"/>
  <c r="U428" i="12"/>
  <c r="T428" i="12"/>
  <c r="S428" i="12"/>
  <c r="R428" i="12"/>
  <c r="Q428" i="12"/>
  <c r="P428" i="12"/>
  <c r="U427" i="12"/>
  <c r="T427" i="12"/>
  <c r="S427" i="12"/>
  <c r="R427" i="12"/>
  <c r="P427" i="12"/>
  <c r="E427" i="12"/>
  <c r="N427" i="12" s="1"/>
  <c r="O427" i="12" s="1"/>
  <c r="Q427" i="12" s="1"/>
  <c r="U426" i="12"/>
  <c r="T426" i="12"/>
  <c r="S426" i="12"/>
  <c r="R426" i="12"/>
  <c r="Q426" i="12"/>
  <c r="P426" i="12"/>
  <c r="U425" i="12"/>
  <c r="T425" i="12"/>
  <c r="S425" i="12"/>
  <c r="R425" i="12"/>
  <c r="Q425" i="12"/>
  <c r="P425" i="12"/>
  <c r="U424" i="12"/>
  <c r="T424" i="12"/>
  <c r="S424" i="12"/>
  <c r="R424" i="12"/>
  <c r="Q424" i="12"/>
  <c r="P424" i="12"/>
  <c r="U423" i="12"/>
  <c r="T423" i="12"/>
  <c r="S423" i="12"/>
  <c r="Q423" i="12"/>
  <c r="P423" i="12"/>
  <c r="M423" i="12"/>
  <c r="U422" i="12"/>
  <c r="T422" i="12"/>
  <c r="R422" i="12"/>
  <c r="Q422" i="12"/>
  <c r="P422" i="12"/>
  <c r="M422" i="12"/>
  <c r="U421" i="12"/>
  <c r="T421" i="12"/>
  <c r="R421" i="12"/>
  <c r="Q421" i="12"/>
  <c r="P421" i="12"/>
  <c r="M421" i="12"/>
  <c r="D421" i="12"/>
  <c r="J422" i="12" s="1"/>
  <c r="U420" i="12"/>
  <c r="T420" i="12"/>
  <c r="S420" i="12"/>
  <c r="R420" i="12"/>
  <c r="Q420" i="12"/>
  <c r="P420" i="12"/>
  <c r="U419" i="12"/>
  <c r="T419" i="12"/>
  <c r="S419" i="12"/>
  <c r="R419" i="12"/>
  <c r="Q419" i="12"/>
  <c r="P419" i="12"/>
  <c r="U418" i="12"/>
  <c r="T418" i="12"/>
  <c r="S418" i="12"/>
  <c r="R418" i="12"/>
  <c r="Q418" i="12"/>
  <c r="P418" i="12"/>
  <c r="D418" i="12"/>
  <c r="U417" i="12"/>
  <c r="T417" i="12"/>
  <c r="S417" i="12"/>
  <c r="R417" i="12"/>
  <c r="Q417" i="12"/>
  <c r="P417" i="12"/>
  <c r="U416" i="12"/>
  <c r="T416" i="12"/>
  <c r="S416" i="12"/>
  <c r="R416" i="12"/>
  <c r="P416" i="12"/>
  <c r="I416" i="12"/>
  <c r="E416" i="12"/>
  <c r="N416" i="12" s="1"/>
  <c r="U415" i="12"/>
  <c r="T415" i="12"/>
  <c r="S415" i="12"/>
  <c r="R415" i="12"/>
  <c r="Q415" i="12"/>
  <c r="P415" i="12"/>
  <c r="U414" i="12"/>
  <c r="T414" i="12"/>
  <c r="S414" i="12"/>
  <c r="R414" i="12"/>
  <c r="Q414" i="12"/>
  <c r="P414" i="12"/>
  <c r="U413" i="12"/>
  <c r="T413" i="12"/>
  <c r="S413" i="12"/>
  <c r="R413" i="12"/>
  <c r="Q413" i="12"/>
  <c r="P413" i="12"/>
  <c r="D413" i="12"/>
  <c r="U412" i="12"/>
  <c r="T412" i="12"/>
  <c r="S412" i="12"/>
  <c r="R412" i="12"/>
  <c r="Q412" i="12"/>
  <c r="P412" i="12"/>
  <c r="U411" i="12"/>
  <c r="T411" i="12"/>
  <c r="S411" i="12"/>
  <c r="R411" i="12"/>
  <c r="P411" i="12"/>
  <c r="E411" i="12"/>
  <c r="N411" i="12" s="1"/>
  <c r="O411" i="12" s="1"/>
  <c r="Q411" i="12" s="1"/>
  <c r="U410" i="12"/>
  <c r="T410" i="12"/>
  <c r="S410" i="12"/>
  <c r="R410" i="12"/>
  <c r="Q410" i="12"/>
  <c r="P410" i="12"/>
  <c r="U408" i="12"/>
  <c r="T408" i="12"/>
  <c r="R408" i="12"/>
  <c r="Q408" i="12"/>
  <c r="P408" i="12"/>
  <c r="M408" i="12"/>
  <c r="U407" i="12"/>
  <c r="T407" i="12"/>
  <c r="R407" i="12"/>
  <c r="Q407" i="12"/>
  <c r="P407" i="12"/>
  <c r="M407" i="12"/>
  <c r="U406" i="12"/>
  <c r="T406" i="12"/>
  <c r="R406" i="12"/>
  <c r="Q406" i="12"/>
  <c r="P406" i="12"/>
  <c r="M406" i="12"/>
  <c r="U405" i="12"/>
  <c r="T405" i="12"/>
  <c r="R405" i="12"/>
  <c r="Q405" i="12"/>
  <c r="P405" i="12"/>
  <c r="M405" i="12"/>
  <c r="U404" i="12"/>
  <c r="T404" i="12"/>
  <c r="R404" i="12"/>
  <c r="Q404" i="12"/>
  <c r="P404" i="12"/>
  <c r="M404" i="12"/>
  <c r="U403" i="12"/>
  <c r="T403" i="12"/>
  <c r="R403" i="12"/>
  <c r="Q403" i="12"/>
  <c r="P403" i="12"/>
  <c r="M403" i="12"/>
  <c r="U402" i="12"/>
  <c r="T402" i="12"/>
  <c r="R402" i="12"/>
  <c r="Q402" i="12"/>
  <c r="P402" i="12"/>
  <c r="M402" i="12"/>
  <c r="U401" i="12"/>
  <c r="T401" i="12"/>
  <c r="R401" i="12"/>
  <c r="Q401" i="12"/>
  <c r="P401" i="12"/>
  <c r="M401" i="12"/>
  <c r="D401" i="12"/>
  <c r="J407" i="12" s="1"/>
  <c r="N407" i="12" s="1"/>
  <c r="U400" i="12"/>
  <c r="T400" i="12"/>
  <c r="S400" i="12"/>
  <c r="R400" i="12"/>
  <c r="Q400" i="12"/>
  <c r="P400" i="12"/>
  <c r="U399" i="12"/>
  <c r="T399" i="12"/>
  <c r="S399" i="12"/>
  <c r="R399" i="12"/>
  <c r="Q399" i="12"/>
  <c r="P399" i="12"/>
  <c r="U398" i="12"/>
  <c r="T398" i="12"/>
  <c r="S398" i="12"/>
  <c r="R398" i="12"/>
  <c r="Q398" i="12"/>
  <c r="P398" i="12"/>
  <c r="D398" i="12"/>
  <c r="U397" i="12"/>
  <c r="T397" i="12"/>
  <c r="S397" i="12"/>
  <c r="R397" i="12"/>
  <c r="Q397" i="12"/>
  <c r="P397" i="12"/>
  <c r="U396" i="12"/>
  <c r="T396" i="12"/>
  <c r="S396" i="12"/>
  <c r="R396" i="12"/>
  <c r="P396" i="12"/>
  <c r="I396" i="12"/>
  <c r="E396" i="12"/>
  <c r="U395" i="12"/>
  <c r="T395" i="12"/>
  <c r="S395" i="12"/>
  <c r="R395" i="12"/>
  <c r="Q395" i="12"/>
  <c r="P395" i="12"/>
  <c r="U394" i="12"/>
  <c r="T394" i="12"/>
  <c r="S394" i="12"/>
  <c r="R394" i="12"/>
  <c r="Q394" i="12"/>
  <c r="P394" i="12"/>
  <c r="U393" i="12"/>
  <c r="T393" i="12"/>
  <c r="S393" i="12"/>
  <c r="R393" i="12"/>
  <c r="Q393" i="12"/>
  <c r="P393" i="12"/>
  <c r="D393" i="12"/>
  <c r="U392" i="12"/>
  <c r="T392" i="12"/>
  <c r="S392" i="12"/>
  <c r="R392" i="12"/>
  <c r="Q392" i="12"/>
  <c r="P392" i="12"/>
  <c r="U391" i="12"/>
  <c r="T391" i="12"/>
  <c r="S391" i="12"/>
  <c r="R391" i="12"/>
  <c r="P391" i="12"/>
  <c r="E391" i="12"/>
  <c r="N391" i="12" s="1"/>
  <c r="O391" i="12" s="1"/>
  <c r="Q391" i="12" s="1"/>
  <c r="U390" i="12"/>
  <c r="T390" i="12"/>
  <c r="S390" i="12"/>
  <c r="R390" i="12"/>
  <c r="Q390" i="12"/>
  <c r="P390" i="12"/>
  <c r="U388" i="12"/>
  <c r="T388" i="12"/>
  <c r="S388" i="12"/>
  <c r="Q388" i="12"/>
  <c r="P388" i="12"/>
  <c r="M388" i="12"/>
  <c r="U387" i="12"/>
  <c r="T387" i="12"/>
  <c r="S387" i="12"/>
  <c r="Q387" i="12"/>
  <c r="P387" i="12"/>
  <c r="M387" i="12"/>
  <c r="U386" i="12"/>
  <c r="T386" i="12"/>
  <c r="S386" i="12"/>
  <c r="Q386" i="12"/>
  <c r="P386" i="12"/>
  <c r="M386" i="12"/>
  <c r="U385" i="12"/>
  <c r="T385" i="12"/>
  <c r="R385" i="12"/>
  <c r="Q385" i="12"/>
  <c r="P385" i="12"/>
  <c r="M385" i="12"/>
  <c r="U384" i="12"/>
  <c r="T384" i="12"/>
  <c r="R384" i="12"/>
  <c r="Q384" i="12"/>
  <c r="P384" i="12"/>
  <c r="M384" i="12"/>
  <c r="U383" i="12"/>
  <c r="T383" i="12"/>
  <c r="R383" i="12"/>
  <c r="Q383" i="12"/>
  <c r="P383" i="12"/>
  <c r="M383" i="12"/>
  <c r="D383" i="12"/>
  <c r="J385" i="12" s="1"/>
  <c r="U382" i="12"/>
  <c r="T382" i="12"/>
  <c r="S382" i="12"/>
  <c r="R382" i="12"/>
  <c r="Q382" i="12"/>
  <c r="P382" i="12"/>
  <c r="U381" i="12"/>
  <c r="T381" i="12"/>
  <c r="S381" i="12"/>
  <c r="R381" i="12"/>
  <c r="Q381" i="12"/>
  <c r="P381" i="12"/>
  <c r="U380" i="12"/>
  <c r="T380" i="12"/>
  <c r="S380" i="12"/>
  <c r="R380" i="12"/>
  <c r="Q380" i="12"/>
  <c r="P380" i="12"/>
  <c r="U379" i="12"/>
  <c r="T379" i="12"/>
  <c r="S379" i="12"/>
  <c r="R379" i="12"/>
  <c r="P379" i="12"/>
  <c r="D379" i="12"/>
  <c r="J379" i="12" s="1"/>
  <c r="N379" i="12" s="1"/>
  <c r="O379" i="12" s="1"/>
  <c r="Q379" i="12" s="1"/>
  <c r="U378" i="12"/>
  <c r="T378" i="12"/>
  <c r="S378" i="12"/>
  <c r="R378" i="12"/>
  <c r="Q378" i="12"/>
  <c r="P378" i="12"/>
  <c r="U377" i="12"/>
  <c r="T377" i="12"/>
  <c r="S377" i="12"/>
  <c r="R377" i="12"/>
  <c r="Q377" i="12"/>
  <c r="P377" i="12"/>
  <c r="U376" i="12"/>
  <c r="T376" i="12"/>
  <c r="S376" i="12"/>
  <c r="R376" i="12"/>
  <c r="Q376" i="12"/>
  <c r="P376" i="12"/>
  <c r="D376" i="12"/>
  <c r="U375" i="12"/>
  <c r="T375" i="12"/>
  <c r="S375" i="12"/>
  <c r="R375" i="12"/>
  <c r="Q375" i="12"/>
  <c r="P375" i="12"/>
  <c r="U374" i="12"/>
  <c r="T374" i="12"/>
  <c r="S374" i="12"/>
  <c r="R374" i="12"/>
  <c r="P374" i="12"/>
  <c r="I374" i="12"/>
  <c r="E374" i="12"/>
  <c r="U373" i="12"/>
  <c r="T373" i="12"/>
  <c r="S373" i="12"/>
  <c r="R373" i="12"/>
  <c r="Q373" i="12"/>
  <c r="P373" i="12"/>
  <c r="U372" i="12"/>
  <c r="T372" i="12"/>
  <c r="S372" i="12"/>
  <c r="R372" i="12"/>
  <c r="Q372" i="12"/>
  <c r="P372" i="12"/>
  <c r="U371" i="12"/>
  <c r="T371" i="12"/>
  <c r="S371" i="12"/>
  <c r="R371" i="12"/>
  <c r="Q371" i="12"/>
  <c r="P371" i="12"/>
  <c r="D371" i="12"/>
  <c r="U370" i="12"/>
  <c r="T370" i="12"/>
  <c r="S370" i="12"/>
  <c r="R370" i="12"/>
  <c r="Q370" i="12"/>
  <c r="P370" i="12"/>
  <c r="U369" i="12"/>
  <c r="T369" i="12"/>
  <c r="S369" i="12"/>
  <c r="R369" i="12"/>
  <c r="P369" i="12"/>
  <c r="I369" i="12"/>
  <c r="E369" i="12"/>
  <c r="U368" i="12"/>
  <c r="T368" i="12"/>
  <c r="S368" i="12"/>
  <c r="R368" i="12"/>
  <c r="Q368" i="12"/>
  <c r="P368" i="12"/>
  <c r="U367" i="12"/>
  <c r="T367" i="12"/>
  <c r="S367" i="12"/>
  <c r="R367" i="12"/>
  <c r="Q367" i="12"/>
  <c r="P367" i="12"/>
  <c r="U366" i="12"/>
  <c r="T366" i="12"/>
  <c r="S366" i="12"/>
  <c r="R366" i="12"/>
  <c r="Q366" i="12"/>
  <c r="P366" i="12"/>
  <c r="D366" i="12"/>
  <c r="U365" i="12"/>
  <c r="T365" i="12"/>
  <c r="S365" i="12"/>
  <c r="R365" i="12"/>
  <c r="Q365" i="12"/>
  <c r="P365" i="12"/>
  <c r="U364" i="12"/>
  <c r="T364" i="12"/>
  <c r="S364" i="12"/>
  <c r="R364" i="12"/>
  <c r="P364" i="12"/>
  <c r="E364" i="12"/>
  <c r="U363" i="12"/>
  <c r="T363" i="12"/>
  <c r="S363" i="12"/>
  <c r="R363" i="12"/>
  <c r="Q363" i="12"/>
  <c r="P363" i="12"/>
  <c r="U361" i="12"/>
  <c r="T361" i="12"/>
  <c r="R361" i="12"/>
  <c r="Q361" i="12"/>
  <c r="P361" i="12"/>
  <c r="M361" i="12"/>
  <c r="U360" i="12"/>
  <c r="T360" i="12"/>
  <c r="R360" i="12"/>
  <c r="Q360" i="12"/>
  <c r="P360" i="12"/>
  <c r="M360" i="12"/>
  <c r="U359" i="12"/>
  <c r="T359" i="12"/>
  <c r="R359" i="12"/>
  <c r="Q359" i="12"/>
  <c r="P359" i="12"/>
  <c r="M359" i="12"/>
  <c r="U358" i="12"/>
  <c r="T358" i="12"/>
  <c r="R358" i="12"/>
  <c r="Q358" i="12"/>
  <c r="P358" i="12"/>
  <c r="M358" i="12"/>
  <c r="U357" i="12"/>
  <c r="S357" i="12"/>
  <c r="R357" i="12"/>
  <c r="Q357" i="12"/>
  <c r="P357" i="12"/>
  <c r="M357" i="12"/>
  <c r="U356" i="12"/>
  <c r="S356" i="12"/>
  <c r="R356" i="12"/>
  <c r="Q356" i="12"/>
  <c r="P356" i="12"/>
  <c r="M356" i="12"/>
  <c r="U355" i="12"/>
  <c r="S355" i="12"/>
  <c r="R355" i="12"/>
  <c r="Q355" i="12"/>
  <c r="P355" i="12"/>
  <c r="M355" i="12"/>
  <c r="D355" i="12"/>
  <c r="J359" i="12" s="1"/>
  <c r="U354" i="12"/>
  <c r="T354" i="12"/>
  <c r="S354" i="12"/>
  <c r="R354" i="12"/>
  <c r="Q354" i="12"/>
  <c r="P354" i="12"/>
  <c r="U353" i="12"/>
  <c r="T353" i="12"/>
  <c r="S353" i="12"/>
  <c r="R353" i="12"/>
  <c r="Q353" i="12"/>
  <c r="P353" i="12"/>
  <c r="U352" i="12"/>
  <c r="T352" i="12"/>
  <c r="S352" i="12"/>
  <c r="R352" i="12"/>
  <c r="Q352" i="12"/>
  <c r="P352" i="12"/>
  <c r="U351" i="12"/>
  <c r="T351" i="12"/>
  <c r="S351" i="12"/>
  <c r="R351" i="12"/>
  <c r="P351" i="12"/>
  <c r="D351" i="12"/>
  <c r="J351" i="12" s="1"/>
  <c r="N351" i="12" s="1"/>
  <c r="O351" i="12" s="1"/>
  <c r="Q351" i="12" s="1"/>
  <c r="U350" i="12"/>
  <c r="T350" i="12"/>
  <c r="S350" i="12"/>
  <c r="R350" i="12"/>
  <c r="Q350" i="12"/>
  <c r="P350" i="12"/>
  <c r="U349" i="12"/>
  <c r="T349" i="12"/>
  <c r="S349" i="12"/>
  <c r="R349" i="12"/>
  <c r="Q349" i="12"/>
  <c r="P349" i="12"/>
  <c r="U348" i="12"/>
  <c r="T348" i="12"/>
  <c r="S348" i="12"/>
  <c r="R348" i="12"/>
  <c r="Q348" i="12"/>
  <c r="P348" i="12"/>
  <c r="D348" i="12"/>
  <c r="U347" i="12"/>
  <c r="T347" i="12"/>
  <c r="S347" i="12"/>
  <c r="R347" i="12"/>
  <c r="Q347" i="12"/>
  <c r="P347" i="12"/>
  <c r="U346" i="12"/>
  <c r="T346" i="12"/>
  <c r="S346" i="12"/>
  <c r="R346" i="12"/>
  <c r="P346" i="12"/>
  <c r="I346" i="12"/>
  <c r="E346" i="12"/>
  <c r="N346" i="12" s="1"/>
  <c r="U345" i="12"/>
  <c r="T345" i="12"/>
  <c r="S345" i="12"/>
  <c r="R345" i="12"/>
  <c r="Q345" i="12"/>
  <c r="P345" i="12"/>
  <c r="U344" i="12"/>
  <c r="T344" i="12"/>
  <c r="S344" i="12"/>
  <c r="R344" i="12"/>
  <c r="Q344" i="12"/>
  <c r="P344" i="12"/>
  <c r="U343" i="12"/>
  <c r="T343" i="12"/>
  <c r="S343" i="12"/>
  <c r="R343" i="12"/>
  <c r="Q343" i="12"/>
  <c r="P343" i="12"/>
  <c r="D343" i="12"/>
  <c r="U342" i="12"/>
  <c r="T342" i="12"/>
  <c r="S342" i="12"/>
  <c r="R342" i="12"/>
  <c r="Q342" i="12"/>
  <c r="P342" i="12"/>
  <c r="U341" i="12"/>
  <c r="T341" i="12"/>
  <c r="S341" i="12"/>
  <c r="R341" i="12"/>
  <c r="P341" i="12"/>
  <c r="E341" i="12"/>
  <c r="N341" i="12" s="1"/>
  <c r="O341" i="12" s="1"/>
  <c r="Q341" i="12" s="1"/>
  <c r="U340" i="12"/>
  <c r="T340" i="12"/>
  <c r="S340" i="12"/>
  <c r="R340" i="12"/>
  <c r="Q340" i="12"/>
  <c r="P340" i="12"/>
  <c r="U338" i="12"/>
  <c r="T338" i="12"/>
  <c r="S338" i="12"/>
  <c r="Q338" i="12"/>
  <c r="P338" i="12"/>
  <c r="M338" i="12"/>
  <c r="U337" i="12"/>
  <c r="T337" i="12"/>
  <c r="S337" i="12"/>
  <c r="Q337" i="12"/>
  <c r="P337" i="12"/>
  <c r="M337" i="12"/>
  <c r="U336" i="12"/>
  <c r="T336" i="12"/>
  <c r="S336" i="12"/>
  <c r="Q336" i="12"/>
  <c r="P336" i="12"/>
  <c r="M336" i="12"/>
  <c r="U335" i="12"/>
  <c r="T335" i="12"/>
  <c r="S335" i="12"/>
  <c r="Q335" i="12"/>
  <c r="P335" i="12"/>
  <c r="M335" i="12"/>
  <c r="U334" i="12"/>
  <c r="T334" i="12"/>
  <c r="S334" i="12"/>
  <c r="Q334" i="12"/>
  <c r="P334" i="12"/>
  <c r="M334" i="12"/>
  <c r="U333" i="12"/>
  <c r="T333" i="12"/>
  <c r="R333" i="12"/>
  <c r="Q333" i="12"/>
  <c r="P333" i="12"/>
  <c r="M333" i="12"/>
  <c r="D333" i="12"/>
  <c r="J337" i="12" s="1"/>
  <c r="N337" i="12" s="1"/>
  <c r="U332" i="12"/>
  <c r="T332" i="12"/>
  <c r="S332" i="12"/>
  <c r="R332" i="12"/>
  <c r="Q332" i="12"/>
  <c r="P332" i="12"/>
  <c r="U331" i="12"/>
  <c r="T331" i="12"/>
  <c r="S331" i="12"/>
  <c r="R331" i="12"/>
  <c r="Q331" i="12"/>
  <c r="P331" i="12"/>
  <c r="U330" i="12"/>
  <c r="T330" i="12"/>
  <c r="S330" i="12"/>
  <c r="R330" i="12"/>
  <c r="Q330" i="12"/>
  <c r="P330" i="12"/>
  <c r="D330" i="12"/>
  <c r="U329" i="12"/>
  <c r="T329" i="12"/>
  <c r="S329" i="12"/>
  <c r="R329" i="12"/>
  <c r="Q329" i="12"/>
  <c r="P329" i="12"/>
  <c r="U328" i="12"/>
  <c r="T328" i="12"/>
  <c r="S328" i="12"/>
  <c r="R328" i="12"/>
  <c r="P328" i="12"/>
  <c r="I328" i="12"/>
  <c r="E328" i="12"/>
  <c r="N328" i="12" s="1"/>
  <c r="O328" i="12" s="1"/>
  <c r="Q328" i="12" s="1"/>
  <c r="U327" i="12"/>
  <c r="T327" i="12"/>
  <c r="S327" i="12"/>
  <c r="R327" i="12"/>
  <c r="Q327" i="12"/>
  <c r="P327" i="12"/>
  <c r="U326" i="12"/>
  <c r="T326" i="12"/>
  <c r="S326" i="12"/>
  <c r="R326" i="12"/>
  <c r="Q326" i="12"/>
  <c r="P326" i="12"/>
  <c r="U325" i="12"/>
  <c r="T325" i="12"/>
  <c r="S325" i="12"/>
  <c r="R325" i="12"/>
  <c r="Q325" i="12"/>
  <c r="P325" i="12"/>
  <c r="D325" i="12"/>
  <c r="U324" i="12"/>
  <c r="T324" i="12"/>
  <c r="S324" i="12"/>
  <c r="R324" i="12"/>
  <c r="Q324" i="12"/>
  <c r="P324" i="12"/>
  <c r="U323" i="12"/>
  <c r="T323" i="12"/>
  <c r="S323" i="12"/>
  <c r="R323" i="12"/>
  <c r="P323" i="12"/>
  <c r="E323" i="12"/>
  <c r="N323" i="12" s="1"/>
  <c r="O323" i="12" s="1"/>
  <c r="Q323" i="12" s="1"/>
  <c r="U322" i="12"/>
  <c r="T322" i="12"/>
  <c r="S322" i="12"/>
  <c r="R322" i="12"/>
  <c r="Q322" i="12"/>
  <c r="P322" i="12"/>
  <c r="U321" i="12"/>
  <c r="T321" i="12"/>
  <c r="S321" i="12"/>
  <c r="Q321" i="12"/>
  <c r="P321" i="12"/>
  <c r="M321" i="12"/>
  <c r="U320" i="12"/>
  <c r="T320" i="12"/>
  <c r="S320" i="12"/>
  <c r="Q320" i="12"/>
  <c r="P320" i="12"/>
  <c r="M320" i="12"/>
  <c r="U319" i="12"/>
  <c r="T319" i="12"/>
  <c r="S319" i="12"/>
  <c r="Q319" i="12"/>
  <c r="P319" i="12"/>
  <c r="M319" i="12"/>
  <c r="U318" i="12"/>
  <c r="T318" i="12"/>
  <c r="S318" i="12"/>
  <c r="Q318" i="12"/>
  <c r="P318" i="12"/>
  <c r="M318" i="12"/>
  <c r="U317" i="12"/>
  <c r="T317" i="12"/>
  <c r="R317" i="12"/>
  <c r="Q317" i="12"/>
  <c r="P317" i="12"/>
  <c r="M317" i="12"/>
  <c r="D317" i="12"/>
  <c r="J318" i="12" s="1"/>
  <c r="U316" i="12"/>
  <c r="T316" i="12"/>
  <c r="S316" i="12"/>
  <c r="R316" i="12"/>
  <c r="Q316" i="12"/>
  <c r="P316" i="12"/>
  <c r="U315" i="12"/>
  <c r="T315" i="12"/>
  <c r="S315" i="12"/>
  <c r="R315" i="12"/>
  <c r="Q315" i="12"/>
  <c r="P315" i="12"/>
  <c r="U314" i="12"/>
  <c r="T314" i="12"/>
  <c r="S314" i="12"/>
  <c r="R314" i="12"/>
  <c r="Q314" i="12"/>
  <c r="P314" i="12"/>
  <c r="U313" i="12"/>
  <c r="T313" i="12"/>
  <c r="S313" i="12"/>
  <c r="R313" i="12"/>
  <c r="P313" i="12"/>
  <c r="D313" i="12"/>
  <c r="J313" i="12" s="1"/>
  <c r="U312" i="12"/>
  <c r="T312" i="12"/>
  <c r="S312" i="12"/>
  <c r="R312" i="12"/>
  <c r="Q312" i="12"/>
  <c r="P312" i="12"/>
  <c r="U311" i="12"/>
  <c r="T311" i="12"/>
  <c r="S311" i="12"/>
  <c r="R311" i="12"/>
  <c r="Q311" i="12"/>
  <c r="P311" i="12"/>
  <c r="U310" i="12"/>
  <c r="T310" i="12"/>
  <c r="S310" i="12"/>
  <c r="R310" i="12"/>
  <c r="Q310" i="12"/>
  <c r="P310" i="12"/>
  <c r="D310" i="12"/>
  <c r="U309" i="12"/>
  <c r="T309" i="12"/>
  <c r="S309" i="12"/>
  <c r="R309" i="12"/>
  <c r="Q309" i="12"/>
  <c r="P309" i="12"/>
  <c r="U308" i="12"/>
  <c r="T308" i="12"/>
  <c r="S308" i="12"/>
  <c r="R308" i="12"/>
  <c r="P308" i="12"/>
  <c r="E308" i="12"/>
  <c r="U307" i="12"/>
  <c r="T307" i="12"/>
  <c r="S307" i="12"/>
  <c r="R307" i="12"/>
  <c r="Q307" i="12"/>
  <c r="P307" i="12"/>
  <c r="U306" i="12"/>
  <c r="T306" i="12"/>
  <c r="S306" i="12"/>
  <c r="R306" i="12"/>
  <c r="Q306" i="12"/>
  <c r="P306" i="12"/>
  <c r="U305" i="12"/>
  <c r="T305" i="12"/>
  <c r="S305" i="12"/>
  <c r="R305" i="12"/>
  <c r="Q305" i="12"/>
  <c r="P305" i="12"/>
  <c r="D305" i="12"/>
  <c r="U304" i="12"/>
  <c r="T304" i="12"/>
  <c r="S304" i="12"/>
  <c r="R304" i="12"/>
  <c r="Q304" i="12"/>
  <c r="P304" i="12"/>
  <c r="U303" i="12"/>
  <c r="T303" i="12"/>
  <c r="S303" i="12"/>
  <c r="R303" i="12"/>
  <c r="P303" i="12"/>
  <c r="E303" i="12"/>
  <c r="U302" i="12"/>
  <c r="T302" i="12"/>
  <c r="S302" i="12"/>
  <c r="R302" i="12"/>
  <c r="Q302" i="12"/>
  <c r="P302" i="12"/>
  <c r="U301" i="12"/>
  <c r="T301" i="12"/>
  <c r="S301" i="12"/>
  <c r="R301" i="12"/>
  <c r="Q301" i="12"/>
  <c r="P301" i="12"/>
  <c r="U300" i="12"/>
  <c r="T300" i="12"/>
  <c r="S300" i="12"/>
  <c r="R300" i="12"/>
  <c r="Q300" i="12"/>
  <c r="P300" i="12"/>
  <c r="D300" i="12"/>
  <c r="U299" i="12"/>
  <c r="T299" i="12"/>
  <c r="S299" i="12"/>
  <c r="R299" i="12"/>
  <c r="Q299" i="12"/>
  <c r="P299" i="12"/>
  <c r="U298" i="12"/>
  <c r="T298" i="12"/>
  <c r="S298" i="12"/>
  <c r="R298" i="12"/>
  <c r="P298" i="12"/>
  <c r="N298" i="12"/>
  <c r="O298" i="12" s="1"/>
  <c r="Q298" i="12" s="1"/>
  <c r="E298" i="12"/>
  <c r="U297" i="12"/>
  <c r="T297" i="12"/>
  <c r="S297" i="12"/>
  <c r="R297" i="12"/>
  <c r="Q297" i="12"/>
  <c r="P297" i="12"/>
  <c r="U296" i="12"/>
  <c r="T296" i="12"/>
  <c r="S296" i="12"/>
  <c r="R296" i="12"/>
  <c r="Q296" i="12"/>
  <c r="P296" i="12"/>
  <c r="U295" i="12"/>
  <c r="T295" i="12"/>
  <c r="S295" i="12"/>
  <c r="R295" i="12"/>
  <c r="Q295" i="12"/>
  <c r="P295" i="12"/>
  <c r="D295" i="12"/>
  <c r="U294" i="12"/>
  <c r="T294" i="12"/>
  <c r="S294" i="12"/>
  <c r="R294" i="12"/>
  <c r="Q294" i="12"/>
  <c r="P294" i="12"/>
  <c r="U293" i="12"/>
  <c r="T293" i="12"/>
  <c r="S293" i="12"/>
  <c r="R293" i="12"/>
  <c r="P293" i="12"/>
  <c r="E293" i="12"/>
  <c r="U292" i="12"/>
  <c r="T292" i="12"/>
  <c r="S292" i="12"/>
  <c r="R292" i="12"/>
  <c r="Q292" i="12"/>
  <c r="P292" i="12"/>
  <c r="U291" i="12"/>
  <c r="T291" i="12"/>
  <c r="S291" i="12"/>
  <c r="R291" i="12"/>
  <c r="Q291" i="12"/>
  <c r="P291" i="12"/>
  <c r="U290" i="12"/>
  <c r="T290" i="12"/>
  <c r="S290" i="12"/>
  <c r="R290" i="12"/>
  <c r="Q290" i="12"/>
  <c r="P290" i="12"/>
  <c r="D290" i="12"/>
  <c r="U289" i="12"/>
  <c r="T289" i="12"/>
  <c r="S289" i="12"/>
  <c r="R289" i="12"/>
  <c r="Q289" i="12"/>
  <c r="P289" i="12"/>
  <c r="U288" i="12"/>
  <c r="T288" i="12"/>
  <c r="S288" i="12"/>
  <c r="R288" i="12"/>
  <c r="P288" i="12"/>
  <c r="E288" i="12"/>
  <c r="U287" i="12"/>
  <c r="T287" i="12"/>
  <c r="S287" i="12"/>
  <c r="R287" i="12"/>
  <c r="Q287" i="12"/>
  <c r="P287" i="12"/>
  <c r="U286" i="12"/>
  <c r="T286" i="12"/>
  <c r="S286" i="12"/>
  <c r="R286" i="12"/>
  <c r="Q286" i="12"/>
  <c r="P286" i="12"/>
  <c r="U285" i="12"/>
  <c r="T285" i="12"/>
  <c r="S285" i="12"/>
  <c r="R285" i="12"/>
  <c r="Q285" i="12"/>
  <c r="P285" i="12"/>
  <c r="D285" i="12"/>
  <c r="U284" i="12"/>
  <c r="T284" i="12"/>
  <c r="S284" i="12"/>
  <c r="R284" i="12"/>
  <c r="Q284" i="12"/>
  <c r="P284" i="12"/>
  <c r="U283" i="12"/>
  <c r="T283" i="12"/>
  <c r="S283" i="12"/>
  <c r="R283" i="12"/>
  <c r="P283" i="12"/>
  <c r="E283" i="12"/>
  <c r="U282" i="12"/>
  <c r="T282" i="12"/>
  <c r="S282" i="12"/>
  <c r="R282" i="12"/>
  <c r="Q282" i="12"/>
  <c r="P282" i="12"/>
  <c r="U281" i="12"/>
  <c r="T281" i="12"/>
  <c r="S281" i="12"/>
  <c r="R281" i="12"/>
  <c r="Q281" i="12"/>
  <c r="P281" i="12"/>
  <c r="U280" i="12"/>
  <c r="T280" i="12"/>
  <c r="S280" i="12"/>
  <c r="R280" i="12"/>
  <c r="Q280" i="12"/>
  <c r="P280" i="12"/>
  <c r="U279" i="12"/>
  <c r="T279" i="12"/>
  <c r="S279" i="12"/>
  <c r="R279" i="12"/>
  <c r="P279" i="12"/>
  <c r="M279" i="12"/>
  <c r="U278" i="12"/>
  <c r="T278" i="12"/>
  <c r="S278" i="12"/>
  <c r="Q278" i="12"/>
  <c r="P278" i="12"/>
  <c r="M278" i="12"/>
  <c r="U277" i="12"/>
  <c r="T277" i="12"/>
  <c r="R277" i="12"/>
  <c r="Q277" i="12"/>
  <c r="P277" i="12"/>
  <c r="M277" i="12"/>
  <c r="D277" i="12"/>
  <c r="J277" i="12" s="1"/>
  <c r="U276" i="12"/>
  <c r="T276" i="12"/>
  <c r="S276" i="12"/>
  <c r="R276" i="12"/>
  <c r="Q276" i="12"/>
  <c r="P276" i="12"/>
  <c r="U275" i="12"/>
  <c r="T275" i="12"/>
  <c r="S275" i="12"/>
  <c r="R275" i="12"/>
  <c r="Q275" i="12"/>
  <c r="P275" i="12"/>
  <c r="U274" i="12"/>
  <c r="T274" i="12"/>
  <c r="S274" i="12"/>
  <c r="R274" i="12"/>
  <c r="Q274" i="12"/>
  <c r="P274" i="12"/>
  <c r="U273" i="12"/>
  <c r="T273" i="12"/>
  <c r="S273" i="12"/>
  <c r="R273" i="12"/>
  <c r="P273" i="12"/>
  <c r="D273" i="12"/>
  <c r="J273" i="12" s="1"/>
  <c r="U272" i="12"/>
  <c r="T272" i="12"/>
  <c r="S272" i="12"/>
  <c r="R272" i="12"/>
  <c r="Q272" i="12"/>
  <c r="P272" i="12"/>
  <c r="U271" i="12"/>
  <c r="T271" i="12"/>
  <c r="S271" i="12"/>
  <c r="R271" i="12"/>
  <c r="Q271" i="12"/>
  <c r="P271" i="12"/>
  <c r="U270" i="12"/>
  <c r="T270" i="12"/>
  <c r="S270" i="12"/>
  <c r="R270" i="12"/>
  <c r="Q270" i="12"/>
  <c r="P270" i="12"/>
  <c r="D270" i="12"/>
  <c r="U269" i="12"/>
  <c r="T269" i="12"/>
  <c r="S269" i="12"/>
  <c r="R269" i="12"/>
  <c r="Q269" i="12"/>
  <c r="P269" i="12"/>
  <c r="U268" i="12"/>
  <c r="T268" i="12"/>
  <c r="S268" i="12"/>
  <c r="R268" i="12"/>
  <c r="P268" i="12"/>
  <c r="E268" i="12"/>
  <c r="N268" i="12" s="1"/>
  <c r="O268" i="12" s="1"/>
  <c r="Q268" i="12" s="1"/>
  <c r="U267" i="12"/>
  <c r="T267" i="12"/>
  <c r="S267" i="12"/>
  <c r="R267" i="12"/>
  <c r="Q267" i="12"/>
  <c r="P267" i="12"/>
  <c r="U266" i="12"/>
  <c r="T266" i="12"/>
  <c r="S266" i="12"/>
  <c r="R266" i="12"/>
  <c r="Q266" i="12"/>
  <c r="P266" i="12"/>
  <c r="U265" i="12"/>
  <c r="T265" i="12"/>
  <c r="S265" i="12"/>
  <c r="R265" i="12"/>
  <c r="Q265" i="12"/>
  <c r="P265" i="12"/>
  <c r="D265" i="12"/>
  <c r="U264" i="12"/>
  <c r="T264" i="12"/>
  <c r="S264" i="12"/>
  <c r="R264" i="12"/>
  <c r="Q264" i="12"/>
  <c r="P264" i="12"/>
  <c r="U263" i="12"/>
  <c r="T263" i="12"/>
  <c r="S263" i="12"/>
  <c r="R263" i="12"/>
  <c r="P263" i="12"/>
  <c r="E263" i="12"/>
  <c r="N263" i="12" s="1"/>
  <c r="O263" i="12" s="1"/>
  <c r="Q263" i="12" s="1"/>
  <c r="U262" i="12"/>
  <c r="T262" i="12"/>
  <c r="S262" i="12"/>
  <c r="R262" i="12"/>
  <c r="Q262" i="12"/>
  <c r="P262" i="12"/>
  <c r="U261" i="12"/>
  <c r="T261" i="12"/>
  <c r="S261" i="12"/>
  <c r="R261" i="12"/>
  <c r="Q261" i="12"/>
  <c r="P261" i="12"/>
  <c r="U260" i="12"/>
  <c r="T260" i="12"/>
  <c r="S260" i="12"/>
  <c r="R260" i="12"/>
  <c r="Q260" i="12"/>
  <c r="P260" i="12"/>
  <c r="D260" i="12"/>
  <c r="U259" i="12"/>
  <c r="T259" i="12"/>
  <c r="S259" i="12"/>
  <c r="R259" i="12"/>
  <c r="Q259" i="12"/>
  <c r="P259" i="12"/>
  <c r="U258" i="12"/>
  <c r="T258" i="12"/>
  <c r="S258" i="12"/>
  <c r="R258" i="12"/>
  <c r="P258" i="12"/>
  <c r="E258" i="12"/>
  <c r="U257" i="12"/>
  <c r="T257" i="12"/>
  <c r="S257" i="12"/>
  <c r="R257" i="12"/>
  <c r="Q257" i="12"/>
  <c r="P257" i="12"/>
  <c r="U256" i="12"/>
  <c r="T256" i="12"/>
  <c r="S256" i="12"/>
  <c r="R256" i="12"/>
  <c r="Q256" i="12"/>
  <c r="P256" i="12"/>
  <c r="U255" i="12"/>
  <c r="T255" i="12"/>
  <c r="S255" i="12"/>
  <c r="R255" i="12"/>
  <c r="Q255" i="12"/>
  <c r="P255" i="12"/>
  <c r="D255" i="12"/>
  <c r="U254" i="12"/>
  <c r="T254" i="12"/>
  <c r="S254" i="12"/>
  <c r="R254" i="12"/>
  <c r="Q254" i="12"/>
  <c r="P254" i="12"/>
  <c r="U253" i="12"/>
  <c r="T253" i="12"/>
  <c r="S253" i="12"/>
  <c r="R253" i="12"/>
  <c r="P253" i="12"/>
  <c r="E253" i="12"/>
  <c r="U252" i="12"/>
  <c r="T252" i="12"/>
  <c r="S252" i="12"/>
  <c r="R252" i="12"/>
  <c r="Q252" i="12"/>
  <c r="P252" i="12"/>
  <c r="U251" i="12"/>
  <c r="T251" i="12"/>
  <c r="S251" i="12"/>
  <c r="R251" i="12"/>
  <c r="Q251" i="12"/>
  <c r="P251" i="12"/>
  <c r="U250" i="12"/>
  <c r="T250" i="12"/>
  <c r="S250" i="12"/>
  <c r="R250" i="12"/>
  <c r="Q250" i="12"/>
  <c r="P250" i="12"/>
  <c r="D250" i="12"/>
  <c r="U249" i="12"/>
  <c r="T249" i="12"/>
  <c r="S249" i="12"/>
  <c r="R249" i="12"/>
  <c r="Q249" i="12"/>
  <c r="P249" i="12"/>
  <c r="U248" i="12"/>
  <c r="T248" i="12"/>
  <c r="S248" i="12"/>
  <c r="R248" i="12"/>
  <c r="P248" i="12"/>
  <c r="E248" i="12"/>
  <c r="N248" i="12" s="1"/>
  <c r="O248" i="12" s="1"/>
  <c r="Q248" i="12" s="1"/>
  <c r="U247" i="12"/>
  <c r="T247" i="12"/>
  <c r="S247" i="12"/>
  <c r="R247" i="12"/>
  <c r="Q247" i="12"/>
  <c r="P247" i="12"/>
  <c r="U246" i="12"/>
  <c r="T246" i="12"/>
  <c r="S246" i="12"/>
  <c r="R246" i="12"/>
  <c r="Q246" i="12"/>
  <c r="P246" i="12"/>
  <c r="U245" i="12"/>
  <c r="T245" i="12"/>
  <c r="S245" i="12"/>
  <c r="R245" i="12"/>
  <c r="Q245" i="12"/>
  <c r="P245" i="12"/>
  <c r="D245" i="12"/>
  <c r="U244" i="12"/>
  <c r="T244" i="12"/>
  <c r="S244" i="12"/>
  <c r="R244" i="12"/>
  <c r="Q244" i="12"/>
  <c r="P244" i="12"/>
  <c r="U243" i="12"/>
  <c r="T243" i="12"/>
  <c r="S243" i="12"/>
  <c r="R243" i="12"/>
  <c r="P243" i="12"/>
  <c r="E243" i="12"/>
  <c r="N243" i="12" s="1"/>
  <c r="O243" i="12" s="1"/>
  <c r="Q243" i="12" s="1"/>
  <c r="U242" i="12"/>
  <c r="T242" i="12"/>
  <c r="S242" i="12"/>
  <c r="R242" i="12"/>
  <c r="Q242" i="12"/>
  <c r="P242" i="12"/>
  <c r="U241" i="12"/>
  <c r="T241" i="12"/>
  <c r="S241" i="12"/>
  <c r="R241" i="12"/>
  <c r="Q241" i="12"/>
  <c r="P241" i="12"/>
  <c r="U240" i="12"/>
  <c r="T240" i="12"/>
  <c r="S240" i="12"/>
  <c r="R240" i="12"/>
  <c r="Q240" i="12"/>
  <c r="P240" i="12"/>
  <c r="U239" i="12"/>
  <c r="T239" i="12"/>
  <c r="S239" i="12"/>
  <c r="R239" i="12"/>
  <c r="P239" i="12"/>
  <c r="M239" i="12"/>
  <c r="U238" i="12"/>
  <c r="T238" i="12"/>
  <c r="S238" i="12"/>
  <c r="Q238" i="12"/>
  <c r="P238" i="12"/>
  <c r="M238" i="12"/>
  <c r="U237" i="12"/>
  <c r="T237" i="12"/>
  <c r="R237" i="12"/>
  <c r="Q237" i="12"/>
  <c r="P237" i="12"/>
  <c r="M237" i="12"/>
  <c r="D237" i="12"/>
  <c r="J238" i="12" s="1"/>
  <c r="N238" i="12" s="1"/>
  <c r="U236" i="12"/>
  <c r="T236" i="12"/>
  <c r="S236" i="12"/>
  <c r="R236" i="12"/>
  <c r="Q236" i="12"/>
  <c r="P236" i="12"/>
  <c r="U235" i="12"/>
  <c r="T235" i="12"/>
  <c r="S235" i="12"/>
  <c r="R235" i="12"/>
  <c r="Q235" i="12"/>
  <c r="P235" i="12"/>
  <c r="U234" i="12"/>
  <c r="T234" i="12"/>
  <c r="S234" i="12"/>
  <c r="R234" i="12"/>
  <c r="Q234" i="12"/>
  <c r="P234" i="12"/>
  <c r="D234" i="12"/>
  <c r="U233" i="12"/>
  <c r="T233" i="12"/>
  <c r="S233" i="12"/>
  <c r="R233" i="12"/>
  <c r="Q233" i="12"/>
  <c r="P233" i="12"/>
  <c r="U232" i="12"/>
  <c r="T232" i="12"/>
  <c r="S232" i="12"/>
  <c r="R232" i="12"/>
  <c r="Q232" i="12"/>
  <c r="P232" i="12"/>
  <c r="U231" i="12"/>
  <c r="T231" i="12"/>
  <c r="S231" i="12"/>
  <c r="R231" i="12"/>
  <c r="P231" i="12"/>
  <c r="U230" i="12"/>
  <c r="T230" i="12"/>
  <c r="S230" i="12"/>
  <c r="R230" i="12"/>
  <c r="Q230" i="12"/>
  <c r="P230" i="12"/>
  <c r="U229" i="12"/>
  <c r="T229" i="12"/>
  <c r="S229" i="12"/>
  <c r="R229" i="12"/>
  <c r="Q229" i="12"/>
  <c r="P229" i="12"/>
  <c r="D229" i="12"/>
  <c r="U228" i="12"/>
  <c r="T228" i="12"/>
  <c r="S228" i="12"/>
  <c r="R228" i="12"/>
  <c r="Q228" i="12"/>
  <c r="P228" i="12"/>
  <c r="U227" i="12"/>
  <c r="T227" i="12"/>
  <c r="S227" i="12"/>
  <c r="R227" i="12"/>
  <c r="Q227" i="12"/>
  <c r="P227" i="12"/>
  <c r="U226" i="12"/>
  <c r="T226" i="12"/>
  <c r="S226" i="12"/>
  <c r="R226" i="12"/>
  <c r="P226" i="12"/>
  <c r="U225" i="12"/>
  <c r="T225" i="12"/>
  <c r="S225" i="12"/>
  <c r="R225" i="12"/>
  <c r="Q225" i="12"/>
  <c r="P225" i="12"/>
  <c r="U224" i="12"/>
  <c r="T224" i="12"/>
  <c r="S224" i="12"/>
  <c r="R224" i="12"/>
  <c r="Q224" i="12"/>
  <c r="P224" i="12"/>
  <c r="D224" i="12"/>
  <c r="U223" i="12"/>
  <c r="T223" i="12"/>
  <c r="S223" i="12"/>
  <c r="R223" i="12"/>
  <c r="Q223" i="12"/>
  <c r="P223" i="12"/>
  <c r="U222" i="12"/>
  <c r="T222" i="12"/>
  <c r="S222" i="12"/>
  <c r="R222" i="12"/>
  <c r="P222" i="12"/>
  <c r="E222" i="12"/>
  <c r="N222" i="12" s="1"/>
  <c r="O222" i="12" s="1"/>
  <c r="Q222" i="12" s="1"/>
  <c r="U221" i="12"/>
  <c r="T221" i="12"/>
  <c r="S221" i="12"/>
  <c r="R221" i="12"/>
  <c r="Q221" i="12"/>
  <c r="P221" i="12"/>
  <c r="U220" i="12"/>
  <c r="T220" i="12"/>
  <c r="S220" i="12"/>
  <c r="R220" i="12"/>
  <c r="Q220" i="12"/>
  <c r="P220" i="12"/>
  <c r="U219" i="12"/>
  <c r="T219" i="12"/>
  <c r="S219" i="12"/>
  <c r="R219" i="12"/>
  <c r="Q219" i="12"/>
  <c r="P219" i="12"/>
  <c r="D219" i="12"/>
  <c r="U218" i="12"/>
  <c r="T218" i="12"/>
  <c r="S218" i="12"/>
  <c r="R218" i="12"/>
  <c r="Q218" i="12"/>
  <c r="P218" i="12"/>
  <c r="U217" i="12"/>
  <c r="T217" i="12"/>
  <c r="S217" i="12"/>
  <c r="R217" i="12"/>
  <c r="P217" i="12"/>
  <c r="E217" i="12"/>
  <c r="N217" i="12" s="1"/>
  <c r="O217" i="12" s="1"/>
  <c r="Q217" i="12" s="1"/>
  <c r="U216" i="12"/>
  <c r="T216" i="12"/>
  <c r="S216" i="12"/>
  <c r="R216" i="12"/>
  <c r="Q216" i="12"/>
  <c r="P216" i="12"/>
  <c r="U215" i="12"/>
  <c r="T215" i="12"/>
  <c r="S215" i="12"/>
  <c r="R215" i="12"/>
  <c r="Q215" i="12"/>
  <c r="P215" i="12"/>
  <c r="U214" i="12"/>
  <c r="S214" i="12"/>
  <c r="R214" i="12"/>
  <c r="Q214" i="12"/>
  <c r="P214" i="12"/>
  <c r="M214" i="12"/>
  <c r="U213" i="12"/>
  <c r="S213" i="12"/>
  <c r="R213" i="12"/>
  <c r="Q213" i="12"/>
  <c r="P213" i="12"/>
  <c r="M213" i="12"/>
  <c r="U212" i="12"/>
  <c r="S212" i="12"/>
  <c r="R212" i="12"/>
  <c r="Q212" i="12"/>
  <c r="P212" i="12"/>
  <c r="M212" i="12"/>
  <c r="U211" i="12"/>
  <c r="S211" i="12"/>
  <c r="R211" i="12"/>
  <c r="Q211" i="12"/>
  <c r="P211" i="12"/>
  <c r="M211" i="12"/>
  <c r="D211" i="12"/>
  <c r="J211" i="12" s="1"/>
  <c r="U210" i="12"/>
  <c r="T210" i="12"/>
  <c r="S210" i="12"/>
  <c r="R210" i="12"/>
  <c r="Q210" i="12"/>
  <c r="P210" i="12"/>
  <c r="U209" i="12"/>
  <c r="T209" i="12"/>
  <c r="S209" i="12"/>
  <c r="R209" i="12"/>
  <c r="Q209" i="12"/>
  <c r="P209" i="12"/>
  <c r="U208" i="12"/>
  <c r="T208" i="12"/>
  <c r="S208" i="12"/>
  <c r="R208" i="12"/>
  <c r="Q208" i="12"/>
  <c r="P208" i="12"/>
  <c r="D208" i="12"/>
  <c r="U207" i="12"/>
  <c r="T207" i="12"/>
  <c r="S207" i="12"/>
  <c r="R207" i="12"/>
  <c r="Q207" i="12"/>
  <c r="P207" i="12"/>
  <c r="U206" i="12"/>
  <c r="T206" i="12"/>
  <c r="S206" i="12"/>
  <c r="R206" i="12"/>
  <c r="Q206" i="12"/>
  <c r="P206" i="12"/>
  <c r="U205" i="12"/>
  <c r="T205" i="12"/>
  <c r="S205" i="12"/>
  <c r="R205" i="12"/>
  <c r="P205" i="12"/>
  <c r="U204" i="12"/>
  <c r="T204" i="12"/>
  <c r="S204" i="12"/>
  <c r="R204" i="12"/>
  <c r="Q204" i="12"/>
  <c r="P204" i="12"/>
  <c r="U203" i="12"/>
  <c r="T203" i="12"/>
  <c r="S203" i="12"/>
  <c r="R203" i="12"/>
  <c r="Q203" i="12"/>
  <c r="P203" i="12"/>
  <c r="D203" i="12"/>
  <c r="U202" i="12"/>
  <c r="T202" i="12"/>
  <c r="S202" i="12"/>
  <c r="R202" i="12"/>
  <c r="Q202" i="12"/>
  <c r="P202" i="12"/>
  <c r="U201" i="12"/>
  <c r="T201" i="12"/>
  <c r="S201" i="12"/>
  <c r="R201" i="12"/>
  <c r="Q201" i="12"/>
  <c r="P201" i="12"/>
  <c r="U200" i="12"/>
  <c r="T200" i="12"/>
  <c r="S200" i="12"/>
  <c r="R200" i="12"/>
  <c r="P200" i="12"/>
  <c r="U199" i="12"/>
  <c r="T199" i="12"/>
  <c r="S199" i="12"/>
  <c r="R199" i="12"/>
  <c r="Q199" i="12"/>
  <c r="P199" i="12"/>
  <c r="U198" i="12"/>
  <c r="T198" i="12"/>
  <c r="S198" i="12"/>
  <c r="R198" i="12"/>
  <c r="Q198" i="12"/>
  <c r="P198" i="12"/>
  <c r="D198" i="12"/>
  <c r="U197" i="12"/>
  <c r="T197" i="12"/>
  <c r="S197" i="12"/>
  <c r="R197" i="12"/>
  <c r="Q197" i="12"/>
  <c r="P197" i="12"/>
  <c r="U196" i="12"/>
  <c r="T196" i="12"/>
  <c r="S196" i="12"/>
  <c r="R196" i="12"/>
  <c r="P196" i="12"/>
  <c r="E196" i="12"/>
  <c r="U195" i="12"/>
  <c r="T195" i="12"/>
  <c r="S195" i="12"/>
  <c r="R195" i="12"/>
  <c r="Q195" i="12"/>
  <c r="P195" i="12"/>
  <c r="U194" i="12"/>
  <c r="T194" i="12"/>
  <c r="S194" i="12"/>
  <c r="R194" i="12"/>
  <c r="Q194" i="12"/>
  <c r="P194" i="12"/>
  <c r="U193" i="12"/>
  <c r="T193" i="12"/>
  <c r="S193" i="12"/>
  <c r="R193" i="12"/>
  <c r="Q193" i="12"/>
  <c r="P193" i="12"/>
  <c r="D193" i="12"/>
  <c r="U192" i="12"/>
  <c r="T192" i="12"/>
  <c r="S192" i="12"/>
  <c r="R192" i="12"/>
  <c r="Q192" i="12"/>
  <c r="P192" i="12"/>
  <c r="U191" i="12"/>
  <c r="T191" i="12"/>
  <c r="S191" i="12"/>
  <c r="R191" i="12"/>
  <c r="P191" i="12"/>
  <c r="E191" i="12"/>
  <c r="U190" i="12"/>
  <c r="T190" i="12"/>
  <c r="S190" i="12"/>
  <c r="R190" i="12"/>
  <c r="Q190" i="12"/>
  <c r="P190" i="12"/>
  <c r="U189" i="12"/>
  <c r="T189" i="12"/>
  <c r="S189" i="12"/>
  <c r="R189" i="12"/>
  <c r="Q189" i="12"/>
  <c r="P189" i="12"/>
  <c r="U188" i="12"/>
  <c r="T188" i="12"/>
  <c r="S188" i="12"/>
  <c r="R188" i="12"/>
  <c r="Q188" i="12"/>
  <c r="P188" i="12"/>
  <c r="D188" i="12"/>
  <c r="U187" i="12"/>
  <c r="T187" i="12"/>
  <c r="S187" i="12"/>
  <c r="R187" i="12"/>
  <c r="Q187" i="12"/>
  <c r="P187" i="12"/>
  <c r="U186" i="12"/>
  <c r="T186" i="12"/>
  <c r="S186" i="12"/>
  <c r="R186" i="12"/>
  <c r="P186" i="12"/>
  <c r="E186" i="12"/>
  <c r="N186" i="12" s="1"/>
  <c r="O186" i="12" s="1"/>
  <c r="Q186" i="12" s="1"/>
  <c r="U185" i="12"/>
  <c r="T185" i="12"/>
  <c r="S185" i="12"/>
  <c r="R185" i="12"/>
  <c r="Q185" i="12"/>
  <c r="P185" i="12"/>
  <c r="U184" i="12"/>
  <c r="T184" i="12"/>
  <c r="S184" i="12"/>
  <c r="R184" i="12"/>
  <c r="Q184" i="12"/>
  <c r="P184" i="12"/>
  <c r="U183" i="12"/>
  <c r="T183" i="12"/>
  <c r="S183" i="12"/>
  <c r="Q183" i="12"/>
  <c r="P183" i="12"/>
  <c r="M183" i="12"/>
  <c r="J183" i="12"/>
  <c r="N183" i="12" s="1"/>
  <c r="K183" i="12" s="1"/>
  <c r="U182" i="12"/>
  <c r="T182" i="12"/>
  <c r="S182" i="12"/>
  <c r="Q182" i="12"/>
  <c r="P182" i="12"/>
  <c r="M182" i="12"/>
  <c r="U181" i="12"/>
  <c r="T181" i="12"/>
  <c r="S181" i="12"/>
  <c r="Q181" i="12"/>
  <c r="P181" i="12"/>
  <c r="M181" i="12"/>
  <c r="U180" i="12"/>
  <c r="T180" i="12"/>
  <c r="S180" i="12"/>
  <c r="Q180" i="12"/>
  <c r="P180" i="12"/>
  <c r="M180" i="12"/>
  <c r="U179" i="12"/>
  <c r="T179" i="12"/>
  <c r="R179" i="12"/>
  <c r="Q179" i="12"/>
  <c r="P179" i="12"/>
  <c r="M179" i="12"/>
  <c r="D179" i="12"/>
  <c r="J180" i="12" s="1"/>
  <c r="U178" i="12"/>
  <c r="T178" i="12"/>
  <c r="S178" i="12"/>
  <c r="R178" i="12"/>
  <c r="Q178" i="12"/>
  <c r="P178" i="12"/>
  <c r="U177" i="12"/>
  <c r="T177" i="12"/>
  <c r="S177" i="12"/>
  <c r="R177" i="12"/>
  <c r="Q177" i="12"/>
  <c r="P177" i="12"/>
  <c r="U176" i="12"/>
  <c r="T176" i="12"/>
  <c r="S176" i="12"/>
  <c r="R176" i="12"/>
  <c r="Q176" i="12"/>
  <c r="P176" i="12"/>
  <c r="U175" i="12"/>
  <c r="T175" i="12"/>
  <c r="S175" i="12"/>
  <c r="R175" i="12"/>
  <c r="P175" i="12"/>
  <c r="D175" i="12"/>
  <c r="J175" i="12" s="1"/>
  <c r="U174" i="12"/>
  <c r="T174" i="12"/>
  <c r="S174" i="12"/>
  <c r="R174" i="12"/>
  <c r="Q174" i="12"/>
  <c r="P174" i="12"/>
  <c r="U173" i="12"/>
  <c r="T173" i="12"/>
  <c r="S173" i="12"/>
  <c r="R173" i="12"/>
  <c r="Q173" i="12"/>
  <c r="P173" i="12"/>
  <c r="U172" i="12"/>
  <c r="T172" i="12"/>
  <c r="S172" i="12"/>
  <c r="R172" i="12"/>
  <c r="Q172" i="12"/>
  <c r="P172" i="12"/>
  <c r="D172" i="12"/>
  <c r="N169" i="12" s="1"/>
  <c r="O169" i="12" s="1"/>
  <c r="Q169" i="12" s="1"/>
  <c r="U171" i="12"/>
  <c r="T171" i="12"/>
  <c r="S171" i="12"/>
  <c r="R171" i="12"/>
  <c r="Q171" i="12"/>
  <c r="P171" i="12"/>
  <c r="U170" i="12"/>
  <c r="T170" i="12"/>
  <c r="S170" i="12"/>
  <c r="R170" i="12"/>
  <c r="Q170" i="12"/>
  <c r="P170" i="12"/>
  <c r="U169" i="12"/>
  <c r="T169" i="12"/>
  <c r="S169" i="12"/>
  <c r="R169" i="12"/>
  <c r="P169" i="12"/>
  <c r="U168" i="12"/>
  <c r="T168" i="12"/>
  <c r="S168" i="12"/>
  <c r="R168" i="12"/>
  <c r="Q168" i="12"/>
  <c r="P168" i="12"/>
  <c r="U167" i="12"/>
  <c r="T167" i="12"/>
  <c r="S167" i="12"/>
  <c r="R167" i="12"/>
  <c r="Q167" i="12"/>
  <c r="P167" i="12"/>
  <c r="D167" i="12"/>
  <c r="N164" i="12" s="1"/>
  <c r="O164" i="12" s="1"/>
  <c r="Q164" i="12" s="1"/>
  <c r="U166" i="12"/>
  <c r="T166" i="12"/>
  <c r="S166" i="12"/>
  <c r="R166" i="12"/>
  <c r="Q166" i="12"/>
  <c r="P166" i="12"/>
  <c r="U165" i="12"/>
  <c r="T165" i="12"/>
  <c r="S165" i="12"/>
  <c r="R165" i="12"/>
  <c r="Q165" i="12"/>
  <c r="P165" i="12"/>
  <c r="U164" i="12"/>
  <c r="T164" i="12"/>
  <c r="S164" i="12"/>
  <c r="R164" i="12"/>
  <c r="P164" i="12"/>
  <c r="U163" i="12"/>
  <c r="T163" i="12"/>
  <c r="S163" i="12"/>
  <c r="R163" i="12"/>
  <c r="Q163" i="12"/>
  <c r="P163" i="12"/>
  <c r="U162" i="12"/>
  <c r="T162" i="12"/>
  <c r="S162" i="12"/>
  <c r="R162" i="12"/>
  <c r="Q162" i="12"/>
  <c r="P162" i="12"/>
  <c r="D162" i="12"/>
  <c r="U161" i="12"/>
  <c r="T161" i="12"/>
  <c r="S161" i="12"/>
  <c r="R161" i="12"/>
  <c r="Q161" i="12"/>
  <c r="P161" i="12"/>
  <c r="U160" i="12"/>
  <c r="T160" i="12"/>
  <c r="S160" i="12"/>
  <c r="R160" i="12"/>
  <c r="P160" i="12"/>
  <c r="E160" i="12"/>
  <c r="U159" i="12"/>
  <c r="T159" i="12"/>
  <c r="S159" i="12"/>
  <c r="R159" i="12"/>
  <c r="Q159" i="12"/>
  <c r="P159" i="12"/>
  <c r="U158" i="12"/>
  <c r="T158" i="12"/>
  <c r="S158" i="12"/>
  <c r="R158" i="12"/>
  <c r="Q158" i="12"/>
  <c r="P158" i="12"/>
  <c r="U157" i="12"/>
  <c r="T157" i="12"/>
  <c r="S157" i="12"/>
  <c r="R157" i="12"/>
  <c r="Q157" i="12"/>
  <c r="P157" i="12"/>
  <c r="D157" i="12"/>
  <c r="U156" i="12"/>
  <c r="T156" i="12"/>
  <c r="S156" i="12"/>
  <c r="R156" i="12"/>
  <c r="Q156" i="12"/>
  <c r="P156" i="12"/>
  <c r="U155" i="12"/>
  <c r="T155" i="12"/>
  <c r="S155" i="12"/>
  <c r="R155" i="12"/>
  <c r="P155" i="12"/>
  <c r="E155" i="12"/>
  <c r="U154" i="12"/>
  <c r="T154" i="12"/>
  <c r="S154" i="12"/>
  <c r="R154" i="12"/>
  <c r="Q154" i="12"/>
  <c r="P154" i="12"/>
  <c r="U153" i="12"/>
  <c r="T153" i="12"/>
  <c r="S153" i="12"/>
  <c r="R153" i="12"/>
  <c r="Q153" i="12"/>
  <c r="P153" i="12"/>
  <c r="U152" i="12"/>
  <c r="T152" i="12"/>
  <c r="S152" i="12"/>
  <c r="Q152" i="12"/>
  <c r="P152" i="12"/>
  <c r="M152" i="12"/>
  <c r="U151" i="12"/>
  <c r="T151" i="12"/>
  <c r="S151" i="12"/>
  <c r="Q151" i="12"/>
  <c r="P151" i="12"/>
  <c r="M151" i="12"/>
  <c r="U150" i="12"/>
  <c r="T150" i="12"/>
  <c r="S150" i="12"/>
  <c r="Q150" i="12"/>
  <c r="P150" i="12"/>
  <c r="M150" i="12"/>
  <c r="U149" i="12"/>
  <c r="T149" i="12"/>
  <c r="S149" i="12"/>
  <c r="Q149" i="12"/>
  <c r="P149" i="12"/>
  <c r="M149" i="12"/>
  <c r="U148" i="12"/>
  <c r="T148" i="12"/>
  <c r="R148" i="12"/>
  <c r="Q148" i="12"/>
  <c r="P148" i="12"/>
  <c r="M148" i="12"/>
  <c r="D148" i="12"/>
  <c r="J152" i="12" s="1"/>
  <c r="U147" i="12"/>
  <c r="T147" i="12"/>
  <c r="S147" i="12"/>
  <c r="R147" i="12"/>
  <c r="Q147" i="12"/>
  <c r="P147" i="12"/>
  <c r="U146" i="12"/>
  <c r="T146" i="12"/>
  <c r="S146" i="12"/>
  <c r="R146" i="12"/>
  <c r="Q146" i="12"/>
  <c r="P146" i="12"/>
  <c r="U145" i="12"/>
  <c r="T145" i="12"/>
  <c r="S145" i="12"/>
  <c r="R145" i="12"/>
  <c r="Q145" i="12"/>
  <c r="P145" i="12"/>
  <c r="U144" i="12"/>
  <c r="T144" i="12"/>
  <c r="S144" i="12"/>
  <c r="R144" i="12"/>
  <c r="P144" i="12"/>
  <c r="D144" i="12"/>
  <c r="J144" i="12" s="1"/>
  <c r="U143" i="12"/>
  <c r="T143" i="12"/>
  <c r="S143" i="12"/>
  <c r="R143" i="12"/>
  <c r="Q143" i="12"/>
  <c r="P143" i="12"/>
  <c r="U142" i="12"/>
  <c r="T142" i="12"/>
  <c r="S142" i="12"/>
  <c r="R142" i="12"/>
  <c r="Q142" i="12"/>
  <c r="P142" i="12"/>
  <c r="U141" i="12"/>
  <c r="T141" i="12"/>
  <c r="S141" i="12"/>
  <c r="R141" i="12"/>
  <c r="Q141" i="12"/>
  <c r="P141" i="12"/>
  <c r="D141" i="12"/>
  <c r="U140" i="12"/>
  <c r="T140" i="12"/>
  <c r="S140" i="12"/>
  <c r="R140" i="12"/>
  <c r="Q140" i="12"/>
  <c r="P140" i="12"/>
  <c r="U139" i="12"/>
  <c r="T139" i="12"/>
  <c r="S139" i="12"/>
  <c r="R139" i="12"/>
  <c r="Q139" i="12"/>
  <c r="P139" i="12"/>
  <c r="U138" i="12"/>
  <c r="T138" i="12"/>
  <c r="S138" i="12"/>
  <c r="R138" i="12"/>
  <c r="P138" i="12"/>
  <c r="U137" i="12"/>
  <c r="T137" i="12"/>
  <c r="S137" i="12"/>
  <c r="R137" i="12"/>
  <c r="Q137" i="12"/>
  <c r="P137" i="12"/>
  <c r="U136" i="12"/>
  <c r="T136" i="12"/>
  <c r="S136" i="12"/>
  <c r="R136" i="12"/>
  <c r="Q136" i="12"/>
  <c r="P136" i="12"/>
  <c r="D136" i="12"/>
  <c r="U135" i="12"/>
  <c r="T135" i="12"/>
  <c r="S135" i="12"/>
  <c r="R135" i="12"/>
  <c r="Q135" i="12"/>
  <c r="P135" i="12"/>
  <c r="U134" i="12"/>
  <c r="T134" i="12"/>
  <c r="S134" i="12"/>
  <c r="R134" i="12"/>
  <c r="Q134" i="12"/>
  <c r="P134" i="12"/>
  <c r="U133" i="12"/>
  <c r="T133" i="12"/>
  <c r="S133" i="12"/>
  <c r="R133" i="12"/>
  <c r="P133" i="12"/>
  <c r="N133" i="12"/>
  <c r="O133" i="12" s="1"/>
  <c r="Q133" i="12" s="1"/>
  <c r="U132" i="12"/>
  <c r="T132" i="12"/>
  <c r="S132" i="12"/>
  <c r="R132" i="12"/>
  <c r="Q132" i="12"/>
  <c r="P132" i="12"/>
  <c r="U131" i="12"/>
  <c r="T131" i="12"/>
  <c r="S131" i="12"/>
  <c r="R131" i="12"/>
  <c r="Q131" i="12"/>
  <c r="P131" i="12"/>
  <c r="D131" i="12"/>
  <c r="U130" i="12"/>
  <c r="T130" i="12"/>
  <c r="S130" i="12"/>
  <c r="R130" i="12"/>
  <c r="Q130" i="12"/>
  <c r="P130" i="12"/>
  <c r="U129" i="12"/>
  <c r="T129" i="12"/>
  <c r="S129" i="12"/>
  <c r="R129" i="12"/>
  <c r="P129" i="12"/>
  <c r="E129" i="12"/>
  <c r="N129" i="12" s="1"/>
  <c r="O129" i="12" s="1"/>
  <c r="Q129" i="12" s="1"/>
  <c r="U128" i="12"/>
  <c r="T128" i="12"/>
  <c r="S128" i="12"/>
  <c r="R128" i="12"/>
  <c r="Q128" i="12"/>
  <c r="P128" i="12"/>
  <c r="U127" i="12"/>
  <c r="T127" i="12"/>
  <c r="S127" i="12"/>
  <c r="R127" i="12"/>
  <c r="Q127" i="12"/>
  <c r="P127" i="12"/>
  <c r="U126" i="12"/>
  <c r="T126" i="12"/>
  <c r="S126" i="12"/>
  <c r="R126" i="12"/>
  <c r="Q126" i="12"/>
  <c r="P126" i="12"/>
  <c r="D126" i="12"/>
  <c r="U125" i="12"/>
  <c r="T125" i="12"/>
  <c r="S125" i="12"/>
  <c r="R125" i="12"/>
  <c r="Q125" i="12"/>
  <c r="P125" i="12"/>
  <c r="U124" i="12"/>
  <c r="T124" i="12"/>
  <c r="S124" i="12"/>
  <c r="R124" i="12"/>
  <c r="P124" i="12"/>
  <c r="E124" i="12"/>
  <c r="U123" i="12"/>
  <c r="T123" i="12"/>
  <c r="S123" i="12"/>
  <c r="R123" i="12"/>
  <c r="Q123" i="12"/>
  <c r="P123" i="12"/>
  <c r="U122" i="12"/>
  <c r="T122" i="12"/>
  <c r="S122" i="12"/>
  <c r="R122" i="12"/>
  <c r="Q122" i="12"/>
  <c r="P122" i="12"/>
  <c r="U121" i="12"/>
  <c r="T121" i="12"/>
  <c r="R121" i="12"/>
  <c r="Q121" i="12"/>
  <c r="P121" i="12"/>
  <c r="M121" i="12"/>
  <c r="U120" i="12"/>
  <c r="T120" i="12"/>
  <c r="R120" i="12"/>
  <c r="Q120" i="12"/>
  <c r="P120" i="12"/>
  <c r="M120" i="12"/>
  <c r="U119" i="12"/>
  <c r="T119" i="12"/>
  <c r="R119" i="12"/>
  <c r="Q119" i="12"/>
  <c r="P119" i="12"/>
  <c r="M119" i="12"/>
  <c r="U118" i="12"/>
  <c r="T118" i="12"/>
  <c r="R118" i="12"/>
  <c r="Q118" i="12"/>
  <c r="P118" i="12"/>
  <c r="M118" i="12"/>
  <c r="U117" i="12"/>
  <c r="S117" i="12"/>
  <c r="R117" i="12"/>
  <c r="Q117" i="12"/>
  <c r="P117" i="12"/>
  <c r="M117" i="12"/>
  <c r="D117" i="12"/>
  <c r="J121" i="12" s="1"/>
  <c r="U116" i="12"/>
  <c r="T116" i="12"/>
  <c r="S116" i="12"/>
  <c r="R116" i="12"/>
  <c r="Q116" i="12"/>
  <c r="P116" i="12"/>
  <c r="U115" i="12"/>
  <c r="T115" i="12"/>
  <c r="S115" i="12"/>
  <c r="R115" i="12"/>
  <c r="Q115" i="12"/>
  <c r="P115" i="12"/>
  <c r="U114" i="12"/>
  <c r="T114" i="12"/>
  <c r="S114" i="12"/>
  <c r="R114" i="12"/>
  <c r="Q114" i="12"/>
  <c r="P114" i="12"/>
  <c r="U113" i="12"/>
  <c r="T113" i="12"/>
  <c r="S113" i="12"/>
  <c r="R113" i="12"/>
  <c r="Q113" i="12"/>
  <c r="P113" i="12"/>
  <c r="U112" i="12"/>
  <c r="T112" i="12"/>
  <c r="S112" i="12"/>
  <c r="R112" i="12"/>
  <c r="P112" i="12"/>
  <c r="D112" i="12"/>
  <c r="U111" i="12"/>
  <c r="T111" i="12"/>
  <c r="S111" i="12"/>
  <c r="R111" i="12"/>
  <c r="Q111" i="12"/>
  <c r="P111" i="12"/>
  <c r="U110" i="12"/>
  <c r="T110" i="12"/>
  <c r="S110" i="12"/>
  <c r="R110" i="12"/>
  <c r="Q110" i="12"/>
  <c r="P110" i="12"/>
  <c r="U109" i="12"/>
  <c r="T109" i="12"/>
  <c r="S109" i="12"/>
  <c r="R109" i="12"/>
  <c r="Q109" i="12"/>
  <c r="P109" i="12"/>
  <c r="D109" i="12"/>
  <c r="N106" i="12" s="1"/>
  <c r="O106" i="12" s="1"/>
  <c r="Q106" i="12" s="1"/>
  <c r="U108" i="12"/>
  <c r="T108" i="12"/>
  <c r="S108" i="12"/>
  <c r="R108" i="12"/>
  <c r="Q108" i="12"/>
  <c r="P108" i="12"/>
  <c r="U107" i="12"/>
  <c r="T107" i="12"/>
  <c r="S107" i="12"/>
  <c r="R107" i="12"/>
  <c r="Q107" i="12"/>
  <c r="P107" i="12"/>
  <c r="U106" i="12"/>
  <c r="T106" i="12"/>
  <c r="S106" i="12"/>
  <c r="R106" i="12"/>
  <c r="P106" i="12"/>
  <c r="U105" i="12"/>
  <c r="T105" i="12"/>
  <c r="S105" i="12"/>
  <c r="R105" i="12"/>
  <c r="Q105" i="12"/>
  <c r="P105" i="12"/>
  <c r="U104" i="12"/>
  <c r="T104" i="12"/>
  <c r="S104" i="12"/>
  <c r="R104" i="12"/>
  <c r="Q104" i="12"/>
  <c r="P104" i="12"/>
  <c r="D104" i="12"/>
  <c r="U103" i="12"/>
  <c r="T103" i="12"/>
  <c r="S103" i="12"/>
  <c r="R103" i="12"/>
  <c r="Q103" i="12"/>
  <c r="P103" i="12"/>
  <c r="U102" i="12"/>
  <c r="T102" i="12"/>
  <c r="S102" i="12"/>
  <c r="R102" i="12"/>
  <c r="Q102" i="12"/>
  <c r="P102" i="12"/>
  <c r="U101" i="12"/>
  <c r="T101" i="12"/>
  <c r="S101" i="12"/>
  <c r="R101" i="12"/>
  <c r="P101" i="12"/>
  <c r="U100" i="12"/>
  <c r="T100" i="12"/>
  <c r="S100" i="12"/>
  <c r="R100" i="12"/>
  <c r="Q100" i="12"/>
  <c r="P100" i="12"/>
  <c r="U99" i="12"/>
  <c r="T99" i="12"/>
  <c r="S99" i="12"/>
  <c r="R99" i="12"/>
  <c r="Q99" i="12"/>
  <c r="P99" i="12"/>
  <c r="D99" i="12"/>
  <c r="U98" i="12"/>
  <c r="T98" i="12"/>
  <c r="S98" i="12"/>
  <c r="R98" i="12"/>
  <c r="Q98" i="12"/>
  <c r="P98" i="12"/>
  <c r="U97" i="12"/>
  <c r="T97" i="12"/>
  <c r="S97" i="12"/>
  <c r="R97" i="12"/>
  <c r="P97" i="12"/>
  <c r="E97" i="12"/>
  <c r="U96" i="12"/>
  <c r="T96" i="12"/>
  <c r="S96" i="12"/>
  <c r="R96" i="12"/>
  <c r="Q96" i="12"/>
  <c r="P96" i="12"/>
  <c r="U95" i="12"/>
  <c r="T95" i="12"/>
  <c r="S95" i="12"/>
  <c r="R95" i="12"/>
  <c r="Q95" i="12"/>
  <c r="P95" i="12"/>
  <c r="U94" i="12"/>
  <c r="T94" i="12"/>
  <c r="S94" i="12"/>
  <c r="R94" i="12"/>
  <c r="Q94" i="12"/>
  <c r="P94" i="12"/>
  <c r="D94" i="12"/>
  <c r="U93" i="12"/>
  <c r="T93" i="12"/>
  <c r="S93" i="12"/>
  <c r="R93" i="12"/>
  <c r="Q93" i="12"/>
  <c r="P93" i="12"/>
  <c r="U92" i="12"/>
  <c r="T92" i="12"/>
  <c r="S92" i="12"/>
  <c r="R92" i="12"/>
  <c r="P92" i="12"/>
  <c r="E92" i="12"/>
  <c r="U91" i="12"/>
  <c r="T91" i="12"/>
  <c r="S91" i="12"/>
  <c r="R91" i="12"/>
  <c r="Q91" i="12"/>
  <c r="P91" i="12"/>
  <c r="U90" i="12"/>
  <c r="T90" i="12"/>
  <c r="S90" i="12"/>
  <c r="R90" i="12"/>
  <c r="Q90" i="12"/>
  <c r="P90" i="12"/>
  <c r="U89" i="12"/>
  <c r="S89" i="12"/>
  <c r="R89" i="12"/>
  <c r="Q89" i="12"/>
  <c r="P89" i="12"/>
  <c r="M89" i="12"/>
  <c r="U88" i="12"/>
  <c r="S88" i="12"/>
  <c r="R88" i="12"/>
  <c r="Q88" i="12"/>
  <c r="P88" i="12"/>
  <c r="M88" i="12"/>
  <c r="U87" i="12"/>
  <c r="S87" i="12"/>
  <c r="R87" i="12"/>
  <c r="Q87" i="12"/>
  <c r="P87" i="12"/>
  <c r="M87" i="12"/>
  <c r="U86" i="12"/>
  <c r="S86" i="12"/>
  <c r="R86" i="12"/>
  <c r="Q86" i="12"/>
  <c r="P86" i="12"/>
  <c r="M86" i="12"/>
  <c r="U85" i="12"/>
  <c r="S85" i="12"/>
  <c r="R85" i="12"/>
  <c r="Q85" i="12"/>
  <c r="P85" i="12"/>
  <c r="M85" i="12"/>
  <c r="D85" i="12"/>
  <c r="J86" i="12" s="1"/>
  <c r="U84" i="12"/>
  <c r="T84" i="12"/>
  <c r="S84" i="12"/>
  <c r="R84" i="12"/>
  <c r="Q84" i="12"/>
  <c r="P84" i="12"/>
  <c r="U83" i="12"/>
  <c r="T83" i="12"/>
  <c r="S83" i="12"/>
  <c r="R83" i="12"/>
  <c r="Q83" i="12"/>
  <c r="P83" i="12"/>
  <c r="U82" i="12"/>
  <c r="T82" i="12"/>
  <c r="S82" i="12"/>
  <c r="R82" i="12"/>
  <c r="Q82" i="12"/>
  <c r="P82" i="12"/>
  <c r="D82" i="12"/>
  <c r="U81" i="12"/>
  <c r="T81" i="12"/>
  <c r="S81" i="12"/>
  <c r="R81" i="12"/>
  <c r="Q81" i="12"/>
  <c r="P81" i="12"/>
  <c r="U80" i="12"/>
  <c r="T80" i="12"/>
  <c r="S80" i="12"/>
  <c r="R80" i="12"/>
  <c r="Q80" i="12"/>
  <c r="P80" i="12"/>
  <c r="U79" i="12"/>
  <c r="T79" i="12"/>
  <c r="S79" i="12"/>
  <c r="R79" i="12"/>
  <c r="P79" i="12"/>
  <c r="U78" i="12"/>
  <c r="T78" i="12"/>
  <c r="S78" i="12"/>
  <c r="R78" i="12"/>
  <c r="Q78" i="12"/>
  <c r="P78" i="12"/>
  <c r="U77" i="12"/>
  <c r="T77" i="12"/>
  <c r="S77" i="12"/>
  <c r="R77" i="12"/>
  <c r="Q77" i="12"/>
  <c r="P77" i="12"/>
  <c r="D77" i="12"/>
  <c r="U76" i="12"/>
  <c r="T76" i="12"/>
  <c r="S76" i="12"/>
  <c r="R76" i="12"/>
  <c r="Q76" i="12"/>
  <c r="P76" i="12"/>
  <c r="U75" i="12"/>
  <c r="T75" i="12"/>
  <c r="S75" i="12"/>
  <c r="R75" i="12"/>
  <c r="Q75" i="12"/>
  <c r="P75" i="12"/>
  <c r="U74" i="12"/>
  <c r="T74" i="12"/>
  <c r="S74" i="12"/>
  <c r="R74" i="12"/>
  <c r="P74" i="12"/>
  <c r="U73" i="12"/>
  <c r="T73" i="12"/>
  <c r="S73" i="12"/>
  <c r="R73" i="12"/>
  <c r="Q73" i="12"/>
  <c r="P73" i="12"/>
  <c r="U72" i="12"/>
  <c r="T72" i="12"/>
  <c r="S72" i="12"/>
  <c r="R72" i="12"/>
  <c r="Q72" i="12"/>
  <c r="P72" i="12"/>
  <c r="D72" i="12"/>
  <c r="U71" i="12"/>
  <c r="T71" i="12"/>
  <c r="S71" i="12"/>
  <c r="R71" i="12"/>
  <c r="Q71" i="12"/>
  <c r="P71" i="12"/>
  <c r="U70" i="12"/>
  <c r="T70" i="12"/>
  <c r="S70" i="12"/>
  <c r="R70" i="12"/>
  <c r="P70" i="12"/>
  <c r="E70" i="12"/>
  <c r="U69" i="12"/>
  <c r="T69" i="12"/>
  <c r="S69" i="12"/>
  <c r="R69" i="12"/>
  <c r="Q69" i="12"/>
  <c r="P69" i="12"/>
  <c r="U68" i="12"/>
  <c r="T68" i="12"/>
  <c r="S68" i="12"/>
  <c r="R68" i="12"/>
  <c r="Q68" i="12"/>
  <c r="P68" i="12"/>
  <c r="U67" i="12"/>
  <c r="T67" i="12"/>
  <c r="S67" i="12"/>
  <c r="R67" i="12"/>
  <c r="Q67" i="12"/>
  <c r="P67" i="12"/>
  <c r="D67" i="12"/>
  <c r="U66" i="12"/>
  <c r="T66" i="12"/>
  <c r="S66" i="12"/>
  <c r="R66" i="12"/>
  <c r="Q66" i="12"/>
  <c r="P66" i="12"/>
  <c r="U65" i="12"/>
  <c r="T65" i="12"/>
  <c r="S65" i="12"/>
  <c r="R65" i="12"/>
  <c r="P65" i="12"/>
  <c r="E65" i="12"/>
  <c r="U64" i="12"/>
  <c r="T64" i="12"/>
  <c r="S64" i="12"/>
  <c r="R64" i="12"/>
  <c r="Q64" i="12"/>
  <c r="P64" i="12"/>
  <c r="U63" i="12"/>
  <c r="T63" i="12"/>
  <c r="S63" i="12"/>
  <c r="R63" i="12"/>
  <c r="Q63" i="12"/>
  <c r="P63" i="12"/>
  <c r="U62" i="12"/>
  <c r="S62" i="12"/>
  <c r="R62" i="12"/>
  <c r="Q62" i="12"/>
  <c r="P62" i="12"/>
  <c r="M62" i="12"/>
  <c r="T61" i="12"/>
  <c r="S61" i="12"/>
  <c r="R61" i="12"/>
  <c r="Q61" i="12"/>
  <c r="P61" i="12"/>
  <c r="M61" i="12"/>
  <c r="T60" i="12"/>
  <c r="S60" i="12"/>
  <c r="R60" i="12"/>
  <c r="Q60" i="12"/>
  <c r="P60" i="12"/>
  <c r="M60" i="12"/>
  <c r="T59" i="12"/>
  <c r="S59" i="12"/>
  <c r="R59" i="12"/>
  <c r="Q59" i="12"/>
  <c r="P59" i="12"/>
  <c r="M59" i="12"/>
  <c r="D59" i="12"/>
  <c r="J59" i="12" s="1"/>
  <c r="U58" i="12"/>
  <c r="T58" i="12"/>
  <c r="S58" i="12"/>
  <c r="R58" i="12"/>
  <c r="Q58" i="12"/>
  <c r="P58" i="12"/>
  <c r="U57" i="12"/>
  <c r="T57" i="12"/>
  <c r="S57" i="12"/>
  <c r="R57" i="12"/>
  <c r="Q57" i="12"/>
  <c r="P57" i="12"/>
  <c r="U56" i="12"/>
  <c r="T56" i="12"/>
  <c r="S56" i="12"/>
  <c r="R56" i="12"/>
  <c r="Q56" i="12"/>
  <c r="P56" i="12"/>
  <c r="D56" i="12"/>
  <c r="U55" i="12"/>
  <c r="T55" i="12"/>
  <c r="S55" i="12"/>
  <c r="R55" i="12"/>
  <c r="Q55" i="12"/>
  <c r="P55" i="12"/>
  <c r="U54" i="12"/>
  <c r="T54" i="12"/>
  <c r="S54" i="12"/>
  <c r="R54" i="12"/>
  <c r="Q54" i="12"/>
  <c r="P54" i="12"/>
  <c r="U53" i="12"/>
  <c r="T53" i="12"/>
  <c r="S53" i="12"/>
  <c r="R53" i="12"/>
  <c r="P53" i="12"/>
  <c r="U52" i="12"/>
  <c r="T52" i="12"/>
  <c r="S52" i="12"/>
  <c r="R52" i="12"/>
  <c r="Q52" i="12"/>
  <c r="P52" i="12"/>
  <c r="U51" i="12"/>
  <c r="T51" i="12"/>
  <c r="S51" i="12"/>
  <c r="R51" i="12"/>
  <c r="Q51" i="12"/>
  <c r="P51" i="12"/>
  <c r="D51" i="12"/>
  <c r="N48" i="12" s="1"/>
  <c r="O48" i="12" s="1"/>
  <c r="Q48" i="12" s="1"/>
  <c r="U50" i="12"/>
  <c r="T50" i="12"/>
  <c r="S50" i="12"/>
  <c r="R50" i="12"/>
  <c r="Q50" i="12"/>
  <c r="P50" i="12"/>
  <c r="U49" i="12"/>
  <c r="T49" i="12"/>
  <c r="S49" i="12"/>
  <c r="R49" i="12"/>
  <c r="Q49" i="12"/>
  <c r="P49" i="12"/>
  <c r="U48" i="12"/>
  <c r="T48" i="12"/>
  <c r="S48" i="12"/>
  <c r="R48" i="12"/>
  <c r="P48" i="12"/>
  <c r="U47" i="12"/>
  <c r="T47" i="12"/>
  <c r="S47" i="12"/>
  <c r="R47" i="12"/>
  <c r="Q47" i="12"/>
  <c r="P47" i="12"/>
  <c r="U46" i="12"/>
  <c r="T46" i="12"/>
  <c r="S46" i="12"/>
  <c r="R46" i="12"/>
  <c r="Q46" i="12"/>
  <c r="P46" i="12"/>
  <c r="D46" i="12"/>
  <c r="U45" i="12"/>
  <c r="T45" i="12"/>
  <c r="S45" i="12"/>
  <c r="R45" i="12"/>
  <c r="Q45" i="12"/>
  <c r="P45" i="12"/>
  <c r="U44" i="12"/>
  <c r="T44" i="12"/>
  <c r="S44" i="12"/>
  <c r="R44" i="12"/>
  <c r="P44" i="12"/>
  <c r="E44" i="12"/>
  <c r="N44" i="12" s="1"/>
  <c r="O44" i="12" s="1"/>
  <c r="Q44" i="12" s="1"/>
  <c r="U43" i="12"/>
  <c r="T43" i="12"/>
  <c r="S43" i="12"/>
  <c r="R43" i="12"/>
  <c r="Q43" i="12"/>
  <c r="P43" i="12"/>
  <c r="U42" i="12"/>
  <c r="T42" i="12"/>
  <c r="S42" i="12"/>
  <c r="R42" i="12"/>
  <c r="Q42" i="12"/>
  <c r="P42" i="12"/>
  <c r="U41" i="12"/>
  <c r="T41" i="12"/>
  <c r="S41" i="12"/>
  <c r="R41" i="12"/>
  <c r="Q41" i="12"/>
  <c r="P41" i="12"/>
  <c r="D41" i="12"/>
  <c r="U40" i="12"/>
  <c r="T40" i="12"/>
  <c r="S40" i="12"/>
  <c r="R40" i="12"/>
  <c r="Q40" i="12"/>
  <c r="P40" i="12"/>
  <c r="U39" i="12"/>
  <c r="T39" i="12"/>
  <c r="S39" i="12"/>
  <c r="R39" i="12"/>
  <c r="P39" i="12"/>
  <c r="E39" i="12"/>
  <c r="U38" i="12"/>
  <c r="T38" i="12"/>
  <c r="S38" i="12"/>
  <c r="R38" i="12"/>
  <c r="Q38" i="12"/>
  <c r="P38" i="12"/>
  <c r="U37" i="12"/>
  <c r="T37" i="12"/>
  <c r="S37" i="12"/>
  <c r="R37" i="12"/>
  <c r="Q37" i="12"/>
  <c r="P37" i="12"/>
  <c r="U36" i="12"/>
  <c r="T36" i="12"/>
  <c r="R36" i="12"/>
  <c r="Q36" i="12"/>
  <c r="P36" i="12"/>
  <c r="M36" i="12"/>
  <c r="U35" i="12"/>
  <c r="T35" i="12"/>
  <c r="R35" i="12"/>
  <c r="Q35" i="12"/>
  <c r="P35" i="12"/>
  <c r="M35" i="12"/>
  <c r="U34" i="12"/>
  <c r="S34" i="12"/>
  <c r="R34" i="12"/>
  <c r="Q34" i="12"/>
  <c r="P34" i="12"/>
  <c r="M34" i="12"/>
  <c r="U33" i="12"/>
  <c r="S33" i="12"/>
  <c r="R33" i="12"/>
  <c r="Q33" i="12"/>
  <c r="P33" i="12"/>
  <c r="M33" i="12"/>
  <c r="D33" i="12"/>
  <c r="J34" i="12" s="1"/>
  <c r="U32" i="12"/>
  <c r="T32" i="12"/>
  <c r="S32" i="12"/>
  <c r="R32" i="12"/>
  <c r="Q32" i="12"/>
  <c r="P32" i="12"/>
  <c r="U31" i="12"/>
  <c r="T31" i="12"/>
  <c r="S31" i="12"/>
  <c r="R31" i="12"/>
  <c r="Q31" i="12"/>
  <c r="P31" i="12"/>
  <c r="U30" i="12"/>
  <c r="T30" i="12"/>
  <c r="S30" i="12"/>
  <c r="R30" i="12"/>
  <c r="Q30" i="12"/>
  <c r="P30" i="12"/>
  <c r="D30" i="12"/>
  <c r="U29" i="12"/>
  <c r="T29" i="12"/>
  <c r="S29" i="12"/>
  <c r="R29" i="12"/>
  <c r="Q29" i="12"/>
  <c r="P29" i="12"/>
  <c r="U28" i="12"/>
  <c r="T28" i="12"/>
  <c r="S28" i="12"/>
  <c r="R28" i="12"/>
  <c r="Q28" i="12"/>
  <c r="P28" i="12"/>
  <c r="U27" i="12"/>
  <c r="T27" i="12"/>
  <c r="S27" i="12"/>
  <c r="R27" i="12"/>
  <c r="P27" i="12"/>
  <c r="U26" i="12"/>
  <c r="T26" i="12"/>
  <c r="S26" i="12"/>
  <c r="R26" i="12"/>
  <c r="Q26" i="12"/>
  <c r="P26" i="12"/>
  <c r="U25" i="12"/>
  <c r="T25" i="12"/>
  <c r="S25" i="12"/>
  <c r="R25" i="12"/>
  <c r="Q25" i="12"/>
  <c r="P25" i="12"/>
  <c r="D25" i="12"/>
  <c r="U24" i="12"/>
  <c r="T24" i="12"/>
  <c r="S24" i="12"/>
  <c r="R24" i="12"/>
  <c r="Q24" i="12"/>
  <c r="P24" i="12"/>
  <c r="U23" i="12"/>
  <c r="T23" i="12"/>
  <c r="S23" i="12"/>
  <c r="R23" i="12"/>
  <c r="Q23" i="12"/>
  <c r="P23" i="12"/>
  <c r="U22" i="12"/>
  <c r="T22" i="12"/>
  <c r="S22" i="12"/>
  <c r="R22" i="12"/>
  <c r="P22" i="12"/>
  <c r="U21" i="12"/>
  <c r="T21" i="12"/>
  <c r="S21" i="12"/>
  <c r="R21" i="12"/>
  <c r="Q21" i="12"/>
  <c r="P21" i="12"/>
  <c r="U20" i="12"/>
  <c r="T20" i="12"/>
  <c r="S20" i="12"/>
  <c r="R20" i="12"/>
  <c r="Q20" i="12"/>
  <c r="P20" i="12"/>
  <c r="D20" i="12"/>
  <c r="U19" i="12"/>
  <c r="T19" i="12"/>
  <c r="S19" i="12"/>
  <c r="R19" i="12"/>
  <c r="Q19" i="12"/>
  <c r="P19" i="12"/>
  <c r="U18" i="12"/>
  <c r="T18" i="12"/>
  <c r="S18" i="12"/>
  <c r="R18" i="12"/>
  <c r="P18" i="12"/>
  <c r="E18" i="12"/>
  <c r="O18" i="12" s="1"/>
  <c r="Q18" i="12" s="1"/>
  <c r="U17" i="12"/>
  <c r="T17" i="12"/>
  <c r="S17" i="12"/>
  <c r="R17" i="12"/>
  <c r="Q17" i="12"/>
  <c r="P17" i="12"/>
  <c r="U16" i="12"/>
  <c r="T16" i="12"/>
  <c r="S16" i="12"/>
  <c r="R16" i="12"/>
  <c r="Q16" i="12"/>
  <c r="P16" i="12"/>
  <c r="U15" i="12"/>
  <c r="T15" i="12"/>
  <c r="S15" i="12"/>
  <c r="R15" i="12"/>
  <c r="Q15" i="12"/>
  <c r="P15" i="12"/>
  <c r="D15" i="12"/>
  <c r="U14" i="12"/>
  <c r="T14" i="12"/>
  <c r="S14" i="12"/>
  <c r="R14" i="12"/>
  <c r="Q14" i="12"/>
  <c r="P14" i="12"/>
  <c r="U13" i="12"/>
  <c r="T13" i="12"/>
  <c r="S13" i="12"/>
  <c r="R13" i="12"/>
  <c r="P13" i="12"/>
  <c r="E13" i="12"/>
  <c r="O13" i="12" s="1"/>
  <c r="Q13" i="12" s="1"/>
  <c r="U12" i="12"/>
  <c r="T12" i="12"/>
  <c r="S12" i="12"/>
  <c r="R12" i="12"/>
  <c r="Q12" i="12"/>
  <c r="P12" i="12"/>
  <c r="U11" i="12"/>
  <c r="T11" i="12"/>
  <c r="S11" i="12"/>
  <c r="R11" i="12"/>
  <c r="Q11" i="12"/>
  <c r="P11" i="12"/>
  <c r="U10" i="12"/>
  <c r="T10" i="12"/>
  <c r="S10" i="12"/>
  <c r="Q10" i="12"/>
  <c r="P10" i="12"/>
  <c r="U9" i="12"/>
  <c r="T9" i="12"/>
  <c r="R9" i="12"/>
  <c r="Q9" i="12"/>
  <c r="P9" i="12"/>
  <c r="M9" i="12"/>
  <c r="U8" i="12"/>
  <c r="T8" i="12"/>
  <c r="S8" i="12"/>
  <c r="Q8" i="12"/>
  <c r="P8" i="12"/>
  <c r="M8" i="12"/>
  <c r="U7" i="12"/>
  <c r="T7" i="12"/>
  <c r="R7" i="12"/>
  <c r="Q7" i="12"/>
  <c r="P7" i="12"/>
  <c r="M7" i="12"/>
  <c r="D7" i="12"/>
  <c r="J8" i="12" s="1"/>
  <c r="U6" i="12"/>
  <c r="T6" i="12"/>
  <c r="S6" i="12"/>
  <c r="R6" i="12"/>
  <c r="Q6" i="12"/>
  <c r="P6" i="12"/>
  <c r="U5" i="12"/>
  <c r="T5" i="12"/>
  <c r="S5" i="12"/>
  <c r="R5" i="12"/>
  <c r="Q5" i="12"/>
  <c r="P5" i="12"/>
  <c r="N34" i="12" l="1"/>
  <c r="N555" i="12"/>
  <c r="N27" i="12"/>
  <c r="O27" i="12" s="1"/>
  <c r="Q27" i="12" s="1"/>
  <c r="N59" i="12"/>
  <c r="O59" i="12" s="1"/>
  <c r="U59" i="12" s="1"/>
  <c r="N144" i="12"/>
  <c r="O144" i="12" s="1"/>
  <c r="Q144" i="12" s="1"/>
  <c r="N422" i="12"/>
  <c r="J150" i="12"/>
  <c r="N150" i="12" s="1"/>
  <c r="N175" i="12"/>
  <c r="O175" i="12" s="1"/>
  <c r="Q175" i="12" s="1"/>
  <c r="N211" i="12"/>
  <c r="K211" i="12" s="1"/>
  <c r="J279" i="12"/>
  <c r="N313" i="12"/>
  <c r="O313" i="12" s="1"/>
  <c r="Q313" i="12" s="1"/>
  <c r="J556" i="12"/>
  <c r="N560" i="12"/>
  <c r="O560" i="12" s="1"/>
  <c r="Q560" i="12" s="1"/>
  <c r="J182" i="12"/>
  <c r="J237" i="12"/>
  <c r="N237" i="12" s="1"/>
  <c r="N452" i="12"/>
  <c r="O452" i="12" s="1"/>
  <c r="Q452" i="12" s="1"/>
  <c r="N525" i="12"/>
  <c r="O525" i="12" s="1"/>
  <c r="Q525" i="12" s="1"/>
  <c r="N101" i="12"/>
  <c r="O101" i="12" s="1"/>
  <c r="Q101" i="12" s="1"/>
  <c r="J179" i="12"/>
  <c r="N179" i="12" s="1"/>
  <c r="K179" i="12" s="1"/>
  <c r="N226" i="12"/>
  <c r="O226" i="12" s="1"/>
  <c r="Q226" i="12" s="1"/>
  <c r="N396" i="12"/>
  <c r="O396" i="12" s="1"/>
  <c r="Q396" i="12" s="1"/>
  <c r="J487" i="12"/>
  <c r="N487" i="12" s="1"/>
  <c r="J554" i="12"/>
  <c r="N554" i="12" s="1"/>
  <c r="K554" i="12" s="1"/>
  <c r="J557" i="12"/>
  <c r="N557" i="12" s="1"/>
  <c r="J66" i="7"/>
  <c r="J21" i="20"/>
  <c r="N8" i="12"/>
  <c r="K8" i="12" s="1"/>
  <c r="N121" i="12"/>
  <c r="O121" i="12" s="1"/>
  <c r="S121" i="12" s="1"/>
  <c r="N279" i="12"/>
  <c r="O279" i="12" s="1"/>
  <c r="Q279" i="12" s="1"/>
  <c r="N385" i="12"/>
  <c r="K385" i="12" s="1"/>
  <c r="N556" i="12"/>
  <c r="K556" i="12" s="1"/>
  <c r="N182" i="12"/>
  <c r="K182" i="12" s="1"/>
  <c r="N462" i="12"/>
  <c r="N515" i="12"/>
  <c r="O515" i="12" s="1"/>
  <c r="R515" i="12" s="1"/>
  <c r="N97" i="12"/>
  <c r="O97" i="12" s="1"/>
  <c r="Q97" i="12" s="1"/>
  <c r="J7" i="12"/>
  <c r="K7" i="12" s="1"/>
  <c r="N92" i="12"/>
  <c r="O92" i="12" s="1"/>
  <c r="Q92" i="12" s="1"/>
  <c r="N253" i="12"/>
  <c r="O253" i="12" s="1"/>
  <c r="Q253" i="12" s="1"/>
  <c r="O346" i="12"/>
  <c r="Q346" i="12" s="1"/>
  <c r="N359" i="12"/>
  <c r="O359" i="12" s="1"/>
  <c r="S359" i="12" s="1"/>
  <c r="O416" i="12"/>
  <c r="Q416" i="12" s="1"/>
  <c r="J465" i="12"/>
  <c r="N465" i="12" s="1"/>
  <c r="K465" i="12" s="1"/>
  <c r="J514" i="12"/>
  <c r="N514" i="12" s="1"/>
  <c r="K514" i="12" s="1"/>
  <c r="J36" i="12"/>
  <c r="N36" i="12" s="1"/>
  <c r="K36" i="12" s="1"/>
  <c r="N191" i="12"/>
  <c r="O191" i="12" s="1"/>
  <c r="Q191" i="12" s="1"/>
  <c r="N258" i="12"/>
  <c r="O258" i="12" s="1"/>
  <c r="Q258" i="12" s="1"/>
  <c r="N510" i="12"/>
  <c r="O510" i="12" s="1"/>
  <c r="Q510" i="12" s="1"/>
  <c r="J33" i="12"/>
  <c r="N33" i="12" s="1"/>
  <c r="N124" i="12"/>
  <c r="O124" i="12" s="1"/>
  <c r="Q124" i="12" s="1"/>
  <c r="J9" i="12"/>
  <c r="N9" i="12" s="1"/>
  <c r="O9" i="12" s="1"/>
  <c r="S9" i="12" s="1"/>
  <c r="J10" i="12"/>
  <c r="N10" i="12" s="1"/>
  <c r="K10" i="12" s="1"/>
  <c r="N22" i="12"/>
  <c r="O22" i="12" s="1"/>
  <c r="Q22" i="12" s="1"/>
  <c r="N70" i="12"/>
  <c r="O70" i="12" s="1"/>
  <c r="Q70" i="12" s="1"/>
  <c r="J87" i="12"/>
  <c r="N87" i="12" s="1"/>
  <c r="K87" i="12" s="1"/>
  <c r="O183" i="12"/>
  <c r="R183" i="12" s="1"/>
  <c r="N200" i="12"/>
  <c r="O200" i="12" s="1"/>
  <c r="Q200" i="12" s="1"/>
  <c r="J213" i="12"/>
  <c r="N213" i="12" s="1"/>
  <c r="O213" i="12" s="1"/>
  <c r="T213" i="12" s="1"/>
  <c r="J214" i="12"/>
  <c r="N214" i="12" s="1"/>
  <c r="K214" i="12" s="1"/>
  <c r="N273" i="12"/>
  <c r="O273" i="12" s="1"/>
  <c r="Q273" i="12" s="1"/>
  <c r="N283" i="12"/>
  <c r="O283" i="12" s="1"/>
  <c r="Q283" i="12" s="1"/>
  <c r="N308" i="12"/>
  <c r="O308" i="12" s="1"/>
  <c r="Q308" i="12" s="1"/>
  <c r="N318" i="12"/>
  <c r="O318" i="12" s="1"/>
  <c r="R318" i="12" s="1"/>
  <c r="J335" i="12"/>
  <c r="N335" i="12" s="1"/>
  <c r="O335" i="12" s="1"/>
  <c r="R335" i="12" s="1"/>
  <c r="J336" i="12"/>
  <c r="N336" i="12" s="1"/>
  <c r="J355" i="12"/>
  <c r="N355" i="12" s="1"/>
  <c r="K355" i="12" s="1"/>
  <c r="J360" i="12"/>
  <c r="N360" i="12" s="1"/>
  <c r="O360" i="12" s="1"/>
  <c r="S360" i="12" s="1"/>
  <c r="N374" i="12"/>
  <c r="O374" i="12" s="1"/>
  <c r="Q374" i="12" s="1"/>
  <c r="J421" i="12"/>
  <c r="N421" i="12" s="1"/>
  <c r="N437" i="12"/>
  <c r="O437" i="12" s="1"/>
  <c r="Q437" i="12" s="1"/>
  <c r="J461" i="12"/>
  <c r="N461" i="12" s="1"/>
  <c r="K461" i="12" s="1"/>
  <c r="J464" i="12"/>
  <c r="N464" i="12" s="1"/>
  <c r="O464" i="12" s="1"/>
  <c r="R464" i="12" s="1"/>
  <c r="J491" i="12"/>
  <c r="N491" i="12" s="1"/>
  <c r="N495" i="12"/>
  <c r="O495" i="12" s="1"/>
  <c r="Q495" i="12" s="1"/>
  <c r="N535" i="12"/>
  <c r="O535" i="12" s="1"/>
  <c r="Q535" i="12" s="1"/>
  <c r="N39" i="12"/>
  <c r="O39" i="12" s="1"/>
  <c r="Q39" i="12" s="1"/>
  <c r="N293" i="12"/>
  <c r="O293" i="12" s="1"/>
  <c r="Q293" i="12" s="1"/>
  <c r="N86" i="12"/>
  <c r="O86" i="12" s="1"/>
  <c r="T86" i="12" s="1"/>
  <c r="N288" i="12"/>
  <c r="O288" i="12" s="1"/>
  <c r="Q288" i="12" s="1"/>
  <c r="N53" i="12"/>
  <c r="O53" i="12" s="1"/>
  <c r="Q53" i="12" s="1"/>
  <c r="N65" i="12"/>
  <c r="O65" i="12" s="1"/>
  <c r="Q65" i="12" s="1"/>
  <c r="N74" i="12"/>
  <c r="O74" i="12" s="1"/>
  <c r="Q74" i="12" s="1"/>
  <c r="N79" i="12"/>
  <c r="O79" i="12" s="1"/>
  <c r="Q79" i="12" s="1"/>
  <c r="N112" i="12"/>
  <c r="O112" i="12" s="1"/>
  <c r="Q112" i="12" s="1"/>
  <c r="N152" i="12"/>
  <c r="J151" i="12"/>
  <c r="N151" i="12" s="1"/>
  <c r="N155" i="12"/>
  <c r="O155" i="12" s="1"/>
  <c r="Q155" i="12" s="1"/>
  <c r="N180" i="12"/>
  <c r="N196" i="12"/>
  <c r="O196" i="12" s="1"/>
  <c r="Q196" i="12" s="1"/>
  <c r="N205" i="12"/>
  <c r="O205" i="12" s="1"/>
  <c r="Q205" i="12" s="1"/>
  <c r="N231" i="12"/>
  <c r="O231" i="12" s="1"/>
  <c r="Q231" i="12" s="1"/>
  <c r="N277" i="12"/>
  <c r="N303" i="12"/>
  <c r="O303" i="12" s="1"/>
  <c r="Q303" i="12" s="1"/>
  <c r="J319" i="12"/>
  <c r="N319" i="12" s="1"/>
  <c r="K319" i="12" s="1"/>
  <c r="J357" i="12"/>
  <c r="N357" i="12" s="1"/>
  <c r="O357" i="12" s="1"/>
  <c r="T357" i="12" s="1"/>
  <c r="J463" i="12"/>
  <c r="N463" i="12" s="1"/>
  <c r="N468" i="12"/>
  <c r="O468" i="12" s="1"/>
  <c r="Q468" i="12" s="1"/>
  <c r="N492" i="12"/>
  <c r="O492" i="12" s="1"/>
  <c r="Q492" i="12" s="1"/>
  <c r="J490" i="12"/>
  <c r="N490" i="12" s="1"/>
  <c r="N530" i="12"/>
  <c r="O530" i="12" s="1"/>
  <c r="Q530" i="12" s="1"/>
  <c r="O7" i="12"/>
  <c r="S7" i="12" s="1"/>
  <c r="O8" i="12"/>
  <c r="R8" i="12" s="1"/>
  <c r="O34" i="12"/>
  <c r="T34" i="12" s="1"/>
  <c r="K34" i="12"/>
  <c r="O33" i="12"/>
  <c r="T33" i="12" s="1"/>
  <c r="K33" i="12"/>
  <c r="K121" i="12"/>
  <c r="O36" i="12"/>
  <c r="S36" i="12" s="1"/>
  <c r="P588" i="12"/>
  <c r="P590" i="12" s="1"/>
  <c r="J35" i="12"/>
  <c r="N35" i="12" s="1"/>
  <c r="J62" i="12"/>
  <c r="N62" i="12" s="1"/>
  <c r="J85" i="12"/>
  <c r="N85" i="12" s="1"/>
  <c r="J89" i="12"/>
  <c r="N89" i="12" s="1"/>
  <c r="J120" i="12"/>
  <c r="N120" i="12" s="1"/>
  <c r="K277" i="12"/>
  <c r="O277" i="12"/>
  <c r="S277" i="12" s="1"/>
  <c r="J61" i="12"/>
  <c r="N61" i="12" s="1"/>
  <c r="J88" i="12"/>
  <c r="N88" i="12" s="1"/>
  <c r="J119" i="12"/>
  <c r="N119" i="12" s="1"/>
  <c r="N138" i="12"/>
  <c r="O138" i="12" s="1"/>
  <c r="Q138" i="12" s="1"/>
  <c r="J60" i="12"/>
  <c r="N60" i="12" s="1"/>
  <c r="J118" i="12"/>
  <c r="N118" i="12" s="1"/>
  <c r="O182" i="12"/>
  <c r="R182" i="12" s="1"/>
  <c r="K337" i="12"/>
  <c r="O337" i="12"/>
  <c r="R337" i="12" s="1"/>
  <c r="J117" i="12"/>
  <c r="N117" i="12" s="1"/>
  <c r="N160" i="12"/>
  <c r="O160" i="12" s="1"/>
  <c r="Q160" i="12" s="1"/>
  <c r="K238" i="12"/>
  <c r="O238" i="12"/>
  <c r="R238" i="12" s="1"/>
  <c r="K336" i="12"/>
  <c r="O336" i="12"/>
  <c r="R336" i="12" s="1"/>
  <c r="O355" i="12"/>
  <c r="T355" i="12" s="1"/>
  <c r="K360" i="12"/>
  <c r="J149" i="12"/>
  <c r="N149" i="12" s="1"/>
  <c r="J181" i="12"/>
  <c r="N181" i="12" s="1"/>
  <c r="J212" i="12"/>
  <c r="N212" i="12" s="1"/>
  <c r="J239" i="12"/>
  <c r="N239" i="12" s="1"/>
  <c r="J278" i="12"/>
  <c r="N278" i="12" s="1"/>
  <c r="K279" i="12"/>
  <c r="J317" i="12"/>
  <c r="N317" i="12" s="1"/>
  <c r="J321" i="12"/>
  <c r="N321" i="12" s="1"/>
  <c r="J334" i="12"/>
  <c r="N334" i="12" s="1"/>
  <c r="K335" i="12"/>
  <c r="J338" i="12"/>
  <c r="N338" i="12" s="1"/>
  <c r="N364" i="12"/>
  <c r="O364" i="12" s="1"/>
  <c r="Q364" i="12" s="1"/>
  <c r="J386" i="12"/>
  <c r="N386" i="12" s="1"/>
  <c r="J387" i="12"/>
  <c r="N387" i="12" s="1"/>
  <c r="J383" i="12"/>
  <c r="N383" i="12" s="1"/>
  <c r="J388" i="12"/>
  <c r="N388" i="12" s="1"/>
  <c r="J384" i="12"/>
  <c r="N384" i="12" s="1"/>
  <c r="K463" i="12"/>
  <c r="O463" i="12"/>
  <c r="R463" i="12" s="1"/>
  <c r="K490" i="12"/>
  <c r="O490" i="12"/>
  <c r="R490" i="12" s="1"/>
  <c r="K555" i="12"/>
  <c r="O555" i="12"/>
  <c r="R555" i="12" s="1"/>
  <c r="J148" i="12"/>
  <c r="N148" i="12" s="1"/>
  <c r="J320" i="12"/>
  <c r="N320" i="12" s="1"/>
  <c r="J333" i="12"/>
  <c r="N333" i="12" s="1"/>
  <c r="J356" i="12"/>
  <c r="N356" i="12" s="1"/>
  <c r="J358" i="12"/>
  <c r="N358" i="12" s="1"/>
  <c r="J361" i="12"/>
  <c r="N361" i="12" s="1"/>
  <c r="N369" i="12"/>
  <c r="O369" i="12" s="1"/>
  <c r="Q369" i="12" s="1"/>
  <c r="O487" i="12"/>
  <c r="S487" i="12" s="1"/>
  <c r="K487" i="12"/>
  <c r="K515" i="12"/>
  <c r="O554" i="12"/>
  <c r="S554" i="12" s="1"/>
  <c r="O407" i="12"/>
  <c r="S407" i="12" s="1"/>
  <c r="K407" i="12"/>
  <c r="K422" i="12"/>
  <c r="O422" i="12"/>
  <c r="S422" i="12" s="1"/>
  <c r="K462" i="12"/>
  <c r="O462" i="12"/>
  <c r="S462" i="12" s="1"/>
  <c r="O465" i="12"/>
  <c r="R465" i="12" s="1"/>
  <c r="O514" i="12"/>
  <c r="S514" i="12" s="1"/>
  <c r="O421" i="12"/>
  <c r="S421" i="12" s="1"/>
  <c r="K421" i="12"/>
  <c r="O491" i="12"/>
  <c r="R491" i="12" s="1"/>
  <c r="K491" i="12"/>
  <c r="J402" i="12"/>
  <c r="N402" i="12" s="1"/>
  <c r="J406" i="12"/>
  <c r="N406" i="12" s="1"/>
  <c r="J401" i="12"/>
  <c r="N401" i="12" s="1"/>
  <c r="J405" i="12"/>
  <c r="N405" i="12" s="1"/>
  <c r="J423" i="12"/>
  <c r="N423" i="12" s="1"/>
  <c r="J489" i="12"/>
  <c r="N489" i="12" s="1"/>
  <c r="J516" i="12"/>
  <c r="N516" i="12" s="1"/>
  <c r="J404" i="12"/>
  <c r="N404" i="12" s="1"/>
  <c r="J408" i="12"/>
  <c r="N408" i="12" s="1"/>
  <c r="J488" i="12"/>
  <c r="N488" i="12" s="1"/>
  <c r="J403" i="12"/>
  <c r="N403" i="12" s="1"/>
  <c r="K557" i="12" l="1"/>
  <c r="O557" i="12"/>
  <c r="Q557" i="12" s="1"/>
  <c r="O237" i="12"/>
  <c r="S237" i="12" s="1"/>
  <c r="K237" i="12"/>
  <c r="K150" i="12"/>
  <c r="O150" i="12"/>
  <c r="R150" i="12" s="1"/>
  <c r="O556" i="12"/>
  <c r="R556" i="12" s="1"/>
  <c r="K318" i="12"/>
  <c r="O214" i="12"/>
  <c r="T214" i="12" s="1"/>
  <c r="K9" i="12"/>
  <c r="O461" i="12"/>
  <c r="S461" i="12" s="1"/>
  <c r="O319" i="12"/>
  <c r="R319" i="12" s="1"/>
  <c r="O87" i="12"/>
  <c r="T87" i="12" s="1"/>
  <c r="K59" i="12"/>
  <c r="O385" i="12"/>
  <c r="S385" i="12" s="1"/>
  <c r="K213" i="12"/>
  <c r="O179" i="12"/>
  <c r="S179" i="12" s="1"/>
  <c r="K492" i="12"/>
  <c r="K357" i="12"/>
  <c r="O10" i="12"/>
  <c r="R10" i="12" s="1"/>
  <c r="K464" i="12"/>
  <c r="K359" i="12"/>
  <c r="O211" i="12"/>
  <c r="T211" i="12" s="1"/>
  <c r="K86" i="12"/>
  <c r="O152" i="12"/>
  <c r="R152" i="12" s="1"/>
  <c r="K152" i="12"/>
  <c r="O180" i="12"/>
  <c r="R180" i="12" s="1"/>
  <c r="K180" i="12"/>
  <c r="O151" i="12"/>
  <c r="R151" i="12" s="1"/>
  <c r="K151" i="12"/>
  <c r="K404" i="12"/>
  <c r="O404" i="12"/>
  <c r="S404" i="12" s="1"/>
  <c r="K405" i="12"/>
  <c r="O405" i="12"/>
  <c r="S405" i="12" s="1"/>
  <c r="K402" i="12"/>
  <c r="O402" i="12"/>
  <c r="S402" i="12" s="1"/>
  <c r="K333" i="12"/>
  <c r="O333" i="12"/>
  <c r="S333" i="12" s="1"/>
  <c r="K388" i="12"/>
  <c r="O388" i="12"/>
  <c r="R388" i="12" s="1"/>
  <c r="K321" i="12"/>
  <c r="O321" i="12"/>
  <c r="R321" i="12" s="1"/>
  <c r="K239" i="12"/>
  <c r="O239" i="12"/>
  <c r="Q239" i="12" s="1"/>
  <c r="K149" i="12"/>
  <c r="O149" i="12"/>
  <c r="R149" i="12" s="1"/>
  <c r="K118" i="12"/>
  <c r="O118" i="12"/>
  <c r="S118" i="12" s="1"/>
  <c r="K119" i="12"/>
  <c r="O119" i="12"/>
  <c r="S119" i="12" s="1"/>
  <c r="K85" i="12"/>
  <c r="O85" i="12"/>
  <c r="T85" i="12" s="1"/>
  <c r="O403" i="12"/>
  <c r="S403" i="12" s="1"/>
  <c r="K403" i="12"/>
  <c r="K516" i="12"/>
  <c r="O516" i="12"/>
  <c r="Q516" i="12" s="1"/>
  <c r="K401" i="12"/>
  <c r="O401" i="12"/>
  <c r="S401" i="12" s="1"/>
  <c r="K361" i="12"/>
  <c r="O361" i="12"/>
  <c r="S361" i="12" s="1"/>
  <c r="K320" i="12"/>
  <c r="O320" i="12"/>
  <c r="R320" i="12" s="1"/>
  <c r="K383" i="12"/>
  <c r="O383" i="12"/>
  <c r="S383" i="12" s="1"/>
  <c r="K338" i="12"/>
  <c r="O338" i="12"/>
  <c r="R338" i="12" s="1"/>
  <c r="K317" i="12"/>
  <c r="O317" i="12"/>
  <c r="S317" i="12" s="1"/>
  <c r="K60" i="12"/>
  <c r="O60" i="12"/>
  <c r="U60" i="12" s="1"/>
  <c r="K88" i="12"/>
  <c r="O88" i="12"/>
  <c r="T88" i="12" s="1"/>
  <c r="K62" i="12"/>
  <c r="O62" i="12"/>
  <c r="T62" i="12" s="1"/>
  <c r="K488" i="12"/>
  <c r="O488" i="12"/>
  <c r="S488" i="12" s="1"/>
  <c r="K489" i="12"/>
  <c r="O489" i="12"/>
  <c r="R489" i="12" s="1"/>
  <c r="K358" i="12"/>
  <c r="O358" i="12"/>
  <c r="S358" i="12" s="1"/>
  <c r="O148" i="12"/>
  <c r="S148" i="12" s="1"/>
  <c r="K148" i="12"/>
  <c r="K387" i="12"/>
  <c r="O387" i="12"/>
  <c r="R387" i="12" s="1"/>
  <c r="K212" i="12"/>
  <c r="O212" i="12"/>
  <c r="T212" i="12" s="1"/>
  <c r="O117" i="12"/>
  <c r="T117" i="12" s="1"/>
  <c r="K117" i="12"/>
  <c r="K61" i="12"/>
  <c r="O61" i="12"/>
  <c r="U61" i="12" s="1"/>
  <c r="K120" i="12"/>
  <c r="O120" i="12"/>
  <c r="S120" i="12" s="1"/>
  <c r="K35" i="12"/>
  <c r="O35" i="12"/>
  <c r="S35" i="12" s="1"/>
  <c r="K408" i="12"/>
  <c r="O408" i="12"/>
  <c r="S408" i="12" s="1"/>
  <c r="K423" i="12"/>
  <c r="O423" i="12"/>
  <c r="R423" i="12" s="1"/>
  <c r="K406" i="12"/>
  <c r="O406" i="12"/>
  <c r="S406" i="12" s="1"/>
  <c r="K356" i="12"/>
  <c r="O356" i="12"/>
  <c r="T356" i="12" s="1"/>
  <c r="K384" i="12"/>
  <c r="O384" i="12"/>
  <c r="S384" i="12" s="1"/>
  <c r="K386" i="12"/>
  <c r="O386" i="12"/>
  <c r="R386" i="12" s="1"/>
  <c r="K334" i="12"/>
  <c r="O334" i="12"/>
  <c r="R334" i="12" s="1"/>
  <c r="K278" i="12"/>
  <c r="O278" i="12"/>
  <c r="R278" i="12" s="1"/>
  <c r="K181" i="12"/>
  <c r="O181" i="12"/>
  <c r="R181" i="12" s="1"/>
  <c r="K89" i="12"/>
  <c r="O89" i="12"/>
  <c r="T89" i="12" s="1"/>
  <c r="Q588" i="12" l="1"/>
  <c r="Q590" i="12" s="1"/>
  <c r="S588" i="12"/>
  <c r="S590" i="12" s="1"/>
  <c r="T588" i="12"/>
  <c r="T590" i="12" s="1"/>
  <c r="U588" i="12"/>
  <c r="U590" i="12" s="1"/>
  <c r="R588" i="12"/>
  <c r="R590" i="12" s="1"/>
  <c r="M6" i="14" l="1"/>
  <c r="V590" i="12"/>
  <c r="V783" i="11"/>
  <c r="U783" i="11"/>
  <c r="T783" i="11"/>
  <c r="S783" i="11"/>
  <c r="R783" i="11"/>
  <c r="Q783" i="11"/>
  <c r="V782" i="11"/>
  <c r="U782" i="11"/>
  <c r="T782" i="11"/>
  <c r="S782" i="11"/>
  <c r="R782" i="11"/>
  <c r="Q782" i="11"/>
  <c r="V781" i="11"/>
  <c r="U781" i="11"/>
  <c r="T781" i="11"/>
  <c r="S781" i="11"/>
  <c r="R781" i="11"/>
  <c r="Q781" i="11"/>
  <c r="V780" i="11"/>
  <c r="U780" i="11"/>
  <c r="T780" i="11"/>
  <c r="S780" i="11"/>
  <c r="R780" i="11"/>
  <c r="Q780" i="11"/>
  <c r="V779" i="11"/>
  <c r="U779" i="11"/>
  <c r="T779" i="11"/>
  <c r="S779" i="11"/>
  <c r="R779" i="11"/>
  <c r="Q779" i="11"/>
  <c r="V778" i="11"/>
  <c r="U778" i="11"/>
  <c r="S778" i="11"/>
  <c r="R778" i="11"/>
  <c r="Q778" i="11"/>
  <c r="N778" i="11"/>
  <c r="O778" i="11" s="1"/>
  <c r="K778" i="11"/>
  <c r="J778" i="11"/>
  <c r="V777" i="11"/>
  <c r="U777" i="11"/>
  <c r="T777" i="11"/>
  <c r="S777" i="11"/>
  <c r="R777" i="11"/>
  <c r="Q777" i="11"/>
  <c r="V776" i="11"/>
  <c r="U776" i="11"/>
  <c r="T776" i="11"/>
  <c r="S776" i="11"/>
  <c r="R776" i="11"/>
  <c r="Q776" i="11"/>
  <c r="V775" i="11"/>
  <c r="T775" i="11"/>
  <c r="S775" i="11"/>
  <c r="R775" i="11"/>
  <c r="Q775" i="11"/>
  <c r="N775" i="11"/>
  <c r="O775" i="11" s="1"/>
  <c r="L775" i="11" s="1"/>
  <c r="P775" i="11" s="1"/>
  <c r="U775" i="11" s="1"/>
  <c r="K775" i="11"/>
  <c r="J775" i="11"/>
  <c r="V774" i="11"/>
  <c r="U774" i="11"/>
  <c r="T774" i="11"/>
  <c r="S774" i="11"/>
  <c r="R774" i="11"/>
  <c r="Q774" i="11"/>
  <c r="V773" i="11"/>
  <c r="U773" i="11"/>
  <c r="T773" i="11"/>
  <c r="S773" i="11"/>
  <c r="R773" i="11"/>
  <c r="Q773" i="11"/>
  <c r="V772" i="11"/>
  <c r="U772" i="11"/>
  <c r="T772" i="11"/>
  <c r="S772" i="11"/>
  <c r="Q772" i="11"/>
  <c r="N772" i="11"/>
  <c r="O772" i="11" s="1"/>
  <c r="K772" i="11"/>
  <c r="J772" i="11"/>
  <c r="V771" i="11"/>
  <c r="U771" i="11"/>
  <c r="T771" i="11"/>
  <c r="S771" i="11"/>
  <c r="R771" i="11"/>
  <c r="Q771" i="11"/>
  <c r="V770" i="11"/>
  <c r="U770" i="11"/>
  <c r="T770" i="11"/>
  <c r="S770" i="11"/>
  <c r="R770" i="11"/>
  <c r="Q770" i="11"/>
  <c r="V769" i="11"/>
  <c r="U769" i="11"/>
  <c r="T769" i="11"/>
  <c r="R769" i="11"/>
  <c r="Q769" i="11"/>
  <c r="N769" i="11"/>
  <c r="O769" i="11" s="1"/>
  <c r="L769" i="11" s="1"/>
  <c r="K769" i="11"/>
  <c r="J769" i="11"/>
  <c r="V768" i="11"/>
  <c r="U768" i="11"/>
  <c r="T768" i="11"/>
  <c r="S768" i="11"/>
  <c r="R768" i="11"/>
  <c r="Q768" i="11"/>
  <c r="V767" i="11"/>
  <c r="U767" i="11"/>
  <c r="T767" i="11"/>
  <c r="S767" i="11"/>
  <c r="R767" i="11"/>
  <c r="Q767" i="11"/>
  <c r="V766" i="11"/>
  <c r="U766" i="11"/>
  <c r="T766" i="11"/>
  <c r="R766" i="11"/>
  <c r="Q766" i="11"/>
  <c r="N766" i="11"/>
  <c r="O766" i="11" s="1"/>
  <c r="L766" i="11" s="1"/>
  <c r="K766" i="11"/>
  <c r="J766" i="11"/>
  <c r="V765" i="11"/>
  <c r="U765" i="11"/>
  <c r="T765" i="11"/>
  <c r="S765" i="11"/>
  <c r="R765" i="11"/>
  <c r="Q765" i="11"/>
  <c r="V764" i="11"/>
  <c r="U764" i="11"/>
  <c r="T764" i="11"/>
  <c r="S764" i="11"/>
  <c r="R764" i="11"/>
  <c r="Q764" i="11"/>
  <c r="V763" i="11"/>
  <c r="U763" i="11"/>
  <c r="T763" i="11"/>
  <c r="R763" i="11"/>
  <c r="Q763" i="11"/>
  <c r="N763" i="11"/>
  <c r="O763" i="11" s="1"/>
  <c r="L763" i="11" s="1"/>
  <c r="K763" i="11"/>
  <c r="J763" i="11"/>
  <c r="V762" i="11"/>
  <c r="U762" i="11"/>
  <c r="T762" i="11"/>
  <c r="S762" i="11"/>
  <c r="R762" i="11"/>
  <c r="Q762" i="11"/>
  <c r="V761" i="11"/>
  <c r="U761" i="11"/>
  <c r="T761" i="11"/>
  <c r="S761" i="11"/>
  <c r="R761" i="11"/>
  <c r="Q761" i="11"/>
  <c r="V760" i="11"/>
  <c r="U760" i="11"/>
  <c r="S760" i="11"/>
  <c r="R760" i="11"/>
  <c r="Q760" i="11"/>
  <c r="N760" i="11"/>
  <c r="O760" i="11" s="1"/>
  <c r="L760" i="11" s="1"/>
  <c r="K760" i="11"/>
  <c r="J760" i="11"/>
  <c r="V759" i="11"/>
  <c r="U759" i="11"/>
  <c r="T759" i="11"/>
  <c r="S759" i="11"/>
  <c r="R759" i="11"/>
  <c r="Q759" i="11"/>
  <c r="V758" i="11"/>
  <c r="U758" i="11"/>
  <c r="T758" i="11"/>
  <c r="S758" i="11"/>
  <c r="R758" i="11"/>
  <c r="Q758" i="11"/>
  <c r="U757" i="11"/>
  <c r="T757" i="11"/>
  <c r="S757" i="11"/>
  <c r="R757" i="11"/>
  <c r="Q757" i="11"/>
  <c r="N757" i="11"/>
  <c r="O757" i="11" s="1"/>
  <c r="L757" i="11" s="1"/>
  <c r="K757" i="11"/>
  <c r="J757" i="11"/>
  <c r="V756" i="11"/>
  <c r="U756" i="11"/>
  <c r="T756" i="11"/>
  <c r="S756" i="11"/>
  <c r="R756" i="11"/>
  <c r="Q756" i="11"/>
  <c r="V755" i="11"/>
  <c r="U755" i="11"/>
  <c r="T755" i="11"/>
  <c r="S755" i="11"/>
  <c r="R755" i="11"/>
  <c r="Q755" i="11"/>
  <c r="V754" i="11"/>
  <c r="U754" i="11"/>
  <c r="T754" i="11"/>
  <c r="S754" i="11"/>
  <c r="Q754" i="11"/>
  <c r="N754" i="11"/>
  <c r="O754" i="11" s="1"/>
  <c r="L754" i="11" s="1"/>
  <c r="K754" i="11"/>
  <c r="J754" i="11"/>
  <c r="V753" i="11"/>
  <c r="U753" i="11"/>
  <c r="T753" i="11"/>
  <c r="S753" i="11"/>
  <c r="R753" i="11"/>
  <c r="Q753" i="11"/>
  <c r="V752" i="11"/>
  <c r="U752" i="11"/>
  <c r="T752" i="11"/>
  <c r="S752" i="11"/>
  <c r="R752" i="11"/>
  <c r="Q752" i="11"/>
  <c r="V751" i="11"/>
  <c r="U751" i="11"/>
  <c r="S751" i="11"/>
  <c r="R751" i="11"/>
  <c r="Q751" i="11"/>
  <c r="N751" i="11"/>
  <c r="O751" i="11" s="1"/>
  <c r="L751" i="11" s="1"/>
  <c r="K751" i="11"/>
  <c r="J751" i="11"/>
  <c r="V750" i="11"/>
  <c r="U750" i="11"/>
  <c r="T750" i="11"/>
  <c r="S750" i="11"/>
  <c r="R750" i="11"/>
  <c r="Q750" i="11"/>
  <c r="V749" i="11"/>
  <c r="U749" i="11"/>
  <c r="T749" i="11"/>
  <c r="S749" i="11"/>
  <c r="R749" i="11"/>
  <c r="Q749" i="11"/>
  <c r="V748" i="11"/>
  <c r="T748" i="11"/>
  <c r="S748" i="11"/>
  <c r="R748" i="11"/>
  <c r="Q748" i="11"/>
  <c r="N748" i="11"/>
  <c r="O748" i="11" s="1"/>
  <c r="L748" i="11" s="1"/>
  <c r="K748" i="11"/>
  <c r="J748" i="11"/>
  <c r="V747" i="11"/>
  <c r="U747" i="11"/>
  <c r="T747" i="11"/>
  <c r="S747" i="11"/>
  <c r="R747" i="11"/>
  <c r="Q747" i="11"/>
  <c r="V746" i="11"/>
  <c r="U746" i="11"/>
  <c r="T746" i="11"/>
  <c r="S746" i="11"/>
  <c r="R746" i="11"/>
  <c r="Q746" i="11"/>
  <c r="V745" i="11"/>
  <c r="U745" i="11"/>
  <c r="T745" i="11"/>
  <c r="R745" i="11"/>
  <c r="Q745" i="11"/>
  <c r="N745" i="11"/>
  <c r="O745" i="11" s="1"/>
  <c r="L745" i="11" s="1"/>
  <c r="K745" i="11"/>
  <c r="J745" i="11"/>
  <c r="V744" i="11"/>
  <c r="U744" i="11"/>
  <c r="T744" i="11"/>
  <c r="S744" i="11"/>
  <c r="R744" i="11"/>
  <c r="Q744" i="11"/>
  <c r="V743" i="11"/>
  <c r="U743" i="11"/>
  <c r="T743" i="11"/>
  <c r="S743" i="11"/>
  <c r="R743" i="11"/>
  <c r="Q743" i="11"/>
  <c r="V742" i="11"/>
  <c r="U742" i="11"/>
  <c r="T742" i="11"/>
  <c r="R742" i="11"/>
  <c r="Q742" i="11"/>
  <c r="N742" i="11"/>
  <c r="O742" i="11" s="1"/>
  <c r="L742" i="11" s="1"/>
  <c r="K742" i="11"/>
  <c r="J742" i="11"/>
  <c r="V741" i="11"/>
  <c r="U741" i="11"/>
  <c r="T741" i="11"/>
  <c r="S741" i="11"/>
  <c r="R741" i="11"/>
  <c r="Q741" i="11"/>
  <c r="V740" i="11"/>
  <c r="U740" i="11"/>
  <c r="T740" i="11"/>
  <c r="S740" i="11"/>
  <c r="R740" i="11"/>
  <c r="Q740" i="11"/>
  <c r="V739" i="11"/>
  <c r="T739" i="11"/>
  <c r="S739" i="11"/>
  <c r="R739" i="11"/>
  <c r="Q739" i="11"/>
  <c r="N739" i="11"/>
  <c r="O739" i="11" s="1"/>
  <c r="L739" i="11" s="1"/>
  <c r="K739" i="11"/>
  <c r="J739" i="11"/>
  <c r="V738" i="11"/>
  <c r="U738" i="11"/>
  <c r="T738" i="11"/>
  <c r="S738" i="11"/>
  <c r="R738" i="11"/>
  <c r="Q738" i="11"/>
  <c r="V737" i="11"/>
  <c r="U737" i="11"/>
  <c r="T737" i="11"/>
  <c r="S737" i="11"/>
  <c r="R737" i="11"/>
  <c r="Q737" i="11"/>
  <c r="V736" i="11"/>
  <c r="U736" i="11"/>
  <c r="S736" i="11"/>
  <c r="R736" i="11"/>
  <c r="Q736" i="11"/>
  <c r="N736" i="11"/>
  <c r="O736" i="11" s="1"/>
  <c r="L736" i="11" s="1"/>
  <c r="K736" i="11"/>
  <c r="J736" i="11"/>
  <c r="V735" i="11"/>
  <c r="U735" i="11"/>
  <c r="T735" i="11"/>
  <c r="S735" i="11"/>
  <c r="R735" i="11"/>
  <c r="Q735" i="11"/>
  <c r="V734" i="11"/>
  <c r="U734" i="11"/>
  <c r="T734" i="11"/>
  <c r="S734" i="11"/>
  <c r="R734" i="11"/>
  <c r="Q734" i="11"/>
  <c r="V733" i="11"/>
  <c r="T733" i="11"/>
  <c r="S733" i="11"/>
  <c r="R733" i="11"/>
  <c r="Q733" i="11"/>
  <c r="N733" i="11"/>
  <c r="O733" i="11" s="1"/>
  <c r="L733" i="11" s="1"/>
  <c r="K733" i="11"/>
  <c r="J733" i="11"/>
  <c r="V732" i="11"/>
  <c r="U732" i="11"/>
  <c r="T732" i="11"/>
  <c r="S732" i="11"/>
  <c r="R732" i="11"/>
  <c r="Q732" i="11"/>
  <c r="V731" i="11"/>
  <c r="U731" i="11"/>
  <c r="T731" i="11"/>
  <c r="S731" i="11"/>
  <c r="R731" i="11"/>
  <c r="Q731" i="11"/>
  <c r="V730" i="11"/>
  <c r="U730" i="11"/>
  <c r="S730" i="11"/>
  <c r="R730" i="11"/>
  <c r="Q730" i="11"/>
  <c r="N730" i="11"/>
  <c r="O730" i="11" s="1"/>
  <c r="L730" i="11" s="1"/>
  <c r="K730" i="11"/>
  <c r="J730" i="11"/>
  <c r="V729" i="11"/>
  <c r="U729" i="11"/>
  <c r="T729" i="11"/>
  <c r="S729" i="11"/>
  <c r="R729" i="11"/>
  <c r="Q729" i="11"/>
  <c r="V728" i="11"/>
  <c r="U728" i="11"/>
  <c r="T728" i="11"/>
  <c r="S728" i="11"/>
  <c r="R728" i="11"/>
  <c r="Q728" i="11"/>
  <c r="V727" i="11"/>
  <c r="T727" i="11"/>
  <c r="S727" i="11"/>
  <c r="R727" i="11"/>
  <c r="Q727" i="11"/>
  <c r="N727" i="11"/>
  <c r="O727" i="11" s="1"/>
  <c r="L727" i="11" s="1"/>
  <c r="K727" i="11"/>
  <c r="J727" i="11"/>
  <c r="V726" i="11"/>
  <c r="U726" i="11"/>
  <c r="T726" i="11"/>
  <c r="S726" i="11"/>
  <c r="R726" i="11"/>
  <c r="Q726" i="11"/>
  <c r="V725" i="11"/>
  <c r="U725" i="11"/>
  <c r="T725" i="11"/>
  <c r="S725" i="11"/>
  <c r="R725" i="11"/>
  <c r="Q725" i="11"/>
  <c r="V724" i="11"/>
  <c r="T724" i="11"/>
  <c r="S724" i="11"/>
  <c r="R724" i="11"/>
  <c r="Q724" i="11"/>
  <c r="N724" i="11"/>
  <c r="O724" i="11" s="1"/>
  <c r="L724" i="11" s="1"/>
  <c r="K724" i="11"/>
  <c r="J724" i="11"/>
  <c r="V723" i="11"/>
  <c r="U723" i="11"/>
  <c r="T723" i="11"/>
  <c r="S723" i="11"/>
  <c r="R723" i="11"/>
  <c r="Q723" i="11"/>
  <c r="V722" i="11"/>
  <c r="U722" i="11"/>
  <c r="T722" i="11"/>
  <c r="S722" i="11"/>
  <c r="R722" i="11"/>
  <c r="Q722" i="11"/>
  <c r="V721" i="11"/>
  <c r="T721" i="11"/>
  <c r="S721" i="11"/>
  <c r="R721" i="11"/>
  <c r="Q721" i="11"/>
  <c r="N721" i="11"/>
  <c r="O721" i="11" s="1"/>
  <c r="L721" i="11" s="1"/>
  <c r="K721" i="11"/>
  <c r="J721" i="11"/>
  <c r="V720" i="11"/>
  <c r="U720" i="11"/>
  <c r="T720" i="11"/>
  <c r="S720" i="11"/>
  <c r="R720" i="11"/>
  <c r="Q720" i="11"/>
  <c r="V719" i="11"/>
  <c r="U719" i="11"/>
  <c r="T719" i="11"/>
  <c r="S719" i="11"/>
  <c r="R719" i="11"/>
  <c r="Q719" i="11"/>
  <c r="V718" i="11"/>
  <c r="U718" i="11"/>
  <c r="S718" i="11"/>
  <c r="R718" i="11"/>
  <c r="Q718" i="11"/>
  <c r="N718" i="11"/>
  <c r="O718" i="11" s="1"/>
  <c r="L718" i="11" s="1"/>
  <c r="K718" i="11"/>
  <c r="J718" i="11"/>
  <c r="V717" i="11"/>
  <c r="U717" i="11"/>
  <c r="T717" i="11"/>
  <c r="S717" i="11"/>
  <c r="R717" i="11"/>
  <c r="Q717" i="11"/>
  <c r="V716" i="11"/>
  <c r="U716" i="11"/>
  <c r="T716" i="11"/>
  <c r="S716" i="11"/>
  <c r="R716" i="11"/>
  <c r="Q716" i="11"/>
  <c r="V715" i="11"/>
  <c r="U715" i="11"/>
  <c r="S715" i="11"/>
  <c r="R715" i="11"/>
  <c r="Q715" i="11"/>
  <c r="N715" i="11"/>
  <c r="O715" i="11" s="1"/>
  <c r="L715" i="11" s="1"/>
  <c r="K715" i="11"/>
  <c r="J715" i="11"/>
  <c r="V714" i="11"/>
  <c r="U714" i="11"/>
  <c r="T714" i="11"/>
  <c r="S714" i="11"/>
  <c r="R714" i="11"/>
  <c r="Q714" i="11"/>
  <c r="V713" i="11"/>
  <c r="U713" i="11"/>
  <c r="T713" i="11"/>
  <c r="S713" i="11"/>
  <c r="R713" i="11"/>
  <c r="Q713" i="11"/>
  <c r="V712" i="11"/>
  <c r="T712" i="11"/>
  <c r="S712" i="11"/>
  <c r="R712" i="11"/>
  <c r="Q712" i="11"/>
  <c r="N712" i="11"/>
  <c r="O712" i="11" s="1"/>
  <c r="L712" i="11" s="1"/>
  <c r="K712" i="11"/>
  <c r="J712" i="11"/>
  <c r="V711" i="11"/>
  <c r="U711" i="11"/>
  <c r="T711" i="11"/>
  <c r="S711" i="11"/>
  <c r="R711" i="11"/>
  <c r="Q711" i="11"/>
  <c r="V710" i="11"/>
  <c r="U710" i="11"/>
  <c r="T710" i="11"/>
  <c r="S710" i="11"/>
  <c r="R710" i="11"/>
  <c r="Q710" i="11"/>
  <c r="V709" i="11"/>
  <c r="U709" i="11"/>
  <c r="T709" i="11"/>
  <c r="R709" i="11"/>
  <c r="Q709" i="11"/>
  <c r="N709" i="11"/>
  <c r="O709" i="11" s="1"/>
  <c r="L709" i="11" s="1"/>
  <c r="K709" i="11"/>
  <c r="J709" i="11"/>
  <c r="V708" i="11"/>
  <c r="U708" i="11"/>
  <c r="T708" i="11"/>
  <c r="S708" i="11"/>
  <c r="R708" i="11"/>
  <c r="Q708" i="11"/>
  <c r="V707" i="11"/>
  <c r="U707" i="11"/>
  <c r="T707" i="11"/>
  <c r="S707" i="11"/>
  <c r="R707" i="11"/>
  <c r="Q707" i="11"/>
  <c r="V706" i="11"/>
  <c r="U706" i="11"/>
  <c r="S706" i="11"/>
  <c r="R706" i="11"/>
  <c r="Q706" i="11"/>
  <c r="N706" i="11"/>
  <c r="O706" i="11" s="1"/>
  <c r="L706" i="11" s="1"/>
  <c r="K706" i="11"/>
  <c r="J706" i="11"/>
  <c r="V705" i="11"/>
  <c r="U705" i="11"/>
  <c r="T705" i="11"/>
  <c r="S705" i="11"/>
  <c r="R705" i="11"/>
  <c r="Q705" i="11"/>
  <c r="V704" i="11"/>
  <c r="U704" i="11"/>
  <c r="T704" i="11"/>
  <c r="S704" i="11"/>
  <c r="R704" i="11"/>
  <c r="Q704" i="11"/>
  <c r="V703" i="11"/>
  <c r="U703" i="11"/>
  <c r="T703" i="11"/>
  <c r="S703" i="11"/>
  <c r="Q703" i="11"/>
  <c r="N703" i="11"/>
  <c r="O703" i="11" s="1"/>
  <c r="L703" i="11" s="1"/>
  <c r="K703" i="11"/>
  <c r="J703" i="11"/>
  <c r="V702" i="11"/>
  <c r="U702" i="11"/>
  <c r="T702" i="11"/>
  <c r="S702" i="11"/>
  <c r="R702" i="11"/>
  <c r="Q702" i="11"/>
  <c r="V701" i="11"/>
  <c r="U701" i="11"/>
  <c r="T701" i="11"/>
  <c r="S701" i="11"/>
  <c r="R701" i="11"/>
  <c r="Q701" i="11"/>
  <c r="V700" i="11"/>
  <c r="U700" i="11"/>
  <c r="T700" i="11"/>
  <c r="S700" i="11"/>
  <c r="Q700" i="11"/>
  <c r="N700" i="11"/>
  <c r="O700" i="11" s="1"/>
  <c r="L700" i="11" s="1"/>
  <c r="K700" i="11"/>
  <c r="J700" i="11"/>
  <c r="V699" i="11"/>
  <c r="U699" i="11"/>
  <c r="T699" i="11"/>
  <c r="S699" i="11"/>
  <c r="R699" i="11"/>
  <c r="Q699" i="11"/>
  <c r="V698" i="11"/>
  <c r="U698" i="11"/>
  <c r="T698" i="11"/>
  <c r="S698" i="11"/>
  <c r="R698" i="11"/>
  <c r="Q698" i="11"/>
  <c r="V697" i="11"/>
  <c r="U697" i="11"/>
  <c r="T697" i="11"/>
  <c r="S697" i="11"/>
  <c r="Q697" i="11"/>
  <c r="N697" i="11"/>
  <c r="O697" i="11" s="1"/>
  <c r="L697" i="11" s="1"/>
  <c r="K697" i="11"/>
  <c r="J697" i="11"/>
  <c r="V696" i="11"/>
  <c r="U696" i="11"/>
  <c r="T696" i="11"/>
  <c r="S696" i="11"/>
  <c r="R696" i="11"/>
  <c r="Q696" i="11"/>
  <c r="V695" i="11"/>
  <c r="U695" i="11"/>
  <c r="T695" i="11"/>
  <c r="S695" i="11"/>
  <c r="R695" i="11"/>
  <c r="Q695" i="11"/>
  <c r="V694" i="11"/>
  <c r="U694" i="11"/>
  <c r="T694" i="11"/>
  <c r="S694" i="11"/>
  <c r="Q694" i="11"/>
  <c r="N694" i="11"/>
  <c r="O694" i="11" s="1"/>
  <c r="L694" i="11" s="1"/>
  <c r="K694" i="11"/>
  <c r="J694" i="11"/>
  <c r="V693" i="11"/>
  <c r="U693" i="11"/>
  <c r="T693" i="11"/>
  <c r="S693" i="11"/>
  <c r="R693" i="11"/>
  <c r="Q693" i="11"/>
  <c r="V692" i="11"/>
  <c r="U692" i="11"/>
  <c r="T692" i="11"/>
  <c r="S692" i="11"/>
  <c r="R692" i="11"/>
  <c r="Q692" i="11"/>
  <c r="V691" i="11"/>
  <c r="U691" i="11"/>
  <c r="T691" i="11"/>
  <c r="S691" i="11"/>
  <c r="Q691" i="11"/>
  <c r="N691" i="11"/>
  <c r="O691" i="11" s="1"/>
  <c r="L691" i="11" s="1"/>
  <c r="K691" i="11"/>
  <c r="J691" i="11"/>
  <c r="V690" i="11"/>
  <c r="U690" i="11"/>
  <c r="T690" i="11"/>
  <c r="S690" i="11"/>
  <c r="R690" i="11"/>
  <c r="Q690" i="11"/>
  <c r="V689" i="11"/>
  <c r="U689" i="11"/>
  <c r="T689" i="11"/>
  <c r="S689" i="11"/>
  <c r="R689" i="11"/>
  <c r="Q689" i="11"/>
  <c r="V688" i="11"/>
  <c r="U688" i="11"/>
  <c r="T688" i="11"/>
  <c r="R688" i="11"/>
  <c r="Q688" i="11"/>
  <c r="N688" i="11"/>
  <c r="O688" i="11" s="1"/>
  <c r="L688" i="11" s="1"/>
  <c r="K688" i="11"/>
  <c r="J688" i="11"/>
  <c r="V687" i="11"/>
  <c r="U687" i="11"/>
  <c r="T687" i="11"/>
  <c r="S687" i="11"/>
  <c r="R687" i="11"/>
  <c r="Q687" i="11"/>
  <c r="V686" i="11"/>
  <c r="U686" i="11"/>
  <c r="T686" i="11"/>
  <c r="S686" i="11"/>
  <c r="R686" i="11"/>
  <c r="Q686" i="11"/>
  <c r="V685" i="11"/>
  <c r="U685" i="11"/>
  <c r="S685" i="11"/>
  <c r="R685" i="11"/>
  <c r="Q685" i="11"/>
  <c r="N685" i="11"/>
  <c r="O685" i="11" s="1"/>
  <c r="L685" i="11" s="1"/>
  <c r="K685" i="11"/>
  <c r="J685" i="11"/>
  <c r="V684" i="11"/>
  <c r="U684" i="11"/>
  <c r="T684" i="11"/>
  <c r="S684" i="11"/>
  <c r="R684" i="11"/>
  <c r="Q684" i="11"/>
  <c r="V683" i="11"/>
  <c r="U683" i="11"/>
  <c r="T683" i="11"/>
  <c r="S683" i="11"/>
  <c r="R683" i="11"/>
  <c r="Q683" i="11"/>
  <c r="V682" i="11"/>
  <c r="U682" i="11"/>
  <c r="S682" i="11"/>
  <c r="R682" i="11"/>
  <c r="Q682" i="11"/>
  <c r="N682" i="11"/>
  <c r="O682" i="11" s="1"/>
  <c r="L682" i="11" s="1"/>
  <c r="K682" i="11"/>
  <c r="J682" i="11"/>
  <c r="V681" i="11"/>
  <c r="U681" i="11"/>
  <c r="T681" i="11"/>
  <c r="S681" i="11"/>
  <c r="R681" i="11"/>
  <c r="Q681" i="11"/>
  <c r="V680" i="11"/>
  <c r="U680" i="11"/>
  <c r="T680" i="11"/>
  <c r="S680" i="11"/>
  <c r="R680" i="11"/>
  <c r="Q680" i="11"/>
  <c r="V679" i="11"/>
  <c r="U679" i="11"/>
  <c r="S679" i="11"/>
  <c r="R679" i="11"/>
  <c r="Q679" i="11"/>
  <c r="N679" i="11"/>
  <c r="O679" i="11" s="1"/>
  <c r="L679" i="11" s="1"/>
  <c r="K679" i="11"/>
  <c r="J679" i="11"/>
  <c r="V678" i="11"/>
  <c r="U678" i="11"/>
  <c r="T678" i="11"/>
  <c r="S678" i="11"/>
  <c r="R678" i="11"/>
  <c r="Q678" i="11"/>
  <c r="V677" i="11"/>
  <c r="U677" i="11"/>
  <c r="T677" i="11"/>
  <c r="S677" i="11"/>
  <c r="R677" i="11"/>
  <c r="Q677" i="11"/>
  <c r="V676" i="11"/>
  <c r="U676" i="11"/>
  <c r="S676" i="11"/>
  <c r="R676" i="11"/>
  <c r="Q676" i="11"/>
  <c r="N676" i="11"/>
  <c r="O676" i="11" s="1"/>
  <c r="L676" i="11" s="1"/>
  <c r="K676" i="11"/>
  <c r="J676" i="11"/>
  <c r="V675" i="11"/>
  <c r="U675" i="11"/>
  <c r="T675" i="11"/>
  <c r="S675" i="11"/>
  <c r="R675" i="11"/>
  <c r="Q675" i="11"/>
  <c r="V674" i="11"/>
  <c r="U674" i="11"/>
  <c r="T674" i="11"/>
  <c r="S674" i="11"/>
  <c r="R674" i="11"/>
  <c r="Q674" i="11"/>
  <c r="V673" i="11"/>
  <c r="T673" i="11"/>
  <c r="S673" i="11"/>
  <c r="R673" i="11"/>
  <c r="Q673" i="11"/>
  <c r="N673" i="11"/>
  <c r="O673" i="11" s="1"/>
  <c r="L673" i="11" s="1"/>
  <c r="K673" i="11"/>
  <c r="J673" i="11"/>
  <c r="V672" i="11"/>
  <c r="U672" i="11"/>
  <c r="T672" i="11"/>
  <c r="S672" i="11"/>
  <c r="R672" i="11"/>
  <c r="Q672" i="11"/>
  <c r="V671" i="11"/>
  <c r="U671" i="11"/>
  <c r="T671" i="11"/>
  <c r="S671" i="11"/>
  <c r="R671" i="11"/>
  <c r="Q671" i="11"/>
  <c r="V670" i="11"/>
  <c r="T670" i="11"/>
  <c r="S670" i="11"/>
  <c r="R670" i="11"/>
  <c r="Q670" i="11"/>
  <c r="N670" i="11"/>
  <c r="O670" i="11" s="1"/>
  <c r="L670" i="11" s="1"/>
  <c r="K670" i="11"/>
  <c r="J670" i="11"/>
  <c r="V669" i="11"/>
  <c r="U669" i="11"/>
  <c r="T669" i="11"/>
  <c r="S669" i="11"/>
  <c r="R669" i="11"/>
  <c r="Q669" i="11"/>
  <c r="V668" i="11"/>
  <c r="U668" i="11"/>
  <c r="T668" i="11"/>
  <c r="S668" i="11"/>
  <c r="R668" i="11"/>
  <c r="Q668" i="11"/>
  <c r="V667" i="11"/>
  <c r="T667" i="11"/>
  <c r="S667" i="11"/>
  <c r="R667" i="11"/>
  <c r="Q667" i="11"/>
  <c r="N667" i="11"/>
  <c r="O667" i="11" s="1"/>
  <c r="L667" i="11" s="1"/>
  <c r="K667" i="11"/>
  <c r="J667" i="11"/>
  <c r="V666" i="11"/>
  <c r="U666" i="11"/>
  <c r="T666" i="11"/>
  <c r="S666" i="11"/>
  <c r="R666" i="11"/>
  <c r="Q666" i="11"/>
  <c r="V665" i="11"/>
  <c r="U665" i="11"/>
  <c r="T665" i="11"/>
  <c r="S665" i="11"/>
  <c r="R665" i="11"/>
  <c r="Q665" i="11"/>
  <c r="V664" i="11"/>
  <c r="U664" i="11"/>
  <c r="T664" i="11"/>
  <c r="R664" i="11"/>
  <c r="Q664" i="11"/>
  <c r="N664" i="11"/>
  <c r="O664" i="11" s="1"/>
  <c r="L664" i="11" s="1"/>
  <c r="K664" i="11"/>
  <c r="J664" i="11"/>
  <c r="V663" i="11"/>
  <c r="U663" i="11"/>
  <c r="T663" i="11"/>
  <c r="S663" i="11"/>
  <c r="R663" i="11"/>
  <c r="Q663" i="11"/>
  <c r="V662" i="11"/>
  <c r="U662" i="11"/>
  <c r="T662" i="11"/>
  <c r="S662" i="11"/>
  <c r="R662" i="11"/>
  <c r="Q662" i="11"/>
  <c r="V661" i="11"/>
  <c r="U661" i="11"/>
  <c r="T661" i="11"/>
  <c r="R661" i="11"/>
  <c r="Q661" i="11"/>
  <c r="N661" i="11"/>
  <c r="O661" i="11" s="1"/>
  <c r="L661" i="11" s="1"/>
  <c r="K661" i="11"/>
  <c r="J661" i="11"/>
  <c r="V660" i="11"/>
  <c r="U660" i="11"/>
  <c r="T660" i="11"/>
  <c r="S660" i="11"/>
  <c r="R660" i="11"/>
  <c r="Q660" i="11"/>
  <c r="V659" i="11"/>
  <c r="U659" i="11"/>
  <c r="T659" i="11"/>
  <c r="S659" i="11"/>
  <c r="R659" i="11"/>
  <c r="Q659" i="11"/>
  <c r="V658" i="11"/>
  <c r="U658" i="11"/>
  <c r="T658" i="11"/>
  <c r="R658" i="11"/>
  <c r="Q658" i="11"/>
  <c r="N658" i="11"/>
  <c r="O658" i="11" s="1"/>
  <c r="L658" i="11" s="1"/>
  <c r="K658" i="11"/>
  <c r="J658" i="11"/>
  <c r="V657" i="11"/>
  <c r="U657" i="11"/>
  <c r="T657" i="11"/>
  <c r="S657" i="11"/>
  <c r="R657" i="11"/>
  <c r="Q657" i="11"/>
  <c r="V656" i="11"/>
  <c r="U656" i="11"/>
  <c r="T656" i="11"/>
  <c r="S656" i="11"/>
  <c r="R656" i="11"/>
  <c r="Q656" i="11"/>
  <c r="V655" i="11"/>
  <c r="U655" i="11"/>
  <c r="T655" i="11"/>
  <c r="R655" i="11"/>
  <c r="Q655" i="11"/>
  <c r="N655" i="11"/>
  <c r="O655" i="11" s="1"/>
  <c r="L655" i="11" s="1"/>
  <c r="K655" i="11"/>
  <c r="J655" i="11"/>
  <c r="V654" i="11"/>
  <c r="U654" i="11"/>
  <c r="T654" i="11"/>
  <c r="S654" i="11"/>
  <c r="R654" i="11"/>
  <c r="Q654" i="11"/>
  <c r="V653" i="11"/>
  <c r="U653" i="11"/>
  <c r="T653" i="11"/>
  <c r="S653" i="11"/>
  <c r="R653" i="11"/>
  <c r="Q653" i="11"/>
  <c r="V652" i="11"/>
  <c r="U652" i="11"/>
  <c r="S652" i="11"/>
  <c r="R652" i="11"/>
  <c r="Q652" i="11"/>
  <c r="N652" i="11"/>
  <c r="O652" i="11" s="1"/>
  <c r="L652" i="11" s="1"/>
  <c r="K652" i="11"/>
  <c r="J652" i="11"/>
  <c r="V651" i="11"/>
  <c r="U651" i="11"/>
  <c r="T651" i="11"/>
  <c r="S651" i="11"/>
  <c r="R651" i="11"/>
  <c r="Q651" i="11"/>
  <c r="V650" i="11"/>
  <c r="U650" i="11"/>
  <c r="T650" i="11"/>
  <c r="S650" i="11"/>
  <c r="R650" i="11"/>
  <c r="Q650" i="11"/>
  <c r="V649" i="11"/>
  <c r="T649" i="11"/>
  <c r="S649" i="11"/>
  <c r="R649" i="11"/>
  <c r="Q649" i="11"/>
  <c r="N649" i="11"/>
  <c r="O649" i="11" s="1"/>
  <c r="L649" i="11" s="1"/>
  <c r="K649" i="11"/>
  <c r="J649" i="11"/>
  <c r="V648" i="11"/>
  <c r="U648" i="11"/>
  <c r="T648" i="11"/>
  <c r="S648" i="11"/>
  <c r="R648" i="11"/>
  <c r="Q648" i="11"/>
  <c r="V647" i="11"/>
  <c r="U647" i="11"/>
  <c r="T647" i="11"/>
  <c r="S647" i="11"/>
  <c r="R647" i="11"/>
  <c r="Q647" i="11"/>
  <c r="V646" i="11"/>
  <c r="U646" i="11"/>
  <c r="T646" i="11"/>
  <c r="S646" i="11"/>
  <c r="Q646" i="11"/>
  <c r="N646" i="11"/>
  <c r="O646" i="11" s="1"/>
  <c r="L646" i="11" s="1"/>
  <c r="K646" i="11"/>
  <c r="J646" i="11"/>
  <c r="V645" i="11"/>
  <c r="U645" i="11"/>
  <c r="T645" i="11"/>
  <c r="S645" i="11"/>
  <c r="R645" i="11"/>
  <c r="Q645" i="11"/>
  <c r="V644" i="11"/>
  <c r="U644" i="11"/>
  <c r="T644" i="11"/>
  <c r="S644" i="11"/>
  <c r="R644" i="11"/>
  <c r="Q644" i="11"/>
  <c r="V643" i="11"/>
  <c r="U643" i="11"/>
  <c r="T643" i="11"/>
  <c r="S643" i="11"/>
  <c r="Q643" i="11"/>
  <c r="N643" i="11"/>
  <c r="O643" i="11" s="1"/>
  <c r="L643" i="11" s="1"/>
  <c r="K643" i="11"/>
  <c r="J643" i="11"/>
  <c r="V642" i="11"/>
  <c r="U642" i="11"/>
  <c r="T642" i="11"/>
  <c r="S642" i="11"/>
  <c r="R642" i="11"/>
  <c r="Q642" i="11"/>
  <c r="V641" i="11"/>
  <c r="U641" i="11"/>
  <c r="T641" i="11"/>
  <c r="S641" i="11"/>
  <c r="R641" i="11"/>
  <c r="Q641" i="11"/>
  <c r="V640" i="11"/>
  <c r="U640" i="11"/>
  <c r="T640" i="11"/>
  <c r="R640" i="11"/>
  <c r="Q640" i="11"/>
  <c r="N640" i="11"/>
  <c r="O640" i="11" s="1"/>
  <c r="L640" i="11" s="1"/>
  <c r="K640" i="11"/>
  <c r="J640" i="11"/>
  <c r="V639" i="11"/>
  <c r="U639" i="11"/>
  <c r="T639" i="11"/>
  <c r="S639" i="11"/>
  <c r="R639" i="11"/>
  <c r="Q639" i="11"/>
  <c r="V638" i="11"/>
  <c r="U638" i="11"/>
  <c r="T638" i="11"/>
  <c r="S638" i="11"/>
  <c r="R638" i="11"/>
  <c r="Q638" i="11"/>
  <c r="V637" i="11"/>
  <c r="U637" i="11"/>
  <c r="T637" i="11"/>
  <c r="R637" i="11"/>
  <c r="Q637" i="11"/>
  <c r="N637" i="11"/>
  <c r="O637" i="11" s="1"/>
  <c r="L637" i="11" s="1"/>
  <c r="K637" i="11"/>
  <c r="J637" i="11"/>
  <c r="V636" i="11"/>
  <c r="U636" i="11"/>
  <c r="T636" i="11"/>
  <c r="S636" i="11"/>
  <c r="R636" i="11"/>
  <c r="Q636" i="11"/>
  <c r="V635" i="11"/>
  <c r="U635" i="11"/>
  <c r="T635" i="11"/>
  <c r="S635" i="11"/>
  <c r="R635" i="11"/>
  <c r="Q635" i="11"/>
  <c r="V634" i="11"/>
  <c r="U634" i="11"/>
  <c r="T634" i="11"/>
  <c r="R634" i="11"/>
  <c r="Q634" i="11"/>
  <c r="N634" i="11"/>
  <c r="O634" i="11" s="1"/>
  <c r="L634" i="11" s="1"/>
  <c r="K634" i="11"/>
  <c r="J634" i="11"/>
  <c r="V633" i="11"/>
  <c r="U633" i="11"/>
  <c r="T633" i="11"/>
  <c r="S633" i="11"/>
  <c r="R633" i="11"/>
  <c r="Q633" i="11"/>
  <c r="V632" i="11"/>
  <c r="U632" i="11"/>
  <c r="T632" i="11"/>
  <c r="S632" i="11"/>
  <c r="R632" i="11"/>
  <c r="Q632" i="11"/>
  <c r="V631" i="11"/>
  <c r="U631" i="11"/>
  <c r="T631" i="11"/>
  <c r="S631" i="11"/>
  <c r="Q631" i="11"/>
  <c r="N631" i="11"/>
  <c r="O631" i="11" s="1"/>
  <c r="L631" i="11" s="1"/>
  <c r="K631" i="11"/>
  <c r="J631" i="11"/>
  <c r="V630" i="11"/>
  <c r="U630" i="11"/>
  <c r="T630" i="11"/>
  <c r="S630" i="11"/>
  <c r="R630" i="11"/>
  <c r="Q630" i="11"/>
  <c r="V629" i="11"/>
  <c r="U629" i="11"/>
  <c r="T629" i="11"/>
  <c r="S629" i="11"/>
  <c r="R629" i="11"/>
  <c r="Q629" i="11"/>
  <c r="V628" i="11"/>
  <c r="U628" i="11"/>
  <c r="T628" i="11"/>
  <c r="R628" i="11"/>
  <c r="Q628" i="11"/>
  <c r="N628" i="11"/>
  <c r="O628" i="11" s="1"/>
  <c r="L628" i="11" s="1"/>
  <c r="K628" i="11"/>
  <c r="J628" i="11"/>
  <c r="V627" i="11"/>
  <c r="U627" i="11"/>
  <c r="T627" i="11"/>
  <c r="S627" i="11"/>
  <c r="R627" i="11"/>
  <c r="Q627" i="11"/>
  <c r="V626" i="11"/>
  <c r="U626" i="11"/>
  <c r="T626" i="11"/>
  <c r="S626" i="11"/>
  <c r="R626" i="11"/>
  <c r="Q626" i="11"/>
  <c r="V625" i="11"/>
  <c r="U625" i="11"/>
  <c r="S625" i="11"/>
  <c r="R625" i="11"/>
  <c r="Q625" i="11"/>
  <c r="N625" i="11"/>
  <c r="O625" i="11" s="1"/>
  <c r="L625" i="11" s="1"/>
  <c r="K625" i="11"/>
  <c r="J625" i="11"/>
  <c r="V624" i="11"/>
  <c r="U624" i="11"/>
  <c r="T624" i="11"/>
  <c r="S624" i="11"/>
  <c r="R624" i="11"/>
  <c r="Q624" i="11"/>
  <c r="V623" i="11"/>
  <c r="U623" i="11"/>
  <c r="T623" i="11"/>
  <c r="S623" i="11"/>
  <c r="R623" i="11"/>
  <c r="Q623" i="11"/>
  <c r="V622" i="11"/>
  <c r="U622" i="11"/>
  <c r="T622" i="11"/>
  <c r="S622" i="11"/>
  <c r="Q622" i="11"/>
  <c r="N622" i="11"/>
  <c r="O622" i="11" s="1"/>
  <c r="L622" i="11" s="1"/>
  <c r="K622" i="11"/>
  <c r="J622" i="11"/>
  <c r="V621" i="11"/>
  <c r="U621" i="11"/>
  <c r="T621" i="11"/>
  <c r="S621" i="11"/>
  <c r="R621" i="11"/>
  <c r="Q621" i="11"/>
  <c r="V620" i="11"/>
  <c r="U620" i="11"/>
  <c r="T620" i="11"/>
  <c r="S620" i="11"/>
  <c r="R620" i="11"/>
  <c r="Q620" i="11"/>
  <c r="V619" i="11"/>
  <c r="U619" i="11"/>
  <c r="S619" i="11"/>
  <c r="R619" i="11"/>
  <c r="Q619" i="11"/>
  <c r="N619" i="11"/>
  <c r="O619" i="11" s="1"/>
  <c r="L619" i="11" s="1"/>
  <c r="K619" i="11"/>
  <c r="J619" i="11"/>
  <c r="V618" i="11"/>
  <c r="U618" i="11"/>
  <c r="T618" i="11"/>
  <c r="S618" i="11"/>
  <c r="R618" i="11"/>
  <c r="Q618" i="11"/>
  <c r="V617" i="11"/>
  <c r="U617" i="11"/>
  <c r="T617" i="11"/>
  <c r="S617" i="11"/>
  <c r="R617" i="11"/>
  <c r="Q617" i="11"/>
  <c r="V616" i="11"/>
  <c r="T616" i="11"/>
  <c r="S616" i="11"/>
  <c r="R616" i="11"/>
  <c r="Q616" i="11"/>
  <c r="N616" i="11"/>
  <c r="O616" i="11" s="1"/>
  <c r="L616" i="11" s="1"/>
  <c r="K616" i="11"/>
  <c r="J616" i="11"/>
  <c r="V615" i="11"/>
  <c r="U615" i="11"/>
  <c r="T615" i="11"/>
  <c r="S615" i="11"/>
  <c r="R615" i="11"/>
  <c r="Q615" i="11"/>
  <c r="V614" i="11"/>
  <c r="U614" i="11"/>
  <c r="T614" i="11"/>
  <c r="S614" i="11"/>
  <c r="R614" i="11"/>
  <c r="Q614" i="11"/>
  <c r="V613" i="11"/>
  <c r="U613" i="11"/>
  <c r="T613" i="11"/>
  <c r="S613" i="11"/>
  <c r="R613" i="11"/>
  <c r="Q613" i="11"/>
  <c r="V612" i="11"/>
  <c r="T612" i="11"/>
  <c r="S612" i="11"/>
  <c r="R612" i="11"/>
  <c r="Q612" i="11"/>
  <c r="N612" i="11"/>
  <c r="O612" i="11" s="1"/>
  <c r="K612" i="11"/>
  <c r="V611" i="11"/>
  <c r="U611" i="11"/>
  <c r="T611" i="11"/>
  <c r="S611" i="11"/>
  <c r="R611" i="11"/>
  <c r="Q611" i="11"/>
  <c r="V610" i="11"/>
  <c r="U610" i="11"/>
  <c r="T610" i="11"/>
  <c r="S610" i="11"/>
  <c r="R610" i="11"/>
  <c r="Q610" i="11"/>
  <c r="V609" i="11"/>
  <c r="T609" i="11"/>
  <c r="S609" i="11"/>
  <c r="R609" i="11"/>
  <c r="Q609" i="11"/>
  <c r="N609" i="11"/>
  <c r="O609" i="11" s="1"/>
  <c r="K609" i="11"/>
  <c r="V608" i="11"/>
  <c r="U608" i="11"/>
  <c r="T608" i="11"/>
  <c r="S608" i="11"/>
  <c r="R608" i="11"/>
  <c r="Q608" i="11"/>
  <c r="V607" i="11"/>
  <c r="U607" i="11"/>
  <c r="T607" i="11"/>
  <c r="S607" i="11"/>
  <c r="R607" i="11"/>
  <c r="Q607" i="11"/>
  <c r="V606" i="11"/>
  <c r="T606" i="11"/>
  <c r="S606" i="11"/>
  <c r="R606" i="11"/>
  <c r="Q606" i="11"/>
  <c r="N606" i="11"/>
  <c r="O606" i="11" s="1"/>
  <c r="K606" i="11"/>
  <c r="V605" i="11"/>
  <c r="U605" i="11"/>
  <c r="T605" i="11"/>
  <c r="S605" i="11"/>
  <c r="R605" i="11"/>
  <c r="Q605" i="11"/>
  <c r="V604" i="11"/>
  <c r="U604" i="11"/>
  <c r="T604" i="11"/>
  <c r="S604" i="11"/>
  <c r="R604" i="11"/>
  <c r="Q604" i="11"/>
  <c r="V603" i="11"/>
  <c r="T603" i="11"/>
  <c r="S603" i="11"/>
  <c r="R603" i="11"/>
  <c r="Q603" i="11"/>
  <c r="N603" i="11"/>
  <c r="O603" i="11" s="1"/>
  <c r="L603" i="11" s="1"/>
  <c r="K603" i="11"/>
  <c r="V602" i="11"/>
  <c r="U602" i="11"/>
  <c r="T602" i="11"/>
  <c r="S602" i="11"/>
  <c r="R602" i="11"/>
  <c r="Q602" i="11"/>
  <c r="V601" i="11"/>
  <c r="U601" i="11"/>
  <c r="T601" i="11"/>
  <c r="S601" i="11"/>
  <c r="R601" i="11"/>
  <c r="Q601" i="11"/>
  <c r="V600" i="11"/>
  <c r="T600" i="11"/>
  <c r="S600" i="11"/>
  <c r="R600" i="11"/>
  <c r="Q600" i="11"/>
  <c r="O600" i="11"/>
  <c r="L600" i="11" s="1"/>
  <c r="N600" i="11"/>
  <c r="K600" i="11"/>
  <c r="V599" i="11"/>
  <c r="U599" i="11"/>
  <c r="T599" i="11"/>
  <c r="S599" i="11"/>
  <c r="R599" i="11"/>
  <c r="Q599" i="11"/>
  <c r="V598" i="11"/>
  <c r="U598" i="11"/>
  <c r="T598" i="11"/>
  <c r="S598" i="11"/>
  <c r="R598" i="11"/>
  <c r="Q598" i="11"/>
  <c r="V597" i="11"/>
  <c r="T597" i="11"/>
  <c r="S597" i="11"/>
  <c r="R597" i="11"/>
  <c r="Q597" i="11"/>
  <c r="N597" i="11"/>
  <c r="O597" i="11" s="1"/>
  <c r="L597" i="11" s="1"/>
  <c r="K597" i="11"/>
  <c r="V596" i="11"/>
  <c r="U596" i="11"/>
  <c r="T596" i="11"/>
  <c r="S596" i="11"/>
  <c r="R596" i="11"/>
  <c r="Q596" i="11"/>
  <c r="V595" i="11"/>
  <c r="U595" i="11"/>
  <c r="T595" i="11"/>
  <c r="S595" i="11"/>
  <c r="R595" i="11"/>
  <c r="Q595" i="11"/>
  <c r="V594" i="11"/>
  <c r="T594" i="11"/>
  <c r="S594" i="11"/>
  <c r="R594" i="11"/>
  <c r="Q594" i="11"/>
  <c r="N594" i="11"/>
  <c r="O594" i="11" s="1"/>
  <c r="K594" i="11"/>
  <c r="V593" i="11"/>
  <c r="U593" i="11"/>
  <c r="T593" i="11"/>
  <c r="S593" i="11"/>
  <c r="R593" i="11"/>
  <c r="Q593" i="11"/>
  <c r="V592" i="11"/>
  <c r="U592" i="11"/>
  <c r="T592" i="11"/>
  <c r="S592" i="11"/>
  <c r="R592" i="11"/>
  <c r="Q592" i="11"/>
  <c r="V591" i="11"/>
  <c r="T591" i="11"/>
  <c r="S591" i="11"/>
  <c r="R591" i="11"/>
  <c r="Q591" i="11"/>
  <c r="N591" i="11"/>
  <c r="O591" i="11" s="1"/>
  <c r="L591" i="11" s="1"/>
  <c r="P591" i="11" s="1"/>
  <c r="U591" i="11" s="1"/>
  <c r="K591" i="11"/>
  <c r="V590" i="11"/>
  <c r="U590" i="11"/>
  <c r="T590" i="11"/>
  <c r="S590" i="11"/>
  <c r="R590" i="11"/>
  <c r="Q590" i="11"/>
  <c r="V589" i="11"/>
  <c r="U589" i="11"/>
  <c r="T589" i="11"/>
  <c r="S589" i="11"/>
  <c r="R589" i="11"/>
  <c r="Q589" i="11"/>
  <c r="V588" i="11"/>
  <c r="T588" i="11"/>
  <c r="S588" i="11"/>
  <c r="R588" i="11"/>
  <c r="Q588" i="11"/>
  <c r="N588" i="11"/>
  <c r="O588" i="11" s="1"/>
  <c r="L588" i="11" s="1"/>
  <c r="K588" i="11"/>
  <c r="V587" i="11"/>
  <c r="U587" i="11"/>
  <c r="T587" i="11"/>
  <c r="S587" i="11"/>
  <c r="R587" i="11"/>
  <c r="Q587" i="11"/>
  <c r="V586" i="11"/>
  <c r="U586" i="11"/>
  <c r="T586" i="11"/>
  <c r="S586" i="11"/>
  <c r="R586" i="11"/>
  <c r="Q586" i="11"/>
  <c r="V585" i="11"/>
  <c r="T585" i="11"/>
  <c r="S585" i="11"/>
  <c r="R585" i="11"/>
  <c r="Q585" i="11"/>
  <c r="N585" i="11"/>
  <c r="O585" i="11" s="1"/>
  <c r="L585" i="11" s="1"/>
  <c r="K585" i="11"/>
  <c r="V584" i="11"/>
  <c r="U584" i="11"/>
  <c r="T584" i="11"/>
  <c r="S584" i="11"/>
  <c r="R584" i="11"/>
  <c r="Q584" i="11"/>
  <c r="V583" i="11"/>
  <c r="U583" i="11"/>
  <c r="T583" i="11"/>
  <c r="S583" i="11"/>
  <c r="R583" i="11"/>
  <c r="Q583" i="11"/>
  <c r="V582" i="11"/>
  <c r="T582" i="11"/>
  <c r="S582" i="11"/>
  <c r="R582" i="11"/>
  <c r="Q582" i="11"/>
  <c r="N582" i="11"/>
  <c r="O582" i="11" s="1"/>
  <c r="L582" i="11" s="1"/>
  <c r="K582" i="11"/>
  <c r="V581" i="11"/>
  <c r="U581" i="11"/>
  <c r="T581" i="11"/>
  <c r="S581" i="11"/>
  <c r="R581" i="11"/>
  <c r="Q581" i="11"/>
  <c r="V580" i="11"/>
  <c r="U580" i="11"/>
  <c r="T580" i="11"/>
  <c r="S580" i="11"/>
  <c r="R580" i="11"/>
  <c r="Q580" i="11"/>
  <c r="V579" i="11"/>
  <c r="T579" i="11"/>
  <c r="S579" i="11"/>
  <c r="R579" i="11"/>
  <c r="Q579" i="11"/>
  <c r="N579" i="11"/>
  <c r="O579" i="11" s="1"/>
  <c r="L579" i="11" s="1"/>
  <c r="K579" i="11"/>
  <c r="J579" i="11"/>
  <c r="V578" i="11"/>
  <c r="U578" i="11"/>
  <c r="T578" i="11"/>
  <c r="S578" i="11"/>
  <c r="R578" i="11"/>
  <c r="Q578" i="11"/>
  <c r="V577" i="11"/>
  <c r="U577" i="11"/>
  <c r="T577" i="11"/>
  <c r="S577" i="11"/>
  <c r="R577" i="11"/>
  <c r="Q577" i="11"/>
  <c r="V576" i="11"/>
  <c r="T576" i="11"/>
  <c r="S576" i="11"/>
  <c r="R576" i="11"/>
  <c r="Q576" i="11"/>
  <c r="N576" i="11"/>
  <c r="J576" i="11"/>
  <c r="D576" i="11"/>
  <c r="V575" i="11"/>
  <c r="U575" i="11"/>
  <c r="T575" i="11"/>
  <c r="S575" i="11"/>
  <c r="R575" i="11"/>
  <c r="Q575" i="11"/>
  <c r="V574" i="11"/>
  <c r="U574" i="11"/>
  <c r="T574" i="11"/>
  <c r="S574" i="11"/>
  <c r="R574" i="11"/>
  <c r="Q574" i="11"/>
  <c r="V573" i="11"/>
  <c r="T573" i="11"/>
  <c r="S573" i="11"/>
  <c r="R573" i="11"/>
  <c r="Q573" i="11"/>
  <c r="N573" i="11"/>
  <c r="K573" i="11"/>
  <c r="J573" i="11"/>
  <c r="D573" i="11"/>
  <c r="V572" i="11"/>
  <c r="U572" i="11"/>
  <c r="T572" i="11"/>
  <c r="S572" i="11"/>
  <c r="R572" i="11"/>
  <c r="Q572" i="11"/>
  <c r="V571" i="11"/>
  <c r="U571" i="11"/>
  <c r="T571" i="11"/>
  <c r="S571" i="11"/>
  <c r="R571" i="11"/>
  <c r="Q571" i="11"/>
  <c r="U570" i="11"/>
  <c r="T570" i="11"/>
  <c r="S570" i="11"/>
  <c r="R570" i="11"/>
  <c r="Q570" i="11"/>
  <c r="N570" i="11"/>
  <c r="J570" i="11"/>
  <c r="D570" i="11"/>
  <c r="K570" i="11" s="1"/>
  <c r="V569" i="11"/>
  <c r="U569" i="11"/>
  <c r="T569" i="11"/>
  <c r="S569" i="11"/>
  <c r="R569" i="11"/>
  <c r="Q569" i="11"/>
  <c r="V568" i="11"/>
  <c r="U568" i="11"/>
  <c r="T568" i="11"/>
  <c r="S568" i="11"/>
  <c r="R568" i="11"/>
  <c r="Q568" i="11"/>
  <c r="V567" i="11"/>
  <c r="T567" i="11"/>
  <c r="S567" i="11"/>
  <c r="R567" i="11"/>
  <c r="Q567" i="11"/>
  <c r="N567" i="11"/>
  <c r="J567" i="11"/>
  <c r="V566" i="11"/>
  <c r="U566" i="11"/>
  <c r="T566" i="11"/>
  <c r="S566" i="11"/>
  <c r="R566" i="11"/>
  <c r="Q566" i="11"/>
  <c r="V565" i="11"/>
  <c r="U565" i="11"/>
  <c r="T565" i="11"/>
  <c r="S565" i="11"/>
  <c r="R565" i="11"/>
  <c r="Q565" i="11"/>
  <c r="U564" i="11"/>
  <c r="T564" i="11"/>
  <c r="S564" i="11"/>
  <c r="R564" i="11"/>
  <c r="Q564" i="11"/>
  <c r="N564" i="11"/>
  <c r="J564" i="11"/>
  <c r="D564" i="11"/>
  <c r="K564" i="11" s="1"/>
  <c r="V563" i="11"/>
  <c r="U563" i="11"/>
  <c r="T563" i="11"/>
  <c r="S563" i="11"/>
  <c r="R563" i="11"/>
  <c r="Q563" i="11"/>
  <c r="V562" i="11"/>
  <c r="U562" i="11"/>
  <c r="T562" i="11"/>
  <c r="S562" i="11"/>
  <c r="R562" i="11"/>
  <c r="Q562" i="11"/>
  <c r="U561" i="11"/>
  <c r="T561" i="11"/>
  <c r="S561" i="11"/>
  <c r="R561" i="11"/>
  <c r="Q561" i="11"/>
  <c r="N561" i="11"/>
  <c r="J561" i="11"/>
  <c r="D561" i="11"/>
  <c r="V560" i="11"/>
  <c r="U560" i="11"/>
  <c r="T560" i="11"/>
  <c r="S560" i="11"/>
  <c r="R560" i="11"/>
  <c r="Q560" i="11"/>
  <c r="V559" i="11"/>
  <c r="U559" i="11"/>
  <c r="T559" i="11"/>
  <c r="S559" i="11"/>
  <c r="R559" i="11"/>
  <c r="Q559" i="11"/>
  <c r="V558" i="11"/>
  <c r="T558" i="11"/>
  <c r="S558" i="11"/>
  <c r="R558" i="11"/>
  <c r="Q558" i="11"/>
  <c r="N558" i="11"/>
  <c r="J558" i="11"/>
  <c r="D558" i="11"/>
  <c r="K558" i="11" s="1"/>
  <c r="V557" i="11"/>
  <c r="U557" i="11"/>
  <c r="T557" i="11"/>
  <c r="S557" i="11"/>
  <c r="R557" i="11"/>
  <c r="Q557" i="11"/>
  <c r="V556" i="11"/>
  <c r="U556" i="11"/>
  <c r="T556" i="11"/>
  <c r="S556" i="11"/>
  <c r="R556" i="11"/>
  <c r="Q556" i="11"/>
  <c r="U555" i="11"/>
  <c r="T555" i="11"/>
  <c r="S555" i="11"/>
  <c r="R555" i="11"/>
  <c r="Q555" i="11"/>
  <c r="N555" i="11"/>
  <c r="J555" i="11"/>
  <c r="D555" i="11"/>
  <c r="K555" i="11" s="1"/>
  <c r="V554" i="11"/>
  <c r="U554" i="11"/>
  <c r="T554" i="11"/>
  <c r="S554" i="11"/>
  <c r="R554" i="11"/>
  <c r="Q554" i="11"/>
  <c r="V553" i="11"/>
  <c r="U553" i="11"/>
  <c r="T553" i="11"/>
  <c r="S553" i="11"/>
  <c r="R553" i="11"/>
  <c r="Q553" i="11"/>
  <c r="V552" i="11"/>
  <c r="T552" i="11"/>
  <c r="S552" i="11"/>
  <c r="R552" i="11"/>
  <c r="Q552" i="11"/>
  <c r="N552" i="11"/>
  <c r="J552" i="11"/>
  <c r="D552" i="11"/>
  <c r="K552" i="11" s="1"/>
  <c r="V551" i="11"/>
  <c r="U551" i="11"/>
  <c r="T551" i="11"/>
  <c r="S551" i="11"/>
  <c r="R551" i="11"/>
  <c r="Q551" i="11"/>
  <c r="V550" i="11"/>
  <c r="U550" i="11"/>
  <c r="T550" i="11"/>
  <c r="S550" i="11"/>
  <c r="R550" i="11"/>
  <c r="Q550" i="11"/>
  <c r="U549" i="11"/>
  <c r="T549" i="11"/>
  <c r="S549" i="11"/>
  <c r="R549" i="11"/>
  <c r="Q549" i="11"/>
  <c r="N549" i="11"/>
  <c r="J549" i="11"/>
  <c r="D549" i="11"/>
  <c r="V548" i="11"/>
  <c r="U548" i="11"/>
  <c r="T548" i="11"/>
  <c r="S548" i="11"/>
  <c r="R548" i="11"/>
  <c r="Q548" i="11"/>
  <c r="V547" i="11"/>
  <c r="U547" i="11"/>
  <c r="T547" i="11"/>
  <c r="S547" i="11"/>
  <c r="R547" i="11"/>
  <c r="Q547" i="11"/>
  <c r="V546" i="11"/>
  <c r="T546" i="11"/>
  <c r="S546" i="11"/>
  <c r="R546" i="11"/>
  <c r="Q546" i="11"/>
  <c r="N546" i="11"/>
  <c r="J546" i="11"/>
  <c r="D546" i="11"/>
  <c r="K546" i="11" s="1"/>
  <c r="V545" i="11"/>
  <c r="U545" i="11"/>
  <c r="T545" i="11"/>
  <c r="S545" i="11"/>
  <c r="R545" i="11"/>
  <c r="Q545" i="11"/>
  <c r="V544" i="11"/>
  <c r="U544" i="11"/>
  <c r="T544" i="11"/>
  <c r="S544" i="11"/>
  <c r="R544" i="11"/>
  <c r="Q544" i="11"/>
  <c r="U543" i="11"/>
  <c r="T543" i="11"/>
  <c r="S543" i="11"/>
  <c r="R543" i="11"/>
  <c r="Q543" i="11"/>
  <c r="N543" i="11"/>
  <c r="J543" i="11"/>
  <c r="D543" i="11"/>
  <c r="V542" i="11"/>
  <c r="U542" i="11"/>
  <c r="T542" i="11"/>
  <c r="S542" i="11"/>
  <c r="R542" i="11"/>
  <c r="Q542" i="11"/>
  <c r="V541" i="11"/>
  <c r="U541" i="11"/>
  <c r="T541" i="11"/>
  <c r="S541" i="11"/>
  <c r="R541" i="11"/>
  <c r="Q541" i="11"/>
  <c r="V540" i="11"/>
  <c r="T540" i="11"/>
  <c r="S540" i="11"/>
  <c r="R540" i="11"/>
  <c r="Q540" i="11"/>
  <c r="N540" i="11"/>
  <c r="J540" i="11"/>
  <c r="D540" i="11"/>
  <c r="K540" i="11" s="1"/>
  <c r="V539" i="11"/>
  <c r="U539" i="11"/>
  <c r="T539" i="11"/>
  <c r="S539" i="11"/>
  <c r="R539" i="11"/>
  <c r="Q539" i="11"/>
  <c r="V538" i="11"/>
  <c r="U538" i="11"/>
  <c r="T538" i="11"/>
  <c r="S538" i="11"/>
  <c r="R538" i="11"/>
  <c r="Q538" i="11"/>
  <c r="U537" i="11"/>
  <c r="T537" i="11"/>
  <c r="S537" i="11"/>
  <c r="R537" i="11"/>
  <c r="Q537" i="11"/>
  <c r="N537" i="11"/>
  <c r="J537" i="11"/>
  <c r="D537" i="11"/>
  <c r="O537" i="11" s="1"/>
  <c r="L537" i="11" s="1"/>
  <c r="V536" i="11"/>
  <c r="U536" i="11"/>
  <c r="T536" i="11"/>
  <c r="S536" i="11"/>
  <c r="R536" i="11"/>
  <c r="Q536" i="11"/>
  <c r="V535" i="11"/>
  <c r="U535" i="11"/>
  <c r="T535" i="11"/>
  <c r="S535" i="11"/>
  <c r="R535" i="11"/>
  <c r="Q535" i="11"/>
  <c r="U534" i="11"/>
  <c r="T534" i="11"/>
  <c r="S534" i="11"/>
  <c r="R534" i="11"/>
  <c r="Q534" i="11"/>
  <c r="N534" i="11"/>
  <c r="J534" i="11"/>
  <c r="K534" i="11"/>
  <c r="V533" i="11"/>
  <c r="U533" i="11"/>
  <c r="T533" i="11"/>
  <c r="S533" i="11"/>
  <c r="R533" i="11"/>
  <c r="Q533" i="11"/>
  <c r="V532" i="11"/>
  <c r="U532" i="11"/>
  <c r="T532" i="11"/>
  <c r="S532" i="11"/>
  <c r="R532" i="11"/>
  <c r="Q532" i="11"/>
  <c r="V531" i="11"/>
  <c r="T531" i="11"/>
  <c r="S531" i="11"/>
  <c r="R531" i="11"/>
  <c r="Q531" i="11"/>
  <c r="N531" i="11"/>
  <c r="J531" i="11"/>
  <c r="D531" i="11"/>
  <c r="K531" i="11" s="1"/>
  <c r="V530" i="11"/>
  <c r="U530" i="11"/>
  <c r="T530" i="11"/>
  <c r="S530" i="11"/>
  <c r="R530" i="11"/>
  <c r="Q530" i="11"/>
  <c r="V529" i="11"/>
  <c r="U529" i="11"/>
  <c r="T529" i="11"/>
  <c r="S529" i="11"/>
  <c r="R529" i="11"/>
  <c r="Q529" i="11"/>
  <c r="V528" i="11"/>
  <c r="T528" i="11"/>
  <c r="S528" i="11"/>
  <c r="R528" i="11"/>
  <c r="Q528" i="11"/>
  <c r="N528" i="11"/>
  <c r="J528" i="11"/>
  <c r="D528" i="11"/>
  <c r="O528" i="11" s="1"/>
  <c r="L528" i="11" s="1"/>
  <c r="V527" i="11"/>
  <c r="U527" i="11"/>
  <c r="T527" i="11"/>
  <c r="S527" i="11"/>
  <c r="R527" i="11"/>
  <c r="Q527" i="11"/>
  <c r="V526" i="11"/>
  <c r="U526" i="11"/>
  <c r="T526" i="11"/>
  <c r="S526" i="11"/>
  <c r="R526" i="11"/>
  <c r="Q526" i="11"/>
  <c r="V525" i="11"/>
  <c r="T525" i="11"/>
  <c r="S525" i="11"/>
  <c r="R525" i="11"/>
  <c r="Q525" i="11"/>
  <c r="N525" i="11"/>
  <c r="J525" i="11"/>
  <c r="D525" i="11"/>
  <c r="V524" i="11"/>
  <c r="U524" i="11"/>
  <c r="T524" i="11"/>
  <c r="S524" i="11"/>
  <c r="R524" i="11"/>
  <c r="Q524" i="11"/>
  <c r="V523" i="11"/>
  <c r="U523" i="11"/>
  <c r="T523" i="11"/>
  <c r="S523" i="11"/>
  <c r="R523" i="11"/>
  <c r="Q523" i="11"/>
  <c r="V522" i="11"/>
  <c r="T522" i="11"/>
  <c r="S522" i="11"/>
  <c r="R522" i="11"/>
  <c r="Q522" i="11"/>
  <c r="N522" i="11"/>
  <c r="J522" i="11"/>
  <c r="D522" i="11"/>
  <c r="K522" i="11" s="1"/>
  <c r="V521" i="11"/>
  <c r="U521" i="11"/>
  <c r="T521" i="11"/>
  <c r="S521" i="11"/>
  <c r="R521" i="11"/>
  <c r="Q521" i="11"/>
  <c r="V520" i="11"/>
  <c r="U520" i="11"/>
  <c r="T520" i="11"/>
  <c r="S520" i="11"/>
  <c r="R520" i="11"/>
  <c r="Q520" i="11"/>
  <c r="V519" i="11"/>
  <c r="T519" i="11"/>
  <c r="S519" i="11"/>
  <c r="R519" i="11"/>
  <c r="Q519" i="11"/>
  <c r="N519" i="11"/>
  <c r="J519" i="11"/>
  <c r="D519" i="11"/>
  <c r="V518" i="11"/>
  <c r="U518" i="11"/>
  <c r="T518" i="11"/>
  <c r="S518" i="11"/>
  <c r="R518" i="11"/>
  <c r="Q518" i="11"/>
  <c r="V517" i="11"/>
  <c r="U517" i="11"/>
  <c r="T517" i="11"/>
  <c r="S517" i="11"/>
  <c r="R517" i="11"/>
  <c r="Q517" i="11"/>
  <c r="U516" i="11"/>
  <c r="T516" i="11"/>
  <c r="S516" i="11"/>
  <c r="R516" i="11"/>
  <c r="Q516" i="11"/>
  <c r="N516" i="11"/>
  <c r="J516" i="11"/>
  <c r="K516" i="11"/>
  <c r="V515" i="11"/>
  <c r="U515" i="11"/>
  <c r="T515" i="11"/>
  <c r="S515" i="11"/>
  <c r="R515" i="11"/>
  <c r="Q515" i="11"/>
  <c r="V514" i="11"/>
  <c r="U514" i="11"/>
  <c r="T514" i="11"/>
  <c r="S514" i="11"/>
  <c r="R514" i="11"/>
  <c r="Q514" i="11"/>
  <c r="V513" i="11"/>
  <c r="T513" i="11"/>
  <c r="S513" i="11"/>
  <c r="R513" i="11"/>
  <c r="Q513" i="11"/>
  <c r="N513" i="11"/>
  <c r="J513" i="11"/>
  <c r="D513" i="11"/>
  <c r="O513" i="11" s="1"/>
  <c r="V512" i="11"/>
  <c r="U512" i="11"/>
  <c r="T512" i="11"/>
  <c r="S512" i="11"/>
  <c r="R512" i="11"/>
  <c r="Q512" i="11"/>
  <c r="V511" i="11"/>
  <c r="U511" i="11"/>
  <c r="T511" i="11"/>
  <c r="S511" i="11"/>
  <c r="R511" i="11"/>
  <c r="Q511" i="11"/>
  <c r="V510" i="11"/>
  <c r="T510" i="11"/>
  <c r="S510" i="11"/>
  <c r="R510" i="11"/>
  <c r="Q510" i="11"/>
  <c r="N510" i="11"/>
  <c r="J510" i="11"/>
  <c r="D510" i="11"/>
  <c r="K510" i="11" s="1"/>
  <c r="V509" i="11"/>
  <c r="U509" i="11"/>
  <c r="T509" i="11"/>
  <c r="S509" i="11"/>
  <c r="R509" i="11"/>
  <c r="Q509" i="11"/>
  <c r="V508" i="11"/>
  <c r="U508" i="11"/>
  <c r="T508" i="11"/>
  <c r="S508" i="11"/>
  <c r="R508" i="11"/>
  <c r="Q508" i="11"/>
  <c r="V507" i="11"/>
  <c r="T507" i="11"/>
  <c r="S507" i="11"/>
  <c r="R507" i="11"/>
  <c r="Q507" i="11"/>
  <c r="N507" i="11"/>
  <c r="J507" i="11"/>
  <c r="D507" i="11"/>
  <c r="V506" i="11"/>
  <c r="U506" i="11"/>
  <c r="T506" i="11"/>
  <c r="S506" i="11"/>
  <c r="R506" i="11"/>
  <c r="Q506" i="11"/>
  <c r="V505" i="11"/>
  <c r="U505" i="11"/>
  <c r="T505" i="11"/>
  <c r="S505" i="11"/>
  <c r="R505" i="11"/>
  <c r="Q505" i="11"/>
  <c r="V504" i="11"/>
  <c r="T504" i="11"/>
  <c r="S504" i="11"/>
  <c r="R504" i="11"/>
  <c r="Q504" i="11"/>
  <c r="N504" i="11"/>
  <c r="J504" i="11"/>
  <c r="D504" i="11"/>
  <c r="K504" i="11" s="1"/>
  <c r="V503" i="11"/>
  <c r="U503" i="11"/>
  <c r="T503" i="11"/>
  <c r="S503" i="11"/>
  <c r="R503" i="11"/>
  <c r="Q503" i="11"/>
  <c r="V502" i="11"/>
  <c r="U502" i="11"/>
  <c r="T502" i="11"/>
  <c r="S502" i="11"/>
  <c r="R502" i="11"/>
  <c r="Q502" i="11"/>
  <c r="U501" i="11"/>
  <c r="T501" i="11"/>
  <c r="S501" i="11"/>
  <c r="R501" i="11"/>
  <c r="Q501" i="11"/>
  <c r="N501" i="11"/>
  <c r="J501" i="11"/>
  <c r="D501" i="11"/>
  <c r="V500" i="11"/>
  <c r="U500" i="11"/>
  <c r="T500" i="11"/>
  <c r="S500" i="11"/>
  <c r="R500" i="11"/>
  <c r="Q500" i="11"/>
  <c r="V499" i="11"/>
  <c r="U499" i="11"/>
  <c r="T499" i="11"/>
  <c r="S499" i="11"/>
  <c r="R499" i="11"/>
  <c r="Q499" i="11"/>
  <c r="U498" i="11"/>
  <c r="T498" i="11"/>
  <c r="S498" i="11"/>
  <c r="R498" i="11"/>
  <c r="Q498" i="11"/>
  <c r="N498" i="11"/>
  <c r="J498" i="11"/>
  <c r="D498" i="11"/>
  <c r="K498" i="11" s="1"/>
  <c r="V497" i="11"/>
  <c r="U497" i="11"/>
  <c r="T497" i="11"/>
  <c r="S497" i="11"/>
  <c r="R497" i="11"/>
  <c r="Q497" i="11"/>
  <c r="V496" i="11"/>
  <c r="U496" i="11"/>
  <c r="T496" i="11"/>
  <c r="S496" i="11"/>
  <c r="R496" i="11"/>
  <c r="Q496" i="11"/>
  <c r="V495" i="11"/>
  <c r="T495" i="11"/>
  <c r="S495" i="11"/>
  <c r="R495" i="11"/>
  <c r="Q495" i="11"/>
  <c r="N495" i="11"/>
  <c r="J495" i="11"/>
  <c r="D495" i="11"/>
  <c r="O495" i="11" s="1"/>
  <c r="V494" i="11"/>
  <c r="U494" i="11"/>
  <c r="T494" i="11"/>
  <c r="S494" i="11"/>
  <c r="R494" i="11"/>
  <c r="Q494" i="11"/>
  <c r="V493" i="11"/>
  <c r="U493" i="11"/>
  <c r="T493" i="11"/>
  <c r="S493" i="11"/>
  <c r="R493" i="11"/>
  <c r="Q493" i="11"/>
  <c r="V492" i="11"/>
  <c r="U492" i="11"/>
  <c r="T492" i="11"/>
  <c r="R492" i="11"/>
  <c r="Q492" i="11"/>
  <c r="N492" i="11"/>
  <c r="K492" i="11"/>
  <c r="J492" i="11"/>
  <c r="D492" i="11"/>
  <c r="O492" i="11" s="1"/>
  <c r="L492" i="11" s="1"/>
  <c r="V491" i="11"/>
  <c r="U491" i="11"/>
  <c r="T491" i="11"/>
  <c r="S491" i="11"/>
  <c r="R491" i="11"/>
  <c r="Q491" i="11"/>
  <c r="V490" i="11"/>
  <c r="U490" i="11"/>
  <c r="T490" i="11"/>
  <c r="S490" i="11"/>
  <c r="R490" i="11"/>
  <c r="Q490" i="11"/>
  <c r="V489" i="11"/>
  <c r="T489" i="11"/>
  <c r="S489" i="11"/>
  <c r="R489" i="11"/>
  <c r="Q489" i="11"/>
  <c r="N489" i="11"/>
  <c r="D489" i="11"/>
  <c r="K489" i="11" s="1"/>
  <c r="V488" i="11"/>
  <c r="U488" i="11"/>
  <c r="T488" i="11"/>
  <c r="S488" i="11"/>
  <c r="R488" i="11"/>
  <c r="Q488" i="11"/>
  <c r="V487" i="11"/>
  <c r="U487" i="11"/>
  <c r="T487" i="11"/>
  <c r="S487" i="11"/>
  <c r="R487" i="11"/>
  <c r="Q487" i="11"/>
  <c r="V486" i="11"/>
  <c r="T486" i="11"/>
  <c r="S486" i="11"/>
  <c r="R486" i="11"/>
  <c r="Q486" i="11"/>
  <c r="N486" i="11"/>
  <c r="D486" i="11"/>
  <c r="J489" i="11" s="1"/>
  <c r="V485" i="11"/>
  <c r="U485" i="11"/>
  <c r="T485" i="11"/>
  <c r="S485" i="11"/>
  <c r="R485" i="11"/>
  <c r="Q485" i="11"/>
  <c r="V484" i="11"/>
  <c r="U484" i="11"/>
  <c r="T484" i="11"/>
  <c r="S484" i="11"/>
  <c r="R484" i="11"/>
  <c r="Q484" i="11"/>
  <c r="V483" i="11"/>
  <c r="T483" i="11"/>
  <c r="S483" i="11"/>
  <c r="R483" i="11"/>
  <c r="Q483" i="11"/>
  <c r="N483" i="11"/>
  <c r="D483" i="11"/>
  <c r="V482" i="11"/>
  <c r="U482" i="11"/>
  <c r="T482" i="11"/>
  <c r="S482" i="11"/>
  <c r="R482" i="11"/>
  <c r="Q482" i="11"/>
  <c r="V481" i="11"/>
  <c r="U481" i="11"/>
  <c r="T481" i="11"/>
  <c r="S481" i="11"/>
  <c r="R481" i="11"/>
  <c r="Q481" i="11"/>
  <c r="V480" i="11"/>
  <c r="T480" i="11"/>
  <c r="S480" i="11"/>
  <c r="R480" i="11"/>
  <c r="Q480" i="11"/>
  <c r="N480" i="11"/>
  <c r="D480" i="11"/>
  <c r="K480" i="11" s="1"/>
  <c r="V479" i="11"/>
  <c r="U479" i="11"/>
  <c r="T479" i="11"/>
  <c r="S479" i="11"/>
  <c r="R479" i="11"/>
  <c r="Q479" i="11"/>
  <c r="V478" i="11"/>
  <c r="U478" i="11"/>
  <c r="T478" i="11"/>
  <c r="S478" i="11"/>
  <c r="R478" i="11"/>
  <c r="Q478" i="11"/>
  <c r="V477" i="11"/>
  <c r="T477" i="11"/>
  <c r="S477" i="11"/>
  <c r="R477" i="11"/>
  <c r="Q477" i="11"/>
  <c r="N477" i="11"/>
  <c r="D477" i="11"/>
  <c r="J483" i="11" s="1"/>
  <c r="V476" i="11"/>
  <c r="U476" i="11"/>
  <c r="T476" i="11"/>
  <c r="S476" i="11"/>
  <c r="R476" i="11"/>
  <c r="Q476" i="11"/>
  <c r="V475" i="11"/>
  <c r="U475" i="11"/>
  <c r="T475" i="11"/>
  <c r="S475" i="11"/>
  <c r="R475" i="11"/>
  <c r="Q475" i="11"/>
  <c r="V474" i="11"/>
  <c r="T474" i="11"/>
  <c r="S474" i="11"/>
  <c r="R474" i="11"/>
  <c r="Q474" i="11"/>
  <c r="N474" i="11"/>
  <c r="D474" i="11"/>
  <c r="K474" i="11" s="1"/>
  <c r="V473" i="11"/>
  <c r="U473" i="11"/>
  <c r="T473" i="11"/>
  <c r="S473" i="11"/>
  <c r="R473" i="11"/>
  <c r="Q473" i="11"/>
  <c r="V472" i="11"/>
  <c r="U472" i="11"/>
  <c r="T472" i="11"/>
  <c r="S472" i="11"/>
  <c r="R472" i="11"/>
  <c r="Q472" i="11"/>
  <c r="U471" i="11"/>
  <c r="T471" i="11"/>
  <c r="S471" i="11"/>
  <c r="R471" i="11"/>
  <c r="Q471" i="11"/>
  <c r="N471" i="11"/>
  <c r="D471" i="11"/>
  <c r="V470" i="11"/>
  <c r="U470" i="11"/>
  <c r="T470" i="11"/>
  <c r="S470" i="11"/>
  <c r="R470" i="11"/>
  <c r="Q470" i="11"/>
  <c r="V469" i="11"/>
  <c r="U469" i="11"/>
  <c r="T469" i="11"/>
  <c r="S469" i="11"/>
  <c r="R469" i="11"/>
  <c r="Q469" i="11"/>
  <c r="V468" i="11"/>
  <c r="T468" i="11"/>
  <c r="S468" i="11"/>
  <c r="R468" i="11"/>
  <c r="Q468" i="11"/>
  <c r="N468" i="11"/>
  <c r="O468" i="11" s="1"/>
  <c r="L468" i="11" s="1"/>
  <c r="K468" i="11"/>
  <c r="J468" i="11"/>
  <c r="V467" i="11"/>
  <c r="U467" i="11"/>
  <c r="T467" i="11"/>
  <c r="S467" i="11"/>
  <c r="R467" i="11"/>
  <c r="Q467" i="11"/>
  <c r="V466" i="11"/>
  <c r="U466" i="11"/>
  <c r="T466" i="11"/>
  <c r="S466" i="11"/>
  <c r="R466" i="11"/>
  <c r="Q466" i="11"/>
  <c r="V465" i="11"/>
  <c r="T465" i="11"/>
  <c r="S465" i="11"/>
  <c r="R465" i="11"/>
  <c r="Q465" i="11"/>
  <c r="N465" i="11"/>
  <c r="O465" i="11" s="1"/>
  <c r="L465" i="11" s="1"/>
  <c r="K465" i="11"/>
  <c r="V464" i="11"/>
  <c r="U464" i="11"/>
  <c r="T464" i="11"/>
  <c r="S464" i="11"/>
  <c r="R464" i="11"/>
  <c r="Q464" i="11"/>
  <c r="V463" i="11"/>
  <c r="U463" i="11"/>
  <c r="T463" i="11"/>
  <c r="S463" i="11"/>
  <c r="R463" i="11"/>
  <c r="Q463" i="11"/>
  <c r="V462" i="11"/>
  <c r="T462" i="11"/>
  <c r="S462" i="11"/>
  <c r="R462" i="11"/>
  <c r="Q462" i="11"/>
  <c r="N462" i="11"/>
  <c r="J462" i="11"/>
  <c r="D462" i="11"/>
  <c r="J465" i="11" s="1"/>
  <c r="V461" i="11"/>
  <c r="U461" i="11"/>
  <c r="T461" i="11"/>
  <c r="S461" i="11"/>
  <c r="R461" i="11"/>
  <c r="Q461" i="11"/>
  <c r="V460" i="11"/>
  <c r="U460" i="11"/>
  <c r="T460" i="11"/>
  <c r="S460" i="11"/>
  <c r="R460" i="11"/>
  <c r="Q460" i="11"/>
  <c r="U459" i="11"/>
  <c r="T459" i="11"/>
  <c r="S459" i="11"/>
  <c r="R459" i="11"/>
  <c r="Q459" i="11"/>
  <c r="N459" i="11"/>
  <c r="D459" i="11"/>
  <c r="J456" i="11" s="1"/>
  <c r="V458" i="11"/>
  <c r="U458" i="11"/>
  <c r="T458" i="11"/>
  <c r="S458" i="11"/>
  <c r="R458" i="11"/>
  <c r="Q458" i="11"/>
  <c r="V457" i="11"/>
  <c r="U457" i="11"/>
  <c r="T457" i="11"/>
  <c r="S457" i="11"/>
  <c r="R457" i="11"/>
  <c r="Q457" i="11"/>
  <c r="U456" i="11"/>
  <c r="T456" i="11"/>
  <c r="S456" i="11"/>
  <c r="R456" i="11"/>
  <c r="Q456" i="11"/>
  <c r="N456" i="11"/>
  <c r="D456" i="11"/>
  <c r="J459" i="11" s="1"/>
  <c r="V455" i="11"/>
  <c r="U455" i="11"/>
  <c r="T455" i="11"/>
  <c r="S455" i="11"/>
  <c r="R455" i="11"/>
  <c r="Q455" i="11"/>
  <c r="V454" i="11"/>
  <c r="U454" i="11"/>
  <c r="T454" i="11"/>
  <c r="S454" i="11"/>
  <c r="R454" i="11"/>
  <c r="Q454" i="11"/>
  <c r="V453" i="11"/>
  <c r="T453" i="11"/>
  <c r="S453" i="11"/>
  <c r="R453" i="11"/>
  <c r="Q453" i="11"/>
  <c r="N453" i="11"/>
  <c r="D453" i="11"/>
  <c r="V452" i="11"/>
  <c r="U452" i="11"/>
  <c r="T452" i="11"/>
  <c r="S452" i="11"/>
  <c r="R452" i="11"/>
  <c r="Q452" i="11"/>
  <c r="V451" i="11"/>
  <c r="U451" i="11"/>
  <c r="T451" i="11"/>
  <c r="S451" i="11"/>
  <c r="R451" i="11"/>
  <c r="Q451" i="11"/>
  <c r="V450" i="11"/>
  <c r="T450" i="11"/>
  <c r="S450" i="11"/>
  <c r="R450" i="11"/>
  <c r="Q450" i="11"/>
  <c r="N450" i="11"/>
  <c r="D450" i="11"/>
  <c r="V449" i="11"/>
  <c r="U449" i="11"/>
  <c r="T449" i="11"/>
  <c r="S449" i="11"/>
  <c r="R449" i="11"/>
  <c r="Q449" i="11"/>
  <c r="V448" i="11"/>
  <c r="U448" i="11"/>
  <c r="T448" i="11"/>
  <c r="S448" i="11"/>
  <c r="R448" i="11"/>
  <c r="Q448" i="11"/>
  <c r="U447" i="11"/>
  <c r="T447" i="11"/>
  <c r="S447" i="11"/>
  <c r="R447" i="11"/>
  <c r="Q447" i="11"/>
  <c r="N447" i="11"/>
  <c r="J447" i="11"/>
  <c r="D447" i="11"/>
  <c r="J450" i="11" s="1"/>
  <c r="V446" i="11"/>
  <c r="U446" i="11"/>
  <c r="T446" i="11"/>
  <c r="S446" i="11"/>
  <c r="R446" i="11"/>
  <c r="Q446" i="11"/>
  <c r="V445" i="11"/>
  <c r="U445" i="11"/>
  <c r="T445" i="11"/>
  <c r="S445" i="11"/>
  <c r="R445" i="11"/>
  <c r="Q445" i="11"/>
  <c r="U444" i="11"/>
  <c r="T444" i="11"/>
  <c r="S444" i="11"/>
  <c r="R444" i="11"/>
  <c r="Q444" i="11"/>
  <c r="N444" i="11"/>
  <c r="D444" i="11"/>
  <c r="K444" i="11" s="1"/>
  <c r="V443" i="11"/>
  <c r="U443" i="11"/>
  <c r="T443" i="11"/>
  <c r="S443" i="11"/>
  <c r="R443" i="11"/>
  <c r="Q443" i="11"/>
  <c r="V442" i="11"/>
  <c r="U442" i="11"/>
  <c r="T442" i="11"/>
  <c r="S442" i="11"/>
  <c r="R442" i="11"/>
  <c r="Q442" i="11"/>
  <c r="U441" i="11"/>
  <c r="T441" i="11"/>
  <c r="S441" i="11"/>
  <c r="R441" i="11"/>
  <c r="Q441" i="11"/>
  <c r="N441" i="11"/>
  <c r="D441" i="11"/>
  <c r="V440" i="11"/>
  <c r="U440" i="11"/>
  <c r="T440" i="11"/>
  <c r="S440" i="11"/>
  <c r="R440" i="11"/>
  <c r="Q440" i="11"/>
  <c r="V439" i="11"/>
  <c r="U439" i="11"/>
  <c r="T439" i="11"/>
  <c r="S439" i="11"/>
  <c r="R439" i="11"/>
  <c r="Q439" i="11"/>
  <c r="V438" i="11"/>
  <c r="U438" i="11"/>
  <c r="S438" i="11"/>
  <c r="R438" i="11"/>
  <c r="Q438" i="11"/>
  <c r="N438" i="11"/>
  <c r="D438" i="11"/>
  <c r="O438" i="11" s="1"/>
  <c r="L438" i="11" s="1"/>
  <c r="V437" i="11"/>
  <c r="U437" i="11"/>
  <c r="T437" i="11"/>
  <c r="S437" i="11"/>
  <c r="R437" i="11"/>
  <c r="Q437" i="11"/>
  <c r="V436" i="11"/>
  <c r="U436" i="11"/>
  <c r="T436" i="11"/>
  <c r="S436" i="11"/>
  <c r="R436" i="11"/>
  <c r="Q436" i="11"/>
  <c r="U435" i="11"/>
  <c r="T435" i="11"/>
  <c r="S435" i="11"/>
  <c r="R435" i="11"/>
  <c r="Q435" i="11"/>
  <c r="N435" i="11"/>
  <c r="J435" i="11"/>
  <c r="D435" i="11"/>
  <c r="J438" i="11" s="1"/>
  <c r="V434" i="11"/>
  <c r="U434" i="11"/>
  <c r="T434" i="11"/>
  <c r="S434" i="11"/>
  <c r="R434" i="11"/>
  <c r="Q434" i="11"/>
  <c r="V433" i="11"/>
  <c r="U433" i="11"/>
  <c r="T433" i="11"/>
  <c r="S433" i="11"/>
  <c r="R433" i="11"/>
  <c r="Q433" i="11"/>
  <c r="V432" i="11"/>
  <c r="U432" i="11"/>
  <c r="S432" i="11"/>
  <c r="R432" i="11"/>
  <c r="Q432" i="11"/>
  <c r="N432" i="11"/>
  <c r="D432" i="11"/>
  <c r="K432" i="11" s="1"/>
  <c r="V431" i="11"/>
  <c r="U431" i="11"/>
  <c r="T431" i="11"/>
  <c r="S431" i="11"/>
  <c r="R431" i="11"/>
  <c r="Q431" i="11"/>
  <c r="V430" i="11"/>
  <c r="U430" i="11"/>
  <c r="T430" i="11"/>
  <c r="S430" i="11"/>
  <c r="R430" i="11"/>
  <c r="Q430" i="11"/>
  <c r="U429" i="11"/>
  <c r="T429" i="11"/>
  <c r="S429" i="11"/>
  <c r="R429" i="11"/>
  <c r="Q429" i="11"/>
  <c r="N429" i="11"/>
  <c r="D429" i="11"/>
  <c r="V428" i="11"/>
  <c r="U428" i="11"/>
  <c r="T428" i="11"/>
  <c r="S428" i="11"/>
  <c r="R428" i="11"/>
  <c r="Q428" i="11"/>
  <c r="V427" i="11"/>
  <c r="U427" i="11"/>
  <c r="T427" i="11"/>
  <c r="S427" i="11"/>
  <c r="R427" i="11"/>
  <c r="Q427" i="11"/>
  <c r="V426" i="11"/>
  <c r="U426" i="11"/>
  <c r="T426" i="11"/>
  <c r="R426" i="11"/>
  <c r="Q426" i="11"/>
  <c r="N426" i="11"/>
  <c r="K426" i="11"/>
  <c r="D426" i="11"/>
  <c r="V425" i="11"/>
  <c r="U425" i="11"/>
  <c r="T425" i="11"/>
  <c r="S425" i="11"/>
  <c r="R425" i="11"/>
  <c r="Q425" i="11"/>
  <c r="V424" i="11"/>
  <c r="U424" i="11"/>
  <c r="T424" i="11"/>
  <c r="S424" i="11"/>
  <c r="R424" i="11"/>
  <c r="Q424" i="11"/>
  <c r="V423" i="11"/>
  <c r="U423" i="11"/>
  <c r="T423" i="11"/>
  <c r="R423" i="11"/>
  <c r="Q423" i="11"/>
  <c r="N423" i="11"/>
  <c r="J423" i="11"/>
  <c r="D423" i="11"/>
  <c r="J426" i="11" s="1"/>
  <c r="V422" i="11"/>
  <c r="U422" i="11"/>
  <c r="T422" i="11"/>
  <c r="S422" i="11"/>
  <c r="R422" i="11"/>
  <c r="Q422" i="11"/>
  <c r="V421" i="11"/>
  <c r="U421" i="11"/>
  <c r="T421" i="11"/>
  <c r="S421" i="11"/>
  <c r="R421" i="11"/>
  <c r="Q421" i="11"/>
  <c r="V420" i="11"/>
  <c r="U420" i="11"/>
  <c r="T420" i="11"/>
  <c r="R420" i="11"/>
  <c r="Q420" i="11"/>
  <c r="N420" i="11"/>
  <c r="D420" i="11"/>
  <c r="K420" i="11" s="1"/>
  <c r="V419" i="11"/>
  <c r="U419" i="11"/>
  <c r="T419" i="11"/>
  <c r="S419" i="11"/>
  <c r="R419" i="11"/>
  <c r="Q419" i="11"/>
  <c r="V418" i="11"/>
  <c r="U418" i="11"/>
  <c r="T418" i="11"/>
  <c r="S418" i="11"/>
  <c r="R418" i="11"/>
  <c r="Q418" i="11"/>
  <c r="V417" i="11"/>
  <c r="U417" i="11"/>
  <c r="T417" i="11"/>
  <c r="R417" i="11"/>
  <c r="Q417" i="11"/>
  <c r="N417" i="11"/>
  <c r="D417" i="11"/>
  <c r="V416" i="11"/>
  <c r="U416" i="11"/>
  <c r="T416" i="11"/>
  <c r="S416" i="11"/>
  <c r="R416" i="11"/>
  <c r="Q416" i="11"/>
  <c r="V415" i="11"/>
  <c r="U415" i="11"/>
  <c r="T415" i="11"/>
  <c r="S415" i="11"/>
  <c r="R415" i="11"/>
  <c r="Q415" i="11"/>
  <c r="V414" i="11"/>
  <c r="T414" i="11"/>
  <c r="S414" i="11"/>
  <c r="R414" i="11"/>
  <c r="Q414" i="11"/>
  <c r="N414" i="11"/>
  <c r="J414" i="11"/>
  <c r="K414" i="11"/>
  <c r="V413" i="11"/>
  <c r="U413" i="11"/>
  <c r="T413" i="11"/>
  <c r="S413" i="11"/>
  <c r="R413" i="11"/>
  <c r="Q413" i="11"/>
  <c r="V412" i="11"/>
  <c r="U412" i="11"/>
  <c r="T412" i="11"/>
  <c r="S412" i="11"/>
  <c r="R412" i="11"/>
  <c r="Q412" i="11"/>
  <c r="V411" i="11"/>
  <c r="T411" i="11"/>
  <c r="S411" i="11"/>
  <c r="R411" i="11"/>
  <c r="Q411" i="11"/>
  <c r="N411" i="11"/>
  <c r="J411" i="11"/>
  <c r="V410" i="11"/>
  <c r="U410" i="11"/>
  <c r="T410" i="11"/>
  <c r="S410" i="11"/>
  <c r="R410" i="11"/>
  <c r="Q410" i="11"/>
  <c r="V409" i="11"/>
  <c r="U409" i="11"/>
  <c r="T409" i="11"/>
  <c r="S409" i="11"/>
  <c r="R409" i="11"/>
  <c r="Q409" i="11"/>
  <c r="U408" i="11"/>
  <c r="T408" i="11"/>
  <c r="S408" i="11"/>
  <c r="R408" i="11"/>
  <c r="Q408" i="11"/>
  <c r="N408" i="11"/>
  <c r="J408" i="11"/>
  <c r="D408" i="11"/>
  <c r="K408" i="11" s="1"/>
  <c r="V407" i="11"/>
  <c r="U407" i="11"/>
  <c r="T407" i="11"/>
  <c r="S407" i="11"/>
  <c r="R407" i="11"/>
  <c r="Q407" i="11"/>
  <c r="V406" i="11"/>
  <c r="U406" i="11"/>
  <c r="T406" i="11"/>
  <c r="S406" i="11"/>
  <c r="R406" i="11"/>
  <c r="Q406" i="11"/>
  <c r="U405" i="11"/>
  <c r="T405" i="11"/>
  <c r="S405" i="11"/>
  <c r="R405" i="11"/>
  <c r="Q405" i="11"/>
  <c r="N405" i="11"/>
  <c r="J405" i="11"/>
  <c r="D405" i="11"/>
  <c r="V404" i="11"/>
  <c r="U404" i="11"/>
  <c r="T404" i="11"/>
  <c r="S404" i="11"/>
  <c r="R404" i="11"/>
  <c r="Q404" i="11"/>
  <c r="V403" i="11"/>
  <c r="U403" i="11"/>
  <c r="T403" i="11"/>
  <c r="S403" i="11"/>
  <c r="R403" i="11"/>
  <c r="Q403" i="11"/>
  <c r="V402" i="11"/>
  <c r="T402" i="11"/>
  <c r="S402" i="11"/>
  <c r="R402" i="11"/>
  <c r="Q402" i="11"/>
  <c r="N402" i="11"/>
  <c r="J402" i="11"/>
  <c r="D402" i="11"/>
  <c r="V401" i="11"/>
  <c r="U401" i="11"/>
  <c r="T401" i="11"/>
  <c r="S401" i="11"/>
  <c r="R401" i="11"/>
  <c r="Q401" i="11"/>
  <c r="V400" i="11"/>
  <c r="U400" i="11"/>
  <c r="T400" i="11"/>
  <c r="S400" i="11"/>
  <c r="R400" i="11"/>
  <c r="Q400" i="11"/>
  <c r="U399" i="11"/>
  <c r="T399" i="11"/>
  <c r="S399" i="11"/>
  <c r="R399" i="11"/>
  <c r="Q399" i="11"/>
  <c r="N399" i="11"/>
  <c r="J399" i="11"/>
  <c r="D399" i="11"/>
  <c r="V398" i="11"/>
  <c r="U398" i="11"/>
  <c r="T398" i="11"/>
  <c r="S398" i="11"/>
  <c r="R398" i="11"/>
  <c r="Q398" i="11"/>
  <c r="V397" i="11"/>
  <c r="U397" i="11"/>
  <c r="T397" i="11"/>
  <c r="S397" i="11"/>
  <c r="R397" i="11"/>
  <c r="Q397" i="11"/>
  <c r="U396" i="11"/>
  <c r="T396" i="11"/>
  <c r="S396" i="11"/>
  <c r="R396" i="11"/>
  <c r="Q396" i="11"/>
  <c r="N396" i="11"/>
  <c r="J396" i="11"/>
  <c r="D396" i="11"/>
  <c r="K396" i="11" s="1"/>
  <c r="V395" i="11"/>
  <c r="U395" i="11"/>
  <c r="T395" i="11"/>
  <c r="S395" i="11"/>
  <c r="R395" i="11"/>
  <c r="Q395" i="11"/>
  <c r="V394" i="11"/>
  <c r="U394" i="11"/>
  <c r="T394" i="11"/>
  <c r="S394" i="11"/>
  <c r="R394" i="11"/>
  <c r="Q394" i="11"/>
  <c r="U393" i="11"/>
  <c r="T393" i="11"/>
  <c r="S393" i="11"/>
  <c r="R393" i="11"/>
  <c r="Q393" i="11"/>
  <c r="N393" i="11"/>
  <c r="J393" i="11"/>
  <c r="D393" i="11"/>
  <c r="V392" i="11"/>
  <c r="U392" i="11"/>
  <c r="T392" i="11"/>
  <c r="S392" i="11"/>
  <c r="R392" i="11"/>
  <c r="Q392" i="11"/>
  <c r="V391" i="11"/>
  <c r="U391" i="11"/>
  <c r="T391" i="11"/>
  <c r="S391" i="11"/>
  <c r="R391" i="11"/>
  <c r="Q391" i="11"/>
  <c r="V390" i="11"/>
  <c r="T390" i="11"/>
  <c r="S390" i="11"/>
  <c r="R390" i="11"/>
  <c r="Q390" i="11"/>
  <c r="N390" i="11"/>
  <c r="J390" i="11"/>
  <c r="D390" i="11"/>
  <c r="V389" i="11"/>
  <c r="U389" i="11"/>
  <c r="T389" i="11"/>
  <c r="S389" i="11"/>
  <c r="R389" i="11"/>
  <c r="Q389" i="11"/>
  <c r="V388" i="11"/>
  <c r="U388" i="11"/>
  <c r="T388" i="11"/>
  <c r="S388" i="11"/>
  <c r="R388" i="11"/>
  <c r="Q388" i="11"/>
  <c r="V387" i="11"/>
  <c r="T387" i="11"/>
  <c r="S387" i="11"/>
  <c r="R387" i="11"/>
  <c r="Q387" i="11"/>
  <c r="N387" i="11"/>
  <c r="K387" i="11"/>
  <c r="J387" i="11"/>
  <c r="D387" i="11"/>
  <c r="V386" i="11"/>
  <c r="U386" i="11"/>
  <c r="T386" i="11"/>
  <c r="S386" i="11"/>
  <c r="R386" i="11"/>
  <c r="Q386" i="11"/>
  <c r="V385" i="11"/>
  <c r="U385" i="11"/>
  <c r="T385" i="11"/>
  <c r="S385" i="11"/>
  <c r="R385" i="11"/>
  <c r="Q385" i="11"/>
  <c r="U384" i="11"/>
  <c r="T384" i="11"/>
  <c r="S384" i="11"/>
  <c r="R384" i="11"/>
  <c r="Q384" i="11"/>
  <c r="N384" i="11"/>
  <c r="J384" i="11"/>
  <c r="D384" i="11"/>
  <c r="K384" i="11" s="1"/>
  <c r="V383" i="11"/>
  <c r="U383" i="11"/>
  <c r="T383" i="11"/>
  <c r="S383" i="11"/>
  <c r="R383" i="11"/>
  <c r="Q383" i="11"/>
  <c r="V382" i="11"/>
  <c r="U382" i="11"/>
  <c r="T382" i="11"/>
  <c r="S382" i="11"/>
  <c r="R382" i="11"/>
  <c r="Q382" i="11"/>
  <c r="U381" i="11"/>
  <c r="T381" i="11"/>
  <c r="S381" i="11"/>
  <c r="R381" i="11"/>
  <c r="Q381" i="11"/>
  <c r="N381" i="11"/>
  <c r="J381" i="11"/>
  <c r="D381" i="11"/>
  <c r="V380" i="11"/>
  <c r="U380" i="11"/>
  <c r="T380" i="11"/>
  <c r="S380" i="11"/>
  <c r="R380" i="11"/>
  <c r="Q380" i="11"/>
  <c r="V379" i="11"/>
  <c r="U379" i="11"/>
  <c r="T379" i="11"/>
  <c r="S379" i="11"/>
  <c r="R379" i="11"/>
  <c r="Q379" i="11"/>
  <c r="U378" i="11"/>
  <c r="T378" i="11"/>
  <c r="S378" i="11"/>
  <c r="R378" i="11"/>
  <c r="Q378" i="11"/>
  <c r="N378" i="11"/>
  <c r="J378" i="11"/>
  <c r="D378" i="11"/>
  <c r="V377" i="11"/>
  <c r="U377" i="11"/>
  <c r="T377" i="11"/>
  <c r="S377" i="11"/>
  <c r="R377" i="11"/>
  <c r="Q377" i="11"/>
  <c r="V376" i="11"/>
  <c r="U376" i="11"/>
  <c r="T376" i="11"/>
  <c r="S376" i="11"/>
  <c r="R376" i="11"/>
  <c r="Q376" i="11"/>
  <c r="V375" i="11"/>
  <c r="T375" i="11"/>
  <c r="S375" i="11"/>
  <c r="R375" i="11"/>
  <c r="Q375" i="11"/>
  <c r="N375" i="11"/>
  <c r="J375" i="11"/>
  <c r="D375" i="11"/>
  <c r="K375" i="11" s="1"/>
  <c r="V374" i="11"/>
  <c r="U374" i="11"/>
  <c r="T374" i="11"/>
  <c r="S374" i="11"/>
  <c r="R374" i="11"/>
  <c r="Q374" i="11"/>
  <c r="V373" i="11"/>
  <c r="U373" i="11"/>
  <c r="T373" i="11"/>
  <c r="S373" i="11"/>
  <c r="R373" i="11"/>
  <c r="Q373" i="11"/>
  <c r="U372" i="11"/>
  <c r="T372" i="11"/>
  <c r="S372" i="11"/>
  <c r="R372" i="11"/>
  <c r="Q372" i="11"/>
  <c r="N372" i="11"/>
  <c r="K372" i="11"/>
  <c r="V371" i="11"/>
  <c r="U371" i="11"/>
  <c r="T371" i="11"/>
  <c r="S371" i="11"/>
  <c r="R371" i="11"/>
  <c r="Q371" i="11"/>
  <c r="V370" i="11"/>
  <c r="U370" i="11"/>
  <c r="T370" i="11"/>
  <c r="S370" i="11"/>
  <c r="R370" i="11"/>
  <c r="Q370" i="11"/>
  <c r="V369" i="11"/>
  <c r="T369" i="11"/>
  <c r="S369" i="11"/>
  <c r="R369" i="11"/>
  <c r="Q369" i="11"/>
  <c r="N369" i="11"/>
  <c r="D369" i="11"/>
  <c r="V368" i="11"/>
  <c r="U368" i="11"/>
  <c r="T368" i="11"/>
  <c r="S368" i="11"/>
  <c r="R368" i="11"/>
  <c r="Q368" i="11"/>
  <c r="V367" i="11"/>
  <c r="U367" i="11"/>
  <c r="T367" i="11"/>
  <c r="S367" i="11"/>
  <c r="R367" i="11"/>
  <c r="Q367" i="11"/>
  <c r="V366" i="11"/>
  <c r="T366" i="11"/>
  <c r="S366" i="11"/>
  <c r="R366" i="11"/>
  <c r="Q366" i="11"/>
  <c r="N366" i="11"/>
  <c r="D366" i="11"/>
  <c r="K366" i="11" s="1"/>
  <c r="V365" i="11"/>
  <c r="U365" i="11"/>
  <c r="T365" i="11"/>
  <c r="S365" i="11"/>
  <c r="R365" i="11"/>
  <c r="Q365" i="11"/>
  <c r="V364" i="11"/>
  <c r="U364" i="11"/>
  <c r="T364" i="11"/>
  <c r="S364" i="11"/>
  <c r="R364" i="11"/>
  <c r="Q364" i="11"/>
  <c r="V363" i="11"/>
  <c r="U363" i="11"/>
  <c r="S363" i="11"/>
  <c r="R363" i="11"/>
  <c r="Q363" i="11"/>
  <c r="N363" i="11"/>
  <c r="D363" i="11"/>
  <c r="K363" i="11" s="1"/>
  <c r="V362" i="11"/>
  <c r="U362" i="11"/>
  <c r="T362" i="11"/>
  <c r="S362" i="11"/>
  <c r="R362" i="11"/>
  <c r="Q362" i="11"/>
  <c r="V361" i="11"/>
  <c r="U361" i="11"/>
  <c r="T361" i="11"/>
  <c r="S361" i="11"/>
  <c r="R361" i="11"/>
  <c r="Q361" i="11"/>
  <c r="V360" i="11"/>
  <c r="T360" i="11"/>
  <c r="S360" i="11"/>
  <c r="R360" i="11"/>
  <c r="Q360" i="11"/>
  <c r="N360" i="11"/>
  <c r="J360" i="11"/>
  <c r="D360" i="11"/>
  <c r="K360" i="11" s="1"/>
  <c r="V359" i="11"/>
  <c r="U359" i="11"/>
  <c r="T359" i="11"/>
  <c r="S359" i="11"/>
  <c r="R359" i="11"/>
  <c r="Q359" i="11"/>
  <c r="V358" i="11"/>
  <c r="U358" i="11"/>
  <c r="T358" i="11"/>
  <c r="S358" i="11"/>
  <c r="R358" i="11"/>
  <c r="Q358" i="11"/>
  <c r="U357" i="11"/>
  <c r="T357" i="11"/>
  <c r="S357" i="11"/>
  <c r="R357" i="11"/>
  <c r="Q357" i="11"/>
  <c r="N357" i="11"/>
  <c r="J357" i="11"/>
  <c r="D357" i="11"/>
  <c r="V356" i="11"/>
  <c r="U356" i="11"/>
  <c r="T356" i="11"/>
  <c r="S356" i="11"/>
  <c r="R356" i="11"/>
  <c r="Q356" i="11"/>
  <c r="V355" i="11"/>
  <c r="U355" i="11"/>
  <c r="T355" i="11"/>
  <c r="S355" i="11"/>
  <c r="R355" i="11"/>
  <c r="Q355" i="11"/>
  <c r="V354" i="11"/>
  <c r="T354" i="11"/>
  <c r="S354" i="11"/>
  <c r="R354" i="11"/>
  <c r="Q354" i="11"/>
  <c r="N354" i="11"/>
  <c r="J354" i="11"/>
  <c r="D354" i="11"/>
  <c r="O354" i="11" s="1"/>
  <c r="L354" i="11" s="1"/>
  <c r="V353" i="11"/>
  <c r="U353" i="11"/>
  <c r="T353" i="11"/>
  <c r="S353" i="11"/>
  <c r="R353" i="11"/>
  <c r="Q353" i="11"/>
  <c r="V352" i="11"/>
  <c r="U352" i="11"/>
  <c r="T352" i="11"/>
  <c r="S352" i="11"/>
  <c r="R352" i="11"/>
  <c r="Q352" i="11"/>
  <c r="V351" i="11"/>
  <c r="T351" i="11"/>
  <c r="S351" i="11"/>
  <c r="R351" i="11"/>
  <c r="Q351" i="11"/>
  <c r="N351" i="11"/>
  <c r="K351" i="11"/>
  <c r="J351" i="11"/>
  <c r="D351" i="11"/>
  <c r="V350" i="11"/>
  <c r="U350" i="11"/>
  <c r="T350" i="11"/>
  <c r="S350" i="11"/>
  <c r="R350" i="11"/>
  <c r="Q350" i="11"/>
  <c r="V349" i="11"/>
  <c r="U349" i="11"/>
  <c r="T349" i="11"/>
  <c r="S349" i="11"/>
  <c r="R349" i="11"/>
  <c r="Q349" i="11"/>
  <c r="U348" i="11"/>
  <c r="T348" i="11"/>
  <c r="S348" i="11"/>
  <c r="R348" i="11"/>
  <c r="Q348" i="11"/>
  <c r="N348" i="11"/>
  <c r="J348" i="11"/>
  <c r="D348" i="11"/>
  <c r="K348" i="11" s="1"/>
  <c r="V347" i="11"/>
  <c r="U347" i="11"/>
  <c r="T347" i="11"/>
  <c r="S347" i="11"/>
  <c r="R347" i="11"/>
  <c r="Q347" i="11"/>
  <c r="V346" i="11"/>
  <c r="U346" i="11"/>
  <c r="T346" i="11"/>
  <c r="S346" i="11"/>
  <c r="R346" i="11"/>
  <c r="Q346" i="11"/>
  <c r="V345" i="11"/>
  <c r="T345" i="11"/>
  <c r="S345" i="11"/>
  <c r="R345" i="11"/>
  <c r="Q345" i="11"/>
  <c r="N345" i="11"/>
  <c r="J345" i="11"/>
  <c r="D345" i="11"/>
  <c r="V344" i="11"/>
  <c r="U344" i="11"/>
  <c r="T344" i="11"/>
  <c r="S344" i="11"/>
  <c r="R344" i="11"/>
  <c r="Q344" i="11"/>
  <c r="V343" i="11"/>
  <c r="U343" i="11"/>
  <c r="T343" i="11"/>
  <c r="S343" i="11"/>
  <c r="R343" i="11"/>
  <c r="Q343" i="11"/>
  <c r="V342" i="11"/>
  <c r="T342" i="11"/>
  <c r="S342" i="11"/>
  <c r="R342" i="11"/>
  <c r="Q342" i="11"/>
  <c r="N342" i="11"/>
  <c r="J342" i="11"/>
  <c r="D342" i="11"/>
  <c r="K342" i="11" s="1"/>
  <c r="V341" i="11"/>
  <c r="U341" i="11"/>
  <c r="T341" i="11"/>
  <c r="S341" i="11"/>
  <c r="R341" i="11"/>
  <c r="Q341" i="11"/>
  <c r="V340" i="11"/>
  <c r="U340" i="11"/>
  <c r="T340" i="11"/>
  <c r="S340" i="11"/>
  <c r="R340" i="11"/>
  <c r="Q340" i="11"/>
  <c r="U339" i="11"/>
  <c r="T339" i="11"/>
  <c r="S339" i="11"/>
  <c r="R339" i="11"/>
  <c r="Q339" i="11"/>
  <c r="N339" i="11"/>
  <c r="J339" i="11"/>
  <c r="D339" i="11"/>
  <c r="K339" i="11" s="1"/>
  <c r="V338" i="11"/>
  <c r="U338" i="11"/>
  <c r="T338" i="11"/>
  <c r="S338" i="11"/>
  <c r="R338" i="11"/>
  <c r="Q338" i="11"/>
  <c r="V337" i="11"/>
  <c r="U337" i="11"/>
  <c r="T337" i="11"/>
  <c r="S337" i="11"/>
  <c r="R337" i="11"/>
  <c r="Q337" i="11"/>
  <c r="V336" i="11"/>
  <c r="T336" i="11"/>
  <c r="S336" i="11"/>
  <c r="R336" i="11"/>
  <c r="Q336" i="11"/>
  <c r="N336" i="11"/>
  <c r="K336" i="11"/>
  <c r="V335" i="11"/>
  <c r="U335" i="11"/>
  <c r="T335" i="11"/>
  <c r="S335" i="11"/>
  <c r="R335" i="11"/>
  <c r="Q335" i="11"/>
  <c r="V334" i="11"/>
  <c r="U334" i="11"/>
  <c r="T334" i="11"/>
  <c r="S334" i="11"/>
  <c r="R334" i="11"/>
  <c r="Q334" i="11"/>
  <c r="U333" i="11"/>
  <c r="T333" i="11"/>
  <c r="S333" i="11"/>
  <c r="R333" i="11"/>
  <c r="Q333" i="11"/>
  <c r="N333" i="11"/>
  <c r="V332" i="11"/>
  <c r="U332" i="11"/>
  <c r="T332" i="11"/>
  <c r="S332" i="11"/>
  <c r="R332" i="11"/>
  <c r="Q332" i="11"/>
  <c r="V331" i="11"/>
  <c r="U331" i="11"/>
  <c r="T331" i="11"/>
  <c r="S331" i="11"/>
  <c r="R331" i="11"/>
  <c r="Q331" i="11"/>
  <c r="V330" i="11"/>
  <c r="T330" i="11"/>
  <c r="S330" i="11"/>
  <c r="R330" i="11"/>
  <c r="Q330" i="11"/>
  <c r="N330" i="11"/>
  <c r="O330" i="11"/>
  <c r="L330" i="11" s="1"/>
  <c r="V329" i="11"/>
  <c r="U329" i="11"/>
  <c r="T329" i="11"/>
  <c r="S329" i="11"/>
  <c r="R329" i="11"/>
  <c r="Q329" i="11"/>
  <c r="V328" i="11"/>
  <c r="U328" i="11"/>
  <c r="T328" i="11"/>
  <c r="S328" i="11"/>
  <c r="R328" i="11"/>
  <c r="Q328" i="11"/>
  <c r="U327" i="11"/>
  <c r="T327" i="11"/>
  <c r="S327" i="11"/>
  <c r="R327" i="11"/>
  <c r="Q327" i="11"/>
  <c r="N327" i="11"/>
  <c r="J327" i="11"/>
  <c r="D327" i="11"/>
  <c r="K327" i="11" s="1"/>
  <c r="V326" i="11"/>
  <c r="U326" i="11"/>
  <c r="T326" i="11"/>
  <c r="S326" i="11"/>
  <c r="R326" i="11"/>
  <c r="Q326" i="11"/>
  <c r="V325" i="11"/>
  <c r="U325" i="11"/>
  <c r="T325" i="11"/>
  <c r="S325" i="11"/>
  <c r="R325" i="11"/>
  <c r="Q325" i="11"/>
  <c r="U324" i="11"/>
  <c r="T324" i="11"/>
  <c r="S324" i="11"/>
  <c r="R324" i="11"/>
  <c r="Q324" i="11"/>
  <c r="N324" i="11"/>
  <c r="J324" i="11"/>
  <c r="D324" i="11"/>
  <c r="V323" i="11"/>
  <c r="U323" i="11"/>
  <c r="T323" i="11"/>
  <c r="S323" i="11"/>
  <c r="R323" i="11"/>
  <c r="Q323" i="11"/>
  <c r="V322" i="11"/>
  <c r="U322" i="11"/>
  <c r="T322" i="11"/>
  <c r="S322" i="11"/>
  <c r="R322" i="11"/>
  <c r="Q322" i="11"/>
  <c r="U321" i="11"/>
  <c r="T321" i="11"/>
  <c r="S321" i="11"/>
  <c r="R321" i="11"/>
  <c r="Q321" i="11"/>
  <c r="N321" i="11"/>
  <c r="J321" i="11"/>
  <c r="D321" i="11"/>
  <c r="K321" i="11" s="1"/>
  <c r="V320" i="11"/>
  <c r="U320" i="11"/>
  <c r="T320" i="11"/>
  <c r="S320" i="11"/>
  <c r="R320" i="11"/>
  <c r="Q320" i="11"/>
  <c r="V319" i="11"/>
  <c r="U319" i="11"/>
  <c r="T319" i="11"/>
  <c r="S319" i="11"/>
  <c r="R319" i="11"/>
  <c r="Q319" i="11"/>
  <c r="U318" i="11"/>
  <c r="T318" i="11"/>
  <c r="S318" i="11"/>
  <c r="R318" i="11"/>
  <c r="Q318" i="11"/>
  <c r="N318" i="11"/>
  <c r="J318" i="11"/>
  <c r="D318" i="11"/>
  <c r="V317" i="11"/>
  <c r="U317" i="11"/>
  <c r="T317" i="11"/>
  <c r="S317" i="11"/>
  <c r="R317" i="11"/>
  <c r="Q317" i="11"/>
  <c r="V316" i="11"/>
  <c r="U316" i="11"/>
  <c r="T316" i="11"/>
  <c r="S316" i="11"/>
  <c r="R316" i="11"/>
  <c r="Q316" i="11"/>
  <c r="V315" i="11"/>
  <c r="T315" i="11"/>
  <c r="S315" i="11"/>
  <c r="R315" i="11"/>
  <c r="Q315" i="11"/>
  <c r="N315" i="11"/>
  <c r="K315" i="11"/>
  <c r="J315" i="11"/>
  <c r="D315" i="11"/>
  <c r="V314" i="11"/>
  <c r="U314" i="11"/>
  <c r="T314" i="11"/>
  <c r="S314" i="11"/>
  <c r="R314" i="11"/>
  <c r="Q314" i="11"/>
  <c r="V313" i="11"/>
  <c r="U313" i="11"/>
  <c r="T313" i="11"/>
  <c r="S313" i="11"/>
  <c r="R313" i="11"/>
  <c r="Q313" i="11"/>
  <c r="V312" i="11"/>
  <c r="T312" i="11"/>
  <c r="S312" i="11"/>
  <c r="R312" i="11"/>
  <c r="Q312" i="11"/>
  <c r="N312" i="11"/>
  <c r="J312" i="11"/>
  <c r="D312" i="11"/>
  <c r="K312" i="11" s="1"/>
  <c r="V311" i="11"/>
  <c r="U311" i="11"/>
  <c r="T311" i="11"/>
  <c r="S311" i="11"/>
  <c r="R311" i="11"/>
  <c r="Q311" i="11"/>
  <c r="V310" i="11"/>
  <c r="U310" i="11"/>
  <c r="T310" i="11"/>
  <c r="S310" i="11"/>
  <c r="R310" i="11"/>
  <c r="Q310" i="11"/>
  <c r="V309" i="11"/>
  <c r="T309" i="11"/>
  <c r="S309" i="11"/>
  <c r="R309" i="11"/>
  <c r="Q309" i="11"/>
  <c r="N309" i="11"/>
  <c r="J309" i="11"/>
  <c r="D309" i="11"/>
  <c r="K309" i="11" s="1"/>
  <c r="V308" i="11"/>
  <c r="U308" i="11"/>
  <c r="T308" i="11"/>
  <c r="S308" i="11"/>
  <c r="R308" i="11"/>
  <c r="Q308" i="11"/>
  <c r="V307" i="11"/>
  <c r="U307" i="11"/>
  <c r="T307" i="11"/>
  <c r="S307" i="11"/>
  <c r="R307" i="11"/>
  <c r="Q307" i="11"/>
  <c r="V306" i="11"/>
  <c r="T306" i="11"/>
  <c r="S306" i="11"/>
  <c r="R306" i="11"/>
  <c r="Q306" i="11"/>
  <c r="N306" i="11"/>
  <c r="J306" i="11"/>
  <c r="D306" i="11"/>
  <c r="O306" i="11" s="1"/>
  <c r="L306" i="11" s="1"/>
  <c r="V305" i="11"/>
  <c r="U305" i="11"/>
  <c r="T305" i="11"/>
  <c r="S305" i="11"/>
  <c r="R305" i="11"/>
  <c r="Q305" i="11"/>
  <c r="V304" i="11"/>
  <c r="U304" i="11"/>
  <c r="T304" i="11"/>
  <c r="S304" i="11"/>
  <c r="R304" i="11"/>
  <c r="Q304" i="11"/>
  <c r="U303" i="11"/>
  <c r="T303" i="11"/>
  <c r="S303" i="11"/>
  <c r="R303" i="11"/>
  <c r="Q303" i="11"/>
  <c r="N303" i="11"/>
  <c r="J303" i="11"/>
  <c r="D303" i="11"/>
  <c r="V302" i="11"/>
  <c r="U302" i="11"/>
  <c r="T302" i="11"/>
  <c r="S302" i="11"/>
  <c r="R302" i="11"/>
  <c r="Q302" i="11"/>
  <c r="V301" i="11"/>
  <c r="U301" i="11"/>
  <c r="T301" i="11"/>
  <c r="S301" i="11"/>
  <c r="R301" i="11"/>
  <c r="Q301" i="11"/>
  <c r="U300" i="11"/>
  <c r="T300" i="11"/>
  <c r="S300" i="11"/>
  <c r="R300" i="11"/>
  <c r="Q300" i="11"/>
  <c r="N300" i="11"/>
  <c r="J300" i="11"/>
  <c r="D300" i="11"/>
  <c r="O300" i="11" s="1"/>
  <c r="L300" i="11" s="1"/>
  <c r="V299" i="11"/>
  <c r="U299" i="11"/>
  <c r="T299" i="11"/>
  <c r="S299" i="11"/>
  <c r="R299" i="11"/>
  <c r="Q299" i="11"/>
  <c r="V298" i="11"/>
  <c r="U298" i="11"/>
  <c r="T298" i="11"/>
  <c r="S298" i="11"/>
  <c r="R298" i="11"/>
  <c r="Q298" i="11"/>
  <c r="U297" i="11"/>
  <c r="T297" i="11"/>
  <c r="S297" i="11"/>
  <c r="R297" i="11"/>
  <c r="Q297" i="11"/>
  <c r="N297" i="11"/>
  <c r="J297" i="11"/>
  <c r="D297" i="11"/>
  <c r="K297" i="11" s="1"/>
  <c r="V296" i="11"/>
  <c r="U296" i="11"/>
  <c r="T296" i="11"/>
  <c r="S296" i="11"/>
  <c r="R296" i="11"/>
  <c r="Q296" i="11"/>
  <c r="V295" i="11"/>
  <c r="U295" i="11"/>
  <c r="T295" i="11"/>
  <c r="S295" i="11"/>
  <c r="R295" i="11"/>
  <c r="Q295" i="11"/>
  <c r="V294" i="11"/>
  <c r="T294" i="11"/>
  <c r="S294" i="11"/>
  <c r="R294" i="11"/>
  <c r="Q294" i="11"/>
  <c r="N294" i="11"/>
  <c r="J294" i="11"/>
  <c r="D294" i="11"/>
  <c r="V293" i="11"/>
  <c r="U293" i="11"/>
  <c r="T293" i="11"/>
  <c r="S293" i="11"/>
  <c r="R293" i="11"/>
  <c r="Q293" i="11"/>
  <c r="V292" i="11"/>
  <c r="U292" i="11"/>
  <c r="T292" i="11"/>
  <c r="S292" i="11"/>
  <c r="R292" i="11"/>
  <c r="Q292" i="11"/>
  <c r="V291" i="11"/>
  <c r="T291" i="11"/>
  <c r="S291" i="11"/>
  <c r="R291" i="11"/>
  <c r="Q291" i="11"/>
  <c r="N291" i="11"/>
  <c r="J291" i="11"/>
  <c r="D291" i="11"/>
  <c r="O291" i="11" s="1"/>
  <c r="L291" i="11" s="1"/>
  <c r="V290" i="11"/>
  <c r="U290" i="11"/>
  <c r="T290" i="11"/>
  <c r="S290" i="11"/>
  <c r="R290" i="11"/>
  <c r="Q290" i="11"/>
  <c r="V289" i="11"/>
  <c r="U289" i="11"/>
  <c r="T289" i="11"/>
  <c r="S289" i="11"/>
  <c r="R289" i="11"/>
  <c r="Q289" i="11"/>
  <c r="U288" i="11"/>
  <c r="T288" i="11"/>
  <c r="S288" i="11"/>
  <c r="R288" i="11"/>
  <c r="Q288" i="11"/>
  <c r="N288" i="11"/>
  <c r="J288" i="11"/>
  <c r="K288" i="11"/>
  <c r="V287" i="11"/>
  <c r="U287" i="11"/>
  <c r="T287" i="11"/>
  <c r="S287" i="11"/>
  <c r="R287" i="11"/>
  <c r="Q287" i="11"/>
  <c r="V286" i="11"/>
  <c r="U286" i="11"/>
  <c r="T286" i="11"/>
  <c r="S286" i="11"/>
  <c r="R286" i="11"/>
  <c r="Q286" i="11"/>
  <c r="V285" i="11"/>
  <c r="T285" i="11"/>
  <c r="S285" i="11"/>
  <c r="R285" i="11"/>
  <c r="Q285" i="11"/>
  <c r="N285" i="11"/>
  <c r="D285" i="11"/>
  <c r="K285" i="11" s="1"/>
  <c r="V284" i="11"/>
  <c r="U284" i="11"/>
  <c r="T284" i="11"/>
  <c r="S284" i="11"/>
  <c r="R284" i="11"/>
  <c r="Q284" i="11"/>
  <c r="V283" i="11"/>
  <c r="U283" i="11"/>
  <c r="T283" i="11"/>
  <c r="S283" i="11"/>
  <c r="R283" i="11"/>
  <c r="Q283" i="11"/>
  <c r="V282" i="11"/>
  <c r="T282" i="11"/>
  <c r="S282" i="11"/>
  <c r="R282" i="11"/>
  <c r="Q282" i="11"/>
  <c r="N282" i="11"/>
  <c r="J282" i="11"/>
  <c r="D282" i="11"/>
  <c r="V281" i="11"/>
  <c r="U281" i="11"/>
  <c r="T281" i="11"/>
  <c r="S281" i="11"/>
  <c r="R281" i="11"/>
  <c r="Q281" i="11"/>
  <c r="V280" i="11"/>
  <c r="U280" i="11"/>
  <c r="T280" i="11"/>
  <c r="S280" i="11"/>
  <c r="R280" i="11"/>
  <c r="Q280" i="11"/>
  <c r="U279" i="11"/>
  <c r="T279" i="11"/>
  <c r="S279" i="11"/>
  <c r="R279" i="11"/>
  <c r="Q279" i="11"/>
  <c r="N279" i="11"/>
  <c r="K279" i="11"/>
  <c r="J279" i="11"/>
  <c r="D279" i="11"/>
  <c r="V278" i="11"/>
  <c r="U278" i="11"/>
  <c r="T278" i="11"/>
  <c r="S278" i="11"/>
  <c r="R278" i="11"/>
  <c r="Q278" i="11"/>
  <c r="V277" i="11"/>
  <c r="U277" i="11"/>
  <c r="T277" i="11"/>
  <c r="S277" i="11"/>
  <c r="R277" i="11"/>
  <c r="Q277" i="11"/>
  <c r="U276" i="11"/>
  <c r="T276" i="11"/>
  <c r="S276" i="11"/>
  <c r="R276" i="11"/>
  <c r="Q276" i="11"/>
  <c r="N276" i="11"/>
  <c r="J276" i="11"/>
  <c r="D276" i="11"/>
  <c r="K276" i="11" s="1"/>
  <c r="V275" i="11"/>
  <c r="U275" i="11"/>
  <c r="T275" i="11"/>
  <c r="S275" i="11"/>
  <c r="R275" i="11"/>
  <c r="Q275" i="11"/>
  <c r="V274" i="11"/>
  <c r="U274" i="11"/>
  <c r="T274" i="11"/>
  <c r="S274" i="11"/>
  <c r="R274" i="11"/>
  <c r="Q274" i="11"/>
  <c r="U273" i="11"/>
  <c r="T273" i="11"/>
  <c r="S273" i="11"/>
  <c r="R273" i="11"/>
  <c r="Q273" i="11"/>
  <c r="N273" i="11"/>
  <c r="J273" i="11"/>
  <c r="D273" i="11"/>
  <c r="K273" i="11" s="1"/>
  <c r="V272" i="11"/>
  <c r="U272" i="11"/>
  <c r="T272" i="11"/>
  <c r="S272" i="11"/>
  <c r="R272" i="11"/>
  <c r="Q272" i="11"/>
  <c r="V271" i="11"/>
  <c r="U271" i="11"/>
  <c r="T271" i="11"/>
  <c r="S271" i="11"/>
  <c r="R271" i="11"/>
  <c r="Q271" i="11"/>
  <c r="U270" i="11"/>
  <c r="T270" i="11"/>
  <c r="S270" i="11"/>
  <c r="R270" i="11"/>
  <c r="Q270" i="11"/>
  <c r="N270" i="11"/>
  <c r="J270" i="11"/>
  <c r="D270" i="11"/>
  <c r="V269" i="11"/>
  <c r="U269" i="11"/>
  <c r="T269" i="11"/>
  <c r="S269" i="11"/>
  <c r="R269" i="11"/>
  <c r="Q269" i="11"/>
  <c r="V268" i="11"/>
  <c r="U268" i="11"/>
  <c r="T268" i="11"/>
  <c r="S268" i="11"/>
  <c r="R268" i="11"/>
  <c r="Q268" i="11"/>
  <c r="V267" i="11"/>
  <c r="T267" i="11"/>
  <c r="S267" i="11"/>
  <c r="R267" i="11"/>
  <c r="Q267" i="11"/>
  <c r="N267" i="11"/>
  <c r="J267" i="11"/>
  <c r="D267" i="11"/>
  <c r="V266" i="11"/>
  <c r="U266" i="11"/>
  <c r="T266" i="11"/>
  <c r="S266" i="11"/>
  <c r="R266" i="11"/>
  <c r="Q266" i="11"/>
  <c r="V265" i="11"/>
  <c r="U265" i="11"/>
  <c r="T265" i="11"/>
  <c r="S265" i="11"/>
  <c r="R265" i="11"/>
  <c r="Q265" i="11"/>
  <c r="U264" i="11"/>
  <c r="T264" i="11"/>
  <c r="S264" i="11"/>
  <c r="R264" i="11"/>
  <c r="Q264" i="11"/>
  <c r="N264" i="11"/>
  <c r="J264" i="11"/>
  <c r="D264" i="11"/>
  <c r="K264" i="11" s="1"/>
  <c r="V263" i="11"/>
  <c r="U263" i="11"/>
  <c r="T263" i="11"/>
  <c r="S263" i="11"/>
  <c r="R263" i="11"/>
  <c r="Q263" i="11"/>
  <c r="V262" i="11"/>
  <c r="U262" i="11"/>
  <c r="T262" i="11"/>
  <c r="S262" i="11"/>
  <c r="R262" i="11"/>
  <c r="Q262" i="11"/>
  <c r="U261" i="11"/>
  <c r="T261" i="11"/>
  <c r="S261" i="11"/>
  <c r="R261" i="11"/>
  <c r="Q261" i="11"/>
  <c r="N261" i="11"/>
  <c r="J261" i="11"/>
  <c r="D261" i="11"/>
  <c r="K261" i="11" s="1"/>
  <c r="V260" i="11"/>
  <c r="U260" i="11"/>
  <c r="T260" i="11"/>
  <c r="S260" i="11"/>
  <c r="R260" i="11"/>
  <c r="Q260" i="11"/>
  <c r="V259" i="11"/>
  <c r="U259" i="11"/>
  <c r="T259" i="11"/>
  <c r="S259" i="11"/>
  <c r="R259" i="11"/>
  <c r="Q259" i="11"/>
  <c r="V258" i="11"/>
  <c r="T258" i="11"/>
  <c r="S258" i="11"/>
  <c r="R258" i="11"/>
  <c r="Q258" i="11"/>
  <c r="N258" i="11"/>
  <c r="J258" i="11"/>
  <c r="D258" i="11"/>
  <c r="V257" i="11"/>
  <c r="U257" i="11"/>
  <c r="T257" i="11"/>
  <c r="S257" i="11"/>
  <c r="R257" i="11"/>
  <c r="Q257" i="11"/>
  <c r="V256" i="11"/>
  <c r="U256" i="11"/>
  <c r="T256" i="11"/>
  <c r="S256" i="11"/>
  <c r="R256" i="11"/>
  <c r="Q256" i="11"/>
  <c r="V255" i="11"/>
  <c r="T255" i="11"/>
  <c r="S255" i="11"/>
  <c r="R255" i="11"/>
  <c r="Q255" i="11"/>
  <c r="N255" i="11"/>
  <c r="J255" i="11"/>
  <c r="D255" i="11"/>
  <c r="V254" i="11"/>
  <c r="U254" i="11"/>
  <c r="T254" i="11"/>
  <c r="S254" i="11"/>
  <c r="R254" i="11"/>
  <c r="Q254" i="11"/>
  <c r="V253" i="11"/>
  <c r="U253" i="11"/>
  <c r="T253" i="11"/>
  <c r="S253" i="11"/>
  <c r="R253" i="11"/>
  <c r="Q253" i="11"/>
  <c r="V252" i="11"/>
  <c r="U252" i="11"/>
  <c r="S252" i="11"/>
  <c r="R252" i="11"/>
  <c r="Q252" i="11"/>
  <c r="O252" i="11"/>
  <c r="L252" i="11" s="1"/>
  <c r="N252" i="11"/>
  <c r="J252" i="11"/>
  <c r="D252" i="11"/>
  <c r="K252" i="11" s="1"/>
  <c r="V251" i="11"/>
  <c r="U251" i="11"/>
  <c r="T251" i="11"/>
  <c r="S251" i="11"/>
  <c r="R251" i="11"/>
  <c r="Q251" i="11"/>
  <c r="V250" i="11"/>
  <c r="U250" i="11"/>
  <c r="T250" i="11"/>
  <c r="S250" i="11"/>
  <c r="R250" i="11"/>
  <c r="Q250" i="11"/>
  <c r="V249" i="11"/>
  <c r="T249" i="11"/>
  <c r="S249" i="11"/>
  <c r="R249" i="11"/>
  <c r="Q249" i="11"/>
  <c r="N249" i="11"/>
  <c r="J249" i="11"/>
  <c r="K249" i="11"/>
  <c r="V248" i="11"/>
  <c r="U248" i="11"/>
  <c r="T248" i="11"/>
  <c r="S248" i="11"/>
  <c r="R248" i="11"/>
  <c r="Q248" i="11"/>
  <c r="V247" i="11"/>
  <c r="U247" i="11"/>
  <c r="T247" i="11"/>
  <c r="S247" i="11"/>
  <c r="R247" i="11"/>
  <c r="Q247" i="11"/>
  <c r="V246" i="11"/>
  <c r="T246" i="11"/>
  <c r="S246" i="11"/>
  <c r="R246" i="11"/>
  <c r="Q246" i="11"/>
  <c r="N246" i="11"/>
  <c r="J246" i="11"/>
  <c r="D246" i="11"/>
  <c r="V245" i="11"/>
  <c r="U245" i="11"/>
  <c r="T245" i="11"/>
  <c r="S245" i="11"/>
  <c r="R245" i="11"/>
  <c r="Q245" i="11"/>
  <c r="V244" i="11"/>
  <c r="U244" i="11"/>
  <c r="T244" i="11"/>
  <c r="S244" i="11"/>
  <c r="R244" i="11"/>
  <c r="Q244" i="11"/>
  <c r="V243" i="11"/>
  <c r="T243" i="11"/>
  <c r="S243" i="11"/>
  <c r="R243" i="11"/>
  <c r="Q243" i="11"/>
  <c r="N243" i="11"/>
  <c r="J243" i="11"/>
  <c r="D243" i="11"/>
  <c r="O243" i="11" s="1"/>
  <c r="L243" i="11" s="1"/>
  <c r="V242" i="11"/>
  <c r="U242" i="11"/>
  <c r="T242" i="11"/>
  <c r="S242" i="11"/>
  <c r="R242" i="11"/>
  <c r="Q242" i="11"/>
  <c r="V241" i="11"/>
  <c r="U241" i="11"/>
  <c r="T241" i="11"/>
  <c r="S241" i="11"/>
  <c r="R241" i="11"/>
  <c r="Q241" i="11"/>
  <c r="V240" i="11"/>
  <c r="T240" i="11"/>
  <c r="S240" i="11"/>
  <c r="R240" i="11"/>
  <c r="Q240" i="11"/>
  <c r="O240" i="11"/>
  <c r="L240" i="11" s="1"/>
  <c r="N240" i="11"/>
  <c r="J240" i="11"/>
  <c r="D240" i="11"/>
  <c r="K240" i="11" s="1"/>
  <c r="V239" i="11"/>
  <c r="U239" i="11"/>
  <c r="T239" i="11"/>
  <c r="S239" i="11"/>
  <c r="R239" i="11"/>
  <c r="Q239" i="11"/>
  <c r="V238" i="11"/>
  <c r="U238" i="11"/>
  <c r="T238" i="11"/>
  <c r="S238" i="11"/>
  <c r="R238" i="11"/>
  <c r="Q238" i="11"/>
  <c r="U237" i="11"/>
  <c r="T237" i="11"/>
  <c r="S237" i="11"/>
  <c r="R237" i="11"/>
  <c r="Q237" i="11"/>
  <c r="N237" i="11"/>
  <c r="J237" i="11"/>
  <c r="D237" i="11"/>
  <c r="K237" i="11" s="1"/>
  <c r="V236" i="11"/>
  <c r="U236" i="11"/>
  <c r="T236" i="11"/>
  <c r="S236" i="11"/>
  <c r="R236" i="11"/>
  <c r="Q236" i="11"/>
  <c r="V235" i="11"/>
  <c r="U235" i="11"/>
  <c r="T235" i="11"/>
  <c r="S235" i="11"/>
  <c r="R235" i="11"/>
  <c r="Q235" i="11"/>
  <c r="V234" i="11"/>
  <c r="T234" i="11"/>
  <c r="S234" i="11"/>
  <c r="R234" i="11"/>
  <c r="Q234" i="11"/>
  <c r="N234" i="11"/>
  <c r="J234" i="11"/>
  <c r="D234" i="11"/>
  <c r="V233" i="11"/>
  <c r="U233" i="11"/>
  <c r="T233" i="11"/>
  <c r="S233" i="11"/>
  <c r="R233" i="11"/>
  <c r="Q233" i="11"/>
  <c r="V232" i="11"/>
  <c r="U232" i="11"/>
  <c r="T232" i="11"/>
  <c r="S232" i="11"/>
  <c r="R232" i="11"/>
  <c r="Q232" i="11"/>
  <c r="U231" i="11"/>
  <c r="T231" i="11"/>
  <c r="S231" i="11"/>
  <c r="R231" i="11"/>
  <c r="Q231" i="11"/>
  <c r="N231" i="11"/>
  <c r="J231" i="11"/>
  <c r="D231" i="11"/>
  <c r="K231" i="11" s="1"/>
  <c r="V230" i="11"/>
  <c r="U230" i="11"/>
  <c r="T230" i="11"/>
  <c r="S230" i="11"/>
  <c r="R230" i="11"/>
  <c r="Q230" i="11"/>
  <c r="V229" i="11"/>
  <c r="U229" i="11"/>
  <c r="T229" i="11"/>
  <c r="S229" i="11"/>
  <c r="R229" i="11"/>
  <c r="Q229" i="11"/>
  <c r="V228" i="11"/>
  <c r="T228" i="11"/>
  <c r="S228" i="11"/>
  <c r="R228" i="11"/>
  <c r="Q228" i="11"/>
  <c r="N228" i="11"/>
  <c r="J228" i="11"/>
  <c r="D228" i="11"/>
  <c r="K228" i="11" s="1"/>
  <c r="V227" i="11"/>
  <c r="U227" i="11"/>
  <c r="T227" i="11"/>
  <c r="S227" i="11"/>
  <c r="R227" i="11"/>
  <c r="Q227" i="11"/>
  <c r="V226" i="11"/>
  <c r="U226" i="11"/>
  <c r="T226" i="11"/>
  <c r="S226" i="11"/>
  <c r="R226" i="11"/>
  <c r="Q226" i="11"/>
  <c r="V225" i="11"/>
  <c r="T225" i="11"/>
  <c r="S225" i="11"/>
  <c r="R225" i="11"/>
  <c r="Q225" i="11"/>
  <c r="N225" i="11"/>
  <c r="J225" i="11"/>
  <c r="D225" i="11"/>
  <c r="K225" i="11" s="1"/>
  <c r="V224" i="11"/>
  <c r="U224" i="11"/>
  <c r="T224" i="11"/>
  <c r="S224" i="11"/>
  <c r="R224" i="11"/>
  <c r="Q224" i="11"/>
  <c r="V223" i="11"/>
  <c r="U223" i="11"/>
  <c r="T223" i="11"/>
  <c r="S223" i="11"/>
  <c r="R223" i="11"/>
  <c r="Q223" i="11"/>
  <c r="V222" i="11"/>
  <c r="T222" i="11"/>
  <c r="S222" i="11"/>
  <c r="R222" i="11"/>
  <c r="Q222" i="11"/>
  <c r="N222" i="11"/>
  <c r="J222" i="11"/>
  <c r="D222" i="11"/>
  <c r="V221" i="11"/>
  <c r="U221" i="11"/>
  <c r="T221" i="11"/>
  <c r="S221" i="11"/>
  <c r="R221" i="11"/>
  <c r="Q221" i="11"/>
  <c r="V220" i="11"/>
  <c r="U220" i="11"/>
  <c r="T220" i="11"/>
  <c r="S220" i="11"/>
  <c r="R220" i="11"/>
  <c r="Q220" i="11"/>
  <c r="V219" i="11"/>
  <c r="U219" i="11"/>
  <c r="T219" i="11"/>
  <c r="R219" i="11"/>
  <c r="Q219" i="11"/>
  <c r="N219" i="11"/>
  <c r="K219" i="11"/>
  <c r="J219" i="11"/>
  <c r="D219" i="11"/>
  <c r="V218" i="11"/>
  <c r="U218" i="11"/>
  <c r="T218" i="11"/>
  <c r="S218" i="11"/>
  <c r="R218" i="11"/>
  <c r="Q218" i="11"/>
  <c r="V217" i="11"/>
  <c r="U217" i="11"/>
  <c r="T217" i="11"/>
  <c r="S217" i="11"/>
  <c r="R217" i="11"/>
  <c r="Q217" i="11"/>
  <c r="V216" i="11"/>
  <c r="T216" i="11"/>
  <c r="S216" i="11"/>
  <c r="R216" i="11"/>
  <c r="Q216" i="11"/>
  <c r="N216" i="11"/>
  <c r="K216" i="11"/>
  <c r="J216" i="11"/>
  <c r="D216" i="11"/>
  <c r="V215" i="11"/>
  <c r="U215" i="11"/>
  <c r="T215" i="11"/>
  <c r="S215" i="11"/>
  <c r="R215" i="11"/>
  <c r="Q215" i="11"/>
  <c r="V214" i="11"/>
  <c r="U214" i="11"/>
  <c r="T214" i="11"/>
  <c r="S214" i="11"/>
  <c r="R214" i="11"/>
  <c r="Q214" i="11"/>
  <c r="U213" i="11"/>
  <c r="T213" i="11"/>
  <c r="S213" i="11"/>
  <c r="R213" i="11"/>
  <c r="Q213" i="11"/>
  <c r="N213" i="11"/>
  <c r="J213" i="11"/>
  <c r="D213" i="11"/>
  <c r="K213" i="11" s="1"/>
  <c r="V212" i="11"/>
  <c r="U212" i="11"/>
  <c r="T212" i="11"/>
  <c r="S212" i="11"/>
  <c r="R212" i="11"/>
  <c r="Q212" i="11"/>
  <c r="V211" i="11"/>
  <c r="U211" i="11"/>
  <c r="T211" i="11"/>
  <c r="S211" i="11"/>
  <c r="R211" i="11"/>
  <c r="Q211" i="11"/>
  <c r="U210" i="11"/>
  <c r="T210" i="11"/>
  <c r="S210" i="11"/>
  <c r="R210" i="11"/>
  <c r="Q210" i="11"/>
  <c r="N210" i="11"/>
  <c r="J210" i="11"/>
  <c r="D210" i="11"/>
  <c r="V209" i="11"/>
  <c r="U209" i="11"/>
  <c r="T209" i="11"/>
  <c r="S209" i="11"/>
  <c r="R209" i="11"/>
  <c r="Q209" i="11"/>
  <c r="V208" i="11"/>
  <c r="U208" i="11"/>
  <c r="T208" i="11"/>
  <c r="S208" i="11"/>
  <c r="R208" i="11"/>
  <c r="Q208" i="11"/>
  <c r="V207" i="11"/>
  <c r="T207" i="11"/>
  <c r="S207" i="11"/>
  <c r="R207" i="11"/>
  <c r="Q207" i="11"/>
  <c r="N207" i="11"/>
  <c r="J207" i="11"/>
  <c r="D207" i="11"/>
  <c r="K207" i="11" s="1"/>
  <c r="V206" i="11"/>
  <c r="U206" i="11"/>
  <c r="T206" i="11"/>
  <c r="S206" i="11"/>
  <c r="R206" i="11"/>
  <c r="Q206" i="11"/>
  <c r="V205" i="11"/>
  <c r="U205" i="11"/>
  <c r="T205" i="11"/>
  <c r="S205" i="11"/>
  <c r="R205" i="11"/>
  <c r="Q205" i="11"/>
  <c r="U204" i="11"/>
  <c r="T204" i="11"/>
  <c r="S204" i="11"/>
  <c r="R204" i="11"/>
  <c r="Q204" i="11"/>
  <c r="N204" i="11"/>
  <c r="J204" i="11"/>
  <c r="D204" i="11"/>
  <c r="K204" i="11" s="1"/>
  <c r="V203" i="11"/>
  <c r="U203" i="11"/>
  <c r="T203" i="11"/>
  <c r="S203" i="11"/>
  <c r="R203" i="11"/>
  <c r="Q203" i="11"/>
  <c r="V202" i="11"/>
  <c r="U202" i="11"/>
  <c r="T202" i="11"/>
  <c r="S202" i="11"/>
  <c r="R202" i="11"/>
  <c r="Q202" i="11"/>
  <c r="V201" i="11"/>
  <c r="T201" i="11"/>
  <c r="S201" i="11"/>
  <c r="R201" i="11"/>
  <c r="Q201" i="11"/>
  <c r="N201" i="11"/>
  <c r="J201" i="11"/>
  <c r="D201" i="11"/>
  <c r="K201" i="11" s="1"/>
  <c r="V200" i="11"/>
  <c r="U200" i="11"/>
  <c r="T200" i="11"/>
  <c r="S200" i="11"/>
  <c r="R200" i="11"/>
  <c r="Q200" i="11"/>
  <c r="V199" i="11"/>
  <c r="U199" i="11"/>
  <c r="T199" i="11"/>
  <c r="S199" i="11"/>
  <c r="R199" i="11"/>
  <c r="Q199" i="11"/>
  <c r="U198" i="11"/>
  <c r="T198" i="11"/>
  <c r="S198" i="11"/>
  <c r="R198" i="11"/>
  <c r="Q198" i="11"/>
  <c r="N198" i="11"/>
  <c r="J198" i="11"/>
  <c r="D198" i="11"/>
  <c r="V197" i="11"/>
  <c r="U197" i="11"/>
  <c r="T197" i="11"/>
  <c r="S197" i="11"/>
  <c r="R197" i="11"/>
  <c r="Q197" i="11"/>
  <c r="V196" i="11"/>
  <c r="U196" i="11"/>
  <c r="T196" i="11"/>
  <c r="S196" i="11"/>
  <c r="R196" i="11"/>
  <c r="Q196" i="11"/>
  <c r="U195" i="11"/>
  <c r="T195" i="11"/>
  <c r="S195" i="11"/>
  <c r="R195" i="11"/>
  <c r="Q195" i="11"/>
  <c r="N195" i="11"/>
  <c r="D195" i="11"/>
  <c r="O195" i="11" s="1"/>
  <c r="L195" i="11" s="1"/>
  <c r="V194" i="11"/>
  <c r="U194" i="11"/>
  <c r="T194" i="11"/>
  <c r="S194" i="11"/>
  <c r="R194" i="11"/>
  <c r="Q194" i="11"/>
  <c r="V193" i="11"/>
  <c r="U193" i="11"/>
  <c r="T193" i="11"/>
  <c r="S193" i="11"/>
  <c r="R193" i="11"/>
  <c r="Q193" i="11"/>
  <c r="U192" i="11"/>
  <c r="T192" i="11"/>
  <c r="S192" i="11"/>
  <c r="R192" i="11"/>
  <c r="Q192" i="11"/>
  <c r="N192" i="11"/>
  <c r="D192" i="11"/>
  <c r="K192" i="11" s="1"/>
  <c r="V191" i="11"/>
  <c r="U191" i="11"/>
  <c r="T191" i="11"/>
  <c r="S191" i="11"/>
  <c r="R191" i="11"/>
  <c r="Q191" i="11"/>
  <c r="V190" i="11"/>
  <c r="U190" i="11"/>
  <c r="T190" i="11"/>
  <c r="S190" i="11"/>
  <c r="R190" i="11"/>
  <c r="Q190" i="11"/>
  <c r="U189" i="11"/>
  <c r="T189" i="11"/>
  <c r="S189" i="11"/>
  <c r="R189" i="11"/>
  <c r="Q189" i="11"/>
  <c r="N189" i="11"/>
  <c r="J189" i="11"/>
  <c r="D189" i="11"/>
  <c r="K189" i="11" s="1"/>
  <c r="V188" i="11"/>
  <c r="U188" i="11"/>
  <c r="T188" i="11"/>
  <c r="S188" i="11"/>
  <c r="R188" i="11"/>
  <c r="Q188" i="11"/>
  <c r="V187" i="11"/>
  <c r="U187" i="11"/>
  <c r="T187" i="11"/>
  <c r="S187" i="11"/>
  <c r="R187" i="11"/>
  <c r="Q187" i="11"/>
  <c r="V186" i="11"/>
  <c r="T186" i="11"/>
  <c r="S186" i="11"/>
  <c r="R186" i="11"/>
  <c r="Q186" i="11"/>
  <c r="N186" i="11"/>
  <c r="J186" i="11"/>
  <c r="D186" i="11"/>
  <c r="V185" i="11"/>
  <c r="U185" i="11"/>
  <c r="T185" i="11"/>
  <c r="S185" i="11"/>
  <c r="R185" i="11"/>
  <c r="Q185" i="11"/>
  <c r="V184" i="11"/>
  <c r="U184" i="11"/>
  <c r="T184" i="11"/>
  <c r="S184" i="11"/>
  <c r="R184" i="11"/>
  <c r="Q184" i="11"/>
  <c r="V183" i="11"/>
  <c r="T183" i="11"/>
  <c r="S183" i="11"/>
  <c r="R183" i="11"/>
  <c r="Q183" i="11"/>
  <c r="N183" i="11"/>
  <c r="J183" i="11"/>
  <c r="D183" i="11"/>
  <c r="O183" i="11" s="1"/>
  <c r="L183" i="11" s="1"/>
  <c r="V182" i="11"/>
  <c r="U182" i="11"/>
  <c r="T182" i="11"/>
  <c r="S182" i="11"/>
  <c r="R182" i="11"/>
  <c r="Q182" i="11"/>
  <c r="V181" i="11"/>
  <c r="U181" i="11"/>
  <c r="T181" i="11"/>
  <c r="S181" i="11"/>
  <c r="R181" i="11"/>
  <c r="Q181" i="11"/>
  <c r="V180" i="11"/>
  <c r="T180" i="11"/>
  <c r="S180" i="11"/>
  <c r="R180" i="11"/>
  <c r="Q180" i="11"/>
  <c r="N180" i="11"/>
  <c r="J180" i="11"/>
  <c r="D180" i="11"/>
  <c r="V179" i="11"/>
  <c r="U179" i="11"/>
  <c r="T179" i="11"/>
  <c r="S179" i="11"/>
  <c r="R179" i="11"/>
  <c r="Q179" i="11"/>
  <c r="V178" i="11"/>
  <c r="U178" i="11"/>
  <c r="T178" i="11"/>
  <c r="S178" i="11"/>
  <c r="R178" i="11"/>
  <c r="Q178" i="11"/>
  <c r="V177" i="11"/>
  <c r="T177" i="11"/>
  <c r="S177" i="11"/>
  <c r="R177" i="11"/>
  <c r="Q177" i="11"/>
  <c r="N177" i="11"/>
  <c r="J177" i="11"/>
  <c r="D177" i="11"/>
  <c r="K177" i="11" s="1"/>
  <c r="V176" i="11"/>
  <c r="U176" i="11"/>
  <c r="T176" i="11"/>
  <c r="S176" i="11"/>
  <c r="R176" i="11"/>
  <c r="Q176" i="11"/>
  <c r="V175" i="11"/>
  <c r="U175" i="11"/>
  <c r="T175" i="11"/>
  <c r="S175" i="11"/>
  <c r="R175" i="11"/>
  <c r="Q175" i="11"/>
  <c r="U174" i="11"/>
  <c r="T174" i="11"/>
  <c r="S174" i="11"/>
  <c r="R174" i="11"/>
  <c r="Q174" i="11"/>
  <c r="N174" i="11"/>
  <c r="J174" i="11"/>
  <c r="D174" i="11"/>
  <c r="V173" i="11"/>
  <c r="U173" i="11"/>
  <c r="T173" i="11"/>
  <c r="S173" i="11"/>
  <c r="R173" i="11"/>
  <c r="Q173" i="11"/>
  <c r="V172" i="11"/>
  <c r="U172" i="11"/>
  <c r="T172" i="11"/>
  <c r="S172" i="11"/>
  <c r="R172" i="11"/>
  <c r="Q172" i="11"/>
  <c r="V171" i="11"/>
  <c r="U171" i="11"/>
  <c r="T171" i="11"/>
  <c r="R171" i="11"/>
  <c r="Q171" i="11"/>
  <c r="N171" i="11"/>
  <c r="J171" i="11"/>
  <c r="D171" i="11"/>
  <c r="V170" i="11"/>
  <c r="U170" i="11"/>
  <c r="T170" i="11"/>
  <c r="S170" i="11"/>
  <c r="R170" i="11"/>
  <c r="Q170" i="11"/>
  <c r="V169" i="11"/>
  <c r="U169" i="11"/>
  <c r="T169" i="11"/>
  <c r="S169" i="11"/>
  <c r="R169" i="11"/>
  <c r="Q169" i="11"/>
  <c r="V168" i="11"/>
  <c r="T168" i="11"/>
  <c r="S168" i="11"/>
  <c r="R168" i="11"/>
  <c r="Q168" i="11"/>
  <c r="N168" i="11"/>
  <c r="J168" i="11"/>
  <c r="D168" i="11"/>
  <c r="K168" i="11" s="1"/>
  <c r="V167" i="11"/>
  <c r="U167" i="11"/>
  <c r="T167" i="11"/>
  <c r="S167" i="11"/>
  <c r="R167" i="11"/>
  <c r="Q167" i="11"/>
  <c r="V166" i="11"/>
  <c r="U166" i="11"/>
  <c r="T166" i="11"/>
  <c r="S166" i="11"/>
  <c r="R166" i="11"/>
  <c r="Q166" i="11"/>
  <c r="V165" i="11"/>
  <c r="U165" i="11"/>
  <c r="T165" i="11"/>
  <c r="S165" i="11"/>
  <c r="R165" i="11"/>
  <c r="Q165" i="11"/>
  <c r="V164" i="11"/>
  <c r="U164" i="11"/>
  <c r="T164" i="11"/>
  <c r="S164" i="11"/>
  <c r="R164" i="11"/>
  <c r="Q164" i="11"/>
  <c r="V163" i="11"/>
  <c r="U163" i="11"/>
  <c r="T163" i="11"/>
  <c r="S163" i="11"/>
  <c r="R163" i="11"/>
  <c r="Q163" i="11"/>
  <c r="V162" i="11"/>
  <c r="T162" i="11"/>
  <c r="S162" i="11"/>
  <c r="R162" i="11"/>
  <c r="Q162" i="11"/>
  <c r="N162" i="11"/>
  <c r="K162" i="11"/>
  <c r="V161" i="11"/>
  <c r="U161" i="11"/>
  <c r="T161" i="11"/>
  <c r="S161" i="11"/>
  <c r="R161" i="11"/>
  <c r="Q161" i="11"/>
  <c r="V160" i="11"/>
  <c r="U160" i="11"/>
  <c r="T160" i="11"/>
  <c r="S160" i="11"/>
  <c r="R160" i="11"/>
  <c r="Q160" i="11"/>
  <c r="V159" i="11"/>
  <c r="U159" i="11"/>
  <c r="T159" i="11"/>
  <c r="S159" i="11"/>
  <c r="R159" i="11"/>
  <c r="Q159" i="11"/>
  <c r="V158" i="11"/>
  <c r="U158" i="11"/>
  <c r="T158" i="11"/>
  <c r="R158" i="11"/>
  <c r="Q158" i="11"/>
  <c r="N158" i="11"/>
  <c r="D158" i="11"/>
  <c r="K158" i="11" s="1"/>
  <c r="V157" i="11"/>
  <c r="U157" i="11"/>
  <c r="T157" i="11"/>
  <c r="S157" i="11"/>
  <c r="R157" i="11"/>
  <c r="Q157" i="11"/>
  <c r="V156" i="11"/>
  <c r="U156" i="11"/>
  <c r="T156" i="11"/>
  <c r="R156" i="11"/>
  <c r="Q156" i="11"/>
  <c r="N156" i="11"/>
  <c r="D156" i="11"/>
  <c r="V155" i="11"/>
  <c r="U155" i="11"/>
  <c r="T155" i="11"/>
  <c r="S155" i="11"/>
  <c r="R155" i="11"/>
  <c r="Q155" i="11"/>
  <c r="V154" i="11"/>
  <c r="U154" i="11"/>
  <c r="T154" i="11"/>
  <c r="R154" i="11"/>
  <c r="Q154" i="11"/>
  <c r="N154" i="11"/>
  <c r="O154" i="11" s="1"/>
  <c r="L154" i="11" s="1"/>
  <c r="K154" i="11"/>
  <c r="V153" i="11"/>
  <c r="U153" i="11"/>
  <c r="T153" i="11"/>
  <c r="S153" i="11"/>
  <c r="R153" i="11"/>
  <c r="Q153" i="11"/>
  <c r="V152" i="11"/>
  <c r="U152" i="11"/>
  <c r="T152" i="11"/>
  <c r="R152" i="11"/>
  <c r="Q152" i="11"/>
  <c r="N152" i="11"/>
  <c r="D152" i="11"/>
  <c r="K152" i="11" s="1"/>
  <c r="V151" i="11"/>
  <c r="U151" i="11"/>
  <c r="T151" i="11"/>
  <c r="S151" i="11"/>
  <c r="R151" i="11"/>
  <c r="Q151" i="11"/>
  <c r="V150" i="11"/>
  <c r="U150" i="11"/>
  <c r="T150" i="11"/>
  <c r="R150" i="11"/>
  <c r="Q150" i="11"/>
  <c r="N150" i="11"/>
  <c r="O150" i="11" s="1"/>
  <c r="K150" i="11"/>
  <c r="V149" i="11"/>
  <c r="U149" i="11"/>
  <c r="T149" i="11"/>
  <c r="S149" i="11"/>
  <c r="R149" i="11"/>
  <c r="Q149" i="11"/>
  <c r="V148" i="11"/>
  <c r="U148" i="11"/>
  <c r="T148" i="11"/>
  <c r="R148" i="11"/>
  <c r="Q148" i="11"/>
  <c r="N148" i="11"/>
  <c r="O148" i="11" s="1"/>
  <c r="L148" i="11" s="1"/>
  <c r="K148" i="11"/>
  <c r="V147" i="11"/>
  <c r="U147" i="11"/>
  <c r="T147" i="11"/>
  <c r="S147" i="11"/>
  <c r="R147" i="11"/>
  <c r="Q147" i="11"/>
  <c r="V146" i="11"/>
  <c r="U146" i="11"/>
  <c r="T146" i="11"/>
  <c r="R146" i="11"/>
  <c r="Q146" i="11"/>
  <c r="N146" i="11"/>
  <c r="O146" i="11" s="1"/>
  <c r="K146" i="11"/>
  <c r="V145" i="11"/>
  <c r="U145" i="11"/>
  <c r="T145" i="11"/>
  <c r="S145" i="11"/>
  <c r="R145" i="11"/>
  <c r="Q145" i="11"/>
  <c r="V144" i="11"/>
  <c r="U144" i="11"/>
  <c r="T144" i="11"/>
  <c r="R144" i="11"/>
  <c r="Q144" i="11"/>
  <c r="N144" i="11"/>
  <c r="O144" i="11" s="1"/>
  <c r="K144" i="11"/>
  <c r="V143" i="11"/>
  <c r="U143" i="11"/>
  <c r="T143" i="11"/>
  <c r="S143" i="11"/>
  <c r="R143" i="11"/>
  <c r="Q143" i="11"/>
  <c r="V142" i="11"/>
  <c r="U142" i="11"/>
  <c r="T142" i="11"/>
  <c r="R142" i="11"/>
  <c r="Q142" i="11"/>
  <c r="O142" i="11"/>
  <c r="N142" i="11"/>
  <c r="K142" i="11"/>
  <c r="V141" i="11"/>
  <c r="U141" i="11"/>
  <c r="T141" i="11"/>
  <c r="S141" i="11"/>
  <c r="R141" i="11"/>
  <c r="Q141" i="11"/>
  <c r="V140" i="11"/>
  <c r="U140" i="11"/>
  <c r="T140" i="11"/>
  <c r="R140" i="11"/>
  <c r="Q140" i="11"/>
  <c r="N140" i="11"/>
  <c r="D140" i="11"/>
  <c r="K140" i="11" s="1"/>
  <c r="V139" i="11"/>
  <c r="U139" i="11"/>
  <c r="T139" i="11"/>
  <c r="S139" i="11"/>
  <c r="R139" i="11"/>
  <c r="Q139" i="11"/>
  <c r="V138" i="11"/>
  <c r="U138" i="11"/>
  <c r="T138" i="11"/>
  <c r="R138" i="11"/>
  <c r="Q138" i="11"/>
  <c r="N138" i="11"/>
  <c r="D138" i="11"/>
  <c r="V137" i="11"/>
  <c r="U137" i="11"/>
  <c r="T137" i="11"/>
  <c r="S137" i="11"/>
  <c r="R137" i="11"/>
  <c r="Q137" i="11"/>
  <c r="V136" i="11"/>
  <c r="U136" i="11"/>
  <c r="T136" i="11"/>
  <c r="R136" i="11"/>
  <c r="Q136" i="11"/>
  <c r="N136" i="11"/>
  <c r="D136" i="11"/>
  <c r="K136" i="11" s="1"/>
  <c r="V135" i="11"/>
  <c r="U135" i="11"/>
  <c r="T135" i="11"/>
  <c r="S135" i="11"/>
  <c r="R135" i="11"/>
  <c r="Q135" i="11"/>
  <c r="V134" i="11"/>
  <c r="U134" i="11"/>
  <c r="T134" i="11"/>
  <c r="R134" i="11"/>
  <c r="Q134" i="11"/>
  <c r="N134" i="11"/>
  <c r="D134" i="11"/>
  <c r="V133" i="11"/>
  <c r="U133" i="11"/>
  <c r="T133" i="11"/>
  <c r="S133" i="11"/>
  <c r="R133" i="11"/>
  <c r="Q133" i="11"/>
  <c r="V132" i="11"/>
  <c r="U132" i="11"/>
  <c r="T132" i="11"/>
  <c r="S132" i="11"/>
  <c r="R132" i="11"/>
  <c r="Q132" i="11"/>
  <c r="V131" i="11"/>
  <c r="U131" i="11"/>
  <c r="T131" i="11"/>
  <c r="S131" i="11"/>
  <c r="R131" i="11"/>
  <c r="Q131" i="11"/>
  <c r="V130" i="11"/>
  <c r="U130" i="11"/>
  <c r="S130" i="11"/>
  <c r="R130" i="11"/>
  <c r="Q130" i="11"/>
  <c r="N130" i="11"/>
  <c r="J130" i="11"/>
  <c r="D130" i="11"/>
  <c r="V129" i="11"/>
  <c r="U129" i="11"/>
  <c r="T129" i="11"/>
  <c r="S129" i="11"/>
  <c r="R129" i="11"/>
  <c r="Q129" i="11"/>
  <c r="V128" i="11"/>
  <c r="U128" i="11"/>
  <c r="T128" i="11"/>
  <c r="S128" i="11"/>
  <c r="R128" i="11"/>
  <c r="Q128" i="11"/>
  <c r="V127" i="11"/>
  <c r="U127" i="11"/>
  <c r="S127" i="11"/>
  <c r="R127" i="11"/>
  <c r="Q127" i="11"/>
  <c r="N127" i="11"/>
  <c r="J127" i="11"/>
  <c r="D127" i="11"/>
  <c r="K127" i="11" s="1"/>
  <c r="V126" i="11"/>
  <c r="U126" i="11"/>
  <c r="T126" i="11"/>
  <c r="S126" i="11"/>
  <c r="R126" i="11"/>
  <c r="Q126" i="11"/>
  <c r="V125" i="11"/>
  <c r="U125" i="11"/>
  <c r="T125" i="11"/>
  <c r="S125" i="11"/>
  <c r="R125" i="11"/>
  <c r="Q125" i="11"/>
  <c r="V124" i="11"/>
  <c r="U124" i="11"/>
  <c r="S124" i="11"/>
  <c r="R124" i="11"/>
  <c r="Q124" i="11"/>
  <c r="N124" i="11"/>
  <c r="J124" i="11"/>
  <c r="D124" i="11"/>
  <c r="O124" i="11" s="1"/>
  <c r="L124" i="11" s="1"/>
  <c r="V123" i="11"/>
  <c r="U123" i="11"/>
  <c r="T123" i="11"/>
  <c r="S123" i="11"/>
  <c r="R123" i="11"/>
  <c r="Q123" i="11"/>
  <c r="V122" i="11"/>
  <c r="U122" i="11"/>
  <c r="T122" i="11"/>
  <c r="S122" i="11"/>
  <c r="R122" i="11"/>
  <c r="Q122" i="11"/>
  <c r="V121" i="11"/>
  <c r="U121" i="11"/>
  <c r="S121" i="11"/>
  <c r="R121" i="11"/>
  <c r="Q121" i="11"/>
  <c r="N121" i="11"/>
  <c r="K121" i="11"/>
  <c r="J121" i="11"/>
  <c r="D121" i="11"/>
  <c r="V120" i="11"/>
  <c r="U120" i="11"/>
  <c r="T120" i="11"/>
  <c r="S120" i="11"/>
  <c r="R120" i="11"/>
  <c r="Q120" i="11"/>
  <c r="V119" i="11"/>
  <c r="U119" i="11"/>
  <c r="T119" i="11"/>
  <c r="S119" i="11"/>
  <c r="R119" i="11"/>
  <c r="Q119" i="11"/>
  <c r="V118" i="11"/>
  <c r="U118" i="11"/>
  <c r="S118" i="11"/>
  <c r="R118" i="11"/>
  <c r="Q118" i="11"/>
  <c r="N118" i="11"/>
  <c r="K118" i="11"/>
  <c r="J118" i="11"/>
  <c r="D118" i="11"/>
  <c r="V117" i="11"/>
  <c r="U117" i="11"/>
  <c r="T117" i="11"/>
  <c r="S117" i="11"/>
  <c r="R117" i="11"/>
  <c r="Q117" i="11"/>
  <c r="V116" i="11"/>
  <c r="U116" i="11"/>
  <c r="T116" i="11"/>
  <c r="S116" i="11"/>
  <c r="R116" i="11"/>
  <c r="Q116" i="11"/>
  <c r="V115" i="11"/>
  <c r="U115" i="11"/>
  <c r="S115" i="11"/>
  <c r="R115" i="11"/>
  <c r="Q115" i="11"/>
  <c r="N115" i="11"/>
  <c r="J115" i="11"/>
  <c r="D115" i="11"/>
  <c r="K115" i="11" s="1"/>
  <c r="V114" i="11"/>
  <c r="U114" i="11"/>
  <c r="T114" i="11"/>
  <c r="S114" i="11"/>
  <c r="R114" i="11"/>
  <c r="Q114" i="11"/>
  <c r="V113" i="11"/>
  <c r="U113" i="11"/>
  <c r="T113" i="11"/>
  <c r="S113" i="11"/>
  <c r="R113" i="11"/>
  <c r="Q113" i="11"/>
  <c r="V112" i="11"/>
  <c r="U112" i="11"/>
  <c r="S112" i="11"/>
  <c r="R112" i="11"/>
  <c r="Q112" i="11"/>
  <c r="N112" i="11"/>
  <c r="J112" i="11"/>
  <c r="D112" i="11"/>
  <c r="V111" i="11"/>
  <c r="U111" i="11"/>
  <c r="T111" i="11"/>
  <c r="S111" i="11"/>
  <c r="R111" i="11"/>
  <c r="Q111" i="11"/>
  <c r="V110" i="11"/>
  <c r="U110" i="11"/>
  <c r="T110" i="11"/>
  <c r="S110" i="11"/>
  <c r="R110" i="11"/>
  <c r="Q110" i="11"/>
  <c r="V109" i="11"/>
  <c r="U109" i="11"/>
  <c r="T109" i="11"/>
  <c r="S109" i="11"/>
  <c r="R109" i="11"/>
  <c r="Q109" i="11"/>
  <c r="V108" i="11"/>
  <c r="U108" i="11"/>
  <c r="T108" i="11"/>
  <c r="S108" i="11"/>
  <c r="R108" i="11"/>
  <c r="Q108" i="11"/>
  <c r="V107" i="11"/>
  <c r="U107" i="11"/>
  <c r="S107" i="11"/>
  <c r="R107" i="11"/>
  <c r="Q107" i="11"/>
  <c r="N107" i="11"/>
  <c r="J107" i="11"/>
  <c r="D107" i="11"/>
  <c r="K107" i="11" s="1"/>
  <c r="V106" i="11"/>
  <c r="U106" i="11"/>
  <c r="T106" i="11"/>
  <c r="S106" i="11"/>
  <c r="R106" i="11"/>
  <c r="Q106" i="11"/>
  <c r="V105" i="11"/>
  <c r="U105" i="11"/>
  <c r="T105" i="11"/>
  <c r="S105" i="11"/>
  <c r="R105" i="11"/>
  <c r="Q105" i="11"/>
  <c r="V104" i="11"/>
  <c r="U104" i="11"/>
  <c r="S104" i="11"/>
  <c r="R104" i="11"/>
  <c r="Q104" i="11"/>
  <c r="N104" i="11"/>
  <c r="D104" i="11"/>
  <c r="V103" i="11"/>
  <c r="U103" i="11"/>
  <c r="T103" i="11"/>
  <c r="S103" i="11"/>
  <c r="R103" i="11"/>
  <c r="Q103" i="11"/>
  <c r="V102" i="11"/>
  <c r="U102" i="11"/>
  <c r="T102" i="11"/>
  <c r="S102" i="11"/>
  <c r="R102" i="11"/>
  <c r="Q102" i="11"/>
  <c r="V101" i="11"/>
  <c r="U101" i="11"/>
  <c r="S101" i="11"/>
  <c r="R101" i="11"/>
  <c r="Q101" i="11"/>
  <c r="N101" i="11"/>
  <c r="D101" i="11"/>
  <c r="K101" i="11" s="1"/>
  <c r="V100" i="11"/>
  <c r="U100" i="11"/>
  <c r="T100" i="11"/>
  <c r="S100" i="11"/>
  <c r="R100" i="11"/>
  <c r="Q100" i="11"/>
  <c r="V99" i="11"/>
  <c r="U99" i="11"/>
  <c r="T99" i="11"/>
  <c r="S99" i="11"/>
  <c r="R99" i="11"/>
  <c r="Q99" i="11"/>
  <c r="V98" i="11"/>
  <c r="U98" i="11"/>
  <c r="S98" i="11"/>
  <c r="R98" i="11"/>
  <c r="Q98" i="11"/>
  <c r="N98" i="11"/>
  <c r="D98" i="11"/>
  <c r="V97" i="11"/>
  <c r="U97" i="11"/>
  <c r="T97" i="11"/>
  <c r="S97" i="11"/>
  <c r="R97" i="11"/>
  <c r="Q97" i="11"/>
  <c r="V96" i="11"/>
  <c r="U96" i="11"/>
  <c r="T96" i="11"/>
  <c r="S96" i="11"/>
  <c r="R96" i="11"/>
  <c r="Q96" i="11"/>
  <c r="V95" i="11"/>
  <c r="U95" i="11"/>
  <c r="S95" i="11"/>
  <c r="R95" i="11"/>
  <c r="Q95" i="11"/>
  <c r="N95" i="11"/>
  <c r="D95" i="11"/>
  <c r="V94" i="11"/>
  <c r="U94" i="11"/>
  <c r="T94" i="11"/>
  <c r="S94" i="11"/>
  <c r="R94" i="11"/>
  <c r="Q94" i="11"/>
  <c r="V93" i="11"/>
  <c r="U93" i="11"/>
  <c r="T93" i="11"/>
  <c r="S93" i="11"/>
  <c r="R93" i="11"/>
  <c r="Q93" i="11"/>
  <c r="V92" i="11"/>
  <c r="U92" i="11"/>
  <c r="S92" i="11"/>
  <c r="R92" i="11"/>
  <c r="Q92" i="11"/>
  <c r="N92" i="11"/>
  <c r="D92" i="11"/>
  <c r="V91" i="11"/>
  <c r="U91" i="11"/>
  <c r="T91" i="11"/>
  <c r="S91" i="11"/>
  <c r="R91" i="11"/>
  <c r="Q91" i="11"/>
  <c r="V90" i="11"/>
  <c r="U90" i="11"/>
  <c r="T90" i="11"/>
  <c r="S90" i="11"/>
  <c r="R90" i="11"/>
  <c r="Q90" i="11"/>
  <c r="V89" i="11"/>
  <c r="U89" i="11"/>
  <c r="S89" i="11"/>
  <c r="R89" i="11"/>
  <c r="Q89" i="11"/>
  <c r="N89" i="11"/>
  <c r="D89" i="11"/>
  <c r="K89" i="11" s="1"/>
  <c r="V88" i="11"/>
  <c r="U88" i="11"/>
  <c r="T88" i="11"/>
  <c r="S88" i="11"/>
  <c r="R88" i="11"/>
  <c r="Q88" i="11"/>
  <c r="V87" i="11"/>
  <c r="U87" i="11"/>
  <c r="T87" i="11"/>
  <c r="S87" i="11"/>
  <c r="R87" i="11"/>
  <c r="Q87" i="11"/>
  <c r="V86" i="11"/>
  <c r="U86" i="11"/>
  <c r="S86" i="11"/>
  <c r="R86" i="11"/>
  <c r="Q86" i="11"/>
  <c r="N86" i="11"/>
  <c r="D86" i="11"/>
  <c r="V85" i="11"/>
  <c r="U85" i="11"/>
  <c r="T85" i="11"/>
  <c r="S85" i="11"/>
  <c r="R85" i="11"/>
  <c r="Q85" i="11"/>
  <c r="V84" i="11"/>
  <c r="U84" i="11"/>
  <c r="T84" i="11"/>
  <c r="S84" i="11"/>
  <c r="R84" i="11"/>
  <c r="Q84" i="11"/>
  <c r="V83" i="11"/>
  <c r="U83" i="11"/>
  <c r="S83" i="11"/>
  <c r="R83" i="11"/>
  <c r="Q83" i="11"/>
  <c r="N83" i="11"/>
  <c r="D83" i="11"/>
  <c r="V82" i="11"/>
  <c r="U82" i="11"/>
  <c r="T82" i="11"/>
  <c r="S82" i="11"/>
  <c r="R82" i="11"/>
  <c r="Q82" i="11"/>
  <c r="V81" i="11"/>
  <c r="U81" i="11"/>
  <c r="T81" i="11"/>
  <c r="S81" i="11"/>
  <c r="R81" i="11"/>
  <c r="Q81" i="11"/>
  <c r="V80" i="11"/>
  <c r="U80" i="11"/>
  <c r="S80" i="11"/>
  <c r="R80" i="11"/>
  <c r="Q80" i="11"/>
  <c r="N80" i="11"/>
  <c r="D80" i="11"/>
  <c r="K80" i="11" s="1"/>
  <c r="V79" i="11"/>
  <c r="U79" i="11"/>
  <c r="T79" i="11"/>
  <c r="S79" i="11"/>
  <c r="R79" i="11"/>
  <c r="Q79" i="11"/>
  <c r="V78" i="11"/>
  <c r="U78" i="11"/>
  <c r="T78" i="11"/>
  <c r="S78" i="11"/>
  <c r="R78" i="11"/>
  <c r="Q78" i="11"/>
  <c r="V77" i="11"/>
  <c r="U77" i="11"/>
  <c r="S77" i="11"/>
  <c r="R77" i="11"/>
  <c r="Q77" i="11"/>
  <c r="N77" i="11"/>
  <c r="D77" i="11"/>
  <c r="K77" i="11" s="1"/>
  <c r="V76" i="11"/>
  <c r="U76" i="11"/>
  <c r="T76" i="11"/>
  <c r="S76" i="11"/>
  <c r="R76" i="11"/>
  <c r="Q76" i="11"/>
  <c r="V75" i="11"/>
  <c r="U75" i="11"/>
  <c r="T75" i="11"/>
  <c r="S75" i="11"/>
  <c r="R75" i="11"/>
  <c r="Q75" i="11"/>
  <c r="V74" i="11"/>
  <c r="U74" i="11"/>
  <c r="S74" i="11"/>
  <c r="R74" i="11"/>
  <c r="Q74" i="11"/>
  <c r="N74" i="11"/>
  <c r="D74" i="11"/>
  <c r="V73" i="11"/>
  <c r="U73" i="11"/>
  <c r="T73" i="11"/>
  <c r="S73" i="11"/>
  <c r="R73" i="11"/>
  <c r="Q73" i="11"/>
  <c r="V72" i="11"/>
  <c r="U72" i="11"/>
  <c r="T72" i="11"/>
  <c r="S72" i="11"/>
  <c r="R72" i="11"/>
  <c r="Q72" i="11"/>
  <c r="V71" i="11"/>
  <c r="U71" i="11"/>
  <c r="S71" i="11"/>
  <c r="R71" i="11"/>
  <c r="Q71" i="11"/>
  <c r="N71" i="11"/>
  <c r="D71" i="11"/>
  <c r="V70" i="11"/>
  <c r="U70" i="11"/>
  <c r="T70" i="11"/>
  <c r="S70" i="11"/>
  <c r="R70" i="11"/>
  <c r="Q70" i="11"/>
  <c r="V69" i="11"/>
  <c r="U69" i="11"/>
  <c r="T69" i="11"/>
  <c r="S69" i="11"/>
  <c r="R69" i="11"/>
  <c r="Q69" i="11"/>
  <c r="V68" i="11"/>
  <c r="U68" i="11"/>
  <c r="T68" i="11"/>
  <c r="S68" i="11"/>
  <c r="R68" i="11"/>
  <c r="Q68" i="11"/>
  <c r="V67" i="11"/>
  <c r="U67" i="11"/>
  <c r="T67" i="11"/>
  <c r="S67" i="11"/>
  <c r="R67" i="11"/>
  <c r="Q67" i="11"/>
  <c r="V66" i="11"/>
  <c r="U66" i="11"/>
  <c r="S66" i="11"/>
  <c r="R66" i="11"/>
  <c r="Q66" i="11"/>
  <c r="N66" i="11"/>
  <c r="J66" i="11"/>
  <c r="D66" i="11"/>
  <c r="K66" i="11" s="1"/>
  <c r="V65" i="11"/>
  <c r="U65" i="11"/>
  <c r="T65" i="11"/>
  <c r="S65" i="11"/>
  <c r="R65" i="11"/>
  <c r="Q65" i="11"/>
  <c r="V64" i="11"/>
  <c r="U64" i="11"/>
  <c r="T64" i="11"/>
  <c r="S64" i="11"/>
  <c r="R64" i="11"/>
  <c r="Q64" i="11"/>
  <c r="V63" i="11"/>
  <c r="U63" i="11"/>
  <c r="S63" i="11"/>
  <c r="R63" i="11"/>
  <c r="Q63" i="11"/>
  <c r="N63" i="11"/>
  <c r="J63" i="11"/>
  <c r="D63" i="11"/>
  <c r="K63" i="11" s="1"/>
  <c r="V62" i="11"/>
  <c r="U62" i="11"/>
  <c r="T62" i="11"/>
  <c r="S62" i="11"/>
  <c r="R62" i="11"/>
  <c r="Q62" i="11"/>
  <c r="V61" i="11"/>
  <c r="U61" i="11"/>
  <c r="T61" i="11"/>
  <c r="S61" i="11"/>
  <c r="R61" i="11"/>
  <c r="Q61" i="11"/>
  <c r="V60" i="11"/>
  <c r="U60" i="11"/>
  <c r="S60" i="11"/>
  <c r="R60" i="11"/>
  <c r="Q60" i="11"/>
  <c r="N60" i="11"/>
  <c r="J60" i="11"/>
  <c r="D60" i="11"/>
  <c r="V59" i="11"/>
  <c r="U59" i="11"/>
  <c r="T59" i="11"/>
  <c r="S59" i="11"/>
  <c r="R59" i="11"/>
  <c r="Q59" i="11"/>
  <c r="V58" i="11"/>
  <c r="U58" i="11"/>
  <c r="T58" i="11"/>
  <c r="S58" i="11"/>
  <c r="R58" i="11"/>
  <c r="Q58" i="11"/>
  <c r="V57" i="11"/>
  <c r="U57" i="11"/>
  <c r="S57" i="11"/>
  <c r="R57" i="11"/>
  <c r="Q57" i="11"/>
  <c r="N57" i="11"/>
  <c r="J57" i="11"/>
  <c r="D57" i="11"/>
  <c r="O57" i="11" s="1"/>
  <c r="L57" i="11" s="1"/>
  <c r="V56" i="11"/>
  <c r="U56" i="11"/>
  <c r="T56" i="11"/>
  <c r="S56" i="11"/>
  <c r="R56" i="11"/>
  <c r="Q56" i="11"/>
  <c r="V55" i="11"/>
  <c r="U55" i="11"/>
  <c r="T55" i="11"/>
  <c r="S55" i="11"/>
  <c r="R55" i="11"/>
  <c r="Q55" i="11"/>
  <c r="V54" i="11"/>
  <c r="U54" i="11"/>
  <c r="S54" i="11"/>
  <c r="R54" i="11"/>
  <c r="Q54" i="11"/>
  <c r="O54" i="11"/>
  <c r="N54" i="11"/>
  <c r="L54" i="11"/>
  <c r="J54" i="11"/>
  <c r="D54" i="11"/>
  <c r="K54" i="11" s="1"/>
  <c r="V53" i="11"/>
  <c r="U53" i="11"/>
  <c r="T53" i="11"/>
  <c r="S53" i="11"/>
  <c r="R53" i="11"/>
  <c r="Q53" i="11"/>
  <c r="V52" i="11"/>
  <c r="U52" i="11"/>
  <c r="T52" i="11"/>
  <c r="S52" i="11"/>
  <c r="R52" i="11"/>
  <c r="Q52" i="11"/>
  <c r="V51" i="11"/>
  <c r="U51" i="11"/>
  <c r="S51" i="11"/>
  <c r="R51" i="11"/>
  <c r="Q51" i="11"/>
  <c r="N51" i="11"/>
  <c r="J51" i="11"/>
  <c r="D51" i="11"/>
  <c r="K51" i="11" s="1"/>
  <c r="V50" i="11"/>
  <c r="U50" i="11"/>
  <c r="T50" i="11"/>
  <c r="S50" i="11"/>
  <c r="R50" i="11"/>
  <c r="Q50" i="11"/>
  <c r="V49" i="11"/>
  <c r="U49" i="11"/>
  <c r="T49" i="11"/>
  <c r="S49" i="11"/>
  <c r="R49" i="11"/>
  <c r="Q49" i="11"/>
  <c r="V48" i="11"/>
  <c r="U48" i="11"/>
  <c r="S48" i="11"/>
  <c r="R48" i="11"/>
  <c r="Q48" i="11"/>
  <c r="N48" i="11"/>
  <c r="J48" i="11"/>
  <c r="D48" i="11"/>
  <c r="V47" i="11"/>
  <c r="U47" i="11"/>
  <c r="T47" i="11"/>
  <c r="S47" i="11"/>
  <c r="R47" i="11"/>
  <c r="Q47" i="11"/>
  <c r="V46" i="11"/>
  <c r="U46" i="11"/>
  <c r="T46" i="11"/>
  <c r="S46" i="11"/>
  <c r="R46" i="11"/>
  <c r="Q46" i="11"/>
  <c r="V45" i="11"/>
  <c r="U45" i="11"/>
  <c r="T45" i="11"/>
  <c r="S45" i="11"/>
  <c r="R45" i="11"/>
  <c r="Q45" i="11"/>
  <c r="V44" i="11"/>
  <c r="U44" i="11"/>
  <c r="T44" i="11"/>
  <c r="S44" i="11"/>
  <c r="R44" i="11"/>
  <c r="Q44" i="11"/>
  <c r="V43" i="11"/>
  <c r="U43" i="11"/>
  <c r="S43" i="11"/>
  <c r="R43" i="11"/>
  <c r="Q43" i="11"/>
  <c r="N43" i="11"/>
  <c r="J43" i="11"/>
  <c r="D43" i="11"/>
  <c r="O43" i="11" s="1"/>
  <c r="L43" i="11" s="1"/>
  <c r="V42" i="11"/>
  <c r="U42" i="11"/>
  <c r="T42" i="11"/>
  <c r="S42" i="11"/>
  <c r="R42" i="11"/>
  <c r="Q42" i="11"/>
  <c r="V41" i="11"/>
  <c r="U41" i="11"/>
  <c r="T41" i="11"/>
  <c r="S41" i="11"/>
  <c r="R41" i="11"/>
  <c r="Q41" i="11"/>
  <c r="V40" i="11"/>
  <c r="U40" i="11"/>
  <c r="S40" i="11"/>
  <c r="R40" i="11"/>
  <c r="Q40" i="11"/>
  <c r="N40" i="11"/>
  <c r="D40" i="11"/>
  <c r="O40" i="11" s="1"/>
  <c r="L40" i="11" s="1"/>
  <c r="V39" i="11"/>
  <c r="U39" i="11"/>
  <c r="T39" i="11"/>
  <c r="S39" i="11"/>
  <c r="R39" i="11"/>
  <c r="Q39" i="11"/>
  <c r="V38" i="11"/>
  <c r="U38" i="11"/>
  <c r="T38" i="11"/>
  <c r="S38" i="11"/>
  <c r="R38" i="11"/>
  <c r="Q38" i="11"/>
  <c r="V37" i="11"/>
  <c r="U37" i="11"/>
  <c r="S37" i="11"/>
  <c r="R37" i="11"/>
  <c r="Q37" i="11"/>
  <c r="N37" i="11"/>
  <c r="D37" i="11"/>
  <c r="K37" i="11" s="1"/>
  <c r="V36" i="11"/>
  <c r="U36" i="11"/>
  <c r="T36" i="11"/>
  <c r="S36" i="11"/>
  <c r="R36" i="11"/>
  <c r="Q36" i="11"/>
  <c r="V35" i="11"/>
  <c r="U35" i="11"/>
  <c r="T35" i="11"/>
  <c r="S35" i="11"/>
  <c r="R35" i="11"/>
  <c r="Q35" i="11"/>
  <c r="V34" i="11"/>
  <c r="U34" i="11"/>
  <c r="S34" i="11"/>
  <c r="R34" i="11"/>
  <c r="Q34" i="11"/>
  <c r="N34" i="11"/>
  <c r="D34" i="11"/>
  <c r="V33" i="11"/>
  <c r="U33" i="11"/>
  <c r="T33" i="11"/>
  <c r="S33" i="11"/>
  <c r="R33" i="11"/>
  <c r="Q33" i="11"/>
  <c r="V32" i="11"/>
  <c r="U32" i="11"/>
  <c r="T32" i="11"/>
  <c r="S32" i="11"/>
  <c r="R32" i="11"/>
  <c r="Q32" i="11"/>
  <c r="V31" i="11"/>
  <c r="U31" i="11"/>
  <c r="S31" i="11"/>
  <c r="R31" i="11"/>
  <c r="Q31" i="11"/>
  <c r="N31" i="11"/>
  <c r="D31" i="11"/>
  <c r="K31" i="11" s="1"/>
  <c r="V30" i="11"/>
  <c r="U30" i="11"/>
  <c r="T30" i="11"/>
  <c r="S30" i="11"/>
  <c r="R30" i="11"/>
  <c r="Q30" i="11"/>
  <c r="V29" i="11"/>
  <c r="U29" i="11"/>
  <c r="T29" i="11"/>
  <c r="S29" i="11"/>
  <c r="R29" i="11"/>
  <c r="Q29" i="11"/>
  <c r="V28" i="11"/>
  <c r="U28" i="11"/>
  <c r="S28" i="11"/>
  <c r="R28" i="11"/>
  <c r="Q28" i="11"/>
  <c r="N28" i="11"/>
  <c r="D28" i="11"/>
  <c r="K28" i="11" s="1"/>
  <c r="V27" i="11"/>
  <c r="U27" i="11"/>
  <c r="T27" i="11"/>
  <c r="S27" i="11"/>
  <c r="R27" i="11"/>
  <c r="Q27" i="11"/>
  <c r="V26" i="11"/>
  <c r="U26" i="11"/>
  <c r="T26" i="11"/>
  <c r="S26" i="11"/>
  <c r="R26" i="11"/>
  <c r="Q26" i="11"/>
  <c r="V25" i="11"/>
  <c r="U25" i="11"/>
  <c r="S25" i="11"/>
  <c r="R25" i="11"/>
  <c r="Q25" i="11"/>
  <c r="N25" i="11"/>
  <c r="D25" i="11"/>
  <c r="V24" i="11"/>
  <c r="U24" i="11"/>
  <c r="T24" i="11"/>
  <c r="S24" i="11"/>
  <c r="R24" i="11"/>
  <c r="Q24" i="11"/>
  <c r="V23" i="11"/>
  <c r="U23" i="11"/>
  <c r="T23" i="11"/>
  <c r="S23" i="11"/>
  <c r="R23" i="11"/>
  <c r="Q23" i="11"/>
  <c r="V22" i="11"/>
  <c r="U22" i="11"/>
  <c r="S22" i="11"/>
  <c r="R22" i="11"/>
  <c r="Q22" i="11"/>
  <c r="N22" i="11"/>
  <c r="D22" i="11"/>
  <c r="K22" i="11" s="1"/>
  <c r="V21" i="11"/>
  <c r="U21" i="11"/>
  <c r="T21" i="11"/>
  <c r="S21" i="11"/>
  <c r="R21" i="11"/>
  <c r="Q21" i="11"/>
  <c r="V20" i="11"/>
  <c r="U20" i="11"/>
  <c r="T20" i="11"/>
  <c r="S20" i="11"/>
  <c r="R20" i="11"/>
  <c r="Q20" i="11"/>
  <c r="V19" i="11"/>
  <c r="U19" i="11"/>
  <c r="S19" i="11"/>
  <c r="R19" i="11"/>
  <c r="Q19" i="11"/>
  <c r="N19" i="11"/>
  <c r="D19" i="11"/>
  <c r="V18" i="11"/>
  <c r="U18" i="11"/>
  <c r="T18" i="11"/>
  <c r="S18" i="11"/>
  <c r="R18" i="11"/>
  <c r="Q18" i="11"/>
  <c r="V17" i="11"/>
  <c r="U17" i="11"/>
  <c r="T17" i="11"/>
  <c r="S17" i="11"/>
  <c r="R17" i="11"/>
  <c r="Q17" i="11"/>
  <c r="V16" i="11"/>
  <c r="U16" i="11"/>
  <c r="S16" i="11"/>
  <c r="R16" i="11"/>
  <c r="Q16" i="11"/>
  <c r="N16" i="11"/>
  <c r="D16" i="11"/>
  <c r="K16" i="11" s="1"/>
  <c r="V15" i="11"/>
  <c r="U15" i="11"/>
  <c r="T15" i="11"/>
  <c r="S15" i="11"/>
  <c r="R15" i="11"/>
  <c r="Q15" i="11"/>
  <c r="V14" i="11"/>
  <c r="U14" i="11"/>
  <c r="T14" i="11"/>
  <c r="S14" i="11"/>
  <c r="R14" i="11"/>
  <c r="Q14" i="11"/>
  <c r="V13" i="11"/>
  <c r="U13" i="11"/>
  <c r="S13" i="11"/>
  <c r="R13" i="11"/>
  <c r="Q13" i="11"/>
  <c r="N13" i="11"/>
  <c r="D13" i="11"/>
  <c r="V12" i="11"/>
  <c r="U12" i="11"/>
  <c r="T12" i="11"/>
  <c r="S12" i="11"/>
  <c r="R12" i="11"/>
  <c r="Q12" i="11"/>
  <c r="V11" i="11"/>
  <c r="U11" i="11"/>
  <c r="T11" i="11"/>
  <c r="S11" i="11"/>
  <c r="R11" i="11"/>
  <c r="Q11" i="11"/>
  <c r="V10" i="11"/>
  <c r="U10" i="11"/>
  <c r="S10" i="11"/>
  <c r="R10" i="11"/>
  <c r="Q10" i="11"/>
  <c r="N10" i="11"/>
  <c r="D10" i="11"/>
  <c r="K10" i="11" s="1"/>
  <c r="V9" i="11"/>
  <c r="U9" i="11"/>
  <c r="T9" i="11"/>
  <c r="S9" i="11"/>
  <c r="R9" i="11"/>
  <c r="Q9" i="11"/>
  <c r="V8" i="11"/>
  <c r="U8" i="11"/>
  <c r="T8" i="11"/>
  <c r="S8" i="11"/>
  <c r="R8" i="11"/>
  <c r="Q8" i="11"/>
  <c r="V7" i="11"/>
  <c r="U7" i="11"/>
  <c r="S7" i="11"/>
  <c r="R7" i="11"/>
  <c r="Q7" i="11"/>
  <c r="N7" i="11"/>
  <c r="D7" i="11"/>
  <c r="K7" i="11" s="1"/>
  <c r="V6" i="11"/>
  <c r="U6" i="11"/>
  <c r="T6" i="11"/>
  <c r="S6" i="11"/>
  <c r="R6" i="11"/>
  <c r="Q6" i="11"/>
  <c r="V5" i="11"/>
  <c r="U5" i="11"/>
  <c r="T5" i="11"/>
  <c r="S5" i="11"/>
  <c r="R5" i="11"/>
  <c r="Q5" i="11"/>
  <c r="K40" i="11" l="1"/>
  <c r="O95" i="11"/>
  <c r="L95" i="11" s="1"/>
  <c r="K243" i="11"/>
  <c r="P252" i="11"/>
  <c r="T252" i="11" s="1"/>
  <c r="O255" i="11"/>
  <c r="L255" i="11" s="1"/>
  <c r="O267" i="11"/>
  <c r="L267" i="11" s="1"/>
  <c r="O318" i="11"/>
  <c r="L318" i="11" s="1"/>
  <c r="K354" i="11"/>
  <c r="O393" i="11"/>
  <c r="L393" i="11" s="1"/>
  <c r="O399" i="11"/>
  <c r="L399" i="11" s="1"/>
  <c r="O405" i="11"/>
  <c r="L405" i="11" s="1"/>
  <c r="K423" i="11"/>
  <c r="K438" i="11"/>
  <c r="O83" i="11"/>
  <c r="L83" i="11" s="1"/>
  <c r="O104" i="11"/>
  <c r="L104" i="11" s="1"/>
  <c r="O66" i="11"/>
  <c r="L66" i="11" s="1"/>
  <c r="O121" i="11"/>
  <c r="L121" i="11" s="1"/>
  <c r="P154" i="11"/>
  <c r="S154" i="11" s="1"/>
  <c r="O156" i="11"/>
  <c r="L156" i="11" s="1"/>
  <c r="P156" i="11" s="1"/>
  <c r="S156" i="11" s="1"/>
  <c r="O162" i="11"/>
  <c r="O180" i="11"/>
  <c r="L180" i="11" s="1"/>
  <c r="O303" i="11"/>
  <c r="L303" i="11" s="1"/>
  <c r="O312" i="11"/>
  <c r="L312" i="11" s="1"/>
  <c r="O453" i="11"/>
  <c r="J477" i="11"/>
  <c r="P426" i="11"/>
  <c r="S426" i="11" s="1"/>
  <c r="O80" i="11"/>
  <c r="L80" i="11" s="1"/>
  <c r="K180" i="11"/>
  <c r="O216" i="11"/>
  <c r="L216" i="11" s="1"/>
  <c r="O246" i="11"/>
  <c r="L246" i="11" s="1"/>
  <c r="K303" i="11"/>
  <c r="O315" i="11"/>
  <c r="L315" i="11" s="1"/>
  <c r="O327" i="11"/>
  <c r="L327" i="11" s="1"/>
  <c r="O387" i="11"/>
  <c r="L387" i="11" s="1"/>
  <c r="O426" i="11"/>
  <c r="L426" i="11" s="1"/>
  <c r="K435" i="11"/>
  <c r="K447" i="11"/>
  <c r="O561" i="11"/>
  <c r="L561" i="11" s="1"/>
  <c r="P561" i="11" s="1"/>
  <c r="V561" i="11" s="1"/>
  <c r="O28" i="11"/>
  <c r="L28" i="11" s="1"/>
  <c r="P240" i="11"/>
  <c r="U240" i="11" s="1"/>
  <c r="K57" i="11"/>
  <c r="K104" i="11"/>
  <c r="K183" i="11"/>
  <c r="O450" i="11"/>
  <c r="L450" i="11" s="1"/>
  <c r="K528" i="11"/>
  <c r="O576" i="11"/>
  <c r="L576" i="11" s="1"/>
  <c r="O168" i="11"/>
  <c r="L168" i="11" s="1"/>
  <c r="K43" i="11"/>
  <c r="P54" i="11"/>
  <c r="T54" i="11" s="1"/>
  <c r="O71" i="11"/>
  <c r="L71" i="11" s="1"/>
  <c r="O210" i="11"/>
  <c r="L210" i="11" s="1"/>
  <c r="O222" i="11"/>
  <c r="L222" i="11" s="1"/>
  <c r="K255" i="11"/>
  <c r="O282" i="11"/>
  <c r="L282" i="11" s="1"/>
  <c r="O288" i="11"/>
  <c r="L288" i="11" s="1"/>
  <c r="K300" i="11"/>
  <c r="K330" i="11"/>
  <c r="K399" i="11"/>
  <c r="O19" i="11"/>
  <c r="L19" i="11" s="1"/>
  <c r="O92" i="11"/>
  <c r="L92" i="11" s="1"/>
  <c r="O204" i="11"/>
  <c r="L204" i="11" s="1"/>
  <c r="P216" i="11"/>
  <c r="U216" i="11" s="1"/>
  <c r="O276" i="11"/>
  <c r="L276" i="11" s="1"/>
  <c r="O375" i="11"/>
  <c r="L375" i="11" s="1"/>
  <c r="O390" i="11"/>
  <c r="L390" i="11" s="1"/>
  <c r="O402" i="11"/>
  <c r="L402" i="11" s="1"/>
  <c r="O429" i="11"/>
  <c r="L429" i="11" s="1"/>
  <c r="O441" i="11"/>
  <c r="K450" i="11"/>
  <c r="O462" i="11"/>
  <c r="L462" i="11" s="1"/>
  <c r="O483" i="11"/>
  <c r="L483" i="11" s="1"/>
  <c r="J486" i="11"/>
  <c r="O525" i="11"/>
  <c r="L525" i="11" s="1"/>
  <c r="P537" i="11"/>
  <c r="V537" i="11" s="1"/>
  <c r="O540" i="11"/>
  <c r="L540" i="11" s="1"/>
  <c r="O564" i="11"/>
  <c r="L564" i="11" s="1"/>
  <c r="P204" i="11"/>
  <c r="V204" i="11" s="1"/>
  <c r="O16" i="11"/>
  <c r="L16" i="11" s="1"/>
  <c r="P16" i="11" s="1"/>
  <c r="T16" i="11" s="1"/>
  <c r="K19" i="11"/>
  <c r="P28" i="11"/>
  <c r="T28" i="11" s="1"/>
  <c r="O60" i="11"/>
  <c r="L60" i="11" s="1"/>
  <c r="K92" i="11"/>
  <c r="O118" i="11"/>
  <c r="L118" i="11" s="1"/>
  <c r="O134" i="11"/>
  <c r="L134" i="11" s="1"/>
  <c r="P134" i="11" s="1"/>
  <c r="S134" i="11" s="1"/>
  <c r="O158" i="11"/>
  <c r="O186" i="11"/>
  <c r="L186" i="11" s="1"/>
  <c r="O192" i="11"/>
  <c r="L192" i="11" s="1"/>
  <c r="O207" i="11"/>
  <c r="L207" i="11" s="1"/>
  <c r="O219" i="11"/>
  <c r="L219" i="11" s="1"/>
  <c r="O228" i="11"/>
  <c r="L228" i="11" s="1"/>
  <c r="O258" i="11"/>
  <c r="L258" i="11" s="1"/>
  <c r="O264" i="11"/>
  <c r="L264" i="11" s="1"/>
  <c r="O279" i="11"/>
  <c r="L279" i="11" s="1"/>
  <c r="O351" i="11"/>
  <c r="O378" i="11"/>
  <c r="L378" i="11" s="1"/>
  <c r="K390" i="11"/>
  <c r="K402" i="11"/>
  <c r="K462" i="11"/>
  <c r="K477" i="11"/>
  <c r="K525" i="11"/>
  <c r="O543" i="11"/>
  <c r="L543" i="11" s="1"/>
  <c r="O552" i="11"/>
  <c r="L552" i="11" s="1"/>
  <c r="O573" i="11"/>
  <c r="L573" i="11" s="1"/>
  <c r="P40" i="11"/>
  <c r="T40" i="11" s="1"/>
  <c r="P80" i="11"/>
  <c r="T80" i="11" s="1"/>
  <c r="P66" i="11"/>
  <c r="T66" i="11" s="1"/>
  <c r="O7" i="11"/>
  <c r="L7" i="11" s="1"/>
  <c r="O10" i="11"/>
  <c r="L10" i="11" s="1"/>
  <c r="O31" i="11"/>
  <c r="L31" i="11" s="1"/>
  <c r="O48" i="11"/>
  <c r="L48" i="11" s="1"/>
  <c r="K71" i="11"/>
  <c r="O74" i="11"/>
  <c r="L74" i="11" s="1"/>
  <c r="P148" i="11"/>
  <c r="S148" i="11" s="1"/>
  <c r="P180" i="11"/>
  <c r="U180" i="11" s="1"/>
  <c r="P7" i="11"/>
  <c r="T7" i="11" s="1"/>
  <c r="K83" i="11"/>
  <c r="O86" i="11"/>
  <c r="L86" i="11" s="1"/>
  <c r="K95" i="11"/>
  <c r="O98" i="11"/>
  <c r="L98" i="11" s="1"/>
  <c r="P104" i="11"/>
  <c r="T104" i="11" s="1"/>
  <c r="P19" i="11"/>
  <c r="T19" i="11" s="1"/>
  <c r="O22" i="11"/>
  <c r="L22" i="11" s="1"/>
  <c r="O107" i="11"/>
  <c r="L107" i="11" s="1"/>
  <c r="P168" i="11"/>
  <c r="U168" i="11" s="1"/>
  <c r="P300" i="11"/>
  <c r="V300" i="11" s="1"/>
  <c r="L351" i="11"/>
  <c r="P351" i="11" s="1"/>
  <c r="U351" i="11" s="1"/>
  <c r="P450" i="11"/>
  <c r="U450" i="11" s="1"/>
  <c r="P528" i="11"/>
  <c r="U528" i="11" s="1"/>
  <c r="P43" i="11"/>
  <c r="T43" i="11" s="1"/>
  <c r="P71" i="11"/>
  <c r="T71" i="11" s="1"/>
  <c r="K130" i="11"/>
  <c r="O130" i="11"/>
  <c r="O171" i="11"/>
  <c r="L171" i="11" s="1"/>
  <c r="L612" i="11"/>
  <c r="P612" i="11" s="1"/>
  <c r="U612" i="11" s="1"/>
  <c r="P95" i="11"/>
  <c r="T95" i="11" s="1"/>
  <c r="P121" i="11"/>
  <c r="T121" i="11" s="1"/>
  <c r="O136" i="11"/>
  <c r="L136" i="11" s="1"/>
  <c r="P136" i="11" s="1"/>
  <c r="S136" i="11" s="1"/>
  <c r="K171" i="11"/>
  <c r="O174" i="11"/>
  <c r="L174" i="11" s="1"/>
  <c r="K195" i="11"/>
  <c r="O198" i="11"/>
  <c r="L198" i="11" s="1"/>
  <c r="O231" i="11"/>
  <c r="L231" i="11" s="1"/>
  <c r="K267" i="11"/>
  <c r="O270" i="11"/>
  <c r="L270" i="11" s="1"/>
  <c r="K291" i="11"/>
  <c r="O294" i="11"/>
  <c r="L294" i="11" s="1"/>
  <c r="P330" i="11"/>
  <c r="U330" i="11" s="1"/>
  <c r="J369" i="11"/>
  <c r="K378" i="11"/>
  <c r="O411" i="11"/>
  <c r="L411" i="11" s="1"/>
  <c r="P411" i="11" s="1"/>
  <c r="U411" i="11" s="1"/>
  <c r="J417" i="11"/>
  <c r="O432" i="11"/>
  <c r="L432" i="11" s="1"/>
  <c r="P438" i="11"/>
  <c r="T438" i="11" s="1"/>
  <c r="O444" i="11"/>
  <c r="L444" i="11" s="1"/>
  <c r="K459" i="11"/>
  <c r="J471" i="11"/>
  <c r="P483" i="11"/>
  <c r="U483" i="11" s="1"/>
  <c r="O489" i="11"/>
  <c r="L489" i="11" s="1"/>
  <c r="O501" i="11"/>
  <c r="L501" i="11" s="1"/>
  <c r="P501" i="11" s="1"/>
  <c r="V501" i="11" s="1"/>
  <c r="O507" i="11"/>
  <c r="L507" i="11" s="1"/>
  <c r="O531" i="11"/>
  <c r="L531" i="11" s="1"/>
  <c r="K576" i="11"/>
  <c r="P579" i="11"/>
  <c r="U579" i="11" s="1"/>
  <c r="P585" i="11"/>
  <c r="U585" i="11" s="1"/>
  <c r="P183" i="11"/>
  <c r="U183" i="11" s="1"/>
  <c r="P231" i="11"/>
  <c r="V231" i="11" s="1"/>
  <c r="P255" i="11"/>
  <c r="U255" i="11" s="1"/>
  <c r="P270" i="11"/>
  <c r="V270" i="11" s="1"/>
  <c r="P279" i="11"/>
  <c r="V279" i="11" s="1"/>
  <c r="P294" i="11"/>
  <c r="U294" i="11" s="1"/>
  <c r="O342" i="11"/>
  <c r="L342" i="11" s="1"/>
  <c r="O366" i="11"/>
  <c r="L366" i="11" s="1"/>
  <c r="P390" i="11"/>
  <c r="U390" i="11" s="1"/>
  <c r="O414" i="11"/>
  <c r="L414" i="11" s="1"/>
  <c r="O456" i="11"/>
  <c r="L456" i="11" s="1"/>
  <c r="P465" i="11"/>
  <c r="U465" i="11" s="1"/>
  <c r="O480" i="11"/>
  <c r="L480" i="11" s="1"/>
  <c r="P492" i="11"/>
  <c r="S492" i="11" s="1"/>
  <c r="O516" i="11"/>
  <c r="L516" i="11" s="1"/>
  <c r="P516" i="11" s="1"/>
  <c r="V516" i="11" s="1"/>
  <c r="P531" i="11"/>
  <c r="U531" i="11" s="1"/>
  <c r="P564" i="11"/>
  <c r="V564" i="11" s="1"/>
  <c r="O138" i="11"/>
  <c r="L138" i="11" s="1"/>
  <c r="P138" i="11" s="1"/>
  <c r="S138" i="11" s="1"/>
  <c r="O234" i="11"/>
  <c r="L234" i="11" s="1"/>
  <c r="O339" i="11"/>
  <c r="P342" i="11"/>
  <c r="U342" i="11" s="1"/>
  <c r="J363" i="11"/>
  <c r="O363" i="11"/>
  <c r="L363" i="11" s="1"/>
  <c r="J366" i="11"/>
  <c r="P366" i="11" s="1"/>
  <c r="U366" i="11" s="1"/>
  <c r="K411" i="11"/>
  <c r="O423" i="11"/>
  <c r="J429" i="11"/>
  <c r="P429" i="11" s="1"/>
  <c r="V429" i="11" s="1"/>
  <c r="O435" i="11"/>
  <c r="L435" i="11" s="1"/>
  <c r="P435" i="11" s="1"/>
  <c r="V435" i="11" s="1"/>
  <c r="J441" i="11"/>
  <c r="O447" i="11"/>
  <c r="J453" i="11"/>
  <c r="O474" i="11"/>
  <c r="L474" i="11" s="1"/>
  <c r="J480" i="11"/>
  <c r="O486" i="11"/>
  <c r="L486" i="11" s="1"/>
  <c r="O498" i="11"/>
  <c r="L498" i="11" s="1"/>
  <c r="O504" i="11"/>
  <c r="L504" i="11" s="1"/>
  <c r="K507" i="11"/>
  <c r="O549" i="11"/>
  <c r="L549" i="11" s="1"/>
  <c r="P549" i="11" s="1"/>
  <c r="V549" i="11" s="1"/>
  <c r="O555" i="11"/>
  <c r="L555" i="11" s="1"/>
  <c r="P600" i="11"/>
  <c r="U600" i="11" s="1"/>
  <c r="O112" i="11"/>
  <c r="L112" i="11" s="1"/>
  <c r="O140" i="11"/>
  <c r="L140" i="11" s="1"/>
  <c r="P140" i="11" s="1"/>
  <c r="S140" i="11" s="1"/>
  <c r="O152" i="11"/>
  <c r="L152" i="11" s="1"/>
  <c r="P152" i="11" s="1"/>
  <c r="S152" i="11" s="1"/>
  <c r="O417" i="11"/>
  <c r="L417" i="11" s="1"/>
  <c r="O459" i="11"/>
  <c r="L459" i="11" s="1"/>
  <c r="O471" i="11"/>
  <c r="L471" i="11" s="1"/>
  <c r="P471" i="11" s="1"/>
  <c r="V471" i="11" s="1"/>
  <c r="O519" i="11"/>
  <c r="L519" i="11" s="1"/>
  <c r="P540" i="11"/>
  <c r="U540" i="11" s="1"/>
  <c r="K543" i="11"/>
  <c r="O567" i="11"/>
  <c r="L567" i="11" s="1"/>
  <c r="P616" i="11"/>
  <c r="U616" i="11" s="1"/>
  <c r="P619" i="11"/>
  <c r="T619" i="11" s="1"/>
  <c r="P622" i="11"/>
  <c r="R622" i="11" s="1"/>
  <c r="P57" i="11"/>
  <c r="T57" i="11" s="1"/>
  <c r="P83" i="11"/>
  <c r="T83" i="11" s="1"/>
  <c r="P124" i="11"/>
  <c r="T124" i="11" s="1"/>
  <c r="L158" i="11"/>
  <c r="P158" i="11" s="1"/>
  <c r="S158" i="11" s="1"/>
  <c r="Q784" i="11"/>
  <c r="Q786" i="11" s="1"/>
  <c r="G7" i="14" s="1"/>
  <c r="P22" i="11"/>
  <c r="T22" i="11" s="1"/>
  <c r="K25" i="11"/>
  <c r="O25" i="11"/>
  <c r="P171" i="11"/>
  <c r="S171" i="11" s="1"/>
  <c r="P186" i="11"/>
  <c r="U186" i="11" s="1"/>
  <c r="P195" i="11"/>
  <c r="V195" i="11" s="1"/>
  <c r="P219" i="11"/>
  <c r="S219" i="11" s="1"/>
  <c r="P234" i="11"/>
  <c r="U234" i="11" s="1"/>
  <c r="P243" i="11"/>
  <c r="U243" i="11" s="1"/>
  <c r="P282" i="11"/>
  <c r="U282" i="11" s="1"/>
  <c r="P291" i="11"/>
  <c r="U291" i="11" s="1"/>
  <c r="P306" i="11"/>
  <c r="U306" i="11" s="1"/>
  <c r="P315" i="11"/>
  <c r="U315" i="11" s="1"/>
  <c r="P10" i="11"/>
  <c r="T10" i="11" s="1"/>
  <c r="K13" i="11"/>
  <c r="O13" i="11"/>
  <c r="L144" i="11"/>
  <c r="P144" i="11" s="1"/>
  <c r="S144" i="11" s="1"/>
  <c r="L146" i="11"/>
  <c r="P146" i="11" s="1"/>
  <c r="S146" i="11" s="1"/>
  <c r="O34" i="11"/>
  <c r="L34" i="11" s="1"/>
  <c r="K34" i="11"/>
  <c r="O37" i="11"/>
  <c r="K48" i="11"/>
  <c r="O51" i="11"/>
  <c r="K60" i="11"/>
  <c r="O63" i="11"/>
  <c r="K74" i="11"/>
  <c r="O77" i="11"/>
  <c r="K86" i="11"/>
  <c r="O89" i="11"/>
  <c r="K98" i="11"/>
  <c r="O101" i="11"/>
  <c r="K112" i="11"/>
  <c r="O115" i="11"/>
  <c r="K124" i="11"/>
  <c r="O127" i="11"/>
  <c r="K134" i="11"/>
  <c r="K138" i="11"/>
  <c r="L142" i="11"/>
  <c r="P142" i="11" s="1"/>
  <c r="S142" i="11" s="1"/>
  <c r="L150" i="11"/>
  <c r="P150" i="11" s="1"/>
  <c r="S150" i="11" s="1"/>
  <c r="K156" i="11"/>
  <c r="L162" i="11"/>
  <c r="P162" i="11" s="1"/>
  <c r="U162" i="11" s="1"/>
  <c r="K174" i="11"/>
  <c r="O177" i="11"/>
  <c r="K186" i="11"/>
  <c r="O189" i="11"/>
  <c r="K198" i="11"/>
  <c r="O201" i="11"/>
  <c r="K210" i="11"/>
  <c r="O213" i="11"/>
  <c r="K222" i="11"/>
  <c r="O225" i="11"/>
  <c r="K234" i="11"/>
  <c r="O237" i="11"/>
  <c r="K246" i="11"/>
  <c r="O249" i="11"/>
  <c r="K258" i="11"/>
  <c r="O261" i="11"/>
  <c r="K270" i="11"/>
  <c r="O273" i="11"/>
  <c r="K282" i="11"/>
  <c r="O285" i="11"/>
  <c r="K294" i="11"/>
  <c r="O297" i="11"/>
  <c r="K306" i="11"/>
  <c r="O309" i="11"/>
  <c r="K318" i="11"/>
  <c r="K324" i="11"/>
  <c r="O324" i="11"/>
  <c r="P354" i="11"/>
  <c r="U354" i="11" s="1"/>
  <c r="P378" i="11"/>
  <c r="V378" i="11" s="1"/>
  <c r="P393" i="11"/>
  <c r="V393" i="11" s="1"/>
  <c r="O321" i="11"/>
  <c r="L321" i="11" s="1"/>
  <c r="O333" i="11"/>
  <c r="L333" i="11" s="1"/>
  <c r="K333" i="11"/>
  <c r="O357" i="11"/>
  <c r="L357" i="11" s="1"/>
  <c r="K357" i="11"/>
  <c r="O381" i="11"/>
  <c r="L381" i="11" s="1"/>
  <c r="P381" i="11" s="1"/>
  <c r="V381" i="11" s="1"/>
  <c r="K381" i="11"/>
  <c r="L594" i="11"/>
  <c r="P594" i="11" s="1"/>
  <c r="U594" i="11" s="1"/>
  <c r="O345" i="11"/>
  <c r="L345" i="11" s="1"/>
  <c r="K345" i="11"/>
  <c r="L441" i="11"/>
  <c r="L453" i="11"/>
  <c r="P453" i="11" s="1"/>
  <c r="U453" i="11" s="1"/>
  <c r="O369" i="11"/>
  <c r="L369" i="11" s="1"/>
  <c r="J372" i="11"/>
  <c r="K369" i="11"/>
  <c r="L423" i="11"/>
  <c r="P423" i="11" s="1"/>
  <c r="S423" i="11" s="1"/>
  <c r="L447" i="11"/>
  <c r="P447" i="11" s="1"/>
  <c r="V447" i="11" s="1"/>
  <c r="P468" i="11"/>
  <c r="U468" i="11" s="1"/>
  <c r="L495" i="11"/>
  <c r="P495" i="11" s="1"/>
  <c r="U495" i="11" s="1"/>
  <c r="P543" i="11"/>
  <c r="V543" i="11" s="1"/>
  <c r="O336" i="11"/>
  <c r="O348" i="11"/>
  <c r="O360" i="11"/>
  <c r="O372" i="11"/>
  <c r="L372" i="11" s="1"/>
  <c r="O384" i="11"/>
  <c r="K393" i="11"/>
  <c r="O396" i="11"/>
  <c r="K405" i="11"/>
  <c r="O408" i="11"/>
  <c r="L408" i="11" s="1"/>
  <c r="K417" i="11"/>
  <c r="J420" i="11"/>
  <c r="O420" i="11"/>
  <c r="L420" i="11" s="1"/>
  <c r="K429" i="11"/>
  <c r="J432" i="11"/>
  <c r="P432" i="11" s="1"/>
  <c r="T432" i="11" s="1"/>
  <c r="K441" i="11"/>
  <c r="J444" i="11"/>
  <c r="P444" i="11" s="1"/>
  <c r="V444" i="11" s="1"/>
  <c r="K453" i="11"/>
  <c r="K471" i="11"/>
  <c r="J474" i="11"/>
  <c r="K483" i="11"/>
  <c r="K495" i="11"/>
  <c r="K513" i="11"/>
  <c r="K519" i="11"/>
  <c r="O534" i="11"/>
  <c r="L534" i="11" s="1"/>
  <c r="P534" i="11" s="1"/>
  <c r="V534" i="11" s="1"/>
  <c r="O546" i="11"/>
  <c r="L546" i="11" s="1"/>
  <c r="O558" i="11"/>
  <c r="L558" i="11" s="1"/>
  <c r="P558" i="11" s="1"/>
  <c r="U558" i="11" s="1"/>
  <c r="P582" i="11"/>
  <c r="U582" i="11" s="1"/>
  <c r="P597" i="11"/>
  <c r="U597" i="11" s="1"/>
  <c r="K456" i="11"/>
  <c r="O477" i="11"/>
  <c r="K486" i="11"/>
  <c r="K501" i="11"/>
  <c r="L513" i="11"/>
  <c r="P513" i="11" s="1"/>
  <c r="U513" i="11" s="1"/>
  <c r="O522" i="11"/>
  <c r="L522" i="11" s="1"/>
  <c r="K537" i="11"/>
  <c r="K549" i="11"/>
  <c r="K561" i="11"/>
  <c r="K567" i="11"/>
  <c r="P588" i="11"/>
  <c r="U588" i="11" s="1"/>
  <c r="O570" i="11"/>
  <c r="L570" i="11" s="1"/>
  <c r="L772" i="11"/>
  <c r="P772" i="11" s="1"/>
  <c r="R772" i="11" s="1"/>
  <c r="O510" i="11"/>
  <c r="L510" i="11" s="1"/>
  <c r="P570" i="11"/>
  <c r="V570" i="11" s="1"/>
  <c r="P625" i="11"/>
  <c r="T625" i="11" s="1"/>
  <c r="P628" i="11"/>
  <c r="S628" i="11" s="1"/>
  <c r="P631" i="11"/>
  <c r="R631" i="11" s="1"/>
  <c r="P634" i="11"/>
  <c r="S634" i="11" s="1"/>
  <c r="P637" i="11"/>
  <c r="S637" i="11" s="1"/>
  <c r="P640" i="11"/>
  <c r="S640" i="11" s="1"/>
  <c r="P643" i="11"/>
  <c r="R643" i="11" s="1"/>
  <c r="P646" i="11"/>
  <c r="R646" i="11" s="1"/>
  <c r="P649" i="11"/>
  <c r="U649" i="11" s="1"/>
  <c r="P652" i="11"/>
  <c r="T652" i="11" s="1"/>
  <c r="P655" i="11"/>
  <c r="S655" i="11" s="1"/>
  <c r="P658" i="11"/>
  <c r="S658" i="11" s="1"/>
  <c r="P661" i="11"/>
  <c r="S661" i="11" s="1"/>
  <c r="P664" i="11"/>
  <c r="S664" i="11" s="1"/>
  <c r="P667" i="11"/>
  <c r="U667" i="11" s="1"/>
  <c r="P670" i="11"/>
  <c r="U670" i="11" s="1"/>
  <c r="P673" i="11"/>
  <c r="U673" i="11" s="1"/>
  <c r="P676" i="11"/>
  <c r="T676" i="11" s="1"/>
  <c r="P679" i="11"/>
  <c r="T679" i="11" s="1"/>
  <c r="P682" i="11"/>
  <c r="T682" i="11" s="1"/>
  <c r="P685" i="11"/>
  <c r="T685" i="11" s="1"/>
  <c r="P688" i="11"/>
  <c r="S688" i="11" s="1"/>
  <c r="P691" i="11"/>
  <c r="R691" i="11" s="1"/>
  <c r="P694" i="11"/>
  <c r="R694" i="11" s="1"/>
  <c r="P697" i="11"/>
  <c r="R697" i="11" s="1"/>
  <c r="P700" i="11"/>
  <c r="R700" i="11" s="1"/>
  <c r="P703" i="11"/>
  <c r="R703" i="11" s="1"/>
  <c r="P706" i="11"/>
  <c r="T706" i="11" s="1"/>
  <c r="P709" i="11"/>
  <c r="S709" i="11" s="1"/>
  <c r="P712" i="11"/>
  <c r="U712" i="11" s="1"/>
  <c r="P715" i="11"/>
  <c r="T715" i="11" s="1"/>
  <c r="P718" i="11"/>
  <c r="T718" i="11" s="1"/>
  <c r="P721" i="11"/>
  <c r="U721" i="11" s="1"/>
  <c r="P724" i="11"/>
  <c r="U724" i="11" s="1"/>
  <c r="P727" i="11"/>
  <c r="U727" i="11" s="1"/>
  <c r="P730" i="11"/>
  <c r="T730" i="11" s="1"/>
  <c r="P733" i="11"/>
  <c r="U733" i="11" s="1"/>
  <c r="P736" i="11"/>
  <c r="T736" i="11" s="1"/>
  <c r="P739" i="11"/>
  <c r="U739" i="11" s="1"/>
  <c r="P742" i="11"/>
  <c r="S742" i="11" s="1"/>
  <c r="P745" i="11"/>
  <c r="S745" i="11" s="1"/>
  <c r="P748" i="11"/>
  <c r="U748" i="11" s="1"/>
  <c r="P751" i="11"/>
  <c r="T751" i="11" s="1"/>
  <c r="P754" i="11"/>
  <c r="R754" i="11" s="1"/>
  <c r="P757" i="11"/>
  <c r="V757" i="11" s="1"/>
  <c r="P760" i="11"/>
  <c r="T760" i="11" s="1"/>
  <c r="P763" i="11"/>
  <c r="S763" i="11" s="1"/>
  <c r="P766" i="11"/>
  <c r="S766" i="11" s="1"/>
  <c r="P769" i="11"/>
  <c r="S769" i="11" s="1"/>
  <c r="L778" i="11"/>
  <c r="P778" i="11" s="1"/>
  <c r="T778" i="11" s="1"/>
  <c r="P603" i="11"/>
  <c r="U603" i="11" s="1"/>
  <c r="L606" i="11"/>
  <c r="P606" i="11"/>
  <c r="U606" i="11" s="1"/>
  <c r="L609" i="11"/>
  <c r="P609" i="11" s="1"/>
  <c r="U609" i="11" s="1"/>
  <c r="P414" i="11" l="1"/>
  <c r="U414" i="11" s="1"/>
  <c r="P333" i="11"/>
  <c r="V333" i="11" s="1"/>
  <c r="P246" i="11"/>
  <c r="U246" i="11" s="1"/>
  <c r="P525" i="11"/>
  <c r="U525" i="11" s="1"/>
  <c r="P207" i="11"/>
  <c r="U207" i="11" s="1"/>
  <c r="P86" i="11"/>
  <c r="T86" i="11" s="1"/>
  <c r="P405" i="11"/>
  <c r="V405" i="11" s="1"/>
  <c r="P387" i="11"/>
  <c r="U387" i="11" s="1"/>
  <c r="P441" i="11"/>
  <c r="V441" i="11" s="1"/>
  <c r="P107" i="11"/>
  <c r="T107" i="11" s="1"/>
  <c r="P48" i="11"/>
  <c r="T48" i="11" s="1"/>
  <c r="P31" i="11"/>
  <c r="T31" i="11" s="1"/>
  <c r="P312" i="11"/>
  <c r="U312" i="11" s="1"/>
  <c r="P576" i="11"/>
  <c r="U576" i="11" s="1"/>
  <c r="P267" i="11"/>
  <c r="U267" i="11" s="1"/>
  <c r="P98" i="11"/>
  <c r="T98" i="11" s="1"/>
  <c r="P489" i="11"/>
  <c r="U489" i="11" s="1"/>
  <c r="P303" i="11"/>
  <c r="V303" i="11" s="1"/>
  <c r="P92" i="11"/>
  <c r="T92" i="11" s="1"/>
  <c r="P399" i="11"/>
  <c r="V399" i="11" s="1"/>
  <c r="P375" i="11"/>
  <c r="U375" i="11" s="1"/>
  <c r="P228" i="11"/>
  <c r="U228" i="11" s="1"/>
  <c r="P327" i="11"/>
  <c r="V327" i="11" s="1"/>
  <c r="P60" i="11"/>
  <c r="T60" i="11" s="1"/>
  <c r="P318" i="11"/>
  <c r="V318" i="11" s="1"/>
  <c r="P498" i="11"/>
  <c r="V498" i="11" s="1"/>
  <c r="P480" i="11"/>
  <c r="U480" i="11" s="1"/>
  <c r="P402" i="11"/>
  <c r="U402" i="11" s="1"/>
  <c r="P258" i="11"/>
  <c r="U258" i="11" s="1"/>
  <c r="P210" i="11"/>
  <c r="V210" i="11" s="1"/>
  <c r="P74" i="11"/>
  <c r="T74" i="11" s="1"/>
  <c r="P552" i="11"/>
  <c r="U552" i="11" s="1"/>
  <c r="P118" i="11"/>
  <c r="T118" i="11" s="1"/>
  <c r="P288" i="11"/>
  <c r="V288" i="11" s="1"/>
  <c r="G9" i="14"/>
  <c r="E9" i="15" s="1"/>
  <c r="P276" i="11"/>
  <c r="V276" i="11" s="1"/>
  <c r="P555" i="11"/>
  <c r="V555" i="11" s="1"/>
  <c r="P474" i="11"/>
  <c r="U474" i="11" s="1"/>
  <c r="P507" i="11"/>
  <c r="U507" i="11" s="1"/>
  <c r="P198" i="11"/>
  <c r="V198" i="11" s="1"/>
  <c r="P462" i="11"/>
  <c r="U462" i="11" s="1"/>
  <c r="P222" i="11"/>
  <c r="U222" i="11" s="1"/>
  <c r="P264" i="11"/>
  <c r="V264" i="11" s="1"/>
  <c r="P192" i="11"/>
  <c r="V192" i="11" s="1"/>
  <c r="P573" i="11"/>
  <c r="U573" i="11" s="1"/>
  <c r="P486" i="11"/>
  <c r="U486" i="11" s="1"/>
  <c r="P504" i="11"/>
  <c r="U504" i="11" s="1"/>
  <c r="P459" i="11"/>
  <c r="V459" i="11" s="1"/>
  <c r="P519" i="11"/>
  <c r="U519" i="11" s="1"/>
  <c r="P174" i="11"/>
  <c r="V174" i="11" s="1"/>
  <c r="R784" i="11"/>
  <c r="R786" i="11" s="1"/>
  <c r="H7" i="14" s="1"/>
  <c r="H9" i="14" s="1"/>
  <c r="F9" i="15" s="1"/>
  <c r="F13" i="15" s="1"/>
  <c r="F14" i="15" s="1"/>
  <c r="F21" i="15" s="1"/>
  <c r="P546" i="11"/>
  <c r="U546" i="11" s="1"/>
  <c r="L339" i="11"/>
  <c r="P339" i="11" s="1"/>
  <c r="V339" i="11" s="1"/>
  <c r="P567" i="11"/>
  <c r="U567" i="11" s="1"/>
  <c r="P130" i="11"/>
  <c r="T130" i="11" s="1"/>
  <c r="L130" i="11"/>
  <c r="P456" i="11"/>
  <c r="V456" i="11" s="1"/>
  <c r="P363" i="11"/>
  <c r="T363" i="11" s="1"/>
  <c r="P417" i="11"/>
  <c r="S417" i="11" s="1"/>
  <c r="P112" i="11"/>
  <c r="T112" i="11" s="1"/>
  <c r="P510" i="11"/>
  <c r="U510" i="11" s="1"/>
  <c r="P420" i="11"/>
  <c r="S420" i="11" s="1"/>
  <c r="L396" i="11"/>
  <c r="P396" i="11" s="1"/>
  <c r="V396" i="11" s="1"/>
  <c r="L360" i="11"/>
  <c r="P360" i="11" s="1"/>
  <c r="U360" i="11" s="1"/>
  <c r="P321" i="11"/>
  <c r="V321" i="11" s="1"/>
  <c r="P357" i="11"/>
  <c r="V357" i="11" s="1"/>
  <c r="L309" i="11"/>
  <c r="P309" i="11" s="1"/>
  <c r="U309" i="11" s="1"/>
  <c r="L285" i="11"/>
  <c r="P285" i="11" s="1"/>
  <c r="U285" i="11" s="1"/>
  <c r="L261" i="11"/>
  <c r="P261" i="11" s="1"/>
  <c r="V261" i="11" s="1"/>
  <c r="L237" i="11"/>
  <c r="P237" i="11" s="1"/>
  <c r="V237" i="11" s="1"/>
  <c r="L213" i="11"/>
  <c r="P213" i="11" s="1"/>
  <c r="V213" i="11" s="1"/>
  <c r="L189" i="11"/>
  <c r="P189" i="11" s="1"/>
  <c r="V189" i="11" s="1"/>
  <c r="L115" i="11"/>
  <c r="P115" i="11" s="1"/>
  <c r="T115" i="11" s="1"/>
  <c r="L89" i="11"/>
  <c r="P89" i="11" s="1"/>
  <c r="T89" i="11" s="1"/>
  <c r="L63" i="11"/>
  <c r="P63" i="11" s="1"/>
  <c r="T63" i="11" s="1"/>
  <c r="L37" i="11"/>
  <c r="P37" i="11" s="1"/>
  <c r="T37" i="11" s="1"/>
  <c r="L25" i="11"/>
  <c r="P25" i="11" s="1"/>
  <c r="T25" i="11" s="1"/>
  <c r="P522" i="11"/>
  <c r="U522" i="11" s="1"/>
  <c r="L348" i="11"/>
  <c r="P348" i="11" s="1"/>
  <c r="V348" i="11" s="1"/>
  <c r="P372" i="11"/>
  <c r="V372" i="11" s="1"/>
  <c r="L324" i="11"/>
  <c r="P324" i="11" s="1"/>
  <c r="V324" i="11" s="1"/>
  <c r="L384" i="11"/>
  <c r="P384" i="11" s="1"/>
  <c r="V384" i="11" s="1"/>
  <c r="L336" i="11"/>
  <c r="P336" i="11" s="1"/>
  <c r="U336" i="11" s="1"/>
  <c r="P408" i="11"/>
  <c r="V408" i="11" s="1"/>
  <c r="L297" i="11"/>
  <c r="P297" i="11" s="1"/>
  <c r="V297" i="11" s="1"/>
  <c r="L273" i="11"/>
  <c r="P273" i="11" s="1"/>
  <c r="V273" i="11" s="1"/>
  <c r="L249" i="11"/>
  <c r="P249" i="11" s="1"/>
  <c r="U249" i="11" s="1"/>
  <c r="L225" i="11"/>
  <c r="P225" i="11" s="1"/>
  <c r="U225" i="11" s="1"/>
  <c r="L201" i="11"/>
  <c r="P201" i="11"/>
  <c r="U201" i="11" s="1"/>
  <c r="L177" i="11"/>
  <c r="P177" i="11" s="1"/>
  <c r="U177" i="11" s="1"/>
  <c r="L127" i="11"/>
  <c r="P127" i="11" s="1"/>
  <c r="T127" i="11" s="1"/>
  <c r="L101" i="11"/>
  <c r="P101" i="11" s="1"/>
  <c r="T101" i="11" s="1"/>
  <c r="L77" i="11"/>
  <c r="P77" i="11" s="1"/>
  <c r="T77" i="11" s="1"/>
  <c r="L51" i="11"/>
  <c r="P51" i="11" s="1"/>
  <c r="T51" i="11" s="1"/>
  <c r="L13" i="11"/>
  <c r="P13" i="11" s="1"/>
  <c r="T13" i="11" s="1"/>
  <c r="L477" i="11"/>
  <c r="P477" i="11" s="1"/>
  <c r="U477" i="11" s="1"/>
  <c r="P345" i="11"/>
  <c r="U345" i="11" s="1"/>
  <c r="P369" i="11"/>
  <c r="U369" i="11" s="1"/>
  <c r="P34" i="11"/>
  <c r="T34" i="11" s="1"/>
  <c r="U784" i="11" l="1"/>
  <c r="U786" i="11" s="1"/>
  <c r="K7" i="14" s="1"/>
  <c r="K9" i="14" s="1"/>
  <c r="I9" i="15" s="1"/>
  <c r="I13" i="15" s="1"/>
  <c r="I14" i="15" s="1"/>
  <c r="I21" i="15" s="1"/>
  <c r="S784" i="11"/>
  <c r="S786" i="11" s="1"/>
  <c r="I7" i="14" s="1"/>
  <c r="I9" i="14" s="1"/>
  <c r="G9" i="15" s="1"/>
  <c r="G13" i="15" s="1"/>
  <c r="G14" i="15" s="1"/>
  <c r="G21" i="15" s="1"/>
  <c r="E13" i="15"/>
  <c r="E14" i="15" s="1"/>
  <c r="V784" i="11"/>
  <c r="V786" i="11" s="1"/>
  <c r="L7" i="14" s="1"/>
  <c r="L9" i="14" s="1"/>
  <c r="J9" i="15" s="1"/>
  <c r="J13" i="15" s="1"/>
  <c r="J14" i="15" s="1"/>
  <c r="J21" i="15" s="1"/>
  <c r="T784" i="11"/>
  <c r="T786" i="11" s="1"/>
  <c r="W786" i="11" l="1"/>
  <c r="J7" i="14"/>
  <c r="J9" i="14" s="1"/>
  <c r="H9" i="15" s="1"/>
  <c r="H13" i="15" s="1"/>
  <c r="H14" i="15" s="1"/>
  <c r="H21" i="15" s="1"/>
  <c r="E21" i="15"/>
  <c r="I35" i="10"/>
  <c r="H34" i="10"/>
  <c r="I34" i="10" s="1"/>
  <c r="H33" i="10"/>
  <c r="I33" i="10" s="1"/>
  <c r="H32" i="10"/>
  <c r="I32" i="10" s="1"/>
  <c r="H31" i="10"/>
  <c r="I31" i="10" s="1"/>
  <c r="H30" i="10"/>
  <c r="I30" i="10" s="1"/>
  <c r="H29" i="10"/>
  <c r="I29" i="10" s="1"/>
  <c r="H28" i="10"/>
  <c r="I28" i="10" s="1"/>
  <c r="H27" i="10"/>
  <c r="I27" i="10" s="1"/>
  <c r="H26" i="10"/>
  <c r="I26" i="10" s="1"/>
  <c r="H25" i="10"/>
  <c r="I25" i="10" s="1"/>
  <c r="H24" i="10"/>
  <c r="F24" i="10"/>
  <c r="H22" i="10"/>
  <c r="I22" i="10" s="1"/>
  <c r="I20" i="10"/>
  <c r="I19" i="10"/>
  <c r="I18" i="10"/>
  <c r="I17" i="10"/>
  <c r="I16" i="10"/>
  <c r="I15" i="10"/>
  <c r="I14" i="10"/>
  <c r="I13" i="10"/>
  <c r="I12" i="10"/>
  <c r="I11" i="10"/>
  <c r="F10" i="10"/>
  <c r="I10" i="10" s="1"/>
  <c r="K21" i="15" l="1"/>
  <c r="I24" i="10"/>
  <c r="I37" i="10" s="1"/>
  <c r="D5" i="19" s="1"/>
  <c r="J5" i="19" s="1"/>
  <c r="M7" i="14"/>
  <c r="M9" i="14" s="1"/>
  <c r="J56" i="7" s="1"/>
  <c r="K14" i="15"/>
  <c r="K9" i="15"/>
  <c r="K13" i="15" s="1"/>
  <c r="K23" i="15" s="1"/>
  <c r="J39" i="7" l="1"/>
  <c r="M39" i="7" s="1"/>
  <c r="J18" i="19"/>
  <c r="L21" i="15"/>
  <c r="I34" i="9"/>
  <c r="I33" i="9"/>
  <c r="I32" i="9"/>
  <c r="I31" i="9"/>
  <c r="I30" i="9"/>
  <c r="F29" i="9"/>
  <c r="I29" i="9" s="1"/>
  <c r="G28" i="9"/>
  <c r="F28" i="9"/>
  <c r="I28" i="9" l="1"/>
  <c r="I37" i="9" s="1"/>
  <c r="F20" i="9"/>
  <c r="I20" i="9" s="1"/>
  <c r="I19" i="9"/>
  <c r="I18" i="9"/>
  <c r="G17" i="9"/>
  <c r="I17" i="9" s="1"/>
  <c r="I15" i="9"/>
  <c r="I14" i="9"/>
  <c r="I13" i="9"/>
  <c r="I12" i="9"/>
  <c r="I11" i="9"/>
  <c r="I10" i="9"/>
  <c r="D12" i="21" l="1"/>
  <c r="J12" i="21" s="1"/>
  <c r="J23" i="7" s="1"/>
  <c r="F7" i="17"/>
  <c r="G7" i="17" s="1"/>
  <c r="J7" i="17" s="1"/>
  <c r="I9" i="9"/>
  <c r="I23" i="9" s="1"/>
  <c r="D6" i="21" l="1"/>
  <c r="J17" i="7" s="1"/>
  <c r="F6" i="17"/>
  <c r="G6" i="17" s="1"/>
  <c r="J24" i="21"/>
  <c r="I15" i="8"/>
  <c r="I14" i="8"/>
  <c r="I13" i="8"/>
  <c r="I12" i="8"/>
  <c r="I11" i="8"/>
  <c r="I10" i="8"/>
  <c r="I9" i="8"/>
  <c r="J6" i="17" l="1"/>
  <c r="J12" i="17" s="1"/>
  <c r="G12" i="17"/>
  <c r="I6" i="17"/>
  <c r="I12" i="17" s="1"/>
  <c r="I14" i="17" s="1"/>
  <c r="I15" i="17" s="1"/>
  <c r="I18" i="8"/>
  <c r="J11" i="7" s="1"/>
  <c r="L11" i="7" s="1"/>
  <c r="M10" i="7"/>
  <c r="L10" i="7" s="1"/>
  <c r="M12" i="7"/>
  <c r="L12" i="7" s="1"/>
  <c r="L17" i="7"/>
  <c r="M18" i="7"/>
  <c r="L18" i="7" s="1"/>
  <c r="M19" i="7"/>
  <c r="L19" i="7" s="1"/>
  <c r="L23" i="7"/>
  <c r="M25" i="7"/>
  <c r="L25" i="7" s="1"/>
  <c r="M26" i="7"/>
  <c r="L26" i="7" s="1"/>
  <c r="M27" i="7"/>
  <c r="L27" i="7" s="1"/>
  <c r="M30" i="7"/>
  <c r="L30" i="7" s="1"/>
  <c r="M31" i="7"/>
  <c r="L31" i="7" s="1"/>
  <c r="M32" i="7"/>
  <c r="L32" i="7" s="1"/>
  <c r="L39" i="7"/>
  <c r="M41" i="7"/>
  <c r="L41" i="7" s="1"/>
  <c r="M42" i="7"/>
  <c r="L42" i="7" s="1"/>
  <c r="M43" i="7"/>
  <c r="L43" i="7" s="1"/>
  <c r="M44" i="7"/>
  <c r="L44" i="7" s="1"/>
  <c r="M46" i="7"/>
  <c r="L46" i="7" s="1"/>
  <c r="M47" i="7"/>
  <c r="L47" i="7" s="1"/>
  <c r="M48" i="7"/>
  <c r="L48" i="7" s="1"/>
  <c r="M50" i="7"/>
  <c r="L50" i="7" s="1"/>
  <c r="L56" i="7"/>
  <c r="M57" i="7"/>
  <c r="L57" i="7" s="1"/>
  <c r="M58" i="7"/>
  <c r="L58" i="7" s="1"/>
  <c r="M64" i="7"/>
  <c r="L64" i="7" s="1"/>
  <c r="L66" i="7"/>
  <c r="M68" i="7"/>
  <c r="L68" i="7" s="1"/>
  <c r="M69" i="7"/>
  <c r="L69" i="7" s="1"/>
  <c r="M70" i="7"/>
  <c r="L70" i="7" s="1"/>
  <c r="M73" i="7"/>
  <c r="L73" i="7" s="1"/>
  <c r="M74" i="7"/>
  <c r="L74" i="7" s="1"/>
  <c r="M76" i="7"/>
  <c r="L76" i="7" s="1"/>
  <c r="M84" i="7"/>
  <c r="L84" i="7" s="1"/>
  <c r="M85" i="7"/>
  <c r="L85" i="7" s="1"/>
  <c r="M88" i="7"/>
  <c r="L88" i="7" s="1"/>
  <c r="M89" i="7"/>
  <c r="L89" i="7" s="1"/>
  <c r="M91" i="7"/>
  <c r="L91" i="7" s="1"/>
  <c r="M95" i="7"/>
  <c r="L95" i="7" s="1"/>
  <c r="M99" i="7"/>
  <c r="L99" i="7" s="1"/>
  <c r="M104" i="7"/>
  <c r="L104" i="7" s="1"/>
  <c r="M9" i="7"/>
  <c r="L9" i="7" s="1"/>
  <c r="N12" i="7"/>
  <c r="N17" i="7"/>
  <c r="N18" i="7"/>
  <c r="N19" i="7"/>
  <c r="N23" i="7"/>
  <c r="N25" i="7"/>
  <c r="N26" i="7"/>
  <c r="N27" i="7"/>
  <c r="N30" i="7"/>
  <c r="N31" i="7"/>
  <c r="N32" i="7"/>
  <c r="N39" i="7"/>
  <c r="N41" i="7"/>
  <c r="N42" i="7"/>
  <c r="N43" i="7"/>
  <c r="N46" i="7"/>
  <c r="N47" i="7"/>
  <c r="N48" i="7"/>
  <c r="N50" i="7"/>
  <c r="N56" i="7"/>
  <c r="N57" i="7"/>
  <c r="N58" i="7"/>
  <c r="N64" i="7"/>
  <c r="N66" i="7"/>
  <c r="N69" i="7"/>
  <c r="N70" i="7"/>
  <c r="N73" i="7"/>
  <c r="N74" i="7"/>
  <c r="N76" i="7"/>
  <c r="N84" i="7"/>
  <c r="N85" i="7"/>
  <c r="N88" i="7"/>
  <c r="N89" i="7"/>
  <c r="N90" i="7"/>
  <c r="N91" i="7"/>
  <c r="N95" i="7"/>
  <c r="N99" i="7"/>
  <c r="N104" i="7"/>
  <c r="N9" i="7"/>
  <c r="J22" i="17" l="1"/>
  <c r="J24" i="17" s="1"/>
  <c r="J25" i="17" s="1"/>
  <c r="J14" i="17"/>
  <c r="J15" i="17" s="1"/>
  <c r="G14" i="17"/>
  <c r="G15" i="17" s="1"/>
  <c r="G22" i="17"/>
  <c r="G24" i="17" s="1"/>
  <c r="G25" i="17" s="1"/>
  <c r="N11" i="7"/>
  <c r="J108" i="7"/>
  <c r="K108" i="7"/>
  <c r="E11" i="3" s="1"/>
  <c r="L108" i="7"/>
  <c r="M108" i="7"/>
  <c r="D11" i="3" s="1"/>
  <c r="H108" i="7"/>
  <c r="J4" i="7"/>
  <c r="B4" i="7"/>
  <c r="J3" i="7"/>
  <c r="B3" i="7"/>
  <c r="J2" i="7"/>
  <c r="B2" i="7"/>
  <c r="I11" i="7" l="1"/>
  <c r="I12" i="7"/>
  <c r="I17" i="7"/>
  <c r="I18" i="7"/>
  <c r="I19" i="7"/>
  <c r="I23" i="7"/>
  <c r="I25" i="7"/>
  <c r="I26" i="7"/>
  <c r="I27" i="7"/>
  <c r="I30" i="7"/>
  <c r="I31" i="7"/>
  <c r="I32" i="7"/>
  <c r="I39" i="7"/>
  <c r="I41" i="7"/>
  <c r="I42" i="7"/>
  <c r="I43" i="7"/>
  <c r="I46" i="7"/>
  <c r="I47" i="7"/>
  <c r="I48" i="7"/>
  <c r="I50" i="7"/>
  <c r="I56" i="7"/>
  <c r="I57" i="7"/>
  <c r="I58" i="7"/>
  <c r="I64" i="7"/>
  <c r="I66" i="7"/>
  <c r="I69" i="7"/>
  <c r="I70" i="7"/>
  <c r="I73" i="7"/>
  <c r="I74" i="7"/>
  <c r="I76" i="7"/>
  <c r="I84" i="7"/>
  <c r="I85" i="7"/>
  <c r="I88" i="7"/>
  <c r="I89" i="7"/>
  <c r="I90" i="7"/>
  <c r="I91" i="7"/>
  <c r="I95" i="7"/>
  <c r="I99" i="7"/>
  <c r="I104" i="7"/>
  <c r="I9" i="7"/>
  <c r="F104" i="7"/>
  <c r="F106" i="7" s="1"/>
  <c r="F99" i="7"/>
  <c r="F100" i="7" s="1"/>
  <c r="F95" i="7"/>
  <c r="F96" i="7" s="1"/>
  <c r="F91" i="7"/>
  <c r="F90" i="7"/>
  <c r="F89" i="7"/>
  <c r="F88" i="7"/>
  <c r="F85" i="7"/>
  <c r="F84" i="7"/>
  <c r="F76" i="7"/>
  <c r="F74" i="7"/>
  <c r="F73" i="7"/>
  <c r="F70" i="7"/>
  <c r="F69" i="7"/>
  <c r="F66" i="7"/>
  <c r="F64" i="7"/>
  <c r="F58" i="7"/>
  <c r="F57" i="7"/>
  <c r="F56" i="7"/>
  <c r="F50" i="7"/>
  <c r="F48" i="7"/>
  <c r="F47" i="7"/>
  <c r="F46" i="7"/>
  <c r="F43" i="7"/>
  <c r="F42" i="7"/>
  <c r="F41" i="7"/>
  <c r="F39" i="7"/>
  <c r="F33" i="7"/>
  <c r="F32" i="7"/>
  <c r="F31" i="7"/>
  <c r="F30" i="7"/>
  <c r="F27" i="7"/>
  <c r="F26" i="7"/>
  <c r="F25" i="7"/>
  <c r="F23" i="7"/>
  <c r="F19" i="7"/>
  <c r="F18" i="7"/>
  <c r="F17" i="7"/>
  <c r="F12" i="7"/>
  <c r="F11" i="7"/>
  <c r="F9" i="7"/>
  <c r="F77" i="7" l="1"/>
  <c r="I108" i="7"/>
  <c r="F92" i="7"/>
  <c r="F13" i="7"/>
  <c r="F51" i="7"/>
  <c r="F59" i="7"/>
  <c r="F35" i="7"/>
  <c r="F108" i="7" l="1"/>
  <c r="D21" i="3" l="1"/>
  <c r="E15" i="3" l="1"/>
  <c r="E26" i="3" l="1"/>
  <c r="E25" i="3"/>
  <c r="E16" i="3"/>
  <c r="E17" i="3" s="1"/>
  <c r="E23" i="3" s="1"/>
  <c r="E28" i="3" l="1"/>
  <c r="E29" i="3" s="1"/>
  <c r="F22" i="3" l="1"/>
  <c r="F11" i="3"/>
  <c r="F15" i="3" s="1"/>
  <c r="D15" i="3"/>
  <c r="G3" i="3"/>
  <c r="D25" i="3" l="1"/>
  <c r="D26" i="3"/>
  <c r="F16" i="3"/>
  <c r="F17" i="3" s="1"/>
  <c r="F23" i="3" s="1"/>
  <c r="F25" i="3"/>
  <c r="F26" i="3"/>
  <c r="D16" i="3"/>
  <c r="D17" i="3" s="1"/>
  <c r="D23" i="3" s="1"/>
  <c r="F28" i="3" l="1"/>
  <c r="F29" i="3" s="1"/>
  <c r="F30" i="3" s="1"/>
  <c r="G30" i="3" s="1"/>
  <c r="G29" i="3" s="1"/>
  <c r="D28" i="3"/>
  <c r="D29" i="3" s="1"/>
</calcChain>
</file>

<file path=xl/sharedStrings.xml><?xml version="1.0" encoding="utf-8"?>
<sst xmlns="http://schemas.openxmlformats.org/spreadsheetml/2006/main" count="2389" uniqueCount="570">
  <si>
    <t>ABSTRACT OF COST</t>
  </si>
  <si>
    <t>S.NO.</t>
  </si>
  <si>
    <t>DESCRIPTION OF ITEM</t>
  </si>
  <si>
    <t>UNIT</t>
  </si>
  <si>
    <t>Qty</t>
  </si>
  <si>
    <t>Amount</t>
  </si>
  <si>
    <t>Executed %</t>
  </si>
  <si>
    <t>Prev. Bill</t>
  </si>
  <si>
    <t>This Bill</t>
  </si>
  <si>
    <t>SQM</t>
  </si>
  <si>
    <t>Tracker NO</t>
  </si>
  <si>
    <t>Office NO</t>
  </si>
  <si>
    <t xml:space="preserve">CONTRACT VALUE  ; </t>
  </si>
  <si>
    <t>PROGRESS OF WORK:</t>
  </si>
  <si>
    <t>DATE OF BILL RECEIVED AT H.O. :-</t>
  </si>
  <si>
    <t>DATE OF BILL CHECKING AT H.O.  :-</t>
  </si>
  <si>
    <t>PARTICULARS</t>
  </si>
  <si>
    <t>CLAIMED BY CONTRACTOR</t>
  </si>
  <si>
    <t>GROSS AMT</t>
  </si>
  <si>
    <t>PREVIOUS AMT.</t>
  </si>
  <si>
    <t>THIS BILL AMT</t>
  </si>
  <si>
    <t>REMARKS</t>
  </si>
  <si>
    <t>WORK DONE(CIVIL)</t>
  </si>
  <si>
    <t>WORK DONE(ELECT/ PLUMBING)</t>
  </si>
  <si>
    <t>DIFF. OF CEMENT</t>
  </si>
  <si>
    <t>RATE DIFF OF TILES</t>
  </si>
  <si>
    <t>TOTAL (A)</t>
  </si>
  <si>
    <t>Add GST 18% On (A)</t>
  </si>
  <si>
    <t>TOTAL (B)</t>
  </si>
  <si>
    <t>ADVANCES</t>
  </si>
  <si>
    <t>Add Mobilization Advance</t>
  </si>
  <si>
    <t>TOTAL (C)</t>
  </si>
  <si>
    <t>DEDUCTIONS</t>
  </si>
  <si>
    <t>SECURITY @ 5 % (ON TOTAL A)</t>
  </si>
  <si>
    <t>TDS @ 1% (ON TOTAL  A)</t>
  </si>
  <si>
    <t>TOTAL DEDUCTION (C)</t>
  </si>
  <si>
    <t>NET PAYABLE AMOUNT (D)</t>
  </si>
  <si>
    <t>NOW PAYABLE</t>
  </si>
  <si>
    <t>PREPARED BY</t>
  </si>
  <si>
    <t>ACCOUNT (SITE)</t>
  </si>
  <si>
    <t>PREVIOUS RA BILL NO:-</t>
  </si>
  <si>
    <t>ANUP SINGH</t>
  </si>
  <si>
    <t>PREVIOUS RA GROSS AMOUNT:-</t>
  </si>
  <si>
    <t>DY. MANAGER</t>
  </si>
  <si>
    <t>PROJECT INCHARGE {CPC/PC/ASST V.P./SR GM /GM}</t>
  </si>
  <si>
    <t>S K PANDEY</t>
  </si>
  <si>
    <t>G.M. - PROJECT</t>
  </si>
  <si>
    <t>HO BILL MONITORING</t>
  </si>
  <si>
    <t>PRIYANK BARANWAL</t>
  </si>
  <si>
    <t>MANAGER (BILLING)</t>
  </si>
  <si>
    <t>S.No.</t>
  </si>
  <si>
    <t>Description</t>
  </si>
  <si>
    <t>QTY</t>
  </si>
  <si>
    <t>OMAXE LTD.</t>
  </si>
  <si>
    <t>Recover Mobilization Advance</t>
  </si>
  <si>
    <t xml:space="preserve">DATE OF BILL REC. AT SITE :- </t>
  </si>
  <si>
    <t>Rate</t>
  </si>
  <si>
    <t>TOTAL</t>
  </si>
  <si>
    <t>Total</t>
  </si>
  <si>
    <t>KG</t>
  </si>
  <si>
    <t>Unit</t>
  </si>
  <si>
    <t>L</t>
  </si>
  <si>
    <t>B</t>
  </si>
  <si>
    <t>H</t>
  </si>
  <si>
    <t>NOS</t>
  </si>
  <si>
    <t>UPENDER SINGH</t>
  </si>
  <si>
    <t>NARENDER KR. SHARMA</t>
  </si>
  <si>
    <t>G.M.-HO BILLING</t>
  </si>
  <si>
    <t>CHIEF MANAGER</t>
  </si>
  <si>
    <t xml:space="preserve">Earth work in excavation in  foundation trenches, column pits, plinth beam, under grade/ raft slab etc. by mechanical and/or manual means up to a depth of 1.5 mtr in soil from existing excavated soil level, stacking/spreading the  excavated material within site premises (within a stretch of 1500 M) as per direction of Project Manager including dressing of bottom, sides strutting, timbering, shoring, trimming of sides, all leads and lifts, bailing or pumping out the water from the excavated areas collected from any source including subsoil water and keeping the excavated surface dry for subsequent works incidentals, etc. complete with ramming of bottom, surface preparation as per specifications to receive the  PCC.    
                                                </t>
  </si>
  <si>
    <t>EARTH WORK</t>
  </si>
  <si>
    <t>1.1.</t>
  </si>
  <si>
    <t>CUM</t>
  </si>
  <si>
    <t>1.2.</t>
  </si>
  <si>
    <t>1.3.</t>
  </si>
  <si>
    <t>Total of Earthwork</t>
  </si>
  <si>
    <t>CONCRETE WORK</t>
  </si>
  <si>
    <t>2.2.</t>
  </si>
  <si>
    <t>2.3.</t>
  </si>
  <si>
    <t>2.4.</t>
  </si>
  <si>
    <t>RCC WORK</t>
  </si>
  <si>
    <t>2.4.1.</t>
  </si>
  <si>
    <t>Foundation, column footings, raft slab, raft beams, plinth beam, lift pits, sump pits, pedestals / bases of column, column upto plinth, swimming pool, Retaining wall foundations, grade slab etc.</t>
  </si>
  <si>
    <t>2.4.2.</t>
  </si>
  <si>
    <t>Suspended floors, roofs, balconies, shelves/ counters, stair waist slabs, folded plate stairs and landings, swimming pool slab, lintel and floor beams, landing beams, girders (deep beams), RCC bands, swimming pool beam, cantilever projections, coping, cills, slab of tank etc at all levels.</t>
  </si>
  <si>
    <t>2.4.2.1.</t>
  </si>
  <si>
    <t xml:space="preserve">Stilt Floor level to 7th Floor level </t>
  </si>
  <si>
    <t>2.4.2.2.</t>
  </si>
  <si>
    <t>7th Floor level to to Terrace Including OHT, Mumty, Machine Room, Parapet</t>
  </si>
  <si>
    <t>2.4.2.3.</t>
  </si>
  <si>
    <t xml:space="preserve">All type of Moulding, Bands, Elevation/Architectural Features as per drawing and as directed by EIC. at all level </t>
  </si>
  <si>
    <t>2.5.</t>
  </si>
  <si>
    <t>Columns, Wall, pillars, piers, abutments, posts and struts, offset and projection of columns, water tank walls, lift walls, Retaining Wall, swimming pool, Parapets, planters, vertical projection of  pergolas, wall and ramp walls  etc. at all levels.</t>
  </si>
  <si>
    <t>2.5.1.</t>
  </si>
  <si>
    <t>2.5.2.</t>
  </si>
  <si>
    <t>2.5.3.</t>
  </si>
  <si>
    <t>2.5.4.</t>
  </si>
  <si>
    <t>Total of RCC Work</t>
  </si>
  <si>
    <t>CENTRING AND SHUTTERING</t>
  </si>
  <si>
    <t>3.1.1.</t>
  </si>
  <si>
    <t>Foundation, column footings, raft slab, raft beams, plinth beam, lift pits, sump pits, pedestals / bases of column, column up to plinth, swimming pool, Retaining wall foundations, grade slab etc.</t>
  </si>
  <si>
    <t>3.1.2.</t>
  </si>
  <si>
    <t>3.1.2.1.</t>
  </si>
  <si>
    <t>3.1.2.2.</t>
  </si>
  <si>
    <t>3.1.2..3</t>
  </si>
  <si>
    <t>3.2.</t>
  </si>
  <si>
    <t>3.2.1.</t>
  </si>
  <si>
    <t>3.2.2.</t>
  </si>
  <si>
    <t>3.2.3.</t>
  </si>
  <si>
    <t>3.3.</t>
  </si>
  <si>
    <t>Total of Shuttering</t>
  </si>
  <si>
    <t>REINFORCEMENT</t>
  </si>
  <si>
    <t>4.1.</t>
  </si>
  <si>
    <t>Thermomechanically Treated Reinforcement (TMT) or  High yield strength Deformed (Tor steel) bars of all size &amp; grades.</t>
  </si>
  <si>
    <t>4.1.1.</t>
  </si>
  <si>
    <t xml:space="preserve">Up to Stilt Floor Level </t>
  </si>
  <si>
    <t>MT</t>
  </si>
  <si>
    <t>4.1.2.</t>
  </si>
  <si>
    <t>Stilt Floor level to to Terrace Including OHT, Mumty, Machine Room, Parapet)</t>
  </si>
  <si>
    <t>4.1.3.</t>
  </si>
  <si>
    <t>Total of Reinforcement</t>
  </si>
  <si>
    <t>MASONARY WORK</t>
  </si>
  <si>
    <t>(Quoted Rates are for all heights, all depths, all levels, including basement to roof (mumty) &amp; all leads and lifts, including curved or circular including elevation masonary work) (Basic Rate of Brick @ Rs. 7/No. FOR at site without GST)</t>
  </si>
  <si>
    <t>5.1.</t>
  </si>
  <si>
    <t xml:space="preserve">Brick work in Sub Structure (Up to Stilt Floor level): </t>
  </si>
  <si>
    <t>Providing and laying 230mm thick brick masonry using 1st quality burnt clay FPS bricks in Sub-Structure laid in cement mortar 1:6 (1 cement : 6 coarse sand) mix, joints finished, flush/ raked to 6mm  depth  including scaffolding, curing complete as per specification and drawing or as directed by Project Manager.</t>
  </si>
  <si>
    <t>5.2.</t>
  </si>
  <si>
    <t>5.3.</t>
  </si>
  <si>
    <t>Brick work in Super Structure (Above Stilt FLoor level)</t>
  </si>
  <si>
    <t>5.3.1</t>
  </si>
  <si>
    <t xml:space="preserve">Providing and laying 230mm thick brick masonry using 1st quality burnt clay FPS bricks in Super-Structure laid in cement mortar 1:6 (1 cement : 6 coarse sand) mix, joints finished, flush/ raked to 6mm  depth  including scaffolding, curing complete as per specification and drawing or as directed by Project Manager. </t>
  </si>
  <si>
    <t>(a)</t>
  </si>
  <si>
    <t>(b)</t>
  </si>
  <si>
    <t>5.4.</t>
  </si>
  <si>
    <t>5.4.1</t>
  </si>
  <si>
    <t>5.8.</t>
  </si>
  <si>
    <t xml:space="preserve">Providing and laying and constructing brickwork in staircase steps using 1st quality burnt clay FPS bricks in cement mortar 1:3 (1 cement : 3 coarse sand) at all heights and levels including cutting, chamfering  scaffolding, curing, complete as per specification. </t>
  </si>
  <si>
    <t>Total of Masonary Work</t>
  </si>
  <si>
    <t>FINISHING WORKS (PLASTER)</t>
  </si>
  <si>
    <t xml:space="preserve">(Quoted Rate shall be for all heights, depths, levels, leads and lifts and to include providing and fixing chicken wire mesh in junction RCC and brick / AAC Block walls and at all chased for electrical conduits &amp; plumbing pipes etc. for internal and external plaster works including minor chipping of RCC, brickwork surface). </t>
  </si>
  <si>
    <t>6.1.</t>
  </si>
  <si>
    <t xml:space="preserve">Internal Plaster Super-Structure: </t>
  </si>
  <si>
    <t>6.2.</t>
  </si>
  <si>
    <t>Total of Finishing Work (Plaster)</t>
  </si>
  <si>
    <t>STRUCTURE STEEL</t>
  </si>
  <si>
    <t>7.1.</t>
  </si>
  <si>
    <t>Total of Strutural Steel Work</t>
  </si>
  <si>
    <t>WOOD WORK</t>
  </si>
  <si>
    <t>Total of Wood Work</t>
  </si>
  <si>
    <t>WATERPROOFING</t>
  </si>
  <si>
    <t xml:space="preserve">TERRACE WATERPROOFING: </t>
  </si>
  <si>
    <t>Providing and laying 120 mm average thickness of brick bat Coba and 65 mm at Khurra on Terrace through an approved agency, approved by the Architect as per steps given.
(a) Surface Preparation, Cleaning the mother slab, reapir of joints, Providing and applying URP with cement slurry as primer to fill all the pores etc on mother slab over primer Providing and applying two coats of Fast Flex @ 2kg/Sqm including sandwiching the layer with fiber mesh of 45 GSM between two layers. (It shall also be execute up to 300 mm height of wall)
(b) laying cement concrete using broken bricks/ brick bats of size 25 mm to 100 mm size with 50 % of cement mortar 1:5 ( 1 cement : 5 coarse sand)  admixed with proprietary water proofing compound conforming to IS:2645 over 20 mm thick layer of cement mortar of mix 1:5 ( 1 cement : 5 coarse sand) admixed with admixed with proprietary water proofing compound conforming to IS:2645 to required slope and treating similarly the adjoining wall upto 300 mm height including rounding of junctions of wall and slabs.
(c) After two days of proper curing applying a second coat of cement slurry admixed with proprietary water proofing compound conforming to IS:2645 (d) Finishing the surface with 20 mm thick jointless cement mortar of mix 1:4 (1 cement : 4 coarse sand) admixed with proprietary water proofing compound conforming to IS:2645 and finally finishing the surface with trowel with neat cement slurry and making 300X300 mm square. (e) The whole terrace so finished sshall be looded with water for a minimum period of two weeks for curing and for final test. All above operations to be done in order and as directed and specified by the engineer in charge. With average thickness of 100 mm thickness and minimum thickness at khurra as 65 mm.</t>
  </si>
  <si>
    <t>Total of Waterproofing Work</t>
  </si>
  <si>
    <t>Grand Total (Excluding GST)</t>
  </si>
  <si>
    <t>AS PER W.O. (R0)</t>
  </si>
  <si>
    <r>
      <t xml:space="preserve">Excavation shall be payable only for vertical cut up to the outer edge of foundation lean concrete as indicated in drawings for all depths. Cost of extra excavation required for working space, supporting side shuttering of foundations and retaining walls, planking, dewatering, strutting etc. and that required for making slopes for stability of excavation shall be deemed to be included in the rate quoted. </t>
    </r>
    <r>
      <rPr>
        <b/>
        <sz val="10"/>
        <color rgb="FF000000"/>
        <rFont val="Calibri"/>
        <family val="2"/>
        <scheme val="minor"/>
      </rPr>
      <t>This item is not for Mass Excavation.</t>
    </r>
  </si>
  <si>
    <r>
      <t xml:space="preserve">Prepare the surface for PCC by manual excavation upto 30 cm depth including dressing the surface, ramming the bottom, disposal and spreading of the surplus earth at the specified location within premises  including  proper levelling, watering and consolidation complete  as directed by E I C. (The item shall be measured as per plan area of PCC, Working space shall not be taken into measurement, deemed to be included into rates) 
</t>
    </r>
    <r>
      <rPr>
        <b/>
        <sz val="10"/>
        <color rgb="FF000000"/>
        <rFont val="Calibri"/>
        <family val="2"/>
        <scheme val="minor"/>
      </rPr>
      <t>(This item is only applicable if excavation item is not being executed by contractor and excavation already done by client for the location)</t>
    </r>
  </si>
  <si>
    <r>
      <t xml:space="preserve">Filling available excavated earth in trenches, plinth, sides of foundations etc. in layers not exceeding 20cm in depth: consolidating each deposited layer by ramming and watering, lead within the premises and upto any depth. </t>
    </r>
    <r>
      <rPr>
        <b/>
        <sz val="10"/>
        <color rgb="FF000000"/>
        <rFont val="Calibri"/>
        <family val="2"/>
        <scheme val="minor"/>
      </rPr>
      <t>(Compacted Volume shall be payable as per drawing) - Actual volume shall be paid incase excavation is done by Client.</t>
    </r>
  </si>
  <si>
    <r>
      <t xml:space="preserve">Rates for all cement concrete items plain and reinforced  described below shall include work from Basement Level to top of last roof including roof of machine room, mumty, over head water tanks and  parapets above at all floors and for all heights. The contractor should provide full time sufficient pipes with accessories and pumps based on the site requirement for pumping and laying of concrete as directed by the EIC. The rate inclusive of standard rigid pipe line and its supports, lifting, laying charges, etc., at all heights and levels. No additional payment shall be payable to the contractor on account of using or change in any size of coarse aggregate in PCC/ RCC work at any stage during currency of works. </t>
    </r>
    <r>
      <rPr>
        <b/>
        <sz val="10"/>
        <color rgb="FF000000"/>
        <rFont val="Calibri"/>
        <family val="2"/>
        <scheme val="minor"/>
      </rPr>
      <t xml:space="preserve">(This section covers cast in situ structural and architectural as well.) </t>
    </r>
  </si>
  <si>
    <r>
      <rPr>
        <b/>
        <sz val="10"/>
        <color rgb="FF000000"/>
        <rFont val="Calibri"/>
        <family val="2"/>
        <scheme val="minor"/>
      </rPr>
      <t>Plain Cement Concrete:</t>
    </r>
    <r>
      <rPr>
        <sz val="10"/>
        <color rgb="FF000000"/>
        <rFont val="Calibri"/>
        <family val="2"/>
        <scheme val="minor"/>
      </rPr>
      <t xml:space="preserve">
Providing and laying plain cement concrete of specified grade as bed concrete under foundation, bases for rafts, underground water tank, building machine equipments, column footing, under floor landings, below road and pathways, cill, coping, screeding at roof to required slope and other locations as called for laid, consolidated and cured etc. complete including finishing the top surface to receive the next course / layer as per specification and drawing. </t>
    </r>
    <r>
      <rPr>
        <b/>
        <sz val="10"/>
        <color rgb="FF000000"/>
        <rFont val="Calibri"/>
        <family val="2"/>
        <scheme val="minor"/>
      </rPr>
      <t>(Shuttering shall be paid in Item No.3.1.1)
M10 Grade (Basic Rate of PCC - Rs. 4200/cum) without pump</t>
    </r>
  </si>
  <si>
    <r>
      <t xml:space="preserve">Providing and laying cement concrete 1:2:4 (1 cement : 2 coarse sand : 4 graded stone aggregate 20mm nominal size) for ledge wall below balcony railings, band, mullion, lintel etc. </t>
    </r>
    <r>
      <rPr>
        <b/>
        <sz val="10"/>
        <color rgb="FF000000"/>
        <rFont val="Calibri"/>
        <family val="2"/>
        <scheme val="minor"/>
      </rPr>
      <t>(Shuttering shall be paid separately in respective item)</t>
    </r>
    <r>
      <rPr>
        <sz val="10"/>
        <color rgb="FF000000"/>
        <rFont val="Calibri"/>
        <family val="2"/>
        <scheme val="minor"/>
      </rPr>
      <t xml:space="preserve"> as per drawing and as directed by the Project Manager.</t>
    </r>
  </si>
  <si>
    <r>
      <t xml:space="preserve">Providing and laying </t>
    </r>
    <r>
      <rPr>
        <b/>
        <sz val="10"/>
        <color rgb="FF000000"/>
        <rFont val="Calibri"/>
        <family val="2"/>
        <scheme val="minor"/>
      </rPr>
      <t xml:space="preserve">damp proof course 40mm thick </t>
    </r>
    <r>
      <rPr>
        <sz val="10"/>
        <color rgb="FF000000"/>
        <rFont val="Calibri"/>
        <family val="2"/>
        <scheme val="minor"/>
      </rPr>
      <t>including shttering</t>
    </r>
    <r>
      <rPr>
        <b/>
        <sz val="10"/>
        <color rgb="FF000000"/>
        <rFont val="Calibri"/>
        <family val="2"/>
        <scheme val="minor"/>
      </rPr>
      <t xml:space="preserve"> </t>
    </r>
    <r>
      <rPr>
        <sz val="10"/>
        <color rgb="FF000000"/>
        <rFont val="Calibri"/>
        <family val="2"/>
        <scheme val="minor"/>
      </rPr>
      <t>with cement concrete 1:2:4 (1 cement : 2 coarse sand : 4 graded stone aggregate 20mm nominal size) including mixing of water proofing compound @ 2% of cement content and  applying two layers of bitumen @ 1.70 Kg/Sqm of grade 85/25 and as directed by the Project Manager.</t>
    </r>
  </si>
  <si>
    <r>
      <t xml:space="preserve">Providing &amp; Laying </t>
    </r>
    <r>
      <rPr>
        <b/>
        <sz val="10"/>
        <color rgb="FF000000"/>
        <rFont val="Calibri"/>
        <family val="2"/>
        <scheme val="minor"/>
      </rPr>
      <t>RMC M-25</t>
    </r>
    <r>
      <rPr>
        <sz val="10"/>
        <color rgb="FF000000"/>
        <rFont val="Calibri"/>
        <family val="2"/>
        <scheme val="minor"/>
      </rPr>
      <t xml:space="preserve"> Grade as per approved design mix concrete (strictly controlled conditions) with flyash (as per approved design mix) with automatic batching plant machine mixed and machine  vibrated RCC with melamine based plasticisers etc., upto any level, including finishing the exposed surface, fixing/ removal of pockets, fixing of sleeves and inserts (sleeves provided by client), curing etc complete, as per drawing (including all size and shape like circular, semi-circular, oval etc.) and as directed for all lead and lift, excluding cost of centering, shuttering and steel reinforcement but including cost of making shear keys and provision of construction / contraction / control joints in various locations. Checking from Client should not be considered as final and any defects arising during or after casting should be borne &amp; bear by contractor at his own cost. This is inclusive of leaving shuttering &amp; centring for pour strip, slab in slope, RCC members in curved, etc., nothing is payable extra on this account.
</t>
    </r>
    <r>
      <rPr>
        <b/>
        <sz val="10"/>
        <color rgb="FF000000"/>
        <rFont val="Calibri"/>
        <family val="2"/>
        <scheme val="minor"/>
      </rPr>
      <t>RMC (M-25) Basic Rate - Rs. 5200/cum without pump excluding GST</t>
    </r>
  </si>
  <si>
    <r>
      <t xml:space="preserve">Finishing </t>
    </r>
    <r>
      <rPr>
        <b/>
        <sz val="10"/>
        <color rgb="FF000000"/>
        <rFont val="Calibri"/>
        <family val="2"/>
        <scheme val="minor"/>
      </rPr>
      <t>vaccum dewatering continuous concrete flooring 100-150 mm thick</t>
    </r>
    <r>
      <rPr>
        <sz val="10"/>
        <color rgb="FF000000"/>
        <rFont val="Calibri"/>
        <family val="2"/>
        <scheme val="minor"/>
      </rPr>
      <t xml:space="preserve"> with specified grade concrete including necessary formwork in required level, vibrating concrete both by poker vibrators /  leveling vaccum processing of the concrete and planning the surface by skin powered floater trowels with broom/plain finish including groove cutting &amp; filling etc. complete. </t>
    </r>
    <r>
      <rPr>
        <b/>
        <sz val="10"/>
        <color rgb="FF000000"/>
        <rFont val="Calibri"/>
        <family val="2"/>
        <scheme val="minor"/>
      </rPr>
      <t xml:space="preserve">(Concrete shall be paid in the respective items above). </t>
    </r>
  </si>
  <si>
    <r>
      <t xml:space="preserve">Providing and fixing plywood or steel plate shuttering and centring for structural concrete work  in locations called for including strutting, propping, bracing, bolting, wedging, casing, striking, removal etc.  complete for any size, section, thickness. Props shall consist of well designed steel pipes adequately braced (wooden ballies as props shall not be permitted). The item to include centering and shuttering at all heights and levels. Allow for forming grooves, drip course, chamfers, cut-outs, openings etc. where called for and for dressing with approved shuttering oil to prevent adhesion. Unexposed concrete surfaces subsequently left untreated (in the condition obtained on removal of form work) shall not constitute exposed concrete work and shall be measured under this item only Irregular shapes with sides (like circular, semi-circular, oval etc.) which may not be perpendicular to each other for shapes not conforming to rectangle  or square, and circular shuttering shall not be paid separately. Joints of soffits of the slab shall be made clean after concreting and de-shuttering. </t>
    </r>
    <r>
      <rPr>
        <b/>
        <sz val="10"/>
        <color rgb="FF000000"/>
        <rFont val="Calibri"/>
        <family val="2"/>
        <scheme val="minor"/>
      </rPr>
      <t>(quoted rate to include all staging upto 3.50 mtr height). 
Note:- Contractor shall take necessary precautions such as watertight shuttering. This is inclusive of RCC members, leaving shuttering &amp; centring for pour strip, slab in slope, RCC members in curved (in plan), etc., nothing is payable extra on this account.</t>
    </r>
  </si>
  <si>
    <r>
      <t xml:space="preserve">Extra for additional height in centring, shuttering where ever required with adequate bracing, propping etc. including cost of de-shuttering and decentring at all levels, over and above height of 3.50 mtr </t>
    </r>
    <r>
      <rPr>
        <b/>
        <sz val="10"/>
        <color rgb="FF000000"/>
        <rFont val="Calibri"/>
        <family val="2"/>
        <scheme val="minor"/>
      </rPr>
      <t>(Plan area to be measured and shall be paid proportionately on actual height) – for every 1.0 mtr. height</t>
    </r>
  </si>
  <si>
    <r>
      <t xml:space="preserve">Receiving, laying and fixing in position steel reinforcement in all reinforced concrete work, including straightening, cutting, removal of loose rust by wire brush and coating with cement slurry, bending,  hoisting, laying in position to the shape and profile required at all levels and heights as per drawing and design and/ or as directed, binding with double folded steel wire as approved by EIC etc. complete.  
(Contractor shall prepare BBS and submit to EIC for approval prior to cutting, bending &amp; laying of steel bars and payments shall be released as per approved BBS complete in all respect as per direction and approval of EIC Rate shall include cost of 18 gauge GI binding wire, cover blocks as per Indian Standards, unloading the steel &amp; moving to the steel yard, moving site to site within project etc) </t>
    </r>
    <r>
      <rPr>
        <b/>
        <sz val="10"/>
        <color rgb="FF000000"/>
        <rFont val="Calibri"/>
        <family val="2"/>
        <scheme val="minor"/>
      </rPr>
      <t>(Only Steel reinforcement shall be provided by the owner free of cost at one point)</t>
    </r>
  </si>
  <si>
    <r>
      <t xml:space="preserve">Providing and laying of 115 mm thick brick work with 1st quality burnt clay FPS bricks in sub-superstructure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 xml:space="preserve">(Hoop iron shall be provided by client free of cost) (Items of RCC bands like shuttering, concrete and reinforcement to be paid in respective items). </t>
    </r>
  </si>
  <si>
    <r>
      <t xml:space="preserve">Providing and laying of 115 mm thick brick work with 1st quality burnt clay FPS bricks in Super-Superstructure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(Hoop iron shall be provided by client free of cost)</t>
    </r>
    <r>
      <rPr>
        <sz val="10"/>
        <color rgb="FF000000"/>
        <rFont val="Calibri"/>
        <family val="2"/>
        <scheme val="minor"/>
      </rPr>
      <t xml:space="preserve"> </t>
    </r>
    <r>
      <rPr>
        <b/>
        <sz val="10"/>
        <color rgb="FF000000"/>
        <rFont val="Calibri"/>
        <family val="2"/>
        <scheme val="minor"/>
      </rPr>
      <t>(Items of RCC bands like shuttering, concrete and reinforcement to be paid in respective items).</t>
    </r>
  </si>
  <si>
    <r>
      <t>Brick work in staircase steps:</t>
    </r>
    <r>
      <rPr>
        <sz val="10"/>
        <color rgb="FF000000"/>
        <rFont val="Calibri"/>
        <family val="2"/>
        <scheme val="minor"/>
      </rPr>
      <t xml:space="preserve"> </t>
    </r>
  </si>
  <si>
    <r>
      <rPr>
        <b/>
        <sz val="10"/>
        <color rgb="FF000000"/>
        <rFont val="Calibri"/>
        <family val="2"/>
        <scheme val="minor"/>
      </rPr>
      <t>Wall Plaster:</t>
    </r>
    <r>
      <rPr>
        <sz val="10"/>
        <color rgb="FF000000"/>
        <rFont val="Calibri"/>
        <family val="2"/>
        <scheme val="minor"/>
      </rPr>
      <t xml:space="preserve">
Providing and applying 12 to 15mm thick plaster to masonry and RCC walls, columns etc. in cement mortar 1:5 (1 cement : 5 screened coarse sand) finished smooth including hacking the surfaces, steel  scaffolding, curing, making grooves at desired location etc. complete for all levels as per approved drawing. </t>
    </r>
  </si>
  <si>
    <r>
      <rPr>
        <b/>
        <sz val="10"/>
        <color rgb="FF000000"/>
        <rFont val="Calibri"/>
        <family val="2"/>
        <scheme val="minor"/>
      </rPr>
      <t xml:space="preserve">Ceiling Plaster:
</t>
    </r>
    <r>
      <rPr>
        <sz val="10"/>
        <color rgb="FF000000"/>
        <rFont val="Calibri"/>
        <family val="2"/>
        <scheme val="minor"/>
      </rPr>
      <t xml:space="preserve">Providing and applying 6-10mm thick plaster to  RCC slab, beam in cement mortar 1:4 (1 cement : 4 screened coarse sand) finished smooth including hacking the surfaces, steel scaffolding, curing, making grooves at  desired location etc. complete for all levels as per approved drawing. </t>
    </r>
  </si>
  <si>
    <r>
      <rPr>
        <b/>
        <sz val="10"/>
        <color rgb="FF000000"/>
        <rFont val="Calibri"/>
        <family val="2"/>
        <scheme val="minor"/>
      </rPr>
      <t>Double Layer External Plaster:</t>
    </r>
    <r>
      <rPr>
        <sz val="10"/>
        <color rgb="FF000000"/>
        <rFont val="Calibri"/>
        <family val="2"/>
        <scheme val="minor"/>
      </rPr>
      <t xml:space="preserve">
Providing and applying 20 mm thick external cement plaster in two coats under layer 12 mm thick cement plaster 1:5 (1 cement : 5 screened coarse sand) finished with a  top layer 8mm thick cement plaster   1:4 (1 cement : 4 screened coarse sand) including making of grooves, bands, drip coarse, design etc. as shown in drawing, steel scaffolding, curing, providing &amp; mixing water proofing compound (CICO) in both layers as per manufacturer specification etc. complete as per approved drawing. </t>
    </r>
  </si>
  <si>
    <r>
      <rPr>
        <b/>
        <sz val="10"/>
        <color rgb="FF000000"/>
        <rFont val="Calibri"/>
        <family val="2"/>
        <scheme val="minor"/>
      </rPr>
      <t>Single Layer (Shaft Plaster):</t>
    </r>
    <r>
      <rPr>
        <sz val="10"/>
        <color rgb="FF000000"/>
        <rFont val="Calibri"/>
        <family val="2"/>
        <scheme val="minor"/>
      </rPr>
      <t xml:space="preserve"> 
Providing and applying 12-15 mm thick external cement plaster in single coat finished with cement plaster 1:4 (1 cement : 4 screened coarse sand) including making of grooves, bands, drip coarse as  shown in drawing, steel scaffolding, curing, providing &amp; mixing water proofing compound (CICO) as per manufacturer specification etc. complete as per approved drawing. </t>
    </r>
  </si>
  <si>
    <r>
      <rPr>
        <b/>
        <sz val="10"/>
        <color rgb="FF000000"/>
        <rFont val="Calibri"/>
        <family val="2"/>
        <scheme val="minor"/>
      </rPr>
      <t>Structural steel work with solid/hollow sections:</t>
    </r>
    <r>
      <rPr>
        <sz val="10"/>
        <color rgb="FF000000"/>
        <rFont val="Calibri"/>
        <family val="2"/>
        <scheme val="minor"/>
      </rPr>
      <t xml:space="preserve">
Providing and fixing M.S. work in built-up section such as staircase railing, balcony railing, grating, MS drain cover, MS mumty door including hold fast/fastener etc. with square/round MS Pipes, MS  flats, MS Hollow section etc., as per design electrically welded and fixing in RCC/brick masonry or/and treads of steps with cement concrete 1:2:4 (1 cement : 2 corse sand : 4 grades stone aggregate 20 mm nominal sie), complete in all respect as per drawing &amp; direction of EIC, including a coat of red oxide steel primer. </t>
    </r>
    <r>
      <rPr>
        <b/>
        <sz val="10"/>
        <color rgb="FF000000"/>
        <rFont val="Calibri"/>
        <family val="2"/>
        <scheme val="minor"/>
      </rPr>
      <t>(Basic Rate of Str. Steel - Rs. 60/- Per Kg. F.O.R excluding GST)</t>
    </r>
    <r>
      <rPr>
        <sz val="10"/>
        <color rgb="FF000000"/>
        <rFont val="Calibri"/>
        <family val="2"/>
        <scheme val="minor"/>
      </rPr>
      <t xml:space="preserve"> </t>
    </r>
  </si>
  <si>
    <r>
      <t xml:space="preserve">Providing and Fixing seasoned Red Meranti door frame including painting the portion in contact with masonary / R.C.C. with 2 or more coats of  Antitermite treatment paint and fixng the frames with suitable 3 Nos. M.S. holdfasts each side made out of 40 x 5 mm flat iron 230 mm long with bolts and nuts/ dash fasteners for RCC surfaces, duly embedded in C.C. Blocks of required size in (1:2:4 ) 1 cement : 2 coarse sand : 4 stone aggregate 20 mm nominal size) including tarring the hold fast etc.all complete as per direction of EIC. </t>
    </r>
    <r>
      <rPr>
        <b/>
        <sz val="10"/>
        <color rgb="FF000000"/>
        <rFont val="Calibri"/>
        <family val="2"/>
        <scheme val="minor"/>
      </rPr>
      <t xml:space="preserve">(Finished size to be confirmed by client before procurement) (Sample of wood shall be get approved by client before procurement) </t>
    </r>
  </si>
  <si>
    <r>
      <t xml:space="preserve">Providing gola in 1: 2: 4 cement concrete with 12 mm nominal size stone ballast, finished with cement plaster 1:2 (1 cement: 2 medium sand) laid, cured complete as per design. (Approx. Size 100mm x 100mm)
Making khurras 450 x 450 mm with average min. thk. Of 50 mm over PVCsheet of 1m x 1m x 400 micron with cement concrete 1:2:4 (1 cement: 2 coarse sand: 4 graded stone aggregate of 12 mm nominal size) finished with 12 mm cement plaster 1:3 (1 cement: 3 coarse sand) and a coat of neat cement, rounding the edges, making and finishing complete.
</t>
    </r>
    <r>
      <rPr>
        <b/>
        <sz val="10"/>
        <color rgb="FF000000"/>
        <rFont val="Calibri"/>
        <family val="2"/>
        <scheme val="minor"/>
      </rPr>
      <t>(Only plan area shall be paid).</t>
    </r>
  </si>
  <si>
    <t>UpTo Date</t>
  </si>
  <si>
    <t xml:space="preserve">NATURE OF WORK : CIVIL STRUCTURE WORK </t>
  </si>
  <si>
    <t>NAME  OF THE CONTRACTOR :- M/s MARCO-ENTERPRISES</t>
  </si>
  <si>
    <t>WORK ORDER NO. &amp; DATE : OPRL/ATE/11094106758 (14 FEB, 2025)</t>
  </si>
  <si>
    <t>COMPLETION PERIOD :  Upto 31-Aug-2026 (18 Months)</t>
  </si>
  <si>
    <t>GST No. : 09BLDPK5228HIZ2</t>
  </si>
  <si>
    <t>PAN NO. : BLDPK5228H</t>
  </si>
  <si>
    <t>NAME OF PROJECT : OMAXE ANANDA TOWER-E (Location: Tower-E STILT + 14 FLOORS)</t>
  </si>
  <si>
    <t xml:space="preserve">VENDOR CODE: </t>
  </si>
  <si>
    <t>DATE OF START:  01.MAY.2025</t>
  </si>
  <si>
    <t>COMPANY- OMAXE PANCHAM REALCON PVT LTD</t>
  </si>
  <si>
    <t>PROJECT- TOWER-E</t>
  </si>
  <si>
    <t>LOCATION- NAINI, PRAYAGRAJ</t>
  </si>
  <si>
    <t>MB SHEET-  SOIL SURFACE DRESSING BELOW PLINTH BEAM</t>
  </si>
  <si>
    <t>DESCRIPTION</t>
  </si>
  <si>
    <t>MEASUREMENT</t>
  </si>
  <si>
    <t>QTY.</t>
  </si>
  <si>
    <t>H/T</t>
  </si>
  <si>
    <t>SOIL DRESSING FOR RAFT PCC</t>
  </si>
  <si>
    <t>GRID (22'-43'/A-Q')</t>
  </si>
  <si>
    <t>GRID (22'-26'/M'-Q')</t>
  </si>
  <si>
    <t>GRID (38'-43'/A-E')</t>
  </si>
  <si>
    <t>GRID (22'-30'/A-B')</t>
  </si>
  <si>
    <t>RAFT PCC- M10</t>
  </si>
  <si>
    <t>EXISTING RAFT (DETAILS IN JMR)</t>
  </si>
  <si>
    <t>RAFT RCC- M25</t>
  </si>
  <si>
    <t>MB SHEET- CONCRETE WORK</t>
  </si>
  <si>
    <t>MB SHEET- SHUTTERING BELOW PLINTH BEAM</t>
  </si>
  <si>
    <t>PCC SHUTTERING</t>
  </si>
  <si>
    <t>GRID (22'-26'/M')</t>
  </si>
  <si>
    <t>GRID (26'-43'/Q')</t>
  </si>
  <si>
    <t>GRID (43'/E'-Q')</t>
  </si>
  <si>
    <t>GRID (38'-43'/E')</t>
  </si>
  <si>
    <t>GRID (38'/A-E')</t>
  </si>
  <si>
    <t>GRID (30-38'/A)</t>
  </si>
  <si>
    <t>GRID (30/A-A')</t>
  </si>
  <si>
    <t>GRID (27'-30/A')</t>
  </si>
  <si>
    <t>GRID (27'/A'-B)</t>
  </si>
  <si>
    <t>GRID (26'-27'/B)</t>
  </si>
  <si>
    <t>GRID (26'/B-B')</t>
  </si>
  <si>
    <t>GRID (22'-26'/B')</t>
  </si>
  <si>
    <t>RAFT SHUTTERING</t>
  </si>
  <si>
    <t>TOWER-E RAFT BBS</t>
  </si>
  <si>
    <t>Shape of Bar in mm</t>
  </si>
  <si>
    <t>Spacing c/c</t>
  </si>
  <si>
    <t>Dia of Bar</t>
  </si>
  <si>
    <t>No's of Set</t>
  </si>
  <si>
    <t>No's of Bar</t>
  </si>
  <si>
    <t>Actual Length</t>
  </si>
  <si>
    <t>Lap</t>
  </si>
  <si>
    <t>No. Of Bend</t>
  </si>
  <si>
    <t>Deduction In mm</t>
  </si>
  <si>
    <t>Cut Length</t>
  </si>
  <si>
    <t>Total Length</t>
  </si>
  <si>
    <t>TMT BAR Fe-500D or EQR</t>
  </si>
  <si>
    <t>Remarks</t>
  </si>
  <si>
    <t>A</t>
  </si>
  <si>
    <t>RAFT</t>
  </si>
  <si>
    <t>8mm</t>
  </si>
  <si>
    <t>10mm</t>
  </si>
  <si>
    <t>12mm</t>
  </si>
  <si>
    <t>16mm</t>
  </si>
  <si>
    <t>20mm</t>
  </si>
  <si>
    <t>25mm</t>
  </si>
  <si>
    <t>BOTTOM MAIN BAR</t>
  </si>
  <si>
    <t>GRID (39'-43/E'-Q')</t>
  </si>
  <si>
    <t>MAIN BAR BOTTOM (ALTH.)</t>
  </si>
  <si>
    <t>GRID (38'-39'/E'-Q')</t>
  </si>
  <si>
    <t>GRID (32'-38'/A-Q')</t>
  </si>
  <si>
    <t>GRID (30'-32'/A-Q')</t>
  </si>
  <si>
    <t>GRID (27'-30/A-Q')</t>
  </si>
  <si>
    <t>GRID (26'-27'/A'-Q')</t>
  </si>
  <si>
    <t>GRID (22'-26'/B-Q')</t>
  </si>
  <si>
    <t>BOTTOM DISTRIBUTION BAR</t>
  </si>
  <si>
    <t>DIST. BAR BOTTOM (ALTH.)</t>
  </si>
  <si>
    <t>GRID (27'-38'/A-B)</t>
  </si>
  <si>
    <t>GRID (26'-38'/B-B')</t>
  </si>
  <si>
    <t>GRID (22'-38'/B'-E')</t>
  </si>
  <si>
    <t>GRID (22'-43'/E'-K)</t>
  </si>
  <si>
    <t>GRID (26'-43'/M-Q)</t>
  </si>
  <si>
    <t>GRID (33-39/Q')</t>
  </si>
  <si>
    <t>TOP MAIN BAR</t>
  </si>
  <si>
    <t>TOP DISTRIBUTION BAR</t>
  </si>
  <si>
    <t>BINDER</t>
  </si>
  <si>
    <t>GRID (38'-43/E')</t>
  </si>
  <si>
    <t>GRID (43/E'-Q')</t>
  </si>
  <si>
    <t>GRID (30/A-B)</t>
  </si>
  <si>
    <t>GRID (27'-30/A-B)</t>
  </si>
  <si>
    <t>GRID (27'/A-B)</t>
  </si>
  <si>
    <t>GRID (26'/B-C)</t>
  </si>
  <si>
    <t>GRID ( 22'-26'/B')</t>
  </si>
  <si>
    <t>GRID ( 22'-26'/M')</t>
  </si>
  <si>
    <t>GRID (26/M'-Q')</t>
  </si>
  <si>
    <t>GRID (26-43'/Q')</t>
  </si>
  <si>
    <t>CHAIR</t>
  </si>
  <si>
    <t>BOTTOM EXTRA BAR</t>
  </si>
  <si>
    <t>SW1 GRID (38/A-B)</t>
  </si>
  <si>
    <t>C1 GRID (34-35/A)</t>
  </si>
  <si>
    <t>C1 GRID (32/A)</t>
  </si>
  <si>
    <t>SW2, C7 GRID (27,28/B-C)</t>
  </si>
  <si>
    <t>C1 GRID (32/C)</t>
  </si>
  <si>
    <t>C2 GRID ( 25/C)</t>
  </si>
  <si>
    <t>C2 GRID (25/C)</t>
  </si>
  <si>
    <t>C3 GRID (23/C)</t>
  </si>
  <si>
    <t>C1 GRID (38/D)</t>
  </si>
  <si>
    <t>C2 GRID (35/D)</t>
  </si>
  <si>
    <t>C1 GRID (28/D)</t>
  </si>
  <si>
    <t>C1 GRID (26/D)</t>
  </si>
  <si>
    <t>C6 GRID (37/E)</t>
  </si>
  <si>
    <t>SW4, SW3 GRID (32,33/E)</t>
  </si>
  <si>
    <t>SW6 GRID (28/E)</t>
  </si>
  <si>
    <t>SW6 GRID ( 28/E)</t>
  </si>
  <si>
    <t>C2 GRID (26/E)</t>
  </si>
  <si>
    <t>C2 GRID (25/D-E)</t>
  </si>
  <si>
    <t>C8 GRID (23/D-E)</t>
  </si>
  <si>
    <t>SW9, C1 GRID (43/F, J)</t>
  </si>
  <si>
    <t>C2 GRID (41/F)</t>
  </si>
  <si>
    <t>C6 GRID (39/F)</t>
  </si>
  <si>
    <t>C5 GRID (37/H)</t>
  </si>
  <si>
    <t>SW5 GRID (34/F)</t>
  </si>
  <si>
    <t>SW5 GRID (29/F)</t>
  </si>
  <si>
    <t>C1, SW7 GRID (24/E,G,H)</t>
  </si>
  <si>
    <t>SW8 GRID (22/G)</t>
  </si>
  <si>
    <t>C4 GRID (41/J)</t>
  </si>
  <si>
    <t>C5 GRID (39/J)</t>
  </si>
  <si>
    <t>C4 GRID (35/J)</t>
  </si>
  <si>
    <t>C4 GRID (29/J)</t>
  </si>
  <si>
    <t>SW6 GRID (28/I)</t>
  </si>
  <si>
    <t>C2 GRID (26/I)</t>
  </si>
  <si>
    <t>C2 GRID (25/J)</t>
  </si>
  <si>
    <t>C8 GRID (23/J)</t>
  </si>
  <si>
    <t>C1 GRID (28/J-K)</t>
  </si>
  <si>
    <t>C1 GRID ( 26/D)</t>
  </si>
  <si>
    <t>C2 GRID (25/L)</t>
  </si>
  <si>
    <t>C3 GRID (23/L)</t>
  </si>
  <si>
    <t>SW12, C7 GRID (27,28/M-N)</t>
  </si>
  <si>
    <t>C6 GRID (43/M)</t>
  </si>
  <si>
    <t>C6 GRID (43/O)</t>
  </si>
  <si>
    <t>C1 GRID (42/M)</t>
  </si>
  <si>
    <t>C1 GRID (42/O)</t>
  </si>
  <si>
    <t>C4 GRID (39/M)</t>
  </si>
  <si>
    <t>C4 GRID (39/O)</t>
  </si>
  <si>
    <t>C2 GRID (38/N)</t>
  </si>
  <si>
    <t>C5 GRID (37/L)</t>
  </si>
  <si>
    <t>C4 GRID (37/O)</t>
  </si>
  <si>
    <t>C5 GRID (32/O)</t>
  </si>
  <si>
    <t>C1 GRID (29/O)</t>
  </si>
  <si>
    <t>C6 GRID (27/O)</t>
  </si>
  <si>
    <t>SW9, C1 GRID (43/P, Q)</t>
  </si>
  <si>
    <t>SW9, C1 GRID (27/P, Q)</t>
  </si>
  <si>
    <t>C2 GRID (41/Q)</t>
  </si>
  <si>
    <t>C6 GRID (39/Q)</t>
  </si>
  <si>
    <t>C6 GRID (34/Q)</t>
  </si>
  <si>
    <t>C2 GRID (30/Q)</t>
  </si>
  <si>
    <t>C5 GRID (37/P-Q)</t>
  </si>
  <si>
    <t>C4 GRID (41/P)</t>
  </si>
  <si>
    <t>C5 GRID (39/P)</t>
  </si>
  <si>
    <t>C4 GRID (30/P)</t>
  </si>
  <si>
    <t>C5 GRID (34/P)</t>
  </si>
  <si>
    <t>SW10, SW11, SW13 GRID (31-36/K-N)</t>
  </si>
  <si>
    <t>SPACER B/W EXTRA BAR</t>
  </si>
  <si>
    <t>C4 GRID (25/J)</t>
  </si>
  <si>
    <t>C4 GRID (40/O)</t>
  </si>
  <si>
    <t>C4 GRID (29/P)</t>
  </si>
  <si>
    <t>TOP EXTRA BAR</t>
  </si>
  <si>
    <t>GRID (35-37/A-D)</t>
  </si>
  <si>
    <t>GRID (32-35/A-D)</t>
  </si>
  <si>
    <t>GRID (28-31/B-E)</t>
  </si>
  <si>
    <t>GRID (26-28/B-E)</t>
  </si>
  <si>
    <t>GRID (25-26/B-E)</t>
  </si>
  <si>
    <t>GRID (24-26/B-E)</t>
  </si>
  <si>
    <t>GRID (21-23 /B-E)</t>
  </si>
  <si>
    <t>GRID (34-36 /D-F)</t>
  </si>
  <si>
    <t>GRID (41-43 /E-I)</t>
  </si>
  <si>
    <t>GRID (40-42 /E-K)</t>
  </si>
  <si>
    <t>GRID (41-42 /E-I)</t>
  </si>
  <si>
    <t>GRID (41-42 /E-L)</t>
  </si>
  <si>
    <t>GRID (40-42 /J-L)</t>
  </si>
  <si>
    <t>GRID (34-38 /H-K)</t>
  </si>
  <si>
    <t>GRID (28-33 /H-K)</t>
  </si>
  <si>
    <t>GRID (25-28 /E-I)</t>
  </si>
  <si>
    <t>GRID (25-28 /I-K)</t>
  </si>
  <si>
    <t>GRID (24-25 /B-M)</t>
  </si>
  <si>
    <t>GRID (24-25 /J-K)</t>
  </si>
  <si>
    <t>GRID (22-24 /J-M)</t>
  </si>
  <si>
    <t>GRID (22-24 /E-J)</t>
  </si>
  <si>
    <t>GRID (21-23 /I-M)</t>
  </si>
  <si>
    <t>GRID (40-43/M-O)</t>
  </si>
  <si>
    <t>GRID (40-43 /M-O)</t>
  </si>
  <si>
    <t>GRID (37-40 /K-N)</t>
  </si>
  <si>
    <t>GRID (40-43 /O-Q)</t>
  </si>
  <si>
    <t>GRID (36-39 /N-P)</t>
  </si>
  <si>
    <t>GRID (31-36 /O-P)</t>
  </si>
  <si>
    <t>GRID (33-38 /O'-P')</t>
  </si>
  <si>
    <t>GRID (33-38 /P'-Q)</t>
  </si>
  <si>
    <t>GRID (29-32 /O-Q)</t>
  </si>
  <si>
    <t>GRID (26-29 /O-Q)</t>
  </si>
  <si>
    <t>TOTAL LENGTH IN METRE</t>
  </si>
  <si>
    <t>UNIT WEIGHT (IN KG)</t>
  </si>
  <si>
    <t>TOTAL WEIGHT (IN KG)</t>
  </si>
  <si>
    <t>TOWER-E COLUMN FOUNDATION BBS (BELOW PLINTH BEAM)</t>
  </si>
  <si>
    <t>Nos of Columns</t>
  </si>
  <si>
    <t>Nos of Bar</t>
  </si>
  <si>
    <t>Deduction</t>
  </si>
  <si>
    <t>Column C1  (300x600)</t>
  </si>
  <si>
    <t>VERTICAL BARS A</t>
  </si>
  <si>
    <t>VERTICAL BARS B</t>
  </si>
  <si>
    <t>VERTICAL BARS C</t>
  </si>
  <si>
    <t>VERTICAL BARS D</t>
  </si>
  <si>
    <t>Stirupps a</t>
  </si>
  <si>
    <t>Stirupps b</t>
  </si>
  <si>
    <t>Stirupps c</t>
  </si>
  <si>
    <t>Stirupps d</t>
  </si>
  <si>
    <t>Column C2  (300x600)</t>
  </si>
  <si>
    <t>Column C3  (300x600)</t>
  </si>
  <si>
    <t>Column C4  (300x750)</t>
  </si>
  <si>
    <t>VERTICAL BARS E</t>
  </si>
  <si>
    <t>Stirupps e</t>
  </si>
  <si>
    <t>Column C5  (300x750)</t>
  </si>
  <si>
    <t>Column C6  (300x715)</t>
  </si>
  <si>
    <t>Column C7  (300x800)</t>
  </si>
  <si>
    <t>Column C8  (300x600)</t>
  </si>
  <si>
    <t>SW1  (230x650/1650)</t>
  </si>
  <si>
    <t>Stirupps f</t>
  </si>
  <si>
    <t>Stirupps g</t>
  </si>
  <si>
    <t>SW2  (230x650/1850)</t>
  </si>
  <si>
    <t>SW3  (230x1000)</t>
  </si>
  <si>
    <t>SW4  (230x1150)</t>
  </si>
  <si>
    <t>VERTICAL BARS F</t>
  </si>
  <si>
    <t>SW5  (230x1700)</t>
  </si>
  <si>
    <t>VERTICAL BARS G</t>
  </si>
  <si>
    <t>SW6  (230x1185)</t>
  </si>
  <si>
    <t>SW7  (230x1855)</t>
  </si>
  <si>
    <t>VERTICAL BARS H</t>
  </si>
  <si>
    <t>SW9  (230x650/1850)</t>
  </si>
  <si>
    <t>SW10  (230x3445)</t>
  </si>
  <si>
    <t>SW11  (230x4065)</t>
  </si>
  <si>
    <t>SW2  (230x650/1535)</t>
  </si>
  <si>
    <t>SW13  (230x3445)</t>
  </si>
  <si>
    <t>RAFT OUTTER 115MM BRICK WORK</t>
  </si>
  <si>
    <t>MB SHEET- BRICK WORK BELOW PLINTH BEAM</t>
  </si>
  <si>
    <t>LOCATION</t>
  </si>
  <si>
    <t>8mm Dia.</t>
  </si>
  <si>
    <t>10mm Dia.</t>
  </si>
  <si>
    <t>12mm Dia.</t>
  </si>
  <si>
    <t>16mm Dia.</t>
  </si>
  <si>
    <t>20mm Dia.</t>
  </si>
  <si>
    <t>25mm Dia.</t>
  </si>
  <si>
    <t xml:space="preserve"> (OMAXE TOWER-E, PRAYAGRAJ )</t>
  </si>
  <si>
    <t>STEEL CONSUMPTION SUMMARY</t>
  </si>
  <si>
    <t>TOWER-E COLUMN GRID (22-23/A-Q)</t>
  </si>
  <si>
    <t>UPTO RAFT</t>
  </si>
  <si>
    <t>TOWER-E RAFT GRID (22-23/A-Q)</t>
  </si>
  <si>
    <t>AS SUB-STRUCTURE</t>
  </si>
  <si>
    <t>MAIN BOTTOM EXTRA BAR</t>
  </si>
  <si>
    <t>DIST. BOTTOM EXTRA BAR</t>
  </si>
  <si>
    <t>MAIN TOP EXTRA BAR</t>
  </si>
  <si>
    <t>DIST. TOP EXTRA BAR</t>
  </si>
  <si>
    <t>UPTO STILRT FLOOR LVL</t>
  </si>
  <si>
    <t>MARCO ENTERPRISES</t>
  </si>
  <si>
    <t>Reconcialation of TMT Steel</t>
  </si>
  <si>
    <t>Dia wise</t>
  </si>
  <si>
    <t xml:space="preserve">Total Steel Received upto date </t>
  </si>
  <si>
    <t>Kg</t>
  </si>
  <si>
    <t>Consumption Detail</t>
  </si>
  <si>
    <t>Total consumption</t>
  </si>
  <si>
    <t>Theoretical Balance</t>
  </si>
  <si>
    <t xml:space="preserve">Steel available at yard </t>
  </si>
  <si>
    <t>W.I.P. Steel in column lap/lintel/kit Plateform etc</t>
  </si>
  <si>
    <t>Total In Progress</t>
  </si>
  <si>
    <t>DATE</t>
  </si>
  <si>
    <t>COMULAT.</t>
  </si>
  <si>
    <t>TOTAL QTY.</t>
  </si>
  <si>
    <t>TMT STEEL BAR ISSUE BY OMAXE</t>
  </si>
  <si>
    <t>6MM Dia.</t>
  </si>
  <si>
    <t>Up To Stilt Floor Lvl.</t>
  </si>
  <si>
    <t>RECEIVED AT 13/5/25</t>
  </si>
  <si>
    <t>RECEIVED AT 19/5/24</t>
  </si>
  <si>
    <t>RECEIVED AT 24/5/25</t>
  </si>
  <si>
    <t>6mm</t>
  </si>
  <si>
    <t xml:space="preserve">SCRAP SALE </t>
  </si>
  <si>
    <t>6mm Dia.</t>
  </si>
  <si>
    <t>C</t>
  </si>
  <si>
    <t>D</t>
  </si>
  <si>
    <t>E</t>
  </si>
  <si>
    <t>F</t>
  </si>
  <si>
    <t>G</t>
  </si>
  <si>
    <t>Wastage (D-E-F)</t>
  </si>
  <si>
    <t>TOWER-E</t>
  </si>
  <si>
    <t>Allowed Wastage 2.5%</t>
  </si>
  <si>
    <t>LIFT WALL</t>
  </si>
  <si>
    <t xml:space="preserve">VERTICAL BARS </t>
  </si>
  <si>
    <t>M/s. MARCO ENTERPRISES</t>
  </si>
  <si>
    <t>Item Discription</t>
  </si>
  <si>
    <t>Grade</t>
  </si>
  <si>
    <t>Floor Name</t>
  </si>
  <si>
    <t>NO</t>
  </si>
  <si>
    <t>Unit Qty.</t>
  </si>
  <si>
    <t>Quantity</t>
  </si>
  <si>
    <t>M30</t>
  </si>
  <si>
    <t>M25</t>
  </si>
  <si>
    <t>M10</t>
  </si>
  <si>
    <t>Cum</t>
  </si>
  <si>
    <t>TOTAL RCC QTY  (THEORITICAL)</t>
  </si>
  <si>
    <t>TOTAL RCC QTY  (CASTING)</t>
  </si>
  <si>
    <t>DIFFERENCE (WASTAGE)</t>
  </si>
  <si>
    <t>WASTAGE %</t>
  </si>
  <si>
    <t>PREV. BILL RCC QTY  (THEORITICAL)</t>
  </si>
  <si>
    <t>PREV.  BILL RCC QTY  (CASTING-ACTUAL)</t>
  </si>
  <si>
    <t>THIS BILL RCC QTY  (THEORITICAL)</t>
  </si>
  <si>
    <t>THIS BILL RCC QTY  (CASTING-ACTUAL)</t>
  </si>
  <si>
    <t>RCC SUMMARY : OMAXE TOWER-E</t>
  </si>
  <si>
    <t>M35</t>
  </si>
  <si>
    <t>MONTH</t>
  </si>
  <si>
    <t>RMC</t>
  </si>
  <si>
    <t>ELSA</t>
  </si>
  <si>
    <t>WORK IN PROGRSS</t>
  </si>
  <si>
    <t>REMARK</t>
  </si>
  <si>
    <t>GRADE</t>
  </si>
  <si>
    <t>GRAND TOTAL</t>
  </si>
  <si>
    <t>RCC BY RMC + ELSA</t>
  </si>
  <si>
    <t>4.1.1</t>
  </si>
  <si>
    <t>4.1.2</t>
  </si>
  <si>
    <t>4.1.3</t>
  </si>
  <si>
    <t>4.1  TMT REINFORCEMENT</t>
  </si>
  <si>
    <t>PERIOD OF BILL :- FROM 01-05-2025 TO 31-05-2025</t>
  </si>
  <si>
    <t>1ST RA</t>
  </si>
  <si>
    <t>2ND RA</t>
  </si>
  <si>
    <t>3rd RA</t>
  </si>
  <si>
    <t>4th RA</t>
  </si>
  <si>
    <t>5th RA</t>
  </si>
  <si>
    <t>6th RA</t>
  </si>
  <si>
    <t>TOWER-E CENTERING &amp; SHUTTERING WORK SUMMARY</t>
  </si>
  <si>
    <t>TOWER-E BRICK WORK SUMMARY</t>
  </si>
  <si>
    <t>TOWER-E CONCRETE WORK SUMMARY</t>
  </si>
  <si>
    <t>TOWER-E FOUNDATION PCC CASTING WORK</t>
  </si>
  <si>
    <t>TOWER-E RAFT PCC</t>
  </si>
  <si>
    <t>MANUAL</t>
  </si>
  <si>
    <t>SN</t>
  </si>
  <si>
    <t>VEHICLE NO</t>
  </si>
  <si>
    <t>MATERIAL GRADE</t>
  </si>
  <si>
    <t xml:space="preserve">RMC PLANT QTY (M 10)
</t>
  </si>
  <si>
    <t>ACTUAL CEMENT WEIGHT BY DESIGN MIX</t>
  </si>
  <si>
    <t xml:space="preserve"> CEMENT WEIGHT BY RMC PLANT</t>
  </si>
  <si>
    <t>CEMENT DIFF (IN KG)</t>
  </si>
  <si>
    <t>IN TIME</t>
  </si>
  <si>
    <t>OUT TIME</t>
  </si>
  <si>
    <t>TOWER NO</t>
  </si>
  <si>
    <t>TYPE OF WORK</t>
  </si>
  <si>
    <t>RMC SUPPLIER</t>
  </si>
  <si>
    <t>RMC 25</t>
  </si>
  <si>
    <t>SHUBHAM</t>
  </si>
  <si>
    <t>UP32WN8333</t>
  </si>
  <si>
    <t>UP32WN8334</t>
  </si>
  <si>
    <t>Total Qty upto date</t>
  </si>
  <si>
    <t>BAGS</t>
  </si>
  <si>
    <t>M/s. MARCO ENTERPRISES : RMC RECEIVING AT OMAXE ANANDA TOWER-E -PRAYAGRAJ</t>
  </si>
  <si>
    <t xml:space="preserve">RMC PLANT QTY (M 25)
</t>
  </si>
  <si>
    <t xml:space="preserve">RMC PLANT QTY (M 30)
</t>
  </si>
  <si>
    <t xml:space="preserve">RMC PLANT QTY (M 35)
</t>
  </si>
  <si>
    <t>29.05.2025</t>
  </si>
  <si>
    <t>UP32VN6145</t>
  </si>
  <si>
    <t>12:02PM</t>
  </si>
  <si>
    <t>UP32HT5032</t>
  </si>
  <si>
    <t>UP32HT5034</t>
  </si>
  <si>
    <t>30.05.2025</t>
  </si>
  <si>
    <t>UP32WN8332</t>
  </si>
  <si>
    <t>UP32VN6144</t>
  </si>
  <si>
    <t>UP53HT5032</t>
  </si>
  <si>
    <t>UP53HT5034</t>
  </si>
  <si>
    <t>TOWER-E  (23-43)</t>
  </si>
  <si>
    <t>31.05.2025</t>
  </si>
  <si>
    <t>UP32VN6140</t>
  </si>
  <si>
    <t>CHALLAN NO/INVOICE NO.</t>
  </si>
  <si>
    <t>ULTRATECH</t>
  </si>
  <si>
    <t>UP70QT2013</t>
  </si>
  <si>
    <t>UP70QT2341</t>
  </si>
  <si>
    <t>UP70QT2015</t>
  </si>
  <si>
    <t>UP70QT2342</t>
  </si>
  <si>
    <t>UP70QT2014</t>
  </si>
  <si>
    <t>RMC10</t>
  </si>
  <si>
    <t>RAFT PCC</t>
  </si>
  <si>
    <t>TOWER-E RAFT RCC</t>
  </si>
  <si>
    <t xml:space="preserve">TOTAL RCC BY RMC/ELSA /MANUAL </t>
  </si>
  <si>
    <t>RAFT PCC GRID (A-Q/23-43)</t>
  </si>
  <si>
    <t>RAFT RCC GRID (A-Q/23-43)</t>
  </si>
  <si>
    <t>OMAXE PANCHAM REALCON PVT. LTD.</t>
  </si>
  <si>
    <t>-9mtr as per JMR</t>
  </si>
  <si>
    <t>GRID (26'/Q')</t>
  </si>
  <si>
    <t>GRID (26/M'-Q)</t>
  </si>
  <si>
    <t>ERP PROJECT CODE : 127018</t>
  </si>
  <si>
    <t>THIS R/A BILL NO. &amp; DATE : 3RD RA BILL, DATE 07-06-2025</t>
  </si>
  <si>
    <t>Part Rate</t>
  </si>
</sst>
</file>

<file path=xl/styles.xml><?xml version="1.0" encoding="utf-8"?>
<styleSheet xmlns="http://schemas.openxmlformats.org/spreadsheetml/2006/main" xmlns:mc="http://schemas.openxmlformats.org/markup-compatibility/2006" xmlns:x14ac="http://schemas.microsoft.com/office/spreadsheetml/2009/9/ac" mc:Ignorable="x14ac">
  <numFmts count="32">
    <numFmt numFmtId="44" formatCode="_ &quot;₹&quot;\ * #,##0.00_ ;_ &quot;₹&quot;\ * \-#,##0.00_ ;_ &quot;₹&quot;\ * &quot;-&quot;??_ ;_ @_ "/>
    <numFmt numFmtId="43" formatCode="_ * #,##0.00_ ;_ * \-#,##0.00_ ;_ * &quot;-&quot;??_ ;_ @_ "/>
    <numFmt numFmtId="164" formatCode="_(* #,##0_);_(* \(#,##0\);_(* &quot;-&quot;_);_(@_)"/>
    <numFmt numFmtId="165" formatCode="_(* #,##0.00_);_(* \(#,##0.00\);_(* &quot;-&quot;??_);_(@_)"/>
    <numFmt numFmtId="166" formatCode="_(* #,##0.00_);_(* \(#,##0.00\);_(* &quot;-&quot;_);_(@_)"/>
    <numFmt numFmtId="167" formatCode="_(* #,##0_);_(* \(#,##0\);_(* &quot;-&quot;??_);_(@_)"/>
    <numFmt numFmtId="168" formatCode="_ * #,##0_ ;_ * \-#,##0_ ;_ * &quot;-&quot;??_ ;_ @_ "/>
    <numFmt numFmtId="169" formatCode="0.000"/>
    <numFmt numFmtId="170" formatCode="_-* #,##0.00_-;\-* #,##0.00_-;_-* &quot;-&quot;??_-;_-@_-"/>
    <numFmt numFmtId="171" formatCode="0.0"/>
    <numFmt numFmtId="172" formatCode="_([$€-2]* #,##0.00_);_([$€-2]* \(#,##0.00\);_([$€-2]* &quot;-&quot;??_)"/>
    <numFmt numFmtId="173" formatCode="[$-409]d\-mmm\-yy;@"/>
    <numFmt numFmtId="174" formatCode="[$-14009]dd\-mm\-yyyy;@"/>
    <numFmt numFmtId="175" formatCode="_(* #,##0_);_(* \(#,##0\);_(* &quot;-&quot;?????_);_(@_)"/>
    <numFmt numFmtId="176" formatCode="&quot;@&quot;&quot;#&quot;\,&quot;#&quot;&quot;#&quot;&quot;#&quot;&quot;&lt;&quot;"/>
    <numFmt numFmtId="177" formatCode="&quot;&lt;&quot;0"/>
    <numFmt numFmtId="178" formatCode="#,##0;\-#,##0;&quot;-&quot;"/>
    <numFmt numFmtId="179" formatCode="_(* #,##0.000_);_(* \(#,##0.000\);_(* &quot;-&quot;??_);_(@_)"/>
    <numFmt numFmtId="180" formatCode="&quot; &quot;#,##0.00&quot; &quot;;&quot; (&quot;#,##0.00&quot;)&quot;;&quot; -&quot;#&quot; &quot;;&quot; &quot;@&quot; &quot;"/>
    <numFmt numFmtId="181" formatCode="0###0"/>
    <numFmt numFmtId="182" formatCode="m\o\n\th\ d\,\ yyyy"/>
    <numFmt numFmtId="183" formatCode="#,##0_);[Red]\(#,##0\);;@"/>
    <numFmt numFmtId="184" formatCode="&quot;@&quot;0.0"/>
    <numFmt numFmtId="185" formatCode="#.00"/>
    <numFmt numFmtId="186" formatCode="General\ ;[Red]\(General\)"/>
    <numFmt numFmtId="187" formatCode="#."/>
    <numFmt numFmtId="188" formatCode="#,##0;[Red]#,##0"/>
    <numFmt numFmtId="189" formatCode="[$$-409]#,##0.00;[Red]&quot;-&quot;[$$-409]#,##0.00"/>
    <numFmt numFmtId="190" formatCode="mm/dd/yy"/>
    <numFmt numFmtId="191" formatCode="#,##0_);[Red]\(#,##0\);0_);@"/>
    <numFmt numFmtId="192" formatCode="0##0"/>
    <numFmt numFmtId="193" formatCode="0.00_)"/>
  </numFmts>
  <fonts count="94">
    <font>
      <sz val="11"/>
      <color theme="1"/>
      <name val="Calibri"/>
      <family val="2"/>
      <scheme val="minor"/>
    </font>
    <font>
      <sz val="11"/>
      <color theme="1"/>
      <name val="Calibri"/>
      <family val="2"/>
      <scheme val="minor"/>
    </font>
    <font>
      <sz val="16"/>
      <color theme="1"/>
      <name val="Calibri"/>
      <family val="2"/>
      <scheme val="minor"/>
    </font>
    <font>
      <b/>
      <sz val="16"/>
      <name val="Arial"/>
      <family val="2"/>
    </font>
    <font>
      <b/>
      <sz val="18"/>
      <name val="Calibri"/>
      <family val="2"/>
      <scheme val="minor"/>
    </font>
    <font>
      <b/>
      <sz val="26"/>
      <name val="Bodoni MT Black"/>
      <family val="1"/>
    </font>
    <font>
      <b/>
      <sz val="11"/>
      <name val="Bodoni MT Black"/>
      <family val="1"/>
    </font>
    <font>
      <sz val="12"/>
      <color theme="1"/>
      <name val="Calibri"/>
      <family val="2"/>
      <scheme val="minor"/>
    </font>
    <font>
      <sz val="10"/>
      <color theme="1"/>
      <name val="Calibri"/>
      <family val="2"/>
      <scheme val="minor"/>
    </font>
    <font>
      <b/>
      <sz val="16"/>
      <name val="Calibri"/>
      <family val="2"/>
      <scheme val="minor"/>
    </font>
    <font>
      <sz val="16"/>
      <name val="Arial"/>
      <family val="2"/>
    </font>
    <font>
      <b/>
      <sz val="16"/>
      <color theme="1"/>
      <name val="Calibri"/>
      <family val="2"/>
      <scheme val="minor"/>
    </font>
    <font>
      <sz val="10"/>
      <name val="Arial"/>
      <family val="2"/>
    </font>
    <font>
      <b/>
      <sz val="14"/>
      <name val="Calibri"/>
      <family val="2"/>
      <scheme val="minor"/>
    </font>
    <font>
      <sz val="11"/>
      <name val="Calibri"/>
      <family val="2"/>
    </font>
    <font>
      <b/>
      <sz val="10"/>
      <color rgb="FF000000"/>
      <name val="Calibri"/>
      <family val="2"/>
      <scheme val="minor"/>
    </font>
    <font>
      <sz val="11"/>
      <color rgb="FF000000"/>
      <name val="Calibri"/>
      <family val="2"/>
      <scheme val="minor"/>
    </font>
    <font>
      <b/>
      <sz val="9"/>
      <name val="Calibri"/>
      <family val="2"/>
      <scheme val="minor"/>
    </font>
    <font>
      <sz val="10"/>
      <color rgb="FF000000"/>
      <name val="Calibri"/>
      <family val="2"/>
      <scheme val="minor"/>
    </font>
    <font>
      <b/>
      <sz val="11"/>
      <color rgb="FF000000"/>
      <name val="Calibri"/>
      <family val="2"/>
      <scheme val="minor"/>
    </font>
    <font>
      <b/>
      <sz val="11"/>
      <color theme="1"/>
      <name val="Arial"/>
      <family val="2"/>
    </font>
    <font>
      <b/>
      <sz val="10"/>
      <color theme="1"/>
      <name val="Arial"/>
      <family val="2"/>
    </font>
    <font>
      <sz val="10"/>
      <color theme="1"/>
      <name val="Arial"/>
      <family val="2"/>
    </font>
    <font>
      <b/>
      <sz val="11"/>
      <color theme="1"/>
      <name val="Calibri"/>
      <family val="2"/>
      <scheme val="minor"/>
    </font>
    <font>
      <b/>
      <sz val="14"/>
      <color theme="1"/>
      <name val="Calibri"/>
      <family val="2"/>
      <scheme val="minor"/>
    </font>
    <font>
      <b/>
      <sz val="12"/>
      <color theme="1"/>
      <name val="Calibri"/>
      <family val="2"/>
      <scheme val="minor"/>
    </font>
    <font>
      <b/>
      <sz val="10"/>
      <color theme="1"/>
      <name val="Calibri"/>
      <family val="2"/>
      <scheme val="minor"/>
    </font>
    <font>
      <sz val="11"/>
      <name val="Arial"/>
      <family val="2"/>
    </font>
    <font>
      <sz val="11"/>
      <color indexed="8"/>
      <name val="Calibri"/>
      <family val="2"/>
    </font>
    <font>
      <sz val="10"/>
      <name val="Book Antiqua"/>
      <family val="1"/>
    </font>
    <font>
      <u/>
      <sz val="11"/>
      <color theme="10"/>
      <name val="Calibri"/>
      <family val="2"/>
    </font>
    <font>
      <u/>
      <sz val="10.8"/>
      <color theme="10"/>
      <name val="Calibri"/>
      <family val="2"/>
    </font>
    <font>
      <sz val="12"/>
      <name val="Arial Narrow"/>
      <family val="2"/>
    </font>
    <font>
      <b/>
      <sz val="12"/>
      <color indexed="8"/>
      <name val="Calibri"/>
      <family val="2"/>
    </font>
    <font>
      <sz val="12"/>
      <color theme="1"/>
      <name val="Calibri Light"/>
      <family val="1"/>
      <scheme val="major"/>
    </font>
    <font>
      <sz val="12"/>
      <color indexed="8"/>
      <name val="Calibri"/>
      <family val="2"/>
    </font>
    <font>
      <sz val="14"/>
      <color theme="1"/>
      <name val="Calibri"/>
      <family val="2"/>
      <scheme val="minor"/>
    </font>
    <font>
      <b/>
      <sz val="10"/>
      <name val="Arial"/>
      <family val="2"/>
    </font>
    <font>
      <b/>
      <sz val="11"/>
      <color indexed="8"/>
      <name val="Calibri"/>
      <family val="2"/>
    </font>
    <font>
      <b/>
      <sz val="12"/>
      <color rgb="FF000000"/>
      <name val="Calibri"/>
      <family val="2"/>
      <scheme val="minor"/>
    </font>
    <font>
      <b/>
      <sz val="18"/>
      <color theme="1"/>
      <name val="Calibri"/>
      <family val="2"/>
      <scheme val="minor"/>
    </font>
    <font>
      <b/>
      <sz val="22"/>
      <color theme="1"/>
      <name val="Calibri"/>
      <family val="2"/>
      <scheme val="minor"/>
    </font>
    <font>
      <sz val="12"/>
      <name val="Calibri"/>
      <family val="2"/>
      <scheme val="minor"/>
    </font>
    <font>
      <b/>
      <sz val="12"/>
      <name val="Calibri"/>
      <family val="2"/>
      <scheme val="minor"/>
    </font>
    <font>
      <sz val="10"/>
      <name val="Helv"/>
      <charset val="204"/>
    </font>
    <font>
      <b/>
      <sz val="14"/>
      <name val="Arial"/>
      <family val="2"/>
    </font>
    <font>
      <sz val="11"/>
      <color indexed="9"/>
      <name val="Calibri"/>
      <family val="2"/>
    </font>
    <font>
      <sz val="11"/>
      <color indexed="20"/>
      <name val="Calibri"/>
      <family val="2"/>
    </font>
    <font>
      <b/>
      <sz val="11"/>
      <color indexed="8"/>
      <name val="Arial"/>
      <family val="2"/>
    </font>
    <font>
      <sz val="12"/>
      <name val="Tms Rmn"/>
    </font>
    <font>
      <sz val="10"/>
      <color indexed="8"/>
      <name val="Arial"/>
      <family val="2"/>
    </font>
    <font>
      <b/>
      <sz val="11"/>
      <color indexed="52"/>
      <name val="Calibri"/>
      <family val="2"/>
    </font>
    <font>
      <sz val="8"/>
      <name val="Helvetica-Narrow"/>
    </font>
    <font>
      <b/>
      <sz val="11"/>
      <color indexed="9"/>
      <name val="Calibri"/>
      <family val="2"/>
    </font>
    <font>
      <sz val="11"/>
      <color theme="1"/>
      <name val="Arial"/>
      <family val="2"/>
    </font>
    <font>
      <sz val="10"/>
      <name val="Times New Roman"/>
      <family val="1"/>
    </font>
    <font>
      <sz val="10"/>
      <name val="MS Serif"/>
      <family val="1"/>
    </font>
    <font>
      <b/>
      <u/>
      <sz val="11"/>
      <name val="Times New Roman"/>
      <family val="1"/>
    </font>
    <font>
      <sz val="1"/>
      <color indexed="8"/>
      <name val="Courier"/>
      <family val="3"/>
    </font>
    <font>
      <sz val="10"/>
      <name val="Century Gothic"/>
      <family val="2"/>
    </font>
    <font>
      <sz val="10"/>
      <color indexed="16"/>
      <name val="MS Serif"/>
      <family val="1"/>
    </font>
    <font>
      <sz val="11"/>
      <color indexed="8"/>
      <name val="Calibri"/>
      <family val="2"/>
      <charset val="1"/>
    </font>
    <font>
      <sz val="11"/>
      <color rgb="FF000000"/>
      <name val="Calibri"/>
      <family val="2"/>
    </font>
    <font>
      <i/>
      <sz val="11"/>
      <color indexed="23"/>
      <name val="Calibri"/>
      <family val="2"/>
    </font>
    <font>
      <sz val="11"/>
      <color indexed="17"/>
      <name val="Calibri"/>
      <family val="2"/>
    </font>
    <font>
      <sz val="8"/>
      <name val="Arial"/>
      <family val="2"/>
    </font>
    <font>
      <b/>
      <sz val="10"/>
      <name val="Century Gothic"/>
      <family val="2"/>
    </font>
    <font>
      <b/>
      <sz val="12"/>
      <name val="Arial"/>
      <family val="2"/>
    </font>
    <font>
      <b/>
      <i/>
      <sz val="16"/>
      <color theme="1"/>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8.8000000000000007"/>
      <color theme="10"/>
      <name val="Calibri"/>
      <family val="2"/>
    </font>
    <font>
      <sz val="11"/>
      <color indexed="62"/>
      <name val="Calibri"/>
      <family val="2"/>
    </font>
    <font>
      <sz val="11"/>
      <color indexed="52"/>
      <name val="Calibri"/>
      <family val="2"/>
    </font>
    <font>
      <b/>
      <sz val="9"/>
      <name val="Arial"/>
      <family val="2"/>
    </font>
    <font>
      <sz val="10"/>
      <name val="Arabic Transparent"/>
    </font>
    <font>
      <sz val="11"/>
      <color indexed="60"/>
      <name val="Calibri"/>
      <family val="2"/>
    </font>
    <font>
      <sz val="12"/>
      <color indexed="8"/>
      <name val="Arial"/>
      <family val="2"/>
    </font>
    <font>
      <sz val="10"/>
      <name val="Courier"/>
      <family val="3"/>
    </font>
    <font>
      <sz val="10"/>
      <name val="Cambria"/>
      <family val="1"/>
    </font>
    <font>
      <b/>
      <sz val="11"/>
      <color indexed="63"/>
      <name val="Calibri"/>
      <family val="2"/>
    </font>
    <font>
      <b/>
      <i/>
      <u/>
      <sz val="11"/>
      <color theme="1"/>
      <name val="Arial"/>
      <family val="2"/>
    </font>
    <font>
      <sz val="8"/>
      <name val="Helv"/>
    </font>
    <font>
      <b/>
      <u/>
      <sz val="10"/>
      <color indexed="18"/>
      <name val="Century Gothic"/>
      <family val="2"/>
    </font>
    <font>
      <sz val="9"/>
      <name val="Arial"/>
      <family val="2"/>
    </font>
    <font>
      <b/>
      <sz val="12"/>
      <color indexed="18"/>
      <name val="Times New Roman"/>
      <family val="1"/>
    </font>
    <font>
      <b/>
      <sz val="12"/>
      <name val="Times New Roman"/>
      <family val="1"/>
    </font>
    <font>
      <b/>
      <sz val="18"/>
      <color indexed="56"/>
      <name val="Cambria"/>
      <family val="2"/>
    </font>
    <font>
      <b/>
      <i/>
      <sz val="12"/>
      <name val="Times New Roman"/>
      <family val="1"/>
    </font>
    <font>
      <sz val="11"/>
      <color indexed="10"/>
      <name val="Calibri"/>
      <family val="2"/>
    </font>
    <font>
      <sz val="10"/>
      <name val="ＭＳ ゴシック"/>
      <family val="3"/>
      <charset val="128"/>
    </font>
    <font>
      <sz val="12"/>
      <name val="Arial"/>
      <family val="2"/>
    </font>
  </fonts>
  <fills count="3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indexed="1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9"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3"/>
        <bgColor indexed="9"/>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bgColor indexed="9"/>
      </patternFill>
    </fill>
    <fill>
      <patternFill patternType="solid">
        <fgColor theme="4" tint="0.39997558519241921"/>
        <bgColor indexed="64"/>
      </patternFill>
    </fill>
  </fills>
  <borders count="48">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diagonalUp="1" diagonalDown="1">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4"/>
      </left>
      <right/>
      <top style="double">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hair">
        <color indexed="64"/>
      </top>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s>
  <cellStyleXfs count="2880">
    <xf numFmtId="0" fontId="0" fillId="0" borderId="0"/>
    <xf numFmtId="165" fontId="1" fillId="0" borderId="0" applyFont="0" applyFill="0" applyBorder="0" applyAlignment="0" applyProtection="0"/>
    <xf numFmtId="0" fontId="1" fillId="0" borderId="0"/>
    <xf numFmtId="165" fontId="8" fillId="0" borderId="0" applyFont="0" applyFill="0" applyBorder="0" applyAlignment="0" applyProtection="0"/>
    <xf numFmtId="0" fontId="1" fillId="0" borderId="0"/>
    <xf numFmtId="0" fontId="1" fillId="0" borderId="0"/>
    <xf numFmtId="0" fontId="12" fillId="0" borderId="0"/>
    <xf numFmtId="0" fontId="12" fillId="0" borderId="0"/>
    <xf numFmtId="0" fontId="14" fillId="0" borderId="0">
      <alignment vertical="center"/>
    </xf>
    <xf numFmtId="165" fontId="12" fillId="0" borderId="0">
      <alignment vertical="top"/>
      <protection locked="0"/>
    </xf>
    <xf numFmtId="0" fontId="14" fillId="0" borderId="0">
      <protection locked="0"/>
    </xf>
    <xf numFmtId="43" fontId="12" fillId="0" borderId="0" applyFont="0" applyFill="0" applyBorder="0" applyAlignment="0" applyProtection="0"/>
    <xf numFmtId="170" fontId="12" fillId="0" borderId="0" applyFont="0" applyFill="0" applyBorder="0" applyAlignment="0" applyProtection="0"/>
    <xf numFmtId="43" fontId="28"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1"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2" fillId="0" borderId="0" applyFont="0" applyFill="0" applyBorder="0" applyAlignment="0" applyProtection="0"/>
    <xf numFmtId="172" fontId="29" fillId="0" borderId="0" applyFont="0" applyFill="0" applyBorder="0" applyAlignment="0" applyProtection="0"/>
    <xf numFmtId="0" fontId="3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top"/>
    </xf>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wrapText="1"/>
    </xf>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horizontal="center" vertical="center" wrapText="1"/>
    </xf>
    <xf numFmtId="0" fontId="12" fillId="0" borderId="0"/>
    <xf numFmtId="0" fontId="12" fillId="0" borderId="0"/>
    <xf numFmtId="0" fontId="12" fillId="0" borderId="0"/>
    <xf numFmtId="0" fontId="3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alignment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69" fontId="12" fillId="0" borderId="4" applyNumberFormat="0">
      <alignment vertical="center" wrapText="1"/>
    </xf>
    <xf numFmtId="0" fontId="1" fillId="0" borderId="0"/>
    <xf numFmtId="0" fontId="1" fillId="0" borderId="0"/>
    <xf numFmtId="0" fontId="1" fillId="0" borderId="0"/>
    <xf numFmtId="0" fontId="1" fillId="0" borderId="0"/>
    <xf numFmtId="0" fontId="12" fillId="0" borderId="0"/>
    <xf numFmtId="0" fontId="4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4" fillId="0" borderId="0"/>
    <xf numFmtId="0" fontId="12" fillId="0" borderId="0"/>
    <xf numFmtId="0" fontId="12" fillId="0" borderId="0"/>
    <xf numFmtId="0" fontId="12" fillId="0" borderId="0"/>
    <xf numFmtId="0" fontId="12" fillId="0" borderId="0"/>
    <xf numFmtId="175" fontId="45" fillId="0" borderId="0" applyFont="0" applyBorder="0" applyAlignment="0">
      <alignment horizontal="left" vertical="center"/>
    </xf>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176" fontId="12" fillId="0" borderId="0" applyFont="0" applyFill="0" applyBorder="0" applyProtection="0">
      <alignment vertical="center"/>
    </xf>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177" fontId="12" fillId="0" borderId="0" applyFont="0" applyFill="0" applyBorder="0" applyProtection="0">
      <alignment vertical="center"/>
    </xf>
    <xf numFmtId="2" fontId="48" fillId="0" borderId="0" applyNumberFormat="0" applyFont="0" applyAlignment="0">
      <alignment horizontal="center" vertical="center"/>
    </xf>
    <xf numFmtId="2" fontId="48" fillId="0" borderId="0">
      <alignment horizontal="center" vertical="center"/>
    </xf>
    <xf numFmtId="0" fontId="49" fillId="0" borderId="0" applyNumberFormat="0" applyFill="0" applyBorder="0" applyAlignment="0" applyProtection="0"/>
    <xf numFmtId="0" fontId="12" fillId="0" borderId="35" quotePrefix="1">
      <alignment horizontal="justify" vertical="justify" textRotation="127" wrapText="1" justifyLastLine="1"/>
      <protection hidden="1"/>
    </xf>
    <xf numFmtId="178" fontId="50" fillId="0" borderId="0" applyFill="0" applyBorder="0" applyAlignment="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2" fillId="0" borderId="0">
      <alignment vertical="center"/>
    </xf>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 fillId="0" borderId="0" applyFont="0" applyFill="0" applyBorder="0" applyAlignment="0" applyProtection="0"/>
    <xf numFmtId="43" fontId="22" fillId="0" borderId="0" applyFont="0" applyFill="0" applyBorder="0" applyAlignment="0" applyProtection="0"/>
    <xf numFmtId="165" fontId="1"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9" fontId="54" fillId="0" borderId="0"/>
    <xf numFmtId="170" fontId="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54"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54" fillId="0" borderId="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12" fillId="0" borderId="0" applyFont="0" applyFill="0" applyBorder="0" applyAlignment="0" applyProtection="0"/>
    <xf numFmtId="16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54" fillId="0" borderId="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54"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0" fontId="56" fillId="0" borderId="0" applyNumberFormat="0" applyAlignment="0">
      <alignment horizontal="left"/>
    </xf>
    <xf numFmtId="181" fontId="57" fillId="32" borderId="0" applyFill="0">
      <alignment horizontal="left" vertical="top"/>
      <protection locked="0"/>
    </xf>
    <xf numFmtId="44" fontId="28" fillId="0" borderId="0" applyFont="0" applyFill="0" applyBorder="0" applyAlignment="0" applyProtection="0"/>
    <xf numFmtId="44" fontId="28" fillId="0" borderId="0" applyFont="0" applyFill="0" applyBorder="0" applyAlignment="0" applyProtection="0"/>
    <xf numFmtId="182" fontId="58" fillId="0" borderId="0">
      <protection locked="0"/>
    </xf>
    <xf numFmtId="183" fontId="59" fillId="0" borderId="0" applyFont="0" applyFill="0" applyBorder="0">
      <alignment horizontal="left" vertical="top" wrapText="1"/>
      <protection locked="0"/>
    </xf>
    <xf numFmtId="184" fontId="12" fillId="0" borderId="0" applyFont="0" applyFill="0" applyBorder="0" applyProtection="0">
      <alignment horizontal="left" vertical="center"/>
    </xf>
    <xf numFmtId="0" fontId="60" fillId="0" borderId="0" applyNumberFormat="0" applyAlignment="0">
      <alignment horizontal="left"/>
    </xf>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9" fontId="54" fillId="0" borderId="0"/>
    <xf numFmtId="179" fontId="54" fillId="0" borderId="0"/>
    <xf numFmtId="0" fontId="61" fillId="0" borderId="0"/>
    <xf numFmtId="0" fontId="62" fillId="0" borderId="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185" fontId="58" fillId="0" borderId="0">
      <protection locked="0"/>
    </xf>
    <xf numFmtId="186" fontId="59" fillId="0" borderId="0" applyFont="0">
      <alignment horizontal="left"/>
      <protection locked="0"/>
    </xf>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38" fontId="65" fillId="33" borderId="0" applyNumberFormat="0" applyBorder="0" applyAlignment="0" applyProtection="0"/>
    <xf numFmtId="181" fontId="66" fillId="0" borderId="0">
      <alignment horizontal="left"/>
    </xf>
    <xf numFmtId="0" fontId="67" fillId="0" borderId="33" applyNumberFormat="0" applyAlignment="0" applyProtection="0">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8" fillId="0" borderId="0">
      <alignment horizontal="center"/>
    </xf>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68" fillId="0" borderId="0">
      <alignment horizontal="center" textRotation="90"/>
    </xf>
    <xf numFmtId="187" fontId="72" fillId="0" borderId="0">
      <protection locked="0"/>
    </xf>
    <xf numFmtId="187" fontId="72" fillId="0" borderId="0">
      <protection locked="0"/>
    </xf>
    <xf numFmtId="0" fontId="73"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10" fontId="65" fillId="34" borderId="4" applyNumberFormat="0" applyBorder="0" applyAlignment="0" applyProtection="0"/>
    <xf numFmtId="10" fontId="65" fillId="34" borderId="4" applyNumberFormat="0" applyBorder="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184" fontId="12" fillId="0" borderId="0" applyFont="0" applyFill="0" applyBorder="0" applyProtection="0">
      <alignment horizontal="left" vertical="center"/>
    </xf>
    <xf numFmtId="181" fontId="59" fillId="0" borderId="0" applyFont="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40" fontId="65" fillId="0" borderId="0" applyFont="0">
      <protection locked="0"/>
    </xf>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3" fontId="76" fillId="0" borderId="0">
      <alignment horizontal="left" vertical="top"/>
      <protection locked="0"/>
    </xf>
    <xf numFmtId="183" fontId="65" fillId="0" borderId="0" applyFont="0"/>
    <xf numFmtId="181" fontId="59" fillId="0" borderId="0" applyFont="0" applyFill="0" applyBorder="0">
      <alignment horizontal="left"/>
    </xf>
    <xf numFmtId="0" fontId="77" fillId="0" borderId="42" applyNumberFormat="0">
      <alignment horizontal="right"/>
    </xf>
    <xf numFmtId="181" fontId="59" fillId="0" borderId="0" applyFont="0">
      <alignment horizontal="left"/>
    </xf>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188" fontId="7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2" fillId="0" borderId="0"/>
    <xf numFmtId="0" fontId="12" fillId="0" borderId="0"/>
    <xf numFmtId="0" fontId="12" fillId="0" borderId="0"/>
    <xf numFmtId="0" fontId="1" fillId="0" borderId="0"/>
    <xf numFmtId="0" fontId="62" fillId="0" borderId="0">
      <protection locked="0"/>
    </xf>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29" fillId="0" borderId="0"/>
    <xf numFmtId="0" fontId="1" fillId="0" borderId="0"/>
    <xf numFmtId="0" fontId="12" fillId="0" borderId="0"/>
    <xf numFmtId="0" fontId="12" fillId="0" borderId="0"/>
    <xf numFmtId="0" fontId="1"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alignment vertical="center"/>
    </xf>
    <xf numFmtId="0" fontId="1" fillId="0" borderId="0"/>
    <xf numFmtId="0" fontId="1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vertical="top"/>
    </xf>
    <xf numFmtId="0" fontId="28" fillId="0" borderId="0">
      <alignment vertical="center"/>
    </xf>
    <xf numFmtId="0" fontId="28" fillId="0" borderId="0">
      <protection locked="0"/>
    </xf>
    <xf numFmtId="0" fontId="28"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2" fillId="0" borderId="0">
      <alignment vertical="center"/>
    </xf>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28" fillId="0" borderId="0"/>
    <xf numFmtId="0" fontId="28" fillId="0" borderId="0"/>
    <xf numFmtId="0" fontId="80" fillId="0" borderId="0"/>
    <xf numFmtId="0" fontId="55" fillId="0" borderId="0"/>
    <xf numFmtId="0" fontId="81" fillId="0" borderId="0"/>
    <xf numFmtId="0" fontId="12"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 fillId="0" borderId="0"/>
    <xf numFmtId="0" fontId="2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186" fontId="65" fillId="0" borderId="0" applyFont="0">
      <protection locked="0"/>
    </xf>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12" fillId="0" borderId="0">
      <alignment vertical="top" wrapText="1"/>
    </xf>
    <xf numFmtId="10"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40" fontId="59" fillId="0" borderId="0" applyFont="0">
      <protection locked="0"/>
    </xf>
    <xf numFmtId="40" fontId="66" fillId="0" borderId="0" applyFont="0">
      <protection locked="0"/>
    </xf>
    <xf numFmtId="0" fontId="83" fillId="0" borderId="0"/>
    <xf numFmtId="189" fontId="83" fillId="0" borderId="0"/>
    <xf numFmtId="190" fontId="84" fillId="0" borderId="0" applyNumberFormat="0" applyFill="0" applyBorder="0" applyAlignment="0" applyProtection="0">
      <alignment horizontal="left"/>
    </xf>
    <xf numFmtId="183" fontId="85" fillId="0" borderId="0" applyFont="0">
      <alignment horizontal="left"/>
    </xf>
    <xf numFmtId="0" fontId="50" fillId="0" borderId="0">
      <alignment vertical="top"/>
    </xf>
    <xf numFmtId="0" fontId="50" fillId="0" borderId="0">
      <alignment vertical="top"/>
    </xf>
    <xf numFmtId="183" fontId="86" fillId="0" borderId="0">
      <alignment horizontal="right" vertical="top"/>
      <protection locked="0"/>
    </xf>
    <xf numFmtId="0" fontId="87" fillId="0" borderId="0" applyNumberFormat="0" applyProtection="0">
      <alignment wrapText="1"/>
      <protection locked="0"/>
    </xf>
    <xf numFmtId="191" fontId="88" fillId="0" borderId="45">
      <alignment vertical="center"/>
    </xf>
    <xf numFmtId="183" fontId="59" fillId="0" borderId="0" applyFont="0">
      <protection locked="0"/>
    </xf>
    <xf numFmtId="183" fontId="59" fillId="0" borderId="0" applyFill="0" applyProtection="0">
      <protection locked="0"/>
    </xf>
    <xf numFmtId="181" fontId="86" fillId="37" borderId="0" applyNumberFormat="0" applyAlignment="0">
      <alignment horizontal="left" vertical="top"/>
    </xf>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181" fontId="90" fillId="0" borderId="17" applyNumberFormat="0" applyFill="0" applyProtection="0">
      <alignment horizontal="center"/>
    </xf>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183" fontId="66" fillId="0" borderId="0"/>
    <xf numFmtId="192" fontId="59" fillId="0" borderId="0" applyFill="0">
      <alignment horizontal="center"/>
    </xf>
    <xf numFmtId="183" fontId="59" fillId="0" borderId="0" applyFont="0">
      <alignment horizontal="center"/>
      <protection locked="0"/>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2" fillId="0" borderId="0"/>
  </cellStyleXfs>
  <cellXfs count="558">
    <xf numFmtId="0" fontId="0" fillId="0" borderId="0" xfId="0"/>
    <xf numFmtId="0" fontId="6" fillId="0" borderId="4" xfId="2" applyFont="1" applyBorder="1" applyAlignment="1">
      <alignment vertical="top" wrapText="1"/>
    </xf>
    <xf numFmtId="0" fontId="7" fillId="0" borderId="0" xfId="2" applyFont="1"/>
    <xf numFmtId="0" fontId="4" fillId="0" borderId="5" xfId="2" applyFont="1" applyBorder="1" applyAlignment="1">
      <alignment vertical="center"/>
    </xf>
    <xf numFmtId="0" fontId="4" fillId="0" borderId="6" xfId="2" applyFont="1" applyBorder="1" applyAlignment="1">
      <alignment vertical="center"/>
    </xf>
    <xf numFmtId="167" fontId="4" fillId="0" borderId="4" xfId="3" applyNumberFormat="1" applyFont="1" applyFill="1" applyBorder="1" applyAlignment="1">
      <alignment horizontal="center" vertical="center"/>
    </xf>
    <xf numFmtId="0" fontId="2" fillId="0" borderId="0" xfId="0" applyFont="1"/>
    <xf numFmtId="10" fontId="4" fillId="0" borderId="4" xfId="4" applyNumberFormat="1" applyFont="1" applyFill="1" applyBorder="1" applyAlignment="1">
      <alignment horizontal="right" vertical="center"/>
    </xf>
    <xf numFmtId="0" fontId="9" fillId="0" borderId="4" xfId="0" applyFont="1" applyFill="1" applyBorder="1" applyAlignment="1">
      <alignment horizontal="center" vertical="center"/>
    </xf>
    <xf numFmtId="0" fontId="9" fillId="0" borderId="4" xfId="0" applyFont="1" applyFill="1" applyBorder="1" applyAlignment="1">
      <alignment horizontal="center" vertical="center" wrapText="1"/>
    </xf>
    <xf numFmtId="0" fontId="3" fillId="0" borderId="4" xfId="2" applyFont="1" applyBorder="1" applyAlignment="1">
      <alignment horizontal="center" vertical="center"/>
    </xf>
    <xf numFmtId="0" fontId="3" fillId="0" borderId="4" xfId="2" applyFont="1" applyBorder="1" applyAlignment="1">
      <alignment vertical="center" wrapText="1"/>
    </xf>
    <xf numFmtId="1" fontId="3" fillId="0" borderId="4" xfId="2" applyNumberFormat="1" applyFont="1" applyBorder="1" applyAlignment="1">
      <alignment horizontal="center" vertical="center"/>
    </xf>
    <xf numFmtId="168" fontId="3" fillId="0" borderId="4" xfId="1" applyNumberFormat="1" applyFont="1" applyBorder="1" applyAlignment="1">
      <alignment vertical="center"/>
    </xf>
    <xf numFmtId="168" fontId="3" fillId="0" borderId="4" xfId="2" applyNumberFormat="1" applyFont="1" applyBorder="1" applyAlignment="1">
      <alignment vertical="center"/>
    </xf>
    <xf numFmtId="0" fontId="2" fillId="0" borderId="0" xfId="2" applyFont="1"/>
    <xf numFmtId="168" fontId="2" fillId="0" borderId="0" xfId="2" applyNumberFormat="1" applyFont="1"/>
    <xf numFmtId="0" fontId="3" fillId="0" borderId="4" xfId="2" applyFont="1" applyBorder="1" applyAlignment="1">
      <alignment vertical="center"/>
    </xf>
    <xf numFmtId="165" fontId="2" fillId="0" borderId="0" xfId="2" applyNumberFormat="1" applyFont="1"/>
    <xf numFmtId="0" fontId="3" fillId="0" borderId="4" xfId="2" applyFont="1" applyBorder="1" applyAlignment="1">
      <alignment horizontal="left" vertical="center" wrapText="1"/>
    </xf>
    <xf numFmtId="167" fontId="3" fillId="0" borderId="4" xfId="1" applyNumberFormat="1" applyFont="1" applyBorder="1" applyAlignment="1">
      <alignment vertical="center"/>
    </xf>
    <xf numFmtId="0" fontId="10" fillId="0" borderId="4" xfId="2" applyFont="1" applyBorder="1" applyAlignment="1">
      <alignment vertical="center" wrapText="1"/>
    </xf>
    <xf numFmtId="1" fontId="3" fillId="0" borderId="4" xfId="2" applyNumberFormat="1" applyFont="1" applyBorder="1" applyAlignment="1">
      <alignment vertical="center"/>
    </xf>
    <xf numFmtId="168" fontId="10" fillId="0" borderId="4" xfId="1" applyNumberFormat="1" applyFont="1" applyBorder="1" applyAlignment="1">
      <alignment vertical="center"/>
    </xf>
    <xf numFmtId="0" fontId="11" fillId="0" borderId="12" xfId="0" applyFont="1" applyBorder="1" applyAlignment="1">
      <alignment horizontal="left" vertical="center"/>
    </xf>
    <xf numFmtId="0" fontId="11" fillId="0" borderId="15" xfId="0" applyFont="1" applyBorder="1" applyAlignment="1">
      <alignment horizontal="left" vertical="center"/>
    </xf>
    <xf numFmtId="0" fontId="4" fillId="0" borderId="7" xfId="4" applyFont="1" applyFill="1" applyBorder="1" applyAlignment="1">
      <alignment vertical="center"/>
    </xf>
    <xf numFmtId="0" fontId="0" fillId="0" borderId="0" xfId="0" applyBorder="1"/>
    <xf numFmtId="167" fontId="2" fillId="0" borderId="0" xfId="2" applyNumberFormat="1" applyFont="1"/>
    <xf numFmtId="0" fontId="15" fillId="4" borderId="4" xfId="8" applyFont="1" applyFill="1" applyBorder="1" applyAlignment="1">
      <alignment horizontal="center" vertical="top"/>
    </xf>
    <xf numFmtId="0" fontId="16" fillId="0" borderId="0" xfId="8" applyFont="1" applyAlignment="1">
      <alignment vertical="top"/>
    </xf>
    <xf numFmtId="0" fontId="15" fillId="4" borderId="3" xfId="8" applyFont="1" applyFill="1" applyBorder="1" applyAlignment="1">
      <alignment horizontal="center" vertical="top"/>
    </xf>
    <xf numFmtId="0" fontId="18" fillId="4" borderId="4" xfId="8" applyFont="1" applyFill="1" applyBorder="1" applyAlignment="1">
      <alignment horizontal="center" vertical="top"/>
    </xf>
    <xf numFmtId="0" fontId="15" fillId="4" borderId="4" xfId="8" applyFont="1" applyFill="1" applyBorder="1" applyAlignment="1">
      <alignment horizontal="justify" vertical="top"/>
    </xf>
    <xf numFmtId="0" fontId="18" fillId="4" borderId="3" xfId="8" applyFont="1" applyFill="1" applyBorder="1" applyAlignment="1">
      <alignment horizontal="center" vertical="top"/>
    </xf>
    <xf numFmtId="0" fontId="18" fillId="4" borderId="3" xfId="8" applyFont="1" applyFill="1" applyBorder="1" applyAlignment="1">
      <alignment horizontal="justify" vertical="top" wrapText="1"/>
    </xf>
    <xf numFmtId="0" fontId="18" fillId="4" borderId="2" xfId="8" applyFont="1" applyFill="1" applyBorder="1" applyAlignment="1">
      <alignment horizontal="center" vertical="top"/>
    </xf>
    <xf numFmtId="0" fontId="18" fillId="4" borderId="2" xfId="8" applyFont="1" applyFill="1" applyBorder="1" applyAlignment="1">
      <alignment horizontal="justify" vertical="top"/>
    </xf>
    <xf numFmtId="0" fontId="18" fillId="4" borderId="4" xfId="8" applyFont="1" applyFill="1" applyBorder="1" applyAlignment="1">
      <alignment horizontal="justify" vertical="top" wrapText="1"/>
    </xf>
    <xf numFmtId="0" fontId="18" fillId="4" borderId="4" xfId="8" applyFont="1" applyFill="1" applyBorder="1" applyAlignment="1">
      <alignment horizontal="justify" vertical="top"/>
    </xf>
    <xf numFmtId="0" fontId="16" fillId="0" borderId="4" xfId="8" applyFont="1" applyBorder="1" applyAlignment="1">
      <alignment vertical="top"/>
    </xf>
    <xf numFmtId="0" fontId="15" fillId="4" borderId="3" xfId="8" applyFont="1" applyFill="1" applyBorder="1" applyAlignment="1">
      <alignment horizontal="justify" vertical="top"/>
    </xf>
    <xf numFmtId="0" fontId="18" fillId="4" borderId="2" xfId="8" applyFont="1" applyFill="1" applyBorder="1" applyAlignment="1">
      <alignment horizontal="justify" vertical="top" wrapText="1"/>
    </xf>
    <xf numFmtId="0" fontId="15" fillId="4" borderId="4" xfId="8" applyFont="1" applyFill="1" applyBorder="1" applyAlignment="1">
      <alignment vertical="top"/>
    </xf>
    <xf numFmtId="0" fontId="15" fillId="4" borderId="4" xfId="8" applyFont="1" applyFill="1" applyBorder="1" applyAlignment="1">
      <alignment horizontal="left" vertical="top"/>
    </xf>
    <xf numFmtId="0" fontId="15" fillId="4" borderId="2" xfId="8" applyFont="1" applyFill="1" applyBorder="1" applyAlignment="1">
      <alignment horizontal="justify" vertical="top"/>
    </xf>
    <xf numFmtId="166" fontId="17" fillId="2" borderId="4" xfId="0" applyNumberFormat="1" applyFont="1" applyFill="1" applyBorder="1" applyAlignment="1">
      <alignment horizontal="center" vertical="center"/>
    </xf>
    <xf numFmtId="0" fontId="16" fillId="0" borderId="0" xfId="8" applyFont="1" applyAlignment="1">
      <alignment horizontal="center" vertical="center"/>
    </xf>
    <xf numFmtId="0" fontId="15" fillId="4" borderId="4" xfId="8" applyFont="1" applyFill="1" applyBorder="1" applyAlignment="1">
      <alignment horizontal="center" vertical="center"/>
    </xf>
    <xf numFmtId="0" fontId="18" fillId="4" borderId="2" xfId="8" applyFont="1" applyFill="1" applyBorder="1" applyAlignment="1">
      <alignment horizontal="center" vertical="center"/>
    </xf>
    <xf numFmtId="0" fontId="16" fillId="0" borderId="4" xfId="8" applyFont="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4" fontId="15" fillId="4" borderId="4" xfId="8" applyNumberFormat="1" applyFont="1" applyFill="1" applyBorder="1" applyAlignment="1">
      <alignment horizontal="center" vertical="center"/>
    </xf>
    <xf numFmtId="0" fontId="15" fillId="4" borderId="3" xfId="8" applyFont="1" applyFill="1" applyBorder="1" applyAlignment="1">
      <alignment horizontal="center" vertical="center"/>
    </xf>
    <xf numFmtId="1" fontId="15" fillId="4" borderId="3" xfId="8" applyNumberFormat="1" applyFont="1" applyFill="1" applyBorder="1" applyAlignment="1">
      <alignment horizontal="center" vertical="center"/>
    </xf>
    <xf numFmtId="3" fontId="15" fillId="4" borderId="3" xfId="8" applyNumberFormat="1" applyFont="1" applyFill="1" applyBorder="1" applyAlignment="1">
      <alignment horizontal="center" vertical="center"/>
    </xf>
    <xf numFmtId="0" fontId="15" fillId="4" borderId="2" xfId="8" applyFont="1" applyFill="1" applyBorder="1" applyAlignment="1">
      <alignment horizontal="center" vertical="center"/>
    </xf>
    <xf numFmtId="1" fontId="15" fillId="4" borderId="2" xfId="8" applyNumberFormat="1" applyFont="1" applyFill="1" applyBorder="1" applyAlignment="1">
      <alignment horizontal="center" vertical="center"/>
    </xf>
    <xf numFmtId="3" fontId="15" fillId="4" borderId="2" xfId="8" applyNumberFormat="1" applyFont="1" applyFill="1" applyBorder="1" applyAlignment="1">
      <alignment horizontal="center" vertical="center"/>
    </xf>
    <xf numFmtId="0" fontId="19" fillId="0" borderId="4" xfId="8" applyFont="1" applyBorder="1" applyAlignment="1">
      <alignment horizontal="center" vertical="center"/>
    </xf>
    <xf numFmtId="1" fontId="19" fillId="0" borderId="4" xfId="8" applyNumberFormat="1" applyFont="1" applyBorder="1" applyAlignment="1">
      <alignment horizontal="center" vertical="center"/>
    </xf>
    <xf numFmtId="3" fontId="19" fillId="0" borderId="4" xfId="8" applyNumberFormat="1" applyFont="1" applyBorder="1" applyAlignment="1">
      <alignment horizontal="center" vertical="center"/>
    </xf>
    <xf numFmtId="3" fontId="16" fillId="0" borderId="0" xfId="8" applyNumberFormat="1" applyFont="1" applyAlignment="1">
      <alignment horizontal="center" vertical="center"/>
    </xf>
    <xf numFmtId="0" fontId="13" fillId="0" borderId="4" xfId="4" applyFont="1" applyFill="1" applyBorder="1" applyAlignment="1">
      <alignment vertical="center" wrapText="1"/>
    </xf>
    <xf numFmtId="0" fontId="22" fillId="0" borderId="0" xfId="0" applyFont="1" applyBorder="1"/>
    <xf numFmtId="0" fontId="22" fillId="0" borderId="0" xfId="0" applyFont="1" applyBorder="1" applyAlignment="1">
      <alignment vertical="center"/>
    </xf>
    <xf numFmtId="164" fontId="22" fillId="0" borderId="0" xfId="0" applyNumberFormat="1" applyFont="1" applyBorder="1" applyAlignment="1">
      <alignment vertical="center"/>
    </xf>
    <xf numFmtId="0" fontId="22" fillId="0" borderId="0" xfId="0" applyFont="1" applyBorder="1" applyAlignment="1">
      <alignment horizontal="center" vertical="center"/>
    </xf>
    <xf numFmtId="0" fontId="21" fillId="0" borderId="0" xfId="0" applyFont="1" applyBorder="1" applyAlignment="1">
      <alignment horizontal="left" vertical="center"/>
    </xf>
    <xf numFmtId="165" fontId="22" fillId="0" borderId="0" xfId="0" applyNumberFormat="1" applyFont="1" applyBorder="1" applyAlignment="1">
      <alignment horizontal="center" vertical="center"/>
    </xf>
    <xf numFmtId="10" fontId="16" fillId="0" borderId="4" xfId="8" applyNumberFormat="1" applyFont="1" applyBorder="1" applyAlignment="1">
      <alignment horizontal="center" vertical="center"/>
    </xf>
    <xf numFmtId="10" fontId="16" fillId="0" borderId="0" xfId="8" applyNumberFormat="1" applyFont="1" applyAlignment="1">
      <alignment horizontal="center" vertical="center"/>
    </xf>
    <xf numFmtId="0" fontId="23" fillId="0" borderId="16" xfId="0" applyFont="1" applyBorder="1"/>
    <xf numFmtId="0" fontId="0" fillId="0" borderId="17" xfId="0" applyBorder="1"/>
    <xf numFmtId="0" fontId="0" fillId="0" borderId="18" xfId="0" applyBorder="1"/>
    <xf numFmtId="0" fontId="23" fillId="0" borderId="19" xfId="0" applyFont="1" applyBorder="1"/>
    <xf numFmtId="0" fontId="0" fillId="0" borderId="20" xfId="0" applyBorder="1"/>
    <xf numFmtId="0" fontId="0" fillId="0" borderId="19" xfId="0" applyBorder="1" applyAlignment="1">
      <alignment horizontal="center" vertical="center"/>
    </xf>
    <xf numFmtId="0" fontId="0" fillId="0" borderId="0" xfId="0" applyBorder="1" applyAlignment="1">
      <alignment horizontal="center" vertical="center"/>
    </xf>
    <xf numFmtId="0" fontId="0" fillId="0" borderId="20" xfId="0" applyBorder="1" applyAlignment="1">
      <alignment horizontal="center" vertical="center"/>
    </xf>
    <xf numFmtId="0" fontId="23" fillId="0" borderId="4" xfId="0" applyFont="1" applyBorder="1" applyAlignment="1">
      <alignment horizontal="center" vertical="center" wrapText="1"/>
    </xf>
    <xf numFmtId="0" fontId="0" fillId="0" borderId="21" xfId="0" applyBorder="1" applyAlignment="1">
      <alignment horizontal="center" vertical="center" wrapText="1"/>
    </xf>
    <xf numFmtId="0" fontId="23" fillId="5" borderId="4" xfId="0" applyFont="1" applyFill="1" applyBorder="1" applyAlignment="1">
      <alignment horizontal="center" vertical="center" wrapText="1"/>
    </xf>
    <xf numFmtId="0" fontId="0" fillId="0" borderId="4" xfId="0" applyBorder="1" applyAlignment="1">
      <alignment horizontal="center" vertical="center" wrapText="1"/>
    </xf>
    <xf numFmtId="0" fontId="0" fillId="0" borderId="22" xfId="0" applyBorder="1" applyAlignment="1">
      <alignment horizontal="center" vertical="center" wrapText="1"/>
    </xf>
    <xf numFmtId="169" fontId="0" fillId="0" borderId="4" xfId="0" applyNumberFormat="1" applyBorder="1" applyAlignment="1">
      <alignment horizontal="center" vertical="center" wrapText="1"/>
    </xf>
    <xf numFmtId="2" fontId="0" fillId="0" borderId="4" xfId="0" applyNumberFormat="1" applyBorder="1" applyAlignment="1">
      <alignment horizontal="center" vertical="center" wrapText="1"/>
    </xf>
    <xf numFmtId="0" fontId="23" fillId="3" borderId="4" xfId="0" applyFont="1" applyFill="1" applyBorder="1" applyAlignment="1">
      <alignment horizontal="center" vertical="center" wrapText="1"/>
    </xf>
    <xf numFmtId="2" fontId="23" fillId="3" borderId="4" xfId="0" applyNumberFormat="1" applyFont="1" applyFill="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xf>
    <xf numFmtId="0" fontId="24" fillId="0" borderId="0" xfId="0" applyFont="1" applyAlignment="1">
      <alignment vertical="center"/>
    </xf>
    <xf numFmtId="0" fontId="23"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horizontal="left" vertical="center"/>
    </xf>
    <xf numFmtId="0" fontId="23" fillId="0" borderId="0" xfId="0" applyFont="1" applyAlignment="1">
      <alignment horizontal="left" vertic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23" fillId="0" borderId="1" xfId="0" applyFont="1" applyBorder="1" applyAlignment="1">
      <alignment horizontal="center" vertical="center"/>
    </xf>
    <xf numFmtId="0" fontId="23" fillId="7" borderId="1" xfId="0" applyFont="1" applyFill="1" applyBorder="1"/>
    <xf numFmtId="0" fontId="0" fillId="0" borderId="11" xfId="0" applyBorder="1"/>
    <xf numFmtId="0" fontId="8" fillId="0" borderId="0" xfId="0" applyFont="1" applyBorder="1" applyAlignment="1">
      <alignment horizontal="center"/>
    </xf>
    <xf numFmtId="0" fontId="8" fillId="0" borderId="0" xfId="0" applyFont="1" applyBorder="1" applyAlignment="1">
      <alignment horizontal="left"/>
    </xf>
    <xf numFmtId="0" fontId="26" fillId="0" borderId="1" xfId="0" applyFont="1" applyBorder="1" applyAlignment="1">
      <alignment horizontal="center"/>
    </xf>
    <xf numFmtId="0" fontId="23" fillId="0" borderId="1" xfId="0" applyFont="1" applyBorder="1" applyAlignment="1">
      <alignment horizontal="center"/>
    </xf>
    <xf numFmtId="0" fontId="0" fillId="0" borderId="1" xfId="0" applyBorder="1" applyAlignment="1">
      <alignment horizontal="center"/>
    </xf>
    <xf numFmtId="0" fontId="0" fillId="0" borderId="1" xfId="0" applyFont="1" applyBorder="1" applyAlignment="1">
      <alignment horizontal="center"/>
    </xf>
    <xf numFmtId="2" fontId="0" fillId="0" borderId="1" xfId="0" applyNumberFormat="1" applyBorder="1" applyAlignment="1">
      <alignment horizontal="center"/>
    </xf>
    <xf numFmtId="0" fontId="23" fillId="2" borderId="1" xfId="0" applyFont="1" applyFill="1" applyBorder="1" applyAlignment="1">
      <alignment horizontal="center" vertical="center"/>
    </xf>
    <xf numFmtId="0" fontId="23" fillId="3" borderId="1" xfId="0" applyFont="1" applyFill="1" applyBorder="1"/>
    <xf numFmtId="169" fontId="27" fillId="2" borderId="26" xfId="0" applyNumberFormat="1" applyFont="1" applyFill="1" applyBorder="1" applyAlignment="1">
      <alignment vertical="center" wrapText="1"/>
    </xf>
    <xf numFmtId="0" fontId="0" fillId="0" borderId="1" xfId="0" applyBorder="1"/>
    <xf numFmtId="0" fontId="23" fillId="0" borderId="1" xfId="0" applyFont="1" applyBorder="1"/>
    <xf numFmtId="169" fontId="0" fillId="0" borderId="11" xfId="0" applyNumberFormat="1" applyBorder="1"/>
    <xf numFmtId="169" fontId="26" fillId="0" borderId="1" xfId="0" applyNumberFormat="1" applyFont="1" applyBorder="1" applyAlignment="1">
      <alignment horizontal="center"/>
    </xf>
    <xf numFmtId="169" fontId="0" fillId="0" borderId="0" xfId="0" applyNumberFormat="1" applyFont="1" applyBorder="1" applyAlignment="1">
      <alignment horizontal="center"/>
    </xf>
    <xf numFmtId="169" fontId="0" fillId="0" borderId="1" xfId="0" applyNumberFormat="1" applyBorder="1" applyAlignment="1">
      <alignment horizontal="center" wrapText="1"/>
    </xf>
    <xf numFmtId="1" fontId="0" fillId="0" borderId="1" xfId="0" applyNumberFormat="1" applyBorder="1" applyAlignment="1">
      <alignment horizontal="center"/>
    </xf>
    <xf numFmtId="169" fontId="0" fillId="0" borderId="1" xfId="0" applyNumberFormat="1" applyBorder="1" applyAlignment="1">
      <alignment horizontal="center"/>
    </xf>
    <xf numFmtId="0" fontId="0" fillId="0" borderId="1" xfId="0" applyFont="1" applyBorder="1"/>
    <xf numFmtId="1" fontId="8" fillId="0" borderId="0" xfId="0" applyNumberFormat="1" applyFont="1" applyBorder="1" applyAlignment="1">
      <alignment horizontal="center"/>
    </xf>
    <xf numFmtId="0" fontId="23" fillId="0" borderId="1" xfId="0" applyFont="1" applyFill="1" applyBorder="1"/>
    <xf numFmtId="0" fontId="0" fillId="0" borderId="0" xfId="0" applyFill="1"/>
    <xf numFmtId="169" fontId="8" fillId="0" borderId="0" xfId="0" applyNumberFormat="1" applyFont="1" applyBorder="1" applyAlignment="1">
      <alignment horizontal="center" vertical="center"/>
    </xf>
    <xf numFmtId="169" fontId="0" fillId="0" borderId="0" xfId="0" applyNumberFormat="1" applyBorder="1"/>
    <xf numFmtId="169" fontId="8" fillId="0" borderId="0" xfId="0" applyNumberFormat="1" applyFont="1" applyBorder="1" applyAlignment="1">
      <alignment horizontal="center"/>
    </xf>
    <xf numFmtId="169" fontId="8" fillId="0" borderId="0" xfId="0" applyNumberFormat="1" applyFont="1" applyBorder="1"/>
    <xf numFmtId="0" fontId="23" fillId="0" borderId="0" xfId="0" applyFont="1"/>
    <xf numFmtId="169" fontId="0" fillId="0" borderId="11" xfId="0" applyNumberFormat="1" applyFont="1" applyBorder="1"/>
    <xf numFmtId="0" fontId="23" fillId="0" borderId="0" xfId="0" applyFont="1" applyBorder="1"/>
    <xf numFmtId="0" fontId="23" fillId="0" borderId="0" xfId="0" applyFont="1" applyAlignment="1"/>
    <xf numFmtId="0" fontId="23" fillId="6" borderId="4" xfId="0" applyFont="1" applyFill="1" applyBorder="1" applyAlignment="1">
      <alignment horizontal="center" vertical="center"/>
    </xf>
    <xf numFmtId="0" fontId="0" fillId="6" borderId="4" xfId="0" applyFill="1" applyBorder="1"/>
    <xf numFmtId="0" fontId="23" fillId="6" borderId="4" xfId="0" applyFont="1" applyFill="1" applyBorder="1" applyAlignment="1">
      <alignment horizontal="center"/>
    </xf>
    <xf numFmtId="0" fontId="0" fillId="6" borderId="4" xfId="0" applyFill="1" applyBorder="1" applyAlignment="1">
      <alignment horizontal="center"/>
    </xf>
    <xf numFmtId="0" fontId="0" fillId="6" borderId="4" xfId="0" applyFont="1" applyFill="1" applyBorder="1" applyAlignment="1">
      <alignment horizontal="center"/>
    </xf>
    <xf numFmtId="2" fontId="0" fillId="6" borderId="4" xfId="0" applyNumberFormat="1" applyFill="1" applyBorder="1" applyAlignment="1">
      <alignment horizontal="center"/>
    </xf>
    <xf numFmtId="2" fontId="23" fillId="6" borderId="4" xfId="0" applyNumberFormat="1" applyFont="1" applyFill="1" applyBorder="1" applyAlignment="1">
      <alignment horizontal="right"/>
    </xf>
    <xf numFmtId="169" fontId="0" fillId="6" borderId="4" xfId="0" applyNumberFormat="1" applyFill="1" applyBorder="1" applyAlignment="1">
      <alignment horizontal="center"/>
    </xf>
    <xf numFmtId="0" fontId="0" fillId="0" borderId="0" xfId="0" applyFont="1"/>
    <xf numFmtId="169" fontId="0" fillId="0" borderId="0" xfId="0" applyNumberFormat="1"/>
    <xf numFmtId="0" fontId="23" fillId="0" borderId="0" xfId="0" applyFont="1" applyBorder="1" applyAlignment="1">
      <alignment horizontal="center" vertical="center"/>
    </xf>
    <xf numFmtId="0" fontId="0" fillId="0" borderId="0" xfId="0" applyAlignment="1">
      <alignment horizontal="center"/>
    </xf>
    <xf numFmtId="0" fontId="23" fillId="0" borderId="0" xfId="0" applyFont="1" applyAlignment="1">
      <alignment horizontal="center" vertical="center"/>
    </xf>
    <xf numFmtId="0" fontId="0" fillId="0" borderId="11" xfId="0" applyFont="1" applyBorder="1" applyAlignment="1">
      <alignment horizontal="center"/>
    </xf>
    <xf numFmtId="0" fontId="0" fillId="0" borderId="0" xfId="0" applyFont="1" applyBorder="1" applyAlignment="1">
      <alignment horizontal="center"/>
    </xf>
    <xf numFmtId="0" fontId="0" fillId="0" borderId="12" xfId="0" applyFont="1" applyBorder="1" applyAlignment="1">
      <alignment horizontal="center"/>
    </xf>
    <xf numFmtId="0" fontId="23" fillId="0" borderId="12" xfId="0" applyFont="1" applyBorder="1" applyAlignment="1">
      <alignment horizontal="center"/>
    </xf>
    <xf numFmtId="169" fontId="27" fillId="2" borderId="26" xfId="0" applyNumberFormat="1" applyFont="1" applyFill="1" applyBorder="1" applyAlignment="1">
      <alignment horizontal="center" vertical="center" wrapText="1"/>
    </xf>
    <xf numFmtId="0" fontId="0" fillId="0" borderId="1" xfId="0" applyBorder="1" applyAlignment="1">
      <alignment horizontal="center" vertical="center"/>
    </xf>
    <xf numFmtId="169" fontId="0" fillId="0" borderId="0" xfId="0" applyNumberFormat="1" applyFont="1" applyBorder="1" applyAlignment="1">
      <alignment horizontal="left"/>
    </xf>
    <xf numFmtId="169" fontId="0" fillId="0" borderId="11" xfId="0" applyNumberFormat="1" applyFont="1" applyBorder="1" applyAlignment="1">
      <alignment horizontal="center"/>
    </xf>
    <xf numFmtId="169" fontId="0" fillId="0" borderId="12" xfId="0" applyNumberFormat="1" applyFont="1" applyBorder="1" applyAlignment="1">
      <alignment horizontal="left"/>
    </xf>
    <xf numFmtId="169" fontId="0" fillId="0" borderId="11" xfId="0" applyNumberFormat="1" applyFont="1" applyBorder="1" applyAlignment="1">
      <alignment horizontal="right"/>
    </xf>
    <xf numFmtId="0" fontId="0" fillId="0" borderId="1" xfId="0" applyFont="1" applyBorder="1" applyAlignment="1">
      <alignment horizontal="center" vertical="center"/>
    </xf>
    <xf numFmtId="1" fontId="0" fillId="0" borderId="11" xfId="0" applyNumberFormat="1" applyFont="1" applyBorder="1" applyAlignment="1">
      <alignment horizontal="center"/>
    </xf>
    <xf numFmtId="169" fontId="0" fillId="0" borderId="12" xfId="0" applyNumberFormat="1" applyFont="1" applyBorder="1" applyAlignment="1">
      <alignment horizontal="center"/>
    </xf>
    <xf numFmtId="169" fontId="0" fillId="0" borderId="1" xfId="0" applyNumberFormat="1" applyFont="1" applyBorder="1" applyAlignment="1">
      <alignment horizontal="center"/>
    </xf>
    <xf numFmtId="1" fontId="0" fillId="0" borderId="12" xfId="0" applyNumberFormat="1" applyFont="1" applyBorder="1" applyAlignment="1">
      <alignment horizontal="center"/>
    </xf>
    <xf numFmtId="0" fontId="0" fillId="0" borderId="11" xfId="0" applyFont="1" applyBorder="1" applyAlignment="1">
      <alignment horizontal="right"/>
    </xf>
    <xf numFmtId="1" fontId="0" fillId="0" borderId="0" xfId="0" applyNumberFormat="1" applyFont="1" applyBorder="1" applyAlignment="1">
      <alignment horizontal="center"/>
    </xf>
    <xf numFmtId="0" fontId="0" fillId="0" borderId="2" xfId="0" applyBorder="1" applyAlignment="1">
      <alignment horizontal="center" vertical="center"/>
    </xf>
    <xf numFmtId="0" fontId="0" fillId="0" borderId="13" xfId="0" applyFont="1" applyBorder="1" applyAlignment="1">
      <alignment horizontal="center"/>
    </xf>
    <xf numFmtId="0" fontId="0" fillId="0" borderId="14" xfId="0" applyFont="1" applyBorder="1" applyAlignment="1">
      <alignment horizontal="center"/>
    </xf>
    <xf numFmtId="0" fontId="0" fillId="0" borderId="15" xfId="0" applyFont="1" applyBorder="1" applyAlignment="1">
      <alignment horizontal="center"/>
    </xf>
    <xf numFmtId="0" fontId="0" fillId="6" borderId="4" xfId="0" applyFill="1" applyBorder="1" applyAlignment="1">
      <alignment horizontal="center" vertical="center"/>
    </xf>
    <xf numFmtId="2" fontId="23" fillId="6" borderId="4" xfId="0" applyNumberFormat="1" applyFont="1" applyFill="1" applyBorder="1" applyAlignment="1">
      <alignment horizontal="center"/>
    </xf>
    <xf numFmtId="0" fontId="0" fillId="0" borderId="0" xfId="0" applyFont="1" applyAlignment="1">
      <alignment horizontal="center"/>
    </xf>
    <xf numFmtId="0" fontId="23" fillId="0" borderId="0" xfId="0" applyFont="1" applyAlignment="1">
      <alignment horizontal="center"/>
    </xf>
    <xf numFmtId="0" fontId="23" fillId="0" borderId="19" xfId="0" applyFont="1" applyBorder="1" applyAlignment="1">
      <alignment horizontal="left" vertical="center"/>
    </xf>
    <xf numFmtId="0" fontId="15" fillId="4" borderId="4" xfId="8" applyFont="1" applyFill="1" applyBorder="1" applyAlignment="1">
      <alignment horizontal="center" vertical="center"/>
    </xf>
    <xf numFmtId="0" fontId="15" fillId="4" borderId="4" xfId="8" applyFont="1" applyFill="1" applyBorder="1" applyAlignment="1">
      <alignment horizontal="center" vertical="center"/>
    </xf>
    <xf numFmtId="0" fontId="23" fillId="0" borderId="1" xfId="85" applyFont="1" applyFill="1" applyBorder="1" applyAlignment="1">
      <alignment horizontal="center" vertical="center" wrapText="1"/>
    </xf>
    <xf numFmtId="0" fontId="23" fillId="0" borderId="1" xfId="85" applyFont="1" applyBorder="1" applyAlignment="1">
      <alignment horizontal="center" vertical="center"/>
    </xf>
    <xf numFmtId="0" fontId="23" fillId="0" borderId="1" xfId="85" applyFont="1" applyBorder="1" applyAlignment="1">
      <alignment horizontal="center" vertical="center" wrapText="1"/>
    </xf>
    <xf numFmtId="0" fontId="0" fillId="0" borderId="4" xfId="0" applyBorder="1"/>
    <xf numFmtId="0" fontId="0" fillId="0" borderId="4" xfId="0" applyBorder="1" applyAlignment="1">
      <alignment horizontal="center"/>
    </xf>
    <xf numFmtId="0" fontId="0" fillId="0" borderId="4" xfId="0" applyBorder="1" applyAlignment="1">
      <alignment horizontal="center" vertical="center"/>
    </xf>
    <xf numFmtId="0" fontId="0" fillId="0" borderId="4" xfId="0" applyBorder="1" applyAlignment="1">
      <alignment horizontal="left" vertical="center"/>
    </xf>
    <xf numFmtId="0" fontId="23" fillId="3" borderId="4" xfId="0" applyFont="1" applyFill="1" applyBorder="1" applyAlignment="1">
      <alignment horizontal="center" vertical="center"/>
    </xf>
    <xf numFmtId="0" fontId="25" fillId="3" borderId="4" xfId="0" applyFont="1" applyFill="1" applyBorder="1" applyAlignment="1">
      <alignment horizontal="center" vertical="center"/>
    </xf>
    <xf numFmtId="0" fontId="23" fillId="0" borderId="12" xfId="85" applyFont="1" applyBorder="1" applyAlignment="1">
      <alignment horizontal="center" vertical="center"/>
    </xf>
    <xf numFmtId="0" fontId="0" fillId="0" borderId="7" xfId="0" applyBorder="1"/>
    <xf numFmtId="0" fontId="23" fillId="5" borderId="7" xfId="0" applyFont="1" applyFill="1" applyBorder="1"/>
    <xf numFmtId="0" fontId="23" fillId="5" borderId="7" xfId="0" applyFont="1" applyFill="1" applyBorder="1" applyAlignment="1">
      <alignment wrapText="1"/>
    </xf>
    <xf numFmtId="0" fontId="15" fillId="5" borderId="4" xfId="8" applyFont="1" applyFill="1" applyBorder="1" applyAlignment="1">
      <alignment horizontal="justify" vertical="top"/>
    </xf>
    <xf numFmtId="0" fontId="23" fillId="0" borderId="29" xfId="0" applyFont="1" applyBorder="1" applyAlignment="1">
      <alignment horizontal="center" vertical="center"/>
    </xf>
    <xf numFmtId="0" fontId="23" fillId="0" borderId="31" xfId="85" applyFont="1" applyBorder="1" applyAlignment="1">
      <alignment horizontal="center"/>
    </xf>
    <xf numFmtId="0" fontId="0" fillId="0" borderId="21" xfId="0" applyBorder="1" applyAlignment="1">
      <alignment horizontal="center" vertical="center"/>
    </xf>
    <xf numFmtId="0" fontId="23" fillId="3" borderId="22" xfId="0" applyFont="1" applyFill="1" applyBorder="1" applyAlignment="1">
      <alignment horizontal="center" vertical="center"/>
    </xf>
    <xf numFmtId="0" fontId="25" fillId="3" borderId="22" xfId="0" applyFont="1" applyFill="1" applyBorder="1" applyAlignment="1">
      <alignment horizontal="center" vertical="center"/>
    </xf>
    <xf numFmtId="0" fontId="0" fillId="0" borderId="23" xfId="0" applyBorder="1" applyAlignment="1">
      <alignment horizontal="center" vertical="center"/>
    </xf>
    <xf numFmtId="0" fontId="0" fillId="0" borderId="32" xfId="0" applyBorder="1"/>
    <xf numFmtId="0" fontId="0" fillId="0" borderId="24"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23" fillId="0" borderId="7" xfId="0" applyFont="1" applyFill="1" applyBorder="1" applyAlignment="1">
      <alignment wrapText="1"/>
    </xf>
    <xf numFmtId="0" fontId="15" fillId="0" borderId="7" xfId="8" applyFont="1" applyFill="1" applyBorder="1" applyAlignment="1">
      <alignment horizontal="justify" vertical="top"/>
    </xf>
    <xf numFmtId="0" fontId="25" fillId="0" borderId="4" xfId="0" applyFont="1" applyFill="1" applyBorder="1" applyAlignment="1">
      <alignment horizontal="center" vertical="center"/>
    </xf>
    <xf numFmtId="0" fontId="23" fillId="0" borderId="22" xfId="0" applyFont="1" applyFill="1" applyBorder="1" applyAlignment="1">
      <alignment horizontal="center" vertical="center"/>
    </xf>
    <xf numFmtId="0" fontId="1" fillId="0" borderId="0" xfId="502"/>
    <xf numFmtId="0" fontId="33" fillId="0" borderId="4" xfId="502" applyFont="1" applyBorder="1" applyAlignment="1">
      <alignment horizontal="center" vertical="center"/>
    </xf>
    <xf numFmtId="0" fontId="33" fillId="0" borderId="4" xfId="502" applyFont="1" applyBorder="1" applyAlignment="1">
      <alignment horizontal="left" vertical="center"/>
    </xf>
    <xf numFmtId="2" fontId="24" fillId="0" borderId="0" xfId="502" applyNumberFormat="1" applyFont="1" applyFill="1" applyBorder="1"/>
    <xf numFmtId="0" fontId="7" fillId="0" borderId="4" xfId="502" applyFont="1" applyBorder="1" applyAlignment="1">
      <alignment horizontal="center" vertical="center"/>
    </xf>
    <xf numFmtId="1" fontId="1" fillId="0" borderId="0" xfId="502" applyNumberFormat="1"/>
    <xf numFmtId="10" fontId="1" fillId="0" borderId="0" xfId="497" applyNumberFormat="1" applyFont="1"/>
    <xf numFmtId="0" fontId="12" fillId="0" borderId="0" xfId="85" applyAlignment="1">
      <alignment horizontal="center"/>
    </xf>
    <xf numFmtId="0" fontId="12" fillId="0" borderId="0" xfId="85"/>
    <xf numFmtId="14" fontId="12" fillId="0" borderId="4" xfId="85" applyNumberFormat="1" applyFont="1" applyBorder="1" applyAlignment="1">
      <alignment horizontal="center" vertical="center"/>
    </xf>
    <xf numFmtId="0" fontId="12" fillId="0" borderId="4" xfId="85" applyBorder="1" applyAlignment="1">
      <alignment horizontal="center" vertical="center" wrapText="1"/>
    </xf>
    <xf numFmtId="0" fontId="12" fillId="0" borderId="4" xfId="85" applyFont="1" applyBorder="1" applyAlignment="1">
      <alignment horizontal="center" vertical="center" wrapText="1"/>
    </xf>
    <xf numFmtId="0" fontId="23" fillId="0" borderId="4" xfId="85" applyFont="1" applyBorder="1" applyAlignment="1">
      <alignment horizontal="center" vertical="center" wrapText="1"/>
    </xf>
    <xf numFmtId="0" fontId="12" fillId="0" borderId="4" xfId="85" applyBorder="1" applyAlignment="1">
      <alignment horizontal="center" vertical="center"/>
    </xf>
    <xf numFmtId="0" fontId="1" fillId="0" borderId="4" xfId="85" applyFont="1" applyBorder="1" applyAlignment="1">
      <alignment horizontal="center" vertical="center" wrapText="1"/>
    </xf>
    <xf numFmtId="14" fontId="1" fillId="2" borderId="4" xfId="503" applyNumberFormat="1" applyFont="1" applyFill="1" applyBorder="1" applyAlignment="1">
      <alignment horizontal="center" vertical="center"/>
    </xf>
    <xf numFmtId="0" fontId="12" fillId="0" borderId="4" xfId="85" applyFont="1" applyBorder="1" applyAlignment="1">
      <alignment horizontal="center" vertical="center"/>
    </xf>
    <xf numFmtId="14" fontId="23" fillId="2" borderId="4" xfId="503" applyNumberFormat="1" applyFont="1" applyFill="1" applyBorder="1" applyAlignment="1">
      <alignment horizontal="center" vertical="center"/>
    </xf>
    <xf numFmtId="0" fontId="37" fillId="0" borderId="4" xfId="85" applyFont="1" applyBorder="1" applyAlignment="1">
      <alignment horizontal="center" vertical="center" wrapText="1"/>
    </xf>
    <xf numFmtId="0" fontId="37" fillId="0" borderId="4" xfId="85" applyFont="1" applyBorder="1" applyAlignment="1">
      <alignment horizontal="center" vertical="center"/>
    </xf>
    <xf numFmtId="0" fontId="36" fillId="0" borderId="0" xfId="85" applyFont="1" applyAlignment="1">
      <alignment horizontal="center"/>
    </xf>
    <xf numFmtId="0" fontId="36" fillId="0" borderId="0" xfId="85" applyFont="1" applyAlignment="1"/>
    <xf numFmtId="0" fontId="36" fillId="0" borderId="0" xfId="85" applyFont="1"/>
    <xf numFmtId="0" fontId="24" fillId="0" borderId="0" xfId="85" applyFont="1" applyBorder="1" applyAlignment="1">
      <alignment horizontal="center" vertical="center"/>
    </xf>
    <xf numFmtId="0" fontId="24" fillId="0" borderId="0" xfId="85" applyFont="1" applyBorder="1" applyAlignment="1">
      <alignment vertical="center"/>
    </xf>
    <xf numFmtId="0" fontId="23" fillId="0" borderId="0" xfId="85" applyFont="1" applyBorder="1" applyAlignment="1">
      <alignment vertical="center"/>
    </xf>
    <xf numFmtId="0" fontId="12" fillId="0" borderId="0" xfId="85" applyBorder="1"/>
    <xf numFmtId="2" fontId="23" fillId="0" borderId="0" xfId="85" applyNumberFormat="1" applyFont="1" applyBorder="1" applyAlignment="1">
      <alignment horizontal="center"/>
    </xf>
    <xf numFmtId="2" fontId="12" fillId="0" borderId="0" xfId="85" applyNumberFormat="1" applyBorder="1"/>
    <xf numFmtId="0" fontId="12" fillId="0" borderId="4" xfId="85" applyBorder="1" applyAlignment="1">
      <alignment horizontal="center"/>
    </xf>
    <xf numFmtId="0" fontId="23" fillId="0" borderId="4" xfId="85" applyFont="1" applyBorder="1" applyAlignment="1">
      <alignment horizontal="center" vertical="center"/>
    </xf>
    <xf numFmtId="0" fontId="23" fillId="0" borderId="4" xfId="85" applyFont="1" applyFill="1" applyBorder="1" applyAlignment="1">
      <alignment horizontal="center" vertical="center" wrapText="1"/>
    </xf>
    <xf numFmtId="173" fontId="12" fillId="0" borderId="4" xfId="85" applyNumberFormat="1" applyFont="1" applyBorder="1" applyAlignment="1">
      <alignment horizontal="center" vertical="center"/>
    </xf>
    <xf numFmtId="0" fontId="12" fillId="0" borderId="4" xfId="85" applyBorder="1"/>
    <xf numFmtId="173" fontId="37" fillId="0" borderId="4" xfId="85" applyNumberFormat="1" applyFont="1" applyBorder="1" applyAlignment="1">
      <alignment horizontal="center" vertical="center"/>
    </xf>
    <xf numFmtId="0" fontId="24" fillId="0" borderId="4" xfId="85" applyFont="1" applyBorder="1" applyAlignment="1">
      <alignment horizontal="center" vertical="center"/>
    </xf>
    <xf numFmtId="0" fontId="36" fillId="0" borderId="4" xfId="502" applyFont="1" applyBorder="1" applyAlignment="1">
      <alignment vertical="center"/>
    </xf>
    <xf numFmtId="0" fontId="0" fillId="0" borderId="0" xfId="0" applyAlignment="1">
      <alignment vertical="center"/>
    </xf>
    <xf numFmtId="1" fontId="7" fillId="0" borderId="4" xfId="502" applyNumberFormat="1" applyFont="1" applyBorder="1" applyAlignment="1">
      <alignment horizontal="center" vertical="center"/>
    </xf>
    <xf numFmtId="1" fontId="33" fillId="0" borderId="4" xfId="502" applyNumberFormat="1" applyFont="1" applyBorder="1" applyAlignment="1">
      <alignment horizontal="center"/>
    </xf>
    <xf numFmtId="1" fontId="33" fillId="0" borderId="5" xfId="502" applyNumberFormat="1" applyFont="1" applyBorder="1" applyAlignment="1">
      <alignment horizontal="center"/>
    </xf>
    <xf numFmtId="1" fontId="7" fillId="0" borderId="22" xfId="502" applyNumberFormat="1" applyFont="1" applyBorder="1" applyAlignment="1">
      <alignment horizontal="center"/>
    </xf>
    <xf numFmtId="1" fontId="7" fillId="0" borderId="4" xfId="502" applyNumberFormat="1" applyFont="1" applyBorder="1" applyAlignment="1">
      <alignment horizontal="center"/>
    </xf>
    <xf numFmtId="1" fontId="7" fillId="0" borderId="5" xfId="502" applyNumberFormat="1" applyFont="1" applyBorder="1" applyAlignment="1">
      <alignment horizontal="center"/>
    </xf>
    <xf numFmtId="1" fontId="35" fillId="0" borderId="4" xfId="502" applyNumberFormat="1" applyFont="1" applyBorder="1" applyAlignment="1">
      <alignment horizontal="center"/>
    </xf>
    <xf numFmtId="1" fontId="25" fillId="0" borderId="22" xfId="502" applyNumberFormat="1" applyFont="1" applyBorder="1" applyAlignment="1">
      <alignment horizontal="center"/>
    </xf>
    <xf numFmtId="1" fontId="35" fillId="0" borderId="5" xfId="502" applyNumberFormat="1" applyFont="1" applyBorder="1" applyAlignment="1">
      <alignment horizontal="center"/>
    </xf>
    <xf numFmtId="1" fontId="25" fillId="3" borderId="22" xfId="502" applyNumberFormat="1" applyFont="1" applyFill="1" applyBorder="1" applyAlignment="1">
      <alignment horizontal="center" vertical="center"/>
    </xf>
    <xf numFmtId="1" fontId="7" fillId="0" borderId="5" xfId="502" applyNumberFormat="1" applyFont="1" applyBorder="1" applyAlignment="1">
      <alignment horizontal="center" vertical="center"/>
    </xf>
    <xf numFmtId="1" fontId="25" fillId="3" borderId="22" xfId="502" applyNumberFormat="1" applyFont="1" applyFill="1" applyBorder="1" applyAlignment="1">
      <alignment horizontal="center"/>
    </xf>
    <xf numFmtId="0" fontId="25" fillId="0" borderId="7" xfId="0" applyFont="1" applyFill="1" applyBorder="1" applyAlignment="1">
      <alignment horizontal="left" vertical="center" wrapText="1"/>
    </xf>
    <xf numFmtId="169" fontId="0" fillId="0" borderId="4" xfId="0" applyNumberFormat="1" applyBorder="1" applyAlignment="1">
      <alignment horizontal="center" vertical="center"/>
    </xf>
    <xf numFmtId="1" fontId="37" fillId="0" borderId="4" xfId="85" applyNumberFormat="1" applyFont="1" applyBorder="1" applyAlignment="1">
      <alignment horizontal="center" vertical="center"/>
    </xf>
    <xf numFmtId="0" fontId="36" fillId="0" borderId="4" xfId="85" applyFont="1" applyBorder="1" applyAlignment="1">
      <alignment horizontal="center" vertical="center"/>
    </xf>
    <xf numFmtId="169" fontId="12" fillId="0" borderId="4" xfId="85" applyNumberFormat="1" applyBorder="1" applyAlignment="1">
      <alignment horizontal="center" vertical="center"/>
    </xf>
    <xf numFmtId="1" fontId="25" fillId="0" borderId="4" xfId="502" applyNumberFormat="1" applyFont="1" applyBorder="1" applyAlignment="1">
      <alignment horizontal="center" vertical="center"/>
    </xf>
    <xf numFmtId="1" fontId="25" fillId="0" borderId="4" xfId="502" applyNumberFormat="1" applyFont="1" applyBorder="1" applyAlignment="1">
      <alignment horizontal="center"/>
    </xf>
    <xf numFmtId="0" fontId="7" fillId="0" borderId="4" xfId="502" applyFont="1" applyBorder="1" applyAlignment="1">
      <alignment vertical="center"/>
    </xf>
    <xf numFmtId="1" fontId="25" fillId="0" borderId="5" xfId="502" applyNumberFormat="1" applyFont="1" applyBorder="1" applyAlignment="1">
      <alignment horizontal="center"/>
    </xf>
    <xf numFmtId="1" fontId="25" fillId="0" borderId="22" xfId="502" applyNumberFormat="1" applyFont="1" applyBorder="1" applyAlignment="1">
      <alignment horizontal="center" vertical="center"/>
    </xf>
    <xf numFmtId="0" fontId="25" fillId="7" borderId="7" xfId="502" applyFont="1" applyFill="1" applyBorder="1" applyAlignment="1">
      <alignment horizontal="left" vertical="center"/>
    </xf>
    <xf numFmtId="0" fontId="7" fillId="0" borderId="7" xfId="502" applyFont="1" applyBorder="1" applyAlignment="1">
      <alignment horizontal="left" vertical="center"/>
    </xf>
    <xf numFmtId="0" fontId="33" fillId="7" borderId="7" xfId="502" applyFont="1" applyFill="1" applyBorder="1" applyAlignment="1">
      <alignment horizontal="left" vertical="center"/>
    </xf>
    <xf numFmtId="0" fontId="39" fillId="0" borderId="7" xfId="8" applyFont="1" applyFill="1" applyBorder="1" applyAlignment="1">
      <alignment horizontal="left" vertical="center" wrapText="1"/>
    </xf>
    <xf numFmtId="0" fontId="34" fillId="0" borderId="7" xfId="502" applyFont="1" applyBorder="1" applyAlignment="1">
      <alignment horizontal="left" vertical="center"/>
    </xf>
    <xf numFmtId="0" fontId="25" fillId="7" borderId="7" xfId="502" applyFont="1" applyFill="1" applyBorder="1" applyAlignment="1">
      <alignment horizontal="left" vertical="center" wrapText="1"/>
    </xf>
    <xf numFmtId="0" fontId="34" fillId="0" borderId="7" xfId="502" applyFont="1" applyBorder="1" applyAlignment="1">
      <alignment horizontal="left" vertical="center" wrapText="1"/>
    </xf>
    <xf numFmtId="0" fontId="25" fillId="0" borderId="7" xfId="502" applyFont="1" applyBorder="1" applyAlignment="1">
      <alignment horizontal="left" vertical="center"/>
    </xf>
    <xf numFmtId="169" fontId="7" fillId="0" borderId="4" xfId="502" applyNumberFormat="1" applyFont="1" applyBorder="1" applyAlignment="1">
      <alignment horizontal="center" vertical="center"/>
    </xf>
    <xf numFmtId="2" fontId="0" fillId="0" borderId="4" xfId="0" applyNumberFormat="1" applyBorder="1" applyAlignment="1">
      <alignment horizontal="center" vertical="center"/>
    </xf>
    <xf numFmtId="1" fontId="0" fillId="0" borderId="4" xfId="0" applyNumberFormat="1" applyBorder="1" applyAlignment="1">
      <alignment horizontal="center" vertical="center"/>
    </xf>
    <xf numFmtId="1" fontId="12" fillId="0" borderId="4" xfId="85" applyNumberFormat="1" applyBorder="1" applyAlignment="1">
      <alignment horizontal="center" vertical="center" wrapText="1"/>
    </xf>
    <xf numFmtId="1" fontId="1" fillId="0" borderId="4" xfId="85" applyNumberFormat="1" applyFont="1" applyBorder="1" applyAlignment="1">
      <alignment horizontal="center" vertical="center" wrapText="1"/>
    </xf>
    <xf numFmtId="1" fontId="12" fillId="0" borderId="4" xfId="85" applyNumberFormat="1" applyFont="1" applyBorder="1" applyAlignment="1">
      <alignment horizontal="center" vertical="center" wrapText="1"/>
    </xf>
    <xf numFmtId="1" fontId="12" fillId="0" borderId="4" xfId="85" applyNumberFormat="1" applyBorder="1" applyAlignment="1">
      <alignment horizontal="center" vertical="center"/>
    </xf>
    <xf numFmtId="169" fontId="23" fillId="3" borderId="22" xfId="0" applyNumberFormat="1" applyFont="1" applyFill="1" applyBorder="1" applyAlignment="1">
      <alignment horizontal="center" vertical="center"/>
    </xf>
    <xf numFmtId="169" fontId="25" fillId="3" borderId="4" xfId="0" applyNumberFormat="1" applyFont="1" applyFill="1" applyBorder="1" applyAlignment="1">
      <alignment horizontal="center" vertical="center"/>
    </xf>
    <xf numFmtId="169" fontId="25" fillId="3" borderId="22" xfId="0" applyNumberFormat="1" applyFont="1" applyFill="1" applyBorder="1" applyAlignment="1">
      <alignment horizontal="center" vertical="center"/>
    </xf>
    <xf numFmtId="1" fontId="25" fillId="0" borderId="4" xfId="0" applyNumberFormat="1" applyFont="1" applyFill="1" applyBorder="1" applyAlignment="1">
      <alignment horizontal="center" vertical="center"/>
    </xf>
    <xf numFmtId="10" fontId="1" fillId="0" borderId="0" xfId="497" applyNumberFormat="1" applyFont="1" applyAlignment="1">
      <alignment horizontal="center" vertical="center" wrapText="1"/>
    </xf>
    <xf numFmtId="169" fontId="0" fillId="0" borderId="0" xfId="0" applyNumberFormat="1" applyFont="1" applyBorder="1" applyAlignment="1">
      <alignment horizontal="right"/>
    </xf>
    <xf numFmtId="169" fontId="16" fillId="0" borderId="4" xfId="8" applyNumberFormat="1" applyFont="1" applyBorder="1" applyAlignment="1">
      <alignment horizontal="center" vertical="center"/>
    </xf>
    <xf numFmtId="1" fontId="16" fillId="0" borderId="4" xfId="8" applyNumberFormat="1" applyFont="1" applyBorder="1" applyAlignment="1">
      <alignment horizontal="center" vertical="center"/>
    </xf>
    <xf numFmtId="0" fontId="23" fillId="0" borderId="4" xfId="0" applyFont="1" applyBorder="1" applyAlignment="1">
      <alignment horizontal="center"/>
    </xf>
    <xf numFmtId="0" fontId="23" fillId="3" borderId="4" xfId="0" applyFont="1" applyFill="1" applyBorder="1" applyAlignment="1">
      <alignment horizontal="center"/>
    </xf>
    <xf numFmtId="0" fontId="23" fillId="0" borderId="4" xfId="0" applyFont="1" applyBorder="1" applyAlignment="1">
      <alignment horizontal="center" vertical="center"/>
    </xf>
    <xf numFmtId="0" fontId="0" fillId="0" borderId="4" xfId="0" applyFont="1" applyBorder="1" applyAlignment="1">
      <alignment horizontal="center"/>
    </xf>
    <xf numFmtId="0" fontId="0" fillId="0" borderId="4" xfId="0" applyFont="1" applyBorder="1" applyAlignment="1">
      <alignment horizontal="left" vertical="top"/>
    </xf>
    <xf numFmtId="0" fontId="0" fillId="0" borderId="4" xfId="0" applyFont="1" applyBorder="1" applyAlignment="1">
      <alignment horizontal="center" vertical="top"/>
    </xf>
    <xf numFmtId="0" fontId="0" fillId="0" borderId="4" xfId="0" applyFont="1" applyBorder="1" applyAlignment="1">
      <alignment horizontal="center" vertical="center"/>
    </xf>
    <xf numFmtId="2" fontId="0" fillId="0" borderId="4" xfId="0" applyNumberFormat="1" applyFont="1" applyBorder="1" applyAlignment="1">
      <alignment horizontal="center" vertical="center"/>
    </xf>
    <xf numFmtId="0" fontId="12" fillId="0" borderId="4" xfId="0" applyFont="1" applyBorder="1" applyAlignment="1">
      <alignment horizontal="center" vertical="top"/>
    </xf>
    <xf numFmtId="0" fontId="37" fillId="0" borderId="4" xfId="0" applyFont="1" applyBorder="1" applyAlignment="1">
      <alignment horizontal="center" vertical="center"/>
    </xf>
    <xf numFmtId="0" fontId="23" fillId="0" borderId="4" xfId="0" applyFont="1" applyBorder="1"/>
    <xf numFmtId="2" fontId="23" fillId="0" borderId="4" xfId="0" applyNumberFormat="1" applyFont="1" applyBorder="1" applyAlignment="1">
      <alignment horizontal="center" vertical="center"/>
    </xf>
    <xf numFmtId="2" fontId="0" fillId="0" borderId="4" xfId="0" applyNumberFormat="1" applyFont="1" applyBorder="1" applyAlignment="1">
      <alignment horizontal="center"/>
    </xf>
    <xf numFmtId="169" fontId="23" fillId="0" borderId="4" xfId="0" applyNumberFormat="1" applyFont="1" applyBorder="1" applyAlignment="1">
      <alignment horizontal="center"/>
    </xf>
    <xf numFmtId="0" fontId="0" fillId="0" borderId="3" xfId="0" applyBorder="1"/>
    <xf numFmtId="0" fontId="23" fillId="0" borderId="3" xfId="0" applyFont="1" applyBorder="1" applyAlignment="1">
      <alignment horizontal="center"/>
    </xf>
    <xf numFmtId="0" fontId="0" fillId="0" borderId="3" xfId="0" applyBorder="1" applyAlignment="1">
      <alignment horizontal="center"/>
    </xf>
    <xf numFmtId="169" fontId="23" fillId="0" borderId="3" xfId="0" applyNumberFormat="1" applyFont="1" applyBorder="1" applyAlignment="1">
      <alignment horizontal="center"/>
    </xf>
    <xf numFmtId="0" fontId="23" fillId="0" borderId="28" xfId="0" applyFont="1" applyBorder="1"/>
    <xf numFmtId="0" fontId="23" fillId="0" borderId="28" xfId="0" applyFont="1" applyBorder="1" applyAlignment="1">
      <alignment horizontal="center"/>
    </xf>
    <xf numFmtId="0" fontId="0" fillId="0" borderId="28" xfId="0" applyBorder="1" applyAlignment="1">
      <alignment horizontal="center"/>
    </xf>
    <xf numFmtId="0" fontId="0" fillId="0" borderId="28" xfId="0" applyBorder="1"/>
    <xf numFmtId="2" fontId="23" fillId="3" borderId="28" xfId="0" applyNumberFormat="1" applyFont="1" applyFill="1" applyBorder="1" applyAlignment="1">
      <alignment horizontal="center" vertical="center"/>
    </xf>
    <xf numFmtId="0" fontId="37" fillId="0" borderId="28" xfId="0" applyFont="1" applyBorder="1" applyAlignment="1">
      <alignment horizontal="center" vertical="center"/>
    </xf>
    <xf numFmtId="2" fontId="37" fillId="3" borderId="28" xfId="0" applyNumberFormat="1" applyFont="1" applyFill="1" applyBorder="1" applyAlignment="1">
      <alignment horizontal="center" vertical="center"/>
    </xf>
    <xf numFmtId="2" fontId="37" fillId="3" borderId="30" xfId="0" applyNumberFormat="1" applyFont="1" applyFill="1" applyBorder="1" applyAlignment="1">
      <alignment horizontal="center" vertical="center"/>
    </xf>
    <xf numFmtId="1" fontId="12" fillId="0" borderId="4" xfId="0" applyNumberFormat="1" applyFont="1" applyBorder="1" applyAlignment="1">
      <alignment horizontal="center" vertical="center"/>
    </xf>
    <xf numFmtId="0" fontId="0" fillId="0" borderId="22" xfId="0" applyBorder="1" applyAlignment="1">
      <alignment horizontal="center" vertical="center"/>
    </xf>
    <xf numFmtId="2" fontId="0" fillId="0" borderId="22" xfId="0" applyNumberFormat="1" applyBorder="1" applyAlignment="1">
      <alignment horizontal="center" vertical="center"/>
    </xf>
    <xf numFmtId="0" fontId="23" fillId="0" borderId="24" xfId="0" applyFont="1" applyBorder="1"/>
    <xf numFmtId="0" fontId="0" fillId="0" borderId="24" xfId="0" applyBorder="1"/>
    <xf numFmtId="10" fontId="37" fillId="0" borderId="24" xfId="497" applyNumberFormat="1" applyFont="1" applyBorder="1" applyAlignment="1">
      <alignment horizontal="center" vertical="center"/>
    </xf>
    <xf numFmtId="1" fontId="0" fillId="0" borderId="0" xfId="0" applyNumberFormat="1"/>
    <xf numFmtId="0" fontId="0" fillId="0" borderId="3" xfId="0" applyBorder="1" applyAlignment="1">
      <alignment horizontal="center" vertical="center"/>
    </xf>
    <xf numFmtId="2" fontId="23" fillId="3" borderId="4" xfId="0" applyNumberFormat="1" applyFont="1" applyFill="1" applyBorder="1" applyAlignment="1">
      <alignment horizontal="center" vertical="center"/>
    </xf>
    <xf numFmtId="10" fontId="37" fillId="0" borderId="1" xfId="497" applyNumberFormat="1" applyFont="1" applyBorder="1" applyAlignment="1">
      <alignment horizontal="center" vertical="center"/>
    </xf>
    <xf numFmtId="2" fontId="0" fillId="0" borderId="28" xfId="0" applyNumberFormat="1" applyBorder="1" applyAlignment="1">
      <alignment horizontal="center" vertical="center"/>
    </xf>
    <xf numFmtId="0" fontId="0" fillId="0" borderId="28" xfId="0" applyFont="1" applyBorder="1" applyAlignment="1">
      <alignment horizontal="center" vertical="center"/>
    </xf>
    <xf numFmtId="1" fontId="12" fillId="0" borderId="28" xfId="0" applyNumberFormat="1" applyFont="1" applyBorder="1" applyAlignment="1">
      <alignment horizontal="center" vertical="center"/>
    </xf>
    <xf numFmtId="0" fontId="0" fillId="0" borderId="30" xfId="0" applyBorder="1" applyAlignment="1">
      <alignment horizontal="center" vertical="center"/>
    </xf>
    <xf numFmtId="2" fontId="0" fillId="0" borderId="30" xfId="0" applyNumberFormat="1" applyBorder="1" applyAlignment="1">
      <alignment horizontal="center" vertical="center"/>
    </xf>
    <xf numFmtId="0" fontId="1" fillId="0" borderId="0" xfId="504"/>
    <xf numFmtId="0" fontId="24" fillId="9" borderId="4" xfId="504" applyFont="1" applyFill="1" applyBorder="1" applyAlignment="1">
      <alignment horizontal="center" vertical="center"/>
    </xf>
    <xf numFmtId="0" fontId="7" fillId="0" borderId="4" xfId="84" applyFont="1" applyBorder="1" applyAlignment="1">
      <alignment horizontal="center" vertical="center"/>
    </xf>
    <xf numFmtId="0" fontId="25" fillId="0" borderId="4" xfId="84" applyFont="1" applyBorder="1" applyAlignment="1">
      <alignment horizontal="center" vertical="center"/>
    </xf>
    <xf numFmtId="0" fontId="24" fillId="0" borderId="4" xfId="84" applyFont="1" applyBorder="1" applyAlignment="1">
      <alignment horizontal="center" vertical="center"/>
    </xf>
    <xf numFmtId="2" fontId="7" fillId="0" borderId="4" xfId="84" applyNumberFormat="1" applyFont="1" applyBorder="1" applyAlignment="1">
      <alignment horizontal="center" vertical="center"/>
    </xf>
    <xf numFmtId="0" fontId="7" fillId="0" borderId="4" xfId="504" applyFont="1" applyBorder="1" applyAlignment="1">
      <alignment horizontal="center" vertical="center"/>
    </xf>
    <xf numFmtId="0" fontId="7" fillId="0" borderId="4" xfId="505" applyFont="1" applyBorder="1" applyAlignment="1">
      <alignment horizontal="center" vertical="center"/>
    </xf>
    <xf numFmtId="2" fontId="7" fillId="0" borderId="4" xfId="505" applyNumberFormat="1" applyFont="1" applyBorder="1" applyAlignment="1">
      <alignment horizontal="center" vertical="center"/>
    </xf>
    <xf numFmtId="14" fontId="25" fillId="2" borderId="4" xfId="504" applyNumberFormat="1" applyFont="1" applyFill="1" applyBorder="1" applyAlignment="1">
      <alignment horizontal="center" vertical="center"/>
    </xf>
    <xf numFmtId="2" fontId="25" fillId="0" borderId="4" xfId="84" applyNumberFormat="1" applyFont="1" applyBorder="1" applyAlignment="1">
      <alignment horizontal="center" vertical="center"/>
    </xf>
    <xf numFmtId="0" fontId="25" fillId="0" borderId="4" xfId="505" applyFont="1" applyBorder="1" applyAlignment="1">
      <alignment horizontal="center" vertical="center"/>
    </xf>
    <xf numFmtId="0" fontId="1" fillId="0" borderId="0" xfId="505"/>
    <xf numFmtId="0" fontId="1" fillId="0" borderId="4" xfId="505" applyFont="1" applyBorder="1" applyAlignment="1">
      <alignment horizontal="center" vertical="center"/>
    </xf>
    <xf numFmtId="0" fontId="23" fillId="0" borderId="0" xfId="505" applyFont="1"/>
    <xf numFmtId="0" fontId="1" fillId="0" borderId="0" xfId="505" applyFont="1"/>
    <xf numFmtId="0" fontId="24" fillId="3" borderId="4" xfId="84" applyFont="1" applyFill="1" applyBorder="1" applyAlignment="1">
      <alignment horizontal="center" vertical="center"/>
    </xf>
    <xf numFmtId="2" fontId="24" fillId="7" borderId="4" xfId="84" applyNumberFormat="1" applyFont="1" applyFill="1" applyBorder="1" applyAlignment="1">
      <alignment horizontal="center" vertical="center"/>
    </xf>
    <xf numFmtId="0" fontId="25" fillId="0" borderId="4" xfId="84" applyFont="1" applyBorder="1" applyAlignment="1">
      <alignment horizontal="center" vertical="center" wrapText="1"/>
    </xf>
    <xf numFmtId="0" fontId="42" fillId="2" borderId="4" xfId="506" applyFont="1" applyFill="1" applyBorder="1" applyAlignment="1">
      <alignment horizontal="center" vertical="center" wrapText="1"/>
    </xf>
    <xf numFmtId="174" fontId="43" fillId="2" borderId="4" xfId="506" applyNumberFormat="1" applyFont="1" applyFill="1" applyBorder="1" applyAlignment="1">
      <alignment horizontal="center" vertical="center"/>
    </xf>
    <xf numFmtId="0" fontId="43" fillId="2" borderId="4" xfId="506" applyFont="1" applyFill="1" applyBorder="1" applyAlignment="1">
      <alignment horizontal="center" vertical="center"/>
    </xf>
    <xf numFmtId="171" fontId="25" fillId="0" borderId="4" xfId="84" applyNumberFormat="1" applyFont="1" applyBorder="1" applyAlignment="1">
      <alignment horizontal="center" vertical="center"/>
    </xf>
    <xf numFmtId="0" fontId="24" fillId="11" borderId="4" xfId="504" applyFont="1" applyFill="1" applyBorder="1" applyAlignment="1">
      <alignment horizontal="center" vertical="center"/>
    </xf>
    <xf numFmtId="17" fontId="24" fillId="0" borderId="4" xfId="84" applyNumberFormat="1" applyFont="1" applyFill="1" applyBorder="1" applyAlignment="1">
      <alignment vertical="center" wrapText="1"/>
    </xf>
    <xf numFmtId="0" fontId="1" fillId="11" borderId="4" xfId="504" applyFill="1" applyBorder="1"/>
    <xf numFmtId="0" fontId="1" fillId="0" borderId="4" xfId="504" applyBorder="1"/>
    <xf numFmtId="17" fontId="24" fillId="0" borderId="4" xfId="84" applyNumberFormat="1" applyFont="1" applyFill="1" applyBorder="1" applyAlignment="1">
      <alignment horizontal="center" vertical="center" wrapText="1"/>
    </xf>
    <xf numFmtId="0" fontId="23" fillId="0" borderId="4" xfId="0" applyFont="1" applyFill="1" applyBorder="1" applyAlignment="1">
      <alignment horizontal="center" vertical="center"/>
    </xf>
    <xf numFmtId="2" fontId="16" fillId="0" borderId="4" xfId="8" applyNumberFormat="1" applyFont="1" applyBorder="1" applyAlignment="1">
      <alignment horizontal="center" vertical="center"/>
    </xf>
    <xf numFmtId="0" fontId="0" fillId="0" borderId="4" xfId="0" applyBorder="1" applyAlignment="1">
      <alignment horizontal="center" vertical="center"/>
    </xf>
    <xf numFmtId="2" fontId="19" fillId="3" borderId="4" xfId="8" applyNumberFormat="1" applyFont="1" applyFill="1" applyBorder="1" applyAlignment="1">
      <alignment horizontal="center" vertical="center"/>
    </xf>
    <xf numFmtId="0" fontId="7" fillId="2" borderId="4" xfId="0" applyFont="1" applyFill="1" applyBorder="1" applyAlignment="1">
      <alignment horizontal="center" vertical="center" wrapText="1"/>
    </xf>
    <xf numFmtId="0" fontId="7" fillId="0" borderId="4" xfId="0" applyFont="1" applyBorder="1" applyAlignment="1">
      <alignment horizontal="center" vertical="center"/>
    </xf>
    <xf numFmtId="2" fontId="24" fillId="10" borderId="4" xfId="84" applyNumberFormat="1" applyFont="1" applyFill="1" applyBorder="1" applyAlignment="1">
      <alignment horizontal="center" vertical="center" wrapText="1"/>
    </xf>
    <xf numFmtId="174" fontId="42" fillId="0" borderId="4" xfId="506" applyNumberFormat="1" applyFont="1" applyFill="1" applyBorder="1" applyAlignment="1">
      <alignment horizontal="center" vertical="center"/>
    </xf>
    <xf numFmtId="0" fontId="42" fillId="0" borderId="5" xfId="506" applyFont="1" applyFill="1" applyBorder="1" applyAlignment="1">
      <alignment horizontal="center" vertical="center"/>
    </xf>
    <xf numFmtId="0" fontId="25" fillId="0" borderId="4" xfId="2191" applyFont="1" applyBorder="1" applyAlignment="1">
      <alignment horizontal="center" vertical="center" wrapText="1"/>
    </xf>
    <xf numFmtId="173" fontId="25" fillId="0" borderId="4" xfId="2191" applyNumberFormat="1" applyFont="1" applyBorder="1" applyAlignment="1">
      <alignment horizontal="center" vertical="center" wrapText="1"/>
    </xf>
    <xf numFmtId="0" fontId="7" fillId="0" borderId="4" xfId="2191" applyFont="1" applyBorder="1" applyAlignment="1">
      <alignment horizontal="center" vertical="center"/>
    </xf>
    <xf numFmtId="18" fontId="7" fillId="0" borderId="4" xfId="2191" applyNumberFormat="1" applyFont="1" applyBorder="1" applyAlignment="1">
      <alignment horizontal="center" vertical="center"/>
    </xf>
    <xf numFmtId="0" fontId="7" fillId="0" borderId="2" xfId="2191" applyFont="1" applyBorder="1" applyAlignment="1">
      <alignment horizontal="center" vertical="center"/>
    </xf>
    <xf numFmtId="0" fontId="7" fillId="0" borderId="2" xfId="2191" applyFont="1" applyBorder="1"/>
    <xf numFmtId="0" fontId="25" fillId="0" borderId="2" xfId="2191" applyFont="1" applyFill="1" applyBorder="1"/>
    <xf numFmtId="0" fontId="7" fillId="0" borderId="2" xfId="2191" applyFont="1" applyBorder="1" applyAlignment="1">
      <alignment horizontal="center"/>
    </xf>
    <xf numFmtId="0" fontId="25" fillId="0" borderId="4" xfId="2191" applyFont="1" applyBorder="1" applyAlignment="1">
      <alignment horizontal="center" vertical="center"/>
    </xf>
    <xf numFmtId="0" fontId="25" fillId="0" borderId="4" xfId="2191" applyFont="1" applyBorder="1"/>
    <xf numFmtId="0" fontId="25" fillId="0" borderId="0" xfId="2191" applyFont="1"/>
    <xf numFmtId="0" fontId="7" fillId="0" borderId="0" xfId="2191" applyFont="1" applyAlignment="1">
      <alignment horizontal="center" vertical="center"/>
    </xf>
    <xf numFmtId="0" fontId="7" fillId="0" borderId="0" xfId="2191" applyFont="1"/>
    <xf numFmtId="0" fontId="25" fillId="0" borderId="4" xfId="2191" applyFont="1" applyFill="1" applyBorder="1" applyAlignment="1">
      <alignment horizontal="center" vertical="center"/>
    </xf>
    <xf numFmtId="0" fontId="25" fillId="3" borderId="4" xfId="2191" applyFont="1" applyFill="1" applyBorder="1" applyAlignment="1">
      <alignment horizontal="center" vertical="center"/>
    </xf>
    <xf numFmtId="0" fontId="25" fillId="5" borderId="4" xfId="2191" applyFont="1" applyFill="1" applyBorder="1" applyAlignment="1">
      <alignment horizontal="center" vertical="center"/>
    </xf>
    <xf numFmtId="1" fontId="25" fillId="38" borderId="4" xfId="2191" applyNumberFormat="1" applyFont="1" applyFill="1" applyBorder="1" applyAlignment="1">
      <alignment horizontal="center" vertical="center"/>
    </xf>
    <xf numFmtId="2" fontId="25" fillId="38" borderId="4" xfId="2191" applyNumberFormat="1" applyFont="1" applyFill="1" applyBorder="1" applyAlignment="1">
      <alignment horizontal="center" vertical="center"/>
    </xf>
    <xf numFmtId="0" fontId="25" fillId="38" borderId="4" xfId="2191" applyFont="1" applyFill="1" applyBorder="1" applyAlignment="1">
      <alignment horizontal="center" vertical="center"/>
    </xf>
    <xf numFmtId="0" fontId="25" fillId="2" borderId="0" xfId="2191" applyFont="1" applyFill="1"/>
    <xf numFmtId="0" fontId="7" fillId="2" borderId="4" xfId="2191" applyFont="1" applyFill="1" applyBorder="1" applyAlignment="1">
      <alignment horizontal="center" vertical="center"/>
    </xf>
    <xf numFmtId="0" fontId="25" fillId="2" borderId="4" xfId="2191" applyFont="1" applyFill="1" applyBorder="1" applyAlignment="1">
      <alignment horizontal="center"/>
    </xf>
    <xf numFmtId="0" fontId="25" fillId="2" borderId="4" xfId="2191" applyFont="1" applyFill="1" applyBorder="1" applyAlignment="1">
      <alignment horizontal="center" vertical="center"/>
    </xf>
    <xf numFmtId="0" fontId="25" fillId="2" borderId="4" xfId="2191" applyFont="1" applyFill="1" applyBorder="1"/>
    <xf numFmtId="0" fontId="0" fillId="0" borderId="4" xfId="0" applyBorder="1" applyAlignment="1">
      <alignment horizontal="center"/>
    </xf>
    <xf numFmtId="0" fontId="0" fillId="0" borderId="4" xfId="0" applyBorder="1" applyAlignment="1">
      <alignment horizontal="center" vertical="center"/>
    </xf>
    <xf numFmtId="0" fontId="24" fillId="3" borderId="4" xfId="504" applyFont="1" applyFill="1" applyBorder="1" applyAlignment="1">
      <alignment horizontal="center" vertical="center"/>
    </xf>
    <xf numFmtId="0" fontId="7" fillId="0" borderId="2" xfId="2191" applyFont="1" applyBorder="1" applyAlignment="1">
      <alignment horizontal="center" vertical="center"/>
    </xf>
    <xf numFmtId="0" fontId="25" fillId="0" borderId="2" xfId="2191" applyFont="1" applyFill="1" applyBorder="1" applyAlignment="1">
      <alignment horizontal="center" vertical="center"/>
    </xf>
    <xf numFmtId="0" fontId="25" fillId="0" borderId="2" xfId="2191" applyFont="1" applyBorder="1" applyAlignment="1">
      <alignment horizontal="center" vertical="center"/>
    </xf>
    <xf numFmtId="18" fontId="7" fillId="0" borderId="2" xfId="2191" applyNumberFormat="1" applyFont="1" applyBorder="1" applyAlignment="1">
      <alignment horizontal="center" vertical="center"/>
    </xf>
    <xf numFmtId="0" fontId="7" fillId="2" borderId="4" xfId="2192" applyFont="1" applyFill="1" applyBorder="1" applyAlignment="1">
      <alignment horizontal="center" vertical="center"/>
    </xf>
    <xf numFmtId="0" fontId="7" fillId="2" borderId="2" xfId="2192" applyFont="1" applyFill="1" applyBorder="1" applyAlignment="1">
      <alignment horizontal="center" vertical="center"/>
    </xf>
    <xf numFmtId="174" fontId="42" fillId="2" borderId="4" xfId="506" applyNumberFormat="1" applyFont="1" applyFill="1" applyBorder="1" applyAlignment="1">
      <alignment horizontal="center" vertical="center"/>
    </xf>
    <xf numFmtId="0" fontId="93" fillId="2" borderId="4" xfId="2192" applyFont="1" applyFill="1" applyBorder="1" applyAlignment="1">
      <alignment horizontal="center" vertical="center"/>
    </xf>
    <xf numFmtId="1" fontId="7" fillId="2" borderId="4" xfId="2192" applyNumberFormat="1" applyFont="1" applyFill="1" applyBorder="1" applyAlignment="1">
      <alignment horizontal="center" vertical="center"/>
    </xf>
    <xf numFmtId="20" fontId="7" fillId="2" borderId="4" xfId="2192" applyNumberFormat="1" applyFont="1" applyFill="1" applyBorder="1" applyAlignment="1">
      <alignment horizontal="center" vertical="center"/>
    </xf>
    <xf numFmtId="0" fontId="7" fillId="2" borderId="4" xfId="2192" applyFont="1" applyFill="1" applyBorder="1" applyAlignment="1">
      <alignment horizontal="center" vertical="center" wrapText="1"/>
    </xf>
    <xf numFmtId="0" fontId="1" fillId="0" borderId="0" xfId="2192" applyFont="1" applyAlignment="1">
      <alignment horizontal="center" vertical="center"/>
    </xf>
    <xf numFmtId="0" fontId="42" fillId="2" borderId="4" xfId="506" applyFont="1" applyFill="1" applyBorder="1" applyAlignment="1">
      <alignment horizontal="center" vertical="center"/>
    </xf>
    <xf numFmtId="2" fontId="24" fillId="3" borderId="4" xfId="504" applyNumberFormat="1" applyFont="1" applyFill="1" applyBorder="1" applyAlignment="1">
      <alignment horizontal="center" vertical="center" wrapText="1"/>
    </xf>
    <xf numFmtId="2" fontId="24" fillId="11" borderId="4" xfId="504" applyNumberFormat="1" applyFont="1" applyFill="1" applyBorder="1" applyAlignment="1">
      <alignment horizontal="center" vertical="center"/>
    </xf>
    <xf numFmtId="0" fontId="0" fillId="0" borderId="27" xfId="0" applyBorder="1" applyAlignment="1">
      <alignment horizontal="center" vertical="center"/>
    </xf>
    <xf numFmtId="0" fontId="0" fillId="0" borderId="4" xfId="0" applyBorder="1" applyAlignment="1">
      <alignment horizontal="left" vertical="top"/>
    </xf>
    <xf numFmtId="0" fontId="7" fillId="0" borderId="2" xfId="2191" applyFont="1" applyBorder="1" applyAlignment="1">
      <alignment horizontal="center" vertical="center"/>
    </xf>
    <xf numFmtId="0" fontId="0" fillId="0" borderId="1" xfId="0" applyBorder="1" applyAlignment="1">
      <alignment horizontal="center" vertical="center" wrapText="1"/>
    </xf>
    <xf numFmtId="169" fontId="0" fillId="3" borderId="4" xfId="0" applyNumberFormat="1" applyFill="1" applyBorder="1" applyAlignment="1">
      <alignment horizontal="center" vertical="center" wrapText="1"/>
    </xf>
    <xf numFmtId="0" fontId="0" fillId="0" borderId="22" xfId="0" quotePrefix="1" applyBorder="1" applyAlignment="1">
      <alignment horizontal="center" vertical="center" wrapText="1"/>
    </xf>
    <xf numFmtId="0" fontId="0" fillId="0" borderId="21" xfId="0" applyFill="1" applyBorder="1" applyAlignment="1">
      <alignment horizontal="center" vertical="center" wrapText="1"/>
    </xf>
    <xf numFmtId="0" fontId="0" fillId="0" borderId="22" xfId="0" applyFill="1" applyBorder="1" applyAlignment="1">
      <alignment horizontal="center" vertical="center" wrapText="1"/>
    </xf>
    <xf numFmtId="169" fontId="0" fillId="10" borderId="4" xfId="0" applyNumberFormat="1" applyFill="1" applyBorder="1" applyAlignment="1">
      <alignment horizontal="center" vertical="center" wrapText="1"/>
    </xf>
    <xf numFmtId="169" fontId="0" fillId="3" borderId="1" xfId="0" applyNumberFormat="1" applyFill="1" applyBorder="1" applyAlignment="1">
      <alignment horizontal="center"/>
    </xf>
    <xf numFmtId="2" fontId="0" fillId="3" borderId="1" xfId="0" applyNumberFormat="1" applyFill="1" applyBorder="1" applyAlignment="1">
      <alignment horizontal="center"/>
    </xf>
    <xf numFmtId="169" fontId="0" fillId="10" borderId="12" xfId="0" applyNumberFormat="1" applyFont="1" applyFill="1" applyBorder="1" applyAlignment="1">
      <alignment horizontal="center"/>
    </xf>
    <xf numFmtId="0" fontId="15" fillId="4" borderId="4" xfId="8" applyFont="1" applyFill="1" applyBorder="1" applyAlignment="1">
      <alignment horizontal="center" vertical="center"/>
    </xf>
    <xf numFmtId="3" fontId="15" fillId="4" borderId="4" xfId="8" applyNumberFormat="1" applyFont="1" applyFill="1" applyBorder="1" applyAlignment="1">
      <alignment horizontal="center" vertical="center"/>
    </xf>
    <xf numFmtId="165" fontId="3" fillId="0" borderId="4" xfId="2" applyNumberFormat="1" applyFont="1" applyBorder="1" applyAlignment="1">
      <alignment vertical="center"/>
    </xf>
    <xf numFmtId="3" fontId="15" fillId="3" borderId="4" xfId="8" applyNumberFormat="1" applyFont="1" applyFill="1" applyBorder="1" applyAlignment="1">
      <alignment horizontal="center" vertical="center"/>
    </xf>
    <xf numFmtId="169" fontId="16" fillId="0" borderId="4" xfId="8" applyNumberFormat="1" applyFont="1" applyFill="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4" xfId="5" applyFont="1" applyFill="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0" borderId="3"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167" fontId="3" fillId="0" borderId="5" xfId="0" applyNumberFormat="1" applyFont="1" applyBorder="1" applyAlignment="1">
      <alignment horizontal="center" vertical="center"/>
    </xf>
    <xf numFmtId="167" fontId="3" fillId="0" borderId="7" xfId="0" applyNumberFormat="1" applyFont="1" applyBorder="1" applyAlignment="1">
      <alignment horizontal="center" vertical="center"/>
    </xf>
    <xf numFmtId="0" fontId="3" fillId="0" borderId="3"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11" fillId="0" borderId="11" xfId="0" applyFont="1" applyBorder="1" applyAlignment="1">
      <alignment horizontal="left" vertical="center"/>
    </xf>
    <xf numFmtId="0" fontId="11" fillId="0" borderId="0" xfId="0" applyFont="1" applyBorder="1" applyAlignment="1">
      <alignment horizontal="left" vertical="center"/>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11" fillId="0" borderId="14" xfId="0" applyFont="1" applyBorder="1" applyAlignment="1">
      <alignment horizontal="left" vertical="center"/>
    </xf>
    <xf numFmtId="0" fontId="11" fillId="0" borderId="15" xfId="0" applyFont="1" applyBorder="1" applyAlignment="1">
      <alignment horizontal="left" vertical="center"/>
    </xf>
    <xf numFmtId="0" fontId="4" fillId="0" borderId="5" xfId="4" applyFont="1" applyFill="1" applyBorder="1" applyAlignment="1">
      <alignment horizontal="left" vertical="center"/>
    </xf>
    <xf numFmtId="0" fontId="4" fillId="0" borderId="6" xfId="4" applyFont="1" applyFill="1" applyBorder="1" applyAlignment="1">
      <alignment horizontal="left" vertical="center"/>
    </xf>
    <xf numFmtId="0" fontId="4" fillId="0" borderId="7" xfId="4" applyFont="1" applyFill="1" applyBorder="1" applyAlignment="1">
      <alignment horizontal="left" vertical="center"/>
    </xf>
    <xf numFmtId="0" fontId="4" fillId="0" borderId="4" xfId="2" applyFont="1" applyBorder="1" applyAlignment="1">
      <alignment vertical="center" wrapText="1"/>
    </xf>
    <xf numFmtId="0" fontId="4" fillId="0" borderId="4" xfId="2" applyFont="1" applyBorder="1" applyAlignment="1">
      <alignment vertical="center"/>
    </xf>
    <xf numFmtId="0" fontId="4" fillId="0" borderId="5" xfId="2" applyFont="1" applyBorder="1" applyAlignment="1">
      <alignment horizontal="left" vertical="center"/>
    </xf>
    <xf numFmtId="0" fontId="4" fillId="0" borderId="6" xfId="2" applyFont="1" applyBorder="1" applyAlignment="1">
      <alignment horizontal="left" vertical="center"/>
    </xf>
    <xf numFmtId="0" fontId="4" fillId="0" borderId="7" xfId="2" applyFont="1" applyBorder="1" applyAlignment="1">
      <alignment horizontal="left" vertical="center"/>
    </xf>
    <xf numFmtId="0" fontId="4" fillId="0" borderId="4" xfId="2" applyFont="1" applyBorder="1" applyAlignment="1">
      <alignment horizontal="left" vertical="center"/>
    </xf>
    <xf numFmtId="0" fontId="5" fillId="0" borderId="4" xfId="2" applyFont="1" applyBorder="1" applyAlignment="1">
      <alignment horizontal="center" vertical="center" wrapText="1"/>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21" fillId="0" borderId="0" xfId="0" applyFont="1" applyBorder="1" applyAlignment="1">
      <alignment horizontal="center" vertical="center"/>
    </xf>
    <xf numFmtId="0" fontId="21" fillId="0" borderId="0" xfId="0" applyFont="1" applyBorder="1" applyAlignment="1">
      <alignment horizontal="left" vertical="center"/>
    </xf>
    <xf numFmtId="0" fontId="22" fillId="0" borderId="0" xfId="0" applyFont="1" applyBorder="1" applyAlignment="1">
      <alignment horizontal="left" vertical="center"/>
    </xf>
    <xf numFmtId="164" fontId="21" fillId="0" borderId="0" xfId="0" applyNumberFormat="1" applyFont="1" applyFill="1" applyBorder="1" applyAlignment="1">
      <alignment horizontal="left" vertical="center"/>
    </xf>
    <xf numFmtId="0" fontId="20" fillId="0" borderId="4" xfId="0" applyFont="1" applyBorder="1" applyAlignment="1">
      <alignment horizontal="center" vertical="center"/>
    </xf>
    <xf numFmtId="166" fontId="17" fillId="2" borderId="4" xfId="0" applyNumberFormat="1" applyFont="1" applyFill="1" applyBorder="1" applyAlignment="1">
      <alignment horizontal="center" vertical="center"/>
    </xf>
    <xf numFmtId="10" fontId="17" fillId="2" borderId="4" xfId="0" applyNumberFormat="1" applyFont="1" applyFill="1" applyBorder="1" applyAlignment="1">
      <alignment horizontal="center" vertical="center"/>
    </xf>
    <xf numFmtId="0" fontId="23" fillId="0" borderId="4" xfId="0" applyFont="1" applyBorder="1" applyAlignment="1">
      <alignment horizontal="center" vertical="center" wrapText="1"/>
    </xf>
    <xf numFmtId="0" fontId="23" fillId="0" borderId="22" xfId="0" applyFont="1"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23" fillId="0" borderId="21" xfId="0" applyFont="1" applyBorder="1" applyAlignment="1">
      <alignment horizontal="center" vertical="center" wrapText="1"/>
    </xf>
    <xf numFmtId="0" fontId="0" fillId="0" borderId="4" xfId="0" applyBorder="1" applyAlignment="1">
      <alignment horizontal="center"/>
    </xf>
    <xf numFmtId="0" fontId="0" fillId="0" borderId="4" xfId="0" applyBorder="1" applyAlignment="1">
      <alignment horizontal="center" vertical="center"/>
    </xf>
    <xf numFmtId="0" fontId="41" fillId="0" borderId="4" xfId="0" applyFont="1" applyBorder="1" applyAlignment="1">
      <alignment horizontal="center" vertical="center"/>
    </xf>
    <xf numFmtId="0" fontId="40" fillId="0" borderId="4" xfId="0" applyFont="1" applyBorder="1" applyAlignment="1">
      <alignment horizontal="center" vertical="center"/>
    </xf>
    <xf numFmtId="0" fontId="24" fillId="3" borderId="4" xfId="504" applyFont="1" applyFill="1" applyBorder="1" applyAlignment="1">
      <alignment horizontal="center" vertical="center"/>
    </xf>
    <xf numFmtId="0" fontId="24" fillId="3" borderId="3" xfId="504" applyFont="1" applyFill="1" applyBorder="1" applyAlignment="1">
      <alignment horizontal="center" vertical="center"/>
    </xf>
    <xf numFmtId="0" fontId="24" fillId="3" borderId="1" xfId="504" applyFont="1" applyFill="1" applyBorder="1" applyAlignment="1">
      <alignment horizontal="center" vertical="center"/>
    </xf>
    <xf numFmtId="0" fontId="24" fillId="3" borderId="2" xfId="504" applyFont="1" applyFill="1" applyBorder="1" applyAlignment="1">
      <alignment horizontal="center" vertical="center"/>
    </xf>
    <xf numFmtId="0" fontId="24" fillId="9" borderId="4" xfId="504" applyFont="1" applyFill="1" applyBorder="1" applyAlignment="1">
      <alignment horizontal="center" vertical="center"/>
    </xf>
    <xf numFmtId="2" fontId="24" fillId="11" borderId="5" xfId="504" applyNumberFormat="1" applyFont="1" applyFill="1" applyBorder="1" applyAlignment="1">
      <alignment horizontal="center" vertical="center"/>
    </xf>
    <xf numFmtId="2" fontId="24" fillId="11" borderId="6" xfId="504" applyNumberFormat="1" applyFont="1" applyFill="1" applyBorder="1" applyAlignment="1">
      <alignment horizontal="center" vertical="center"/>
    </xf>
    <xf numFmtId="2" fontId="24" fillId="11" borderId="7" xfId="504" applyNumberFormat="1" applyFont="1" applyFill="1" applyBorder="1" applyAlignment="1">
      <alignment horizontal="center" vertical="center"/>
    </xf>
    <xf numFmtId="0" fontId="24" fillId="11" borderId="5" xfId="504" applyFont="1" applyFill="1" applyBorder="1" applyAlignment="1">
      <alignment horizontal="right" vertical="center"/>
    </xf>
    <xf numFmtId="0" fontId="24" fillId="11" borderId="7" xfId="504" applyFont="1" applyFill="1" applyBorder="1" applyAlignment="1">
      <alignment horizontal="right" vertical="center"/>
    </xf>
    <xf numFmtId="0" fontId="42" fillId="11" borderId="5" xfId="84" applyFont="1" applyFill="1" applyBorder="1" applyAlignment="1">
      <alignment horizontal="center" vertical="center"/>
    </xf>
    <xf numFmtId="0" fontId="42" fillId="11" borderId="6" xfId="84" applyFont="1" applyFill="1" applyBorder="1" applyAlignment="1">
      <alignment horizontal="center" vertical="center"/>
    </xf>
    <xf numFmtId="0" fontId="42" fillId="11" borderId="7" xfId="84" applyFont="1" applyFill="1" applyBorder="1" applyAlignment="1">
      <alignment horizontal="center" vertical="center"/>
    </xf>
    <xf numFmtId="0" fontId="24" fillId="11" borderId="5" xfId="504" applyFont="1" applyFill="1" applyBorder="1" applyAlignment="1">
      <alignment horizontal="center" vertical="center" wrapText="1"/>
    </xf>
    <xf numFmtId="0" fontId="24" fillId="11" borderId="7" xfId="504" applyFont="1" applyFill="1" applyBorder="1" applyAlignment="1">
      <alignment horizontal="center" vertical="center" wrapText="1"/>
    </xf>
    <xf numFmtId="0" fontId="24" fillId="7" borderId="5" xfId="84" applyFont="1" applyFill="1" applyBorder="1" applyAlignment="1">
      <alignment horizontal="right" vertical="center"/>
    </xf>
    <xf numFmtId="0" fontId="24" fillId="7" borderId="7" xfId="84" applyFont="1" applyFill="1" applyBorder="1" applyAlignment="1">
      <alignment horizontal="right" vertical="center"/>
    </xf>
    <xf numFmtId="0" fontId="24" fillId="3" borderId="3" xfId="504" applyFont="1" applyFill="1" applyBorder="1" applyAlignment="1">
      <alignment horizontal="center" vertical="center" wrapText="1"/>
    </xf>
    <xf numFmtId="0" fontId="24" fillId="3" borderId="1" xfId="504" applyFont="1" applyFill="1" applyBorder="1" applyAlignment="1">
      <alignment horizontal="center" vertical="center" wrapText="1"/>
    </xf>
    <xf numFmtId="0" fontId="24" fillId="3" borderId="2" xfId="504" applyFont="1" applyFill="1" applyBorder="1" applyAlignment="1">
      <alignment horizontal="center" vertical="center" wrapText="1"/>
    </xf>
    <xf numFmtId="0" fontId="11" fillId="0" borderId="0" xfId="2191" applyFont="1" applyAlignment="1">
      <alignment horizontal="center" vertical="center"/>
    </xf>
    <xf numFmtId="0" fontId="25" fillId="3" borderId="5" xfId="2191" applyFont="1" applyFill="1" applyBorder="1" applyAlignment="1">
      <alignment horizontal="center"/>
    </xf>
    <xf numFmtId="0" fontId="25" fillId="3" borderId="7" xfId="2191" applyFont="1" applyFill="1" applyBorder="1" applyAlignment="1">
      <alignment horizontal="center"/>
    </xf>
    <xf numFmtId="0" fontId="25" fillId="38" borderId="4" xfId="2191" applyFont="1" applyFill="1" applyBorder="1" applyAlignment="1">
      <alignment horizontal="center" vertical="center"/>
    </xf>
    <xf numFmtId="0" fontId="7" fillId="0" borderId="3" xfId="2191" applyFont="1" applyBorder="1" applyAlignment="1">
      <alignment horizontal="center" vertical="center"/>
    </xf>
    <xf numFmtId="0" fontId="7" fillId="0" borderId="2" xfId="2191" applyFont="1" applyBorder="1" applyAlignment="1">
      <alignment horizontal="center" vertical="center"/>
    </xf>
    <xf numFmtId="0" fontId="24" fillId="0" borderId="4" xfId="502" applyFont="1" applyBorder="1" applyAlignment="1">
      <alignment horizontal="center"/>
    </xf>
    <xf numFmtId="0" fontId="24" fillId="0" borderId="4" xfId="502" applyFont="1" applyBorder="1" applyAlignment="1">
      <alignment horizontal="center" vertical="center"/>
    </xf>
    <xf numFmtId="0" fontId="24" fillId="3" borderId="4" xfId="502" applyFont="1" applyFill="1" applyBorder="1" applyAlignment="1">
      <alignment horizontal="center"/>
    </xf>
    <xf numFmtId="0" fontId="25" fillId="0" borderId="1" xfId="0" applyFont="1" applyBorder="1" applyAlignment="1">
      <alignment horizontal="center" vertical="center"/>
    </xf>
    <xf numFmtId="0" fontId="25" fillId="0" borderId="2" xfId="0" applyFont="1" applyBorder="1" applyAlignment="1">
      <alignment horizontal="center" vertical="center"/>
    </xf>
    <xf numFmtId="0" fontId="33" fillId="0" borderId="13" xfId="502" applyFont="1" applyBorder="1" applyAlignment="1">
      <alignment horizontal="center" vertical="center"/>
    </xf>
    <xf numFmtId="0" fontId="33" fillId="0" borderId="14" xfId="502" applyFont="1" applyBorder="1" applyAlignment="1">
      <alignment horizontal="center" vertical="center"/>
    </xf>
    <xf numFmtId="0" fontId="33" fillId="0" borderId="15" xfId="502" applyFont="1" applyBorder="1" applyAlignment="1">
      <alignment horizontal="center" vertical="center"/>
    </xf>
    <xf numFmtId="0" fontId="33" fillId="0" borderId="7" xfId="502" applyFont="1" applyBorder="1" applyAlignment="1">
      <alignment horizontal="center" vertical="center"/>
    </xf>
    <xf numFmtId="0" fontId="33" fillId="0" borderId="2" xfId="502" applyFont="1" applyBorder="1" applyAlignment="1">
      <alignment horizontal="center" vertical="center"/>
    </xf>
    <xf numFmtId="0" fontId="33" fillId="0" borderId="4" xfId="502" applyFont="1" applyBorder="1" applyAlignment="1">
      <alignment horizontal="center" vertical="center"/>
    </xf>
    <xf numFmtId="0" fontId="33" fillId="0" borderId="34" xfId="502" applyFont="1" applyBorder="1" applyAlignment="1">
      <alignment horizontal="center" vertical="center"/>
    </xf>
    <xf numFmtId="0" fontId="33" fillId="0" borderId="22" xfId="502" applyFont="1" applyBorder="1" applyAlignment="1">
      <alignment horizontal="center" vertical="center"/>
    </xf>
    <xf numFmtId="0" fontId="23" fillId="0" borderId="0" xfId="85" applyFont="1" applyBorder="1" applyAlignment="1">
      <alignment horizontal="center" vertical="center"/>
    </xf>
    <xf numFmtId="0" fontId="23" fillId="0" borderId="12" xfId="85" applyFont="1" applyBorder="1" applyAlignment="1">
      <alignment horizontal="center" vertical="center"/>
    </xf>
    <xf numFmtId="0" fontId="11" fillId="0" borderId="27" xfId="85" applyFont="1" applyBorder="1" applyAlignment="1">
      <alignment horizontal="center" vertical="center"/>
    </xf>
    <xf numFmtId="0" fontId="11" fillId="0" borderId="28" xfId="85" applyFont="1" applyBorder="1" applyAlignment="1">
      <alignment horizontal="center" vertical="center"/>
    </xf>
    <xf numFmtId="0" fontId="11" fillId="0" borderId="30" xfId="85" applyFont="1" applyBorder="1" applyAlignment="1">
      <alignment horizontal="center" vertical="center"/>
    </xf>
    <xf numFmtId="0" fontId="23" fillId="0" borderId="21" xfId="85" applyFont="1" applyBorder="1" applyAlignment="1">
      <alignment horizontal="center" vertical="center"/>
    </xf>
    <xf numFmtId="0" fontId="23" fillId="0" borderId="4" xfId="85" applyFont="1" applyBorder="1" applyAlignment="1">
      <alignment horizontal="center" vertical="center"/>
    </xf>
    <xf numFmtId="0" fontId="23" fillId="0" borderId="22" xfId="85" applyFont="1" applyBorder="1" applyAlignment="1">
      <alignment horizontal="center" vertical="center"/>
    </xf>
    <xf numFmtId="169" fontId="8" fillId="0" borderId="0" xfId="0" applyNumberFormat="1" applyFont="1" applyBorder="1" applyAlignment="1">
      <alignment horizontal="center" vertical="center"/>
    </xf>
    <xf numFmtId="169" fontId="8" fillId="0" borderId="12" xfId="0" applyNumberFormat="1" applyFont="1" applyBorder="1" applyAlignment="1">
      <alignment horizontal="center" vertical="center"/>
    </xf>
    <xf numFmtId="0" fontId="24" fillId="0" borderId="0" xfId="0" applyFont="1" applyAlignment="1">
      <alignment horizontal="center" vertical="center"/>
    </xf>
    <xf numFmtId="0" fontId="23" fillId="6" borderId="4" xfId="0" applyFont="1" applyFill="1" applyBorder="1" applyAlignment="1">
      <alignment horizontal="center" vertical="center"/>
    </xf>
    <xf numFmtId="0" fontId="23" fillId="6" borderId="5" xfId="0" applyFont="1" applyFill="1" applyBorder="1" applyAlignment="1">
      <alignment horizontal="center" vertical="center"/>
    </xf>
    <xf numFmtId="0" fontId="23" fillId="6" borderId="6" xfId="0" applyFont="1" applyFill="1" applyBorder="1" applyAlignment="1">
      <alignment horizontal="center" vertical="center"/>
    </xf>
    <xf numFmtId="0" fontId="23" fillId="6" borderId="7" xfId="0" applyFont="1" applyFill="1" applyBorder="1" applyAlignment="1">
      <alignment horizontal="center" vertical="center"/>
    </xf>
    <xf numFmtId="169" fontId="0" fillId="3" borderId="0" xfId="0" applyNumberFormat="1" applyFont="1" applyFill="1" applyBorder="1" applyAlignment="1">
      <alignment horizontal="center" vertical="top"/>
    </xf>
    <xf numFmtId="169" fontId="0" fillId="0" borderId="0" xfId="0" applyNumberFormat="1" applyFont="1" applyBorder="1" applyAlignment="1">
      <alignment horizontal="center" vertical="top"/>
    </xf>
    <xf numFmtId="0" fontId="0" fillId="6" borderId="5" xfId="0"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0" fontId="0" fillId="6" borderId="4" xfId="0" applyFill="1" applyBorder="1" applyAlignment="1">
      <alignment horizontal="center"/>
    </xf>
    <xf numFmtId="0" fontId="23" fillId="6" borderId="4" xfId="0" applyFont="1" applyFill="1" applyBorder="1" applyAlignment="1">
      <alignment horizontal="center" vertical="center" wrapText="1"/>
    </xf>
    <xf numFmtId="0" fontId="23" fillId="6" borderId="3" xfId="0" applyFont="1" applyFill="1" applyBorder="1" applyAlignment="1">
      <alignment horizontal="center" vertical="center"/>
    </xf>
    <xf numFmtId="0" fontId="23" fillId="6" borderId="2" xfId="0" applyFont="1" applyFill="1" applyBorder="1" applyAlignment="1">
      <alignment horizontal="center" vertical="center"/>
    </xf>
    <xf numFmtId="0" fontId="23" fillId="6" borderId="8" xfId="0" applyFont="1" applyFill="1" applyBorder="1" applyAlignment="1">
      <alignment horizontal="center" vertical="center"/>
    </xf>
    <xf numFmtId="0" fontId="23" fillId="6" borderId="9" xfId="0" applyFont="1" applyFill="1" applyBorder="1" applyAlignment="1">
      <alignment horizontal="center" vertical="center"/>
    </xf>
    <xf numFmtId="0" fontId="23" fillId="6" borderId="10" xfId="0" applyFont="1" applyFill="1" applyBorder="1" applyAlignment="1">
      <alignment horizontal="center" vertical="center"/>
    </xf>
    <xf numFmtId="0" fontId="23" fillId="6" borderId="13" xfId="0" applyFont="1" applyFill="1" applyBorder="1" applyAlignment="1">
      <alignment horizontal="center" vertical="center"/>
    </xf>
    <xf numFmtId="0" fontId="23" fillId="6" borderId="14" xfId="0" applyFont="1" applyFill="1" applyBorder="1" applyAlignment="1">
      <alignment horizontal="center" vertical="center"/>
    </xf>
    <xf numFmtId="0" fontId="23" fillId="6" borderId="15" xfId="0" applyFont="1" applyFill="1" applyBorder="1" applyAlignment="1">
      <alignment horizontal="center" vertical="center"/>
    </xf>
    <xf numFmtId="0" fontId="23" fillId="6" borderId="7" xfId="0" applyFont="1" applyFill="1" applyBorder="1" applyAlignment="1">
      <alignment horizontal="center" vertical="center" wrapText="1"/>
    </xf>
    <xf numFmtId="0" fontId="23" fillId="6" borderId="3"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0" fillId="6" borderId="6" xfId="0" applyFont="1" applyFill="1" applyBorder="1" applyAlignment="1">
      <alignment horizontal="center"/>
    </xf>
    <xf numFmtId="0" fontId="0" fillId="6" borderId="7" xfId="0" applyFont="1" applyFill="1" applyBorder="1" applyAlignment="1">
      <alignment horizontal="center"/>
    </xf>
    <xf numFmtId="0" fontId="0" fillId="6" borderId="4" xfId="0" applyFont="1" applyFill="1" applyBorder="1" applyAlignment="1">
      <alignment horizontal="center"/>
    </xf>
  </cellXfs>
  <cellStyles count="2880">
    <cellStyle name="_17th &amp; final bill" xfId="507"/>
    <cellStyle name="_4. Specimen signature list" xfId="508"/>
    <cellStyle name="_4. Specimen signature list_Cer 9th RA" xfId="509"/>
    <cellStyle name="_8.  Note for billing errors" xfId="510"/>
    <cellStyle name="_8.  Note for billing errors 2" xfId="511"/>
    <cellStyle name="_8.  Note for billing errors_Cer 9th RA" xfId="512"/>
    <cellStyle name="_Change Order" xfId="513"/>
    <cellStyle name="_Change Order TA" xfId="514"/>
    <cellStyle name="_Copy of urban wod ra.-14 SUBMITTED" xfId="515"/>
    <cellStyle name="_New Formates" xfId="516"/>
    <cellStyle name="_New Formates kpmg" xfId="517"/>
    <cellStyle name="_New Formates_Cer 9th RA" xfId="518"/>
    <cellStyle name="_sana" xfId="519"/>
    <cellStyle name="1/100000" xfId="520"/>
    <cellStyle name="20% - Accent1 10" xfId="521"/>
    <cellStyle name="20% - Accent1 10 2" xfId="522"/>
    <cellStyle name="20% - Accent1 11" xfId="523"/>
    <cellStyle name="20% - Accent1 11 2" xfId="524"/>
    <cellStyle name="20% - Accent1 2" xfId="525"/>
    <cellStyle name="20% - Accent1 2 10" xfId="526"/>
    <cellStyle name="20% - Accent1 2 10 2" xfId="527"/>
    <cellStyle name="20% - Accent1 2 11" xfId="528"/>
    <cellStyle name="20% - Accent1 2 2" xfId="529"/>
    <cellStyle name="20% - Accent1 2 2 2" xfId="530"/>
    <cellStyle name="20% - Accent1 2 3" xfId="531"/>
    <cellStyle name="20% - Accent1 2 3 2" xfId="532"/>
    <cellStyle name="20% - Accent1 2 4" xfId="533"/>
    <cellStyle name="20% - Accent1 2 4 2" xfId="534"/>
    <cellStyle name="20% - Accent1 2 5" xfId="535"/>
    <cellStyle name="20% - Accent1 2 5 2" xfId="536"/>
    <cellStyle name="20% - Accent1 2 6" xfId="537"/>
    <cellStyle name="20% - Accent1 2 6 2" xfId="538"/>
    <cellStyle name="20% - Accent1 2 7" xfId="539"/>
    <cellStyle name="20% - Accent1 2 7 2" xfId="540"/>
    <cellStyle name="20% - Accent1 2 8" xfId="541"/>
    <cellStyle name="20% - Accent1 2 8 2" xfId="542"/>
    <cellStyle name="20% - Accent1 2 9" xfId="543"/>
    <cellStyle name="20% - Accent1 2 9 2" xfId="544"/>
    <cellStyle name="20% - Accent1 3" xfId="545"/>
    <cellStyle name="20% - Accent1 3 2" xfId="546"/>
    <cellStyle name="20% - Accent1 4" xfId="547"/>
    <cellStyle name="20% - Accent1 4 2" xfId="548"/>
    <cellStyle name="20% - Accent1 5" xfId="549"/>
    <cellStyle name="20% - Accent1 5 2" xfId="550"/>
    <cellStyle name="20% - Accent1 6" xfId="551"/>
    <cellStyle name="20% - Accent1 6 2" xfId="552"/>
    <cellStyle name="20% - Accent1 7" xfId="553"/>
    <cellStyle name="20% - Accent1 7 2" xfId="554"/>
    <cellStyle name="20% - Accent1 8" xfId="555"/>
    <cellStyle name="20% - Accent1 8 2" xfId="556"/>
    <cellStyle name="20% - Accent1 9" xfId="557"/>
    <cellStyle name="20% - Accent1 9 2" xfId="558"/>
    <cellStyle name="20% - Accent2 10" xfId="559"/>
    <cellStyle name="20% - Accent2 10 2" xfId="560"/>
    <cellStyle name="20% - Accent2 11" xfId="561"/>
    <cellStyle name="20% - Accent2 11 2" xfId="562"/>
    <cellStyle name="20% - Accent2 2" xfId="563"/>
    <cellStyle name="20% - Accent2 2 10" xfId="564"/>
    <cellStyle name="20% - Accent2 2 10 2" xfId="565"/>
    <cellStyle name="20% - Accent2 2 11" xfId="566"/>
    <cellStyle name="20% - Accent2 2 2" xfId="567"/>
    <cellStyle name="20% - Accent2 2 2 2" xfId="568"/>
    <cellStyle name="20% - Accent2 2 3" xfId="569"/>
    <cellStyle name="20% - Accent2 2 3 2" xfId="570"/>
    <cellStyle name="20% - Accent2 2 4" xfId="571"/>
    <cellStyle name="20% - Accent2 2 4 2" xfId="572"/>
    <cellStyle name="20% - Accent2 2 5" xfId="573"/>
    <cellStyle name="20% - Accent2 2 5 2" xfId="574"/>
    <cellStyle name="20% - Accent2 2 6" xfId="575"/>
    <cellStyle name="20% - Accent2 2 6 2" xfId="576"/>
    <cellStyle name="20% - Accent2 2 7" xfId="577"/>
    <cellStyle name="20% - Accent2 2 7 2" xfId="578"/>
    <cellStyle name="20% - Accent2 2 8" xfId="579"/>
    <cellStyle name="20% - Accent2 2 8 2" xfId="580"/>
    <cellStyle name="20% - Accent2 2 9" xfId="581"/>
    <cellStyle name="20% - Accent2 2 9 2" xfId="582"/>
    <cellStyle name="20% - Accent2 3" xfId="583"/>
    <cellStyle name="20% - Accent2 3 2" xfId="584"/>
    <cellStyle name="20% - Accent2 4" xfId="585"/>
    <cellStyle name="20% - Accent2 4 2" xfId="586"/>
    <cellStyle name="20% - Accent2 5" xfId="587"/>
    <cellStyle name="20% - Accent2 5 2" xfId="588"/>
    <cellStyle name="20% - Accent2 6" xfId="589"/>
    <cellStyle name="20% - Accent2 6 2" xfId="590"/>
    <cellStyle name="20% - Accent2 7" xfId="591"/>
    <cellStyle name="20% - Accent2 7 2" xfId="592"/>
    <cellStyle name="20% - Accent2 8" xfId="593"/>
    <cellStyle name="20% - Accent2 8 2" xfId="594"/>
    <cellStyle name="20% - Accent2 9" xfId="595"/>
    <cellStyle name="20% - Accent2 9 2" xfId="596"/>
    <cellStyle name="20% - Accent3 10" xfId="597"/>
    <cellStyle name="20% - Accent3 10 2" xfId="598"/>
    <cellStyle name="20% - Accent3 11" xfId="599"/>
    <cellStyle name="20% - Accent3 11 2" xfId="600"/>
    <cellStyle name="20% - Accent3 2" xfId="601"/>
    <cellStyle name="20% - Accent3 2 10" xfId="602"/>
    <cellStyle name="20% - Accent3 2 10 2" xfId="603"/>
    <cellStyle name="20% - Accent3 2 11" xfId="604"/>
    <cellStyle name="20% - Accent3 2 2" xfId="605"/>
    <cellStyle name="20% - Accent3 2 2 2" xfId="606"/>
    <cellStyle name="20% - Accent3 2 3" xfId="607"/>
    <cellStyle name="20% - Accent3 2 3 2" xfId="608"/>
    <cellStyle name="20% - Accent3 2 4" xfId="609"/>
    <cellStyle name="20% - Accent3 2 4 2" xfId="610"/>
    <cellStyle name="20% - Accent3 2 5" xfId="611"/>
    <cellStyle name="20% - Accent3 2 5 2" xfId="612"/>
    <cellStyle name="20% - Accent3 2 6" xfId="613"/>
    <cellStyle name="20% - Accent3 2 6 2" xfId="614"/>
    <cellStyle name="20% - Accent3 2 7" xfId="615"/>
    <cellStyle name="20% - Accent3 2 7 2" xfId="616"/>
    <cellStyle name="20% - Accent3 2 8" xfId="617"/>
    <cellStyle name="20% - Accent3 2 8 2" xfId="618"/>
    <cellStyle name="20% - Accent3 2 9" xfId="619"/>
    <cellStyle name="20% - Accent3 2 9 2" xfId="620"/>
    <cellStyle name="20% - Accent3 3" xfId="621"/>
    <cellStyle name="20% - Accent3 3 2" xfId="622"/>
    <cellStyle name="20% - Accent3 4" xfId="623"/>
    <cellStyle name="20% - Accent3 4 2" xfId="624"/>
    <cellStyle name="20% - Accent3 5" xfId="625"/>
    <cellStyle name="20% - Accent3 5 2" xfId="626"/>
    <cellStyle name="20% - Accent3 6" xfId="627"/>
    <cellStyle name="20% - Accent3 6 2" xfId="628"/>
    <cellStyle name="20% - Accent3 7" xfId="629"/>
    <cellStyle name="20% - Accent3 7 2" xfId="630"/>
    <cellStyle name="20% - Accent3 8" xfId="631"/>
    <cellStyle name="20% - Accent3 8 2" xfId="632"/>
    <cellStyle name="20% - Accent3 9" xfId="633"/>
    <cellStyle name="20% - Accent3 9 2" xfId="634"/>
    <cellStyle name="20% - Accent4 10" xfId="635"/>
    <cellStyle name="20% - Accent4 10 2" xfId="636"/>
    <cellStyle name="20% - Accent4 11" xfId="637"/>
    <cellStyle name="20% - Accent4 11 2" xfId="638"/>
    <cellStyle name="20% - Accent4 2" xfId="639"/>
    <cellStyle name="20% - Accent4 2 10" xfId="640"/>
    <cellStyle name="20% - Accent4 2 10 2" xfId="641"/>
    <cellStyle name="20% - Accent4 2 11" xfId="642"/>
    <cellStyle name="20% - Accent4 2 2" xfId="643"/>
    <cellStyle name="20% - Accent4 2 2 2" xfId="644"/>
    <cellStyle name="20% - Accent4 2 3" xfId="645"/>
    <cellStyle name="20% - Accent4 2 3 2" xfId="646"/>
    <cellStyle name="20% - Accent4 2 4" xfId="647"/>
    <cellStyle name="20% - Accent4 2 4 2" xfId="648"/>
    <cellStyle name="20% - Accent4 2 5" xfId="649"/>
    <cellStyle name="20% - Accent4 2 5 2" xfId="650"/>
    <cellStyle name="20% - Accent4 2 6" xfId="651"/>
    <cellStyle name="20% - Accent4 2 6 2" xfId="652"/>
    <cellStyle name="20% - Accent4 2 7" xfId="653"/>
    <cellStyle name="20% - Accent4 2 7 2" xfId="654"/>
    <cellStyle name="20% - Accent4 2 8" xfId="655"/>
    <cellStyle name="20% - Accent4 2 8 2" xfId="656"/>
    <cellStyle name="20% - Accent4 2 9" xfId="657"/>
    <cellStyle name="20% - Accent4 2 9 2" xfId="658"/>
    <cellStyle name="20% - Accent4 3" xfId="659"/>
    <cellStyle name="20% - Accent4 3 2" xfId="660"/>
    <cellStyle name="20% - Accent4 4" xfId="661"/>
    <cellStyle name="20% - Accent4 4 2" xfId="662"/>
    <cellStyle name="20% - Accent4 5" xfId="663"/>
    <cellStyle name="20% - Accent4 5 2" xfId="664"/>
    <cellStyle name="20% - Accent4 6" xfId="665"/>
    <cellStyle name="20% - Accent4 6 2" xfId="666"/>
    <cellStyle name="20% - Accent4 7" xfId="667"/>
    <cellStyle name="20% - Accent4 7 2" xfId="668"/>
    <cellStyle name="20% - Accent4 8" xfId="669"/>
    <cellStyle name="20% - Accent4 8 2" xfId="670"/>
    <cellStyle name="20% - Accent4 9" xfId="671"/>
    <cellStyle name="20% - Accent4 9 2" xfId="672"/>
    <cellStyle name="20% - Accent5 10" xfId="673"/>
    <cellStyle name="20% - Accent5 10 2" xfId="674"/>
    <cellStyle name="20% - Accent5 11" xfId="675"/>
    <cellStyle name="20% - Accent5 11 2" xfId="676"/>
    <cellStyle name="20% - Accent5 2" xfId="677"/>
    <cellStyle name="20% - Accent5 2 10" xfId="678"/>
    <cellStyle name="20% - Accent5 2 10 2" xfId="679"/>
    <cellStyle name="20% - Accent5 2 11" xfId="680"/>
    <cellStyle name="20% - Accent5 2 2" xfId="681"/>
    <cellStyle name="20% - Accent5 2 2 2" xfId="682"/>
    <cellStyle name="20% - Accent5 2 3" xfId="683"/>
    <cellStyle name="20% - Accent5 2 3 2" xfId="684"/>
    <cellStyle name="20% - Accent5 2 4" xfId="685"/>
    <cellStyle name="20% - Accent5 2 4 2" xfId="686"/>
    <cellStyle name="20% - Accent5 2 5" xfId="687"/>
    <cellStyle name="20% - Accent5 2 5 2" xfId="688"/>
    <cellStyle name="20% - Accent5 2 6" xfId="689"/>
    <cellStyle name="20% - Accent5 2 6 2" xfId="690"/>
    <cellStyle name="20% - Accent5 2 7" xfId="691"/>
    <cellStyle name="20% - Accent5 2 7 2" xfId="692"/>
    <cellStyle name="20% - Accent5 2 8" xfId="693"/>
    <cellStyle name="20% - Accent5 2 8 2" xfId="694"/>
    <cellStyle name="20% - Accent5 2 9" xfId="695"/>
    <cellStyle name="20% - Accent5 2 9 2" xfId="696"/>
    <cellStyle name="20% - Accent5 3" xfId="697"/>
    <cellStyle name="20% - Accent5 3 2" xfId="698"/>
    <cellStyle name="20% - Accent5 4" xfId="699"/>
    <cellStyle name="20% - Accent5 4 2" xfId="700"/>
    <cellStyle name="20% - Accent5 5" xfId="701"/>
    <cellStyle name="20% - Accent5 5 2" xfId="702"/>
    <cellStyle name="20% - Accent5 6" xfId="703"/>
    <cellStyle name="20% - Accent5 6 2" xfId="704"/>
    <cellStyle name="20% - Accent5 7" xfId="705"/>
    <cellStyle name="20% - Accent5 7 2" xfId="706"/>
    <cellStyle name="20% - Accent5 8" xfId="707"/>
    <cellStyle name="20% - Accent5 8 2" xfId="708"/>
    <cellStyle name="20% - Accent5 9" xfId="709"/>
    <cellStyle name="20% - Accent5 9 2" xfId="710"/>
    <cellStyle name="20% - Accent6 10" xfId="711"/>
    <cellStyle name="20% - Accent6 10 2" xfId="712"/>
    <cellStyle name="20% - Accent6 11" xfId="713"/>
    <cellStyle name="20% - Accent6 11 2" xfId="714"/>
    <cellStyle name="20% - Accent6 2" xfId="715"/>
    <cellStyle name="20% - Accent6 2 10" xfId="716"/>
    <cellStyle name="20% - Accent6 2 10 2" xfId="717"/>
    <cellStyle name="20% - Accent6 2 11" xfId="718"/>
    <cellStyle name="20% - Accent6 2 2" xfId="719"/>
    <cellStyle name="20% - Accent6 2 2 2" xfId="720"/>
    <cellStyle name="20% - Accent6 2 3" xfId="721"/>
    <cellStyle name="20% - Accent6 2 3 2" xfId="722"/>
    <cellStyle name="20% - Accent6 2 4" xfId="723"/>
    <cellStyle name="20% - Accent6 2 4 2" xfId="724"/>
    <cellStyle name="20% - Accent6 2 5" xfId="725"/>
    <cellStyle name="20% - Accent6 2 5 2" xfId="726"/>
    <cellStyle name="20% - Accent6 2 6" xfId="727"/>
    <cellStyle name="20% - Accent6 2 6 2" xfId="728"/>
    <cellStyle name="20% - Accent6 2 7" xfId="729"/>
    <cellStyle name="20% - Accent6 2 7 2" xfId="730"/>
    <cellStyle name="20% - Accent6 2 8" xfId="731"/>
    <cellStyle name="20% - Accent6 2 8 2" xfId="732"/>
    <cellStyle name="20% - Accent6 2 9" xfId="733"/>
    <cellStyle name="20% - Accent6 2 9 2" xfId="734"/>
    <cellStyle name="20% - Accent6 3" xfId="735"/>
    <cellStyle name="20% - Accent6 3 2" xfId="736"/>
    <cellStyle name="20% - Accent6 4" xfId="737"/>
    <cellStyle name="20% - Accent6 4 2" xfId="738"/>
    <cellStyle name="20% - Accent6 5" xfId="739"/>
    <cellStyle name="20% - Accent6 5 2" xfId="740"/>
    <cellStyle name="20% - Accent6 6" xfId="741"/>
    <cellStyle name="20% - Accent6 6 2" xfId="742"/>
    <cellStyle name="20% - Accent6 7" xfId="743"/>
    <cellStyle name="20% - Accent6 7 2" xfId="744"/>
    <cellStyle name="20% - Accent6 8" xfId="745"/>
    <cellStyle name="20% - Accent6 8 2" xfId="746"/>
    <cellStyle name="20% - Accent6 9" xfId="747"/>
    <cellStyle name="20% - Accent6 9 2" xfId="748"/>
    <cellStyle name="40% - Accent1 10" xfId="749"/>
    <cellStyle name="40% - Accent1 10 2" xfId="750"/>
    <cellStyle name="40% - Accent1 11" xfId="751"/>
    <cellStyle name="40% - Accent1 11 2" xfId="752"/>
    <cellStyle name="40% - Accent1 2" xfId="753"/>
    <cellStyle name="40% - Accent1 2 10" xfId="754"/>
    <cellStyle name="40% - Accent1 2 10 2" xfId="755"/>
    <cellStyle name="40% - Accent1 2 11" xfId="756"/>
    <cellStyle name="40% - Accent1 2 2" xfId="757"/>
    <cellStyle name="40% - Accent1 2 2 2" xfId="758"/>
    <cellStyle name="40% - Accent1 2 3" xfId="759"/>
    <cellStyle name="40% - Accent1 2 3 2" xfId="760"/>
    <cellStyle name="40% - Accent1 2 4" xfId="761"/>
    <cellStyle name="40% - Accent1 2 4 2" xfId="762"/>
    <cellStyle name="40% - Accent1 2 5" xfId="763"/>
    <cellStyle name="40% - Accent1 2 5 2" xfId="764"/>
    <cellStyle name="40% - Accent1 2 6" xfId="765"/>
    <cellStyle name="40% - Accent1 2 6 2" xfId="766"/>
    <cellStyle name="40% - Accent1 2 7" xfId="767"/>
    <cellStyle name="40% - Accent1 2 7 2" xfId="768"/>
    <cellStyle name="40% - Accent1 2 8" xfId="769"/>
    <cellStyle name="40% - Accent1 2 8 2" xfId="770"/>
    <cellStyle name="40% - Accent1 2 9" xfId="771"/>
    <cellStyle name="40% - Accent1 2 9 2" xfId="772"/>
    <cellStyle name="40% - Accent1 3" xfId="773"/>
    <cellStyle name="40% - Accent1 3 2" xfId="774"/>
    <cellStyle name="40% - Accent1 4" xfId="775"/>
    <cellStyle name="40% - Accent1 4 2" xfId="776"/>
    <cellStyle name="40% - Accent1 5" xfId="777"/>
    <cellStyle name="40% - Accent1 5 2" xfId="778"/>
    <cellStyle name="40% - Accent1 6" xfId="779"/>
    <cellStyle name="40% - Accent1 6 2" xfId="780"/>
    <cellStyle name="40% - Accent1 7" xfId="781"/>
    <cellStyle name="40% - Accent1 7 2" xfId="782"/>
    <cellStyle name="40% - Accent1 8" xfId="783"/>
    <cellStyle name="40% - Accent1 8 2" xfId="784"/>
    <cellStyle name="40% - Accent1 9" xfId="785"/>
    <cellStyle name="40% - Accent1 9 2" xfId="786"/>
    <cellStyle name="40% - Accent2 10" xfId="787"/>
    <cellStyle name="40% - Accent2 10 2" xfId="788"/>
    <cellStyle name="40% - Accent2 11" xfId="789"/>
    <cellStyle name="40% - Accent2 11 2" xfId="790"/>
    <cellStyle name="40% - Accent2 2" xfId="791"/>
    <cellStyle name="40% - Accent2 2 10" xfId="792"/>
    <cellStyle name="40% - Accent2 2 10 2" xfId="793"/>
    <cellStyle name="40% - Accent2 2 11" xfId="794"/>
    <cellStyle name="40% - Accent2 2 2" xfId="795"/>
    <cellStyle name="40% - Accent2 2 2 2" xfId="796"/>
    <cellStyle name="40% - Accent2 2 3" xfId="797"/>
    <cellStyle name="40% - Accent2 2 3 2" xfId="798"/>
    <cellStyle name="40% - Accent2 2 4" xfId="799"/>
    <cellStyle name="40% - Accent2 2 4 2" xfId="800"/>
    <cellStyle name="40% - Accent2 2 5" xfId="801"/>
    <cellStyle name="40% - Accent2 2 5 2" xfId="802"/>
    <cellStyle name="40% - Accent2 2 6" xfId="803"/>
    <cellStyle name="40% - Accent2 2 6 2" xfId="804"/>
    <cellStyle name="40% - Accent2 2 7" xfId="805"/>
    <cellStyle name="40% - Accent2 2 7 2" xfId="806"/>
    <cellStyle name="40% - Accent2 2 8" xfId="807"/>
    <cellStyle name="40% - Accent2 2 8 2" xfId="808"/>
    <cellStyle name="40% - Accent2 2 9" xfId="809"/>
    <cellStyle name="40% - Accent2 2 9 2" xfId="810"/>
    <cellStyle name="40% - Accent2 3" xfId="811"/>
    <cellStyle name="40% - Accent2 3 2" xfId="812"/>
    <cellStyle name="40% - Accent2 4" xfId="813"/>
    <cellStyle name="40% - Accent2 4 2" xfId="814"/>
    <cellStyle name="40% - Accent2 5" xfId="815"/>
    <cellStyle name="40% - Accent2 5 2" xfId="816"/>
    <cellStyle name="40% - Accent2 6" xfId="817"/>
    <cellStyle name="40% - Accent2 6 2" xfId="818"/>
    <cellStyle name="40% - Accent2 7" xfId="819"/>
    <cellStyle name="40% - Accent2 7 2" xfId="820"/>
    <cellStyle name="40% - Accent2 8" xfId="821"/>
    <cellStyle name="40% - Accent2 8 2" xfId="822"/>
    <cellStyle name="40% - Accent2 9" xfId="823"/>
    <cellStyle name="40% - Accent2 9 2" xfId="824"/>
    <cellStyle name="40% - Accent3 10" xfId="825"/>
    <cellStyle name="40% - Accent3 10 2" xfId="826"/>
    <cellStyle name="40% - Accent3 11" xfId="827"/>
    <cellStyle name="40% - Accent3 11 2" xfId="828"/>
    <cellStyle name="40% - Accent3 2" xfId="829"/>
    <cellStyle name="40% - Accent3 2 10" xfId="830"/>
    <cellStyle name="40% - Accent3 2 10 2" xfId="831"/>
    <cellStyle name="40% - Accent3 2 11" xfId="832"/>
    <cellStyle name="40% - Accent3 2 2" xfId="833"/>
    <cellStyle name="40% - Accent3 2 2 2" xfId="834"/>
    <cellStyle name="40% - Accent3 2 3" xfId="835"/>
    <cellStyle name="40% - Accent3 2 3 2" xfId="836"/>
    <cellStyle name="40% - Accent3 2 4" xfId="837"/>
    <cellStyle name="40% - Accent3 2 4 2" xfId="838"/>
    <cellStyle name="40% - Accent3 2 5" xfId="839"/>
    <cellStyle name="40% - Accent3 2 5 2" xfId="840"/>
    <cellStyle name="40% - Accent3 2 6" xfId="841"/>
    <cellStyle name="40% - Accent3 2 6 2" xfId="842"/>
    <cellStyle name="40% - Accent3 2 7" xfId="843"/>
    <cellStyle name="40% - Accent3 2 7 2" xfId="844"/>
    <cellStyle name="40% - Accent3 2 8" xfId="845"/>
    <cellStyle name="40% - Accent3 2 8 2" xfId="846"/>
    <cellStyle name="40% - Accent3 2 9" xfId="847"/>
    <cellStyle name="40% - Accent3 2 9 2" xfId="848"/>
    <cellStyle name="40% - Accent3 3" xfId="849"/>
    <cellStyle name="40% - Accent3 3 2" xfId="850"/>
    <cellStyle name="40% - Accent3 4" xfId="851"/>
    <cellStyle name="40% - Accent3 4 2" xfId="852"/>
    <cellStyle name="40% - Accent3 5" xfId="853"/>
    <cellStyle name="40% - Accent3 5 2" xfId="854"/>
    <cellStyle name="40% - Accent3 6" xfId="855"/>
    <cellStyle name="40% - Accent3 6 2" xfId="856"/>
    <cellStyle name="40% - Accent3 7" xfId="857"/>
    <cellStyle name="40% - Accent3 7 2" xfId="858"/>
    <cellStyle name="40% - Accent3 8" xfId="859"/>
    <cellStyle name="40% - Accent3 8 2" xfId="860"/>
    <cellStyle name="40% - Accent3 9" xfId="861"/>
    <cellStyle name="40% - Accent3 9 2" xfId="862"/>
    <cellStyle name="40% - Accent4 10" xfId="863"/>
    <cellStyle name="40% - Accent4 10 2" xfId="864"/>
    <cellStyle name="40% - Accent4 11" xfId="865"/>
    <cellStyle name="40% - Accent4 11 2" xfId="866"/>
    <cellStyle name="40% - Accent4 2" xfId="867"/>
    <cellStyle name="40% - Accent4 2 10" xfId="868"/>
    <cellStyle name="40% - Accent4 2 10 2" xfId="869"/>
    <cellStyle name="40% - Accent4 2 11" xfId="870"/>
    <cellStyle name="40% - Accent4 2 2" xfId="871"/>
    <cellStyle name="40% - Accent4 2 2 2" xfId="872"/>
    <cellStyle name="40% - Accent4 2 3" xfId="873"/>
    <cellStyle name="40% - Accent4 2 3 2" xfId="874"/>
    <cellStyle name="40% - Accent4 2 4" xfId="875"/>
    <cellStyle name="40% - Accent4 2 4 2" xfId="876"/>
    <cellStyle name="40% - Accent4 2 5" xfId="877"/>
    <cellStyle name="40% - Accent4 2 5 2" xfId="878"/>
    <cellStyle name="40% - Accent4 2 6" xfId="879"/>
    <cellStyle name="40% - Accent4 2 6 2" xfId="880"/>
    <cellStyle name="40% - Accent4 2 7" xfId="881"/>
    <cellStyle name="40% - Accent4 2 7 2" xfId="882"/>
    <cellStyle name="40% - Accent4 2 8" xfId="883"/>
    <cellStyle name="40% - Accent4 2 8 2" xfId="884"/>
    <cellStyle name="40% - Accent4 2 9" xfId="885"/>
    <cellStyle name="40% - Accent4 2 9 2" xfId="886"/>
    <cellStyle name="40% - Accent4 3" xfId="887"/>
    <cellStyle name="40% - Accent4 3 2" xfId="888"/>
    <cellStyle name="40% - Accent4 4" xfId="889"/>
    <cellStyle name="40% - Accent4 4 2" xfId="890"/>
    <cellStyle name="40% - Accent4 5" xfId="891"/>
    <cellStyle name="40% - Accent4 5 2" xfId="892"/>
    <cellStyle name="40% - Accent4 6" xfId="893"/>
    <cellStyle name="40% - Accent4 6 2" xfId="894"/>
    <cellStyle name="40% - Accent4 7" xfId="895"/>
    <cellStyle name="40% - Accent4 7 2" xfId="896"/>
    <cellStyle name="40% - Accent4 8" xfId="897"/>
    <cellStyle name="40% - Accent4 8 2" xfId="898"/>
    <cellStyle name="40% - Accent4 9" xfId="899"/>
    <cellStyle name="40% - Accent4 9 2" xfId="900"/>
    <cellStyle name="40% - Accent5 10" xfId="901"/>
    <cellStyle name="40% - Accent5 10 2" xfId="902"/>
    <cellStyle name="40% - Accent5 11" xfId="903"/>
    <cellStyle name="40% - Accent5 11 2" xfId="904"/>
    <cellStyle name="40% - Accent5 2" xfId="905"/>
    <cellStyle name="40% - Accent5 2 10" xfId="906"/>
    <cellStyle name="40% - Accent5 2 10 2" xfId="907"/>
    <cellStyle name="40% - Accent5 2 11" xfId="908"/>
    <cellStyle name="40% - Accent5 2 2" xfId="909"/>
    <cellStyle name="40% - Accent5 2 2 2" xfId="910"/>
    <cellStyle name="40% - Accent5 2 3" xfId="911"/>
    <cellStyle name="40% - Accent5 2 3 2" xfId="912"/>
    <cellStyle name="40% - Accent5 2 4" xfId="913"/>
    <cellStyle name="40% - Accent5 2 4 2" xfId="914"/>
    <cellStyle name="40% - Accent5 2 5" xfId="915"/>
    <cellStyle name="40% - Accent5 2 5 2" xfId="916"/>
    <cellStyle name="40% - Accent5 2 6" xfId="917"/>
    <cellStyle name="40% - Accent5 2 6 2" xfId="918"/>
    <cellStyle name="40% - Accent5 2 7" xfId="919"/>
    <cellStyle name="40% - Accent5 2 7 2" xfId="920"/>
    <cellStyle name="40% - Accent5 2 8" xfId="921"/>
    <cellStyle name="40% - Accent5 2 8 2" xfId="922"/>
    <cellStyle name="40% - Accent5 2 9" xfId="923"/>
    <cellStyle name="40% - Accent5 2 9 2" xfId="924"/>
    <cellStyle name="40% - Accent5 3" xfId="925"/>
    <cellStyle name="40% - Accent5 3 2" xfId="926"/>
    <cellStyle name="40% - Accent5 4" xfId="927"/>
    <cellStyle name="40% - Accent5 4 2" xfId="928"/>
    <cellStyle name="40% - Accent5 5" xfId="929"/>
    <cellStyle name="40% - Accent5 5 2" xfId="930"/>
    <cellStyle name="40% - Accent5 6" xfId="931"/>
    <cellStyle name="40% - Accent5 6 2" xfId="932"/>
    <cellStyle name="40% - Accent5 7" xfId="933"/>
    <cellStyle name="40% - Accent5 7 2" xfId="934"/>
    <cellStyle name="40% - Accent5 8" xfId="935"/>
    <cellStyle name="40% - Accent5 8 2" xfId="936"/>
    <cellStyle name="40% - Accent5 9" xfId="937"/>
    <cellStyle name="40% - Accent5 9 2" xfId="938"/>
    <cellStyle name="40% - Accent6 10" xfId="939"/>
    <cellStyle name="40% - Accent6 10 2" xfId="940"/>
    <cellStyle name="40% - Accent6 11" xfId="941"/>
    <cellStyle name="40% - Accent6 11 2" xfId="942"/>
    <cellStyle name="40% - Accent6 2" xfId="943"/>
    <cellStyle name="40% - Accent6 2 10" xfId="944"/>
    <cellStyle name="40% - Accent6 2 10 2" xfId="945"/>
    <cellStyle name="40% - Accent6 2 11" xfId="946"/>
    <cellStyle name="40% - Accent6 2 2" xfId="947"/>
    <cellStyle name="40% - Accent6 2 2 2" xfId="948"/>
    <cellStyle name="40% - Accent6 2 3" xfId="949"/>
    <cellStyle name="40% - Accent6 2 3 2" xfId="950"/>
    <cellStyle name="40% - Accent6 2 4" xfId="951"/>
    <cellStyle name="40% - Accent6 2 4 2" xfId="952"/>
    <cellStyle name="40% - Accent6 2 5" xfId="953"/>
    <cellStyle name="40% - Accent6 2 5 2" xfId="954"/>
    <cellStyle name="40% - Accent6 2 6" xfId="955"/>
    <cellStyle name="40% - Accent6 2 6 2" xfId="956"/>
    <cellStyle name="40% - Accent6 2 7" xfId="957"/>
    <cellStyle name="40% - Accent6 2 7 2" xfId="958"/>
    <cellStyle name="40% - Accent6 2 8" xfId="959"/>
    <cellStyle name="40% - Accent6 2 8 2" xfId="960"/>
    <cellStyle name="40% - Accent6 2 9" xfId="961"/>
    <cellStyle name="40% - Accent6 2 9 2" xfId="962"/>
    <cellStyle name="40% - Accent6 3" xfId="963"/>
    <cellStyle name="40% - Accent6 3 2" xfId="964"/>
    <cellStyle name="40% - Accent6 4" xfId="965"/>
    <cellStyle name="40% - Accent6 4 2" xfId="966"/>
    <cellStyle name="40% - Accent6 5" xfId="967"/>
    <cellStyle name="40% - Accent6 5 2" xfId="968"/>
    <cellStyle name="40% - Accent6 6" xfId="969"/>
    <cellStyle name="40% - Accent6 6 2" xfId="970"/>
    <cellStyle name="40% - Accent6 7" xfId="971"/>
    <cellStyle name="40% - Accent6 7 2" xfId="972"/>
    <cellStyle name="40% - Accent6 8" xfId="973"/>
    <cellStyle name="40% - Accent6 8 2" xfId="974"/>
    <cellStyle name="40% - Accent6 9" xfId="975"/>
    <cellStyle name="40% - Accent6 9 2" xfId="976"/>
    <cellStyle name="60% - Accent1 10" xfId="977"/>
    <cellStyle name="60% - Accent1 2" xfId="978"/>
    <cellStyle name="60% - Accent1 2 10" xfId="979"/>
    <cellStyle name="60% - Accent1 2 2" xfId="980"/>
    <cellStyle name="60% - Accent1 2 3" xfId="981"/>
    <cellStyle name="60% - Accent1 2 4" xfId="982"/>
    <cellStyle name="60% - Accent1 2 5" xfId="983"/>
    <cellStyle name="60% - Accent1 2 6" xfId="984"/>
    <cellStyle name="60% - Accent1 2 7" xfId="985"/>
    <cellStyle name="60% - Accent1 2 8" xfId="986"/>
    <cellStyle name="60% - Accent1 2 9" xfId="987"/>
    <cellStyle name="60% - Accent1 3" xfId="988"/>
    <cellStyle name="60% - Accent1 4" xfId="989"/>
    <cellStyle name="60% - Accent1 5" xfId="990"/>
    <cellStyle name="60% - Accent1 6" xfId="991"/>
    <cellStyle name="60% - Accent1 7" xfId="992"/>
    <cellStyle name="60% - Accent1 8" xfId="993"/>
    <cellStyle name="60% - Accent1 9" xfId="994"/>
    <cellStyle name="60% - Accent2 10" xfId="995"/>
    <cellStyle name="60% - Accent2 2" xfId="996"/>
    <cellStyle name="60% - Accent2 2 10" xfId="997"/>
    <cellStyle name="60% - Accent2 2 2" xfId="998"/>
    <cellStyle name="60% - Accent2 2 3" xfId="999"/>
    <cellStyle name="60% - Accent2 2 4" xfId="1000"/>
    <cellStyle name="60% - Accent2 2 5" xfId="1001"/>
    <cellStyle name="60% - Accent2 2 6" xfId="1002"/>
    <cellStyle name="60% - Accent2 2 7" xfId="1003"/>
    <cellStyle name="60% - Accent2 2 8" xfId="1004"/>
    <cellStyle name="60% - Accent2 2 9" xfId="1005"/>
    <cellStyle name="60% - Accent2 3" xfId="1006"/>
    <cellStyle name="60% - Accent2 4" xfId="1007"/>
    <cellStyle name="60% - Accent2 5" xfId="1008"/>
    <cellStyle name="60% - Accent2 6" xfId="1009"/>
    <cellStyle name="60% - Accent2 7" xfId="1010"/>
    <cellStyle name="60% - Accent2 8" xfId="1011"/>
    <cellStyle name="60% - Accent2 9" xfId="1012"/>
    <cellStyle name="60% - Accent3 10" xfId="1013"/>
    <cellStyle name="60% - Accent3 2" xfId="1014"/>
    <cellStyle name="60% - Accent3 2 10" xfId="1015"/>
    <cellStyle name="60% - Accent3 2 2" xfId="1016"/>
    <cellStyle name="60% - Accent3 2 3" xfId="1017"/>
    <cellStyle name="60% - Accent3 2 4" xfId="1018"/>
    <cellStyle name="60% - Accent3 2 5" xfId="1019"/>
    <cellStyle name="60% - Accent3 2 6" xfId="1020"/>
    <cellStyle name="60% - Accent3 2 7" xfId="1021"/>
    <cellStyle name="60% - Accent3 2 8" xfId="1022"/>
    <cellStyle name="60% - Accent3 2 9" xfId="1023"/>
    <cellStyle name="60% - Accent3 3" xfId="1024"/>
    <cellStyle name="60% - Accent3 4" xfId="1025"/>
    <cellStyle name="60% - Accent3 5" xfId="1026"/>
    <cellStyle name="60% - Accent3 6" xfId="1027"/>
    <cellStyle name="60% - Accent3 7" xfId="1028"/>
    <cellStyle name="60% - Accent3 8" xfId="1029"/>
    <cellStyle name="60% - Accent3 9" xfId="1030"/>
    <cellStyle name="60% - Accent4 10" xfId="1031"/>
    <cellStyle name="60% - Accent4 2" xfId="1032"/>
    <cellStyle name="60% - Accent4 2 10" xfId="1033"/>
    <cellStyle name="60% - Accent4 2 2" xfId="1034"/>
    <cellStyle name="60% - Accent4 2 3" xfId="1035"/>
    <cellStyle name="60% - Accent4 2 4" xfId="1036"/>
    <cellStyle name="60% - Accent4 2 5" xfId="1037"/>
    <cellStyle name="60% - Accent4 2 6" xfId="1038"/>
    <cellStyle name="60% - Accent4 2 7" xfId="1039"/>
    <cellStyle name="60% - Accent4 2 8" xfId="1040"/>
    <cellStyle name="60% - Accent4 2 9" xfId="1041"/>
    <cellStyle name="60% - Accent4 3" xfId="1042"/>
    <cellStyle name="60% - Accent4 4" xfId="1043"/>
    <cellStyle name="60% - Accent4 5" xfId="1044"/>
    <cellStyle name="60% - Accent4 6" xfId="1045"/>
    <cellStyle name="60% - Accent4 7" xfId="1046"/>
    <cellStyle name="60% - Accent4 8" xfId="1047"/>
    <cellStyle name="60% - Accent4 9" xfId="1048"/>
    <cellStyle name="60% - Accent5 10" xfId="1049"/>
    <cellStyle name="60% - Accent5 2" xfId="1050"/>
    <cellStyle name="60% - Accent5 2 10" xfId="1051"/>
    <cellStyle name="60% - Accent5 2 2" xfId="1052"/>
    <cellStyle name="60% - Accent5 2 3" xfId="1053"/>
    <cellStyle name="60% - Accent5 2 4" xfId="1054"/>
    <cellStyle name="60% - Accent5 2 5" xfId="1055"/>
    <cellStyle name="60% - Accent5 2 6" xfId="1056"/>
    <cellStyle name="60% - Accent5 2 7" xfId="1057"/>
    <cellStyle name="60% - Accent5 2 8" xfId="1058"/>
    <cellStyle name="60% - Accent5 2 9" xfId="1059"/>
    <cellStyle name="60% - Accent5 3" xfId="1060"/>
    <cellStyle name="60% - Accent5 4" xfId="1061"/>
    <cellStyle name="60% - Accent5 5" xfId="1062"/>
    <cellStyle name="60% - Accent5 6" xfId="1063"/>
    <cellStyle name="60% - Accent5 7" xfId="1064"/>
    <cellStyle name="60% - Accent5 8" xfId="1065"/>
    <cellStyle name="60% - Accent5 9" xfId="1066"/>
    <cellStyle name="60% - Accent6 10" xfId="1067"/>
    <cellStyle name="60% - Accent6 2" xfId="1068"/>
    <cellStyle name="60% - Accent6 2 10" xfId="1069"/>
    <cellStyle name="60% - Accent6 2 2" xfId="1070"/>
    <cellStyle name="60% - Accent6 2 3" xfId="1071"/>
    <cellStyle name="60% - Accent6 2 4" xfId="1072"/>
    <cellStyle name="60% - Accent6 2 5" xfId="1073"/>
    <cellStyle name="60% - Accent6 2 6" xfId="1074"/>
    <cellStyle name="60% - Accent6 2 7" xfId="1075"/>
    <cellStyle name="60% - Accent6 2 8" xfId="1076"/>
    <cellStyle name="60% - Accent6 2 9" xfId="1077"/>
    <cellStyle name="60% - Accent6 3" xfId="1078"/>
    <cellStyle name="60% - Accent6 4" xfId="1079"/>
    <cellStyle name="60% - Accent6 5" xfId="1080"/>
    <cellStyle name="60% - Accent6 6" xfId="1081"/>
    <cellStyle name="60% - Accent6 7" xfId="1082"/>
    <cellStyle name="60% - Accent6 8" xfId="1083"/>
    <cellStyle name="60% - Accent6 9" xfId="1084"/>
    <cellStyle name="Accent1 10" xfId="1085"/>
    <cellStyle name="Accent1 2" xfId="1086"/>
    <cellStyle name="Accent1 2 10" xfId="1087"/>
    <cellStyle name="Accent1 2 2" xfId="1088"/>
    <cellStyle name="Accent1 2 3" xfId="1089"/>
    <cellStyle name="Accent1 2 4" xfId="1090"/>
    <cellStyle name="Accent1 2 5" xfId="1091"/>
    <cellStyle name="Accent1 2 6" xfId="1092"/>
    <cellStyle name="Accent1 2 7" xfId="1093"/>
    <cellStyle name="Accent1 2 8" xfId="1094"/>
    <cellStyle name="Accent1 2 9" xfId="1095"/>
    <cellStyle name="Accent1 3" xfId="1096"/>
    <cellStyle name="Accent1 4" xfId="1097"/>
    <cellStyle name="Accent1 5" xfId="1098"/>
    <cellStyle name="Accent1 6" xfId="1099"/>
    <cellStyle name="Accent1 7" xfId="1100"/>
    <cellStyle name="Accent1 8" xfId="1101"/>
    <cellStyle name="Accent1 9" xfId="1102"/>
    <cellStyle name="Accent2 10" xfId="1103"/>
    <cellStyle name="Accent2 2" xfId="1104"/>
    <cellStyle name="Accent2 2 10" xfId="1105"/>
    <cellStyle name="Accent2 2 2" xfId="1106"/>
    <cellStyle name="Accent2 2 3" xfId="1107"/>
    <cellStyle name="Accent2 2 4" xfId="1108"/>
    <cellStyle name="Accent2 2 5" xfId="1109"/>
    <cellStyle name="Accent2 2 6" xfId="1110"/>
    <cellStyle name="Accent2 2 7" xfId="1111"/>
    <cellStyle name="Accent2 2 8" xfId="1112"/>
    <cellStyle name="Accent2 2 9" xfId="1113"/>
    <cellStyle name="Accent2 3" xfId="1114"/>
    <cellStyle name="Accent2 4" xfId="1115"/>
    <cellStyle name="Accent2 5" xfId="1116"/>
    <cellStyle name="Accent2 6" xfId="1117"/>
    <cellStyle name="Accent2 7" xfId="1118"/>
    <cellStyle name="Accent2 8" xfId="1119"/>
    <cellStyle name="Accent2 9" xfId="1120"/>
    <cellStyle name="Accent3 10" xfId="1121"/>
    <cellStyle name="Accent3 2" xfId="1122"/>
    <cellStyle name="Accent3 2 10" xfId="1123"/>
    <cellStyle name="Accent3 2 2" xfId="1124"/>
    <cellStyle name="Accent3 2 3" xfId="1125"/>
    <cellStyle name="Accent3 2 4" xfId="1126"/>
    <cellStyle name="Accent3 2 5" xfId="1127"/>
    <cellStyle name="Accent3 2 6" xfId="1128"/>
    <cellStyle name="Accent3 2 7" xfId="1129"/>
    <cellStyle name="Accent3 2 8" xfId="1130"/>
    <cellStyle name="Accent3 2 9" xfId="1131"/>
    <cellStyle name="Accent3 3" xfId="1132"/>
    <cellStyle name="Accent3 4" xfId="1133"/>
    <cellStyle name="Accent3 5" xfId="1134"/>
    <cellStyle name="Accent3 6" xfId="1135"/>
    <cellStyle name="Accent3 7" xfId="1136"/>
    <cellStyle name="Accent3 8" xfId="1137"/>
    <cellStyle name="Accent3 9" xfId="1138"/>
    <cellStyle name="Accent4 10" xfId="1139"/>
    <cellStyle name="Accent4 2" xfId="1140"/>
    <cellStyle name="Accent4 2 10" xfId="1141"/>
    <cellStyle name="Accent4 2 2" xfId="1142"/>
    <cellStyle name="Accent4 2 3" xfId="1143"/>
    <cellStyle name="Accent4 2 4" xfId="1144"/>
    <cellStyle name="Accent4 2 5" xfId="1145"/>
    <cellStyle name="Accent4 2 6" xfId="1146"/>
    <cellStyle name="Accent4 2 7" xfId="1147"/>
    <cellStyle name="Accent4 2 8" xfId="1148"/>
    <cellStyle name="Accent4 2 9" xfId="1149"/>
    <cellStyle name="Accent4 3" xfId="1150"/>
    <cellStyle name="Accent4 4" xfId="1151"/>
    <cellStyle name="Accent4 5" xfId="1152"/>
    <cellStyle name="Accent4 6" xfId="1153"/>
    <cellStyle name="Accent4 7" xfId="1154"/>
    <cellStyle name="Accent4 8" xfId="1155"/>
    <cellStyle name="Accent4 9" xfId="1156"/>
    <cellStyle name="Accent5 10" xfId="1157"/>
    <cellStyle name="Accent5 2" xfId="1158"/>
    <cellStyle name="Accent5 2 10" xfId="1159"/>
    <cellStyle name="Accent5 2 2" xfId="1160"/>
    <cellStyle name="Accent5 2 3" xfId="1161"/>
    <cellStyle name="Accent5 2 4" xfId="1162"/>
    <cellStyle name="Accent5 2 5" xfId="1163"/>
    <cellStyle name="Accent5 2 6" xfId="1164"/>
    <cellStyle name="Accent5 2 7" xfId="1165"/>
    <cellStyle name="Accent5 2 8" xfId="1166"/>
    <cellStyle name="Accent5 2 9" xfId="1167"/>
    <cellStyle name="Accent5 3" xfId="1168"/>
    <cellStyle name="Accent5 4" xfId="1169"/>
    <cellStyle name="Accent5 5" xfId="1170"/>
    <cellStyle name="Accent5 6" xfId="1171"/>
    <cellStyle name="Accent5 7" xfId="1172"/>
    <cellStyle name="Accent5 8" xfId="1173"/>
    <cellStyle name="Accent5 9" xfId="1174"/>
    <cellStyle name="Accent6 10" xfId="1175"/>
    <cellStyle name="Accent6 2" xfId="1176"/>
    <cellStyle name="Accent6 2 10" xfId="1177"/>
    <cellStyle name="Accent6 2 2" xfId="1178"/>
    <cellStyle name="Accent6 2 3" xfId="1179"/>
    <cellStyle name="Accent6 2 4" xfId="1180"/>
    <cellStyle name="Accent6 2 5" xfId="1181"/>
    <cellStyle name="Accent6 2 6" xfId="1182"/>
    <cellStyle name="Accent6 2 7" xfId="1183"/>
    <cellStyle name="Accent6 2 8" xfId="1184"/>
    <cellStyle name="Accent6 2 9" xfId="1185"/>
    <cellStyle name="Accent6 3" xfId="1186"/>
    <cellStyle name="Accent6 4" xfId="1187"/>
    <cellStyle name="Accent6 5" xfId="1188"/>
    <cellStyle name="Accent6 6" xfId="1189"/>
    <cellStyle name="Accent6 7" xfId="1190"/>
    <cellStyle name="Accent6 8" xfId="1191"/>
    <cellStyle name="Accent6 9" xfId="1192"/>
    <cellStyle name="ang" xfId="1193"/>
    <cellStyle name="Bad 10" xfId="1194"/>
    <cellStyle name="Bad 2" xfId="1195"/>
    <cellStyle name="Bad 2 10" xfId="1196"/>
    <cellStyle name="Bad 2 2" xfId="1197"/>
    <cellStyle name="Bad 2 3" xfId="1198"/>
    <cellStyle name="Bad 2 4" xfId="1199"/>
    <cellStyle name="Bad 2 5" xfId="1200"/>
    <cellStyle name="Bad 2 6" xfId="1201"/>
    <cellStyle name="Bad 2 7" xfId="1202"/>
    <cellStyle name="Bad 2 8" xfId="1203"/>
    <cellStyle name="Bad 2 9" xfId="1204"/>
    <cellStyle name="Bad 3" xfId="1205"/>
    <cellStyle name="Bad 4" xfId="1206"/>
    <cellStyle name="Bad 5" xfId="1207"/>
    <cellStyle name="Bad 6" xfId="1208"/>
    <cellStyle name="Bad 7" xfId="1209"/>
    <cellStyle name="Bad 8" xfId="1210"/>
    <cellStyle name="Bad 9" xfId="1211"/>
    <cellStyle name="Bear_angle" xfId="1212"/>
    <cellStyle name="Bill No" xfId="1213"/>
    <cellStyle name="Bill Title" xfId="1214"/>
    <cellStyle name="Body" xfId="1215"/>
    <cellStyle name="C:\Data\MS\Excel" xfId="1216"/>
    <cellStyle name="Calc Currency (0)" xfId="1217"/>
    <cellStyle name="Calculation 10" xfId="1218"/>
    <cellStyle name="Calculation 10 2" xfId="1219"/>
    <cellStyle name="Calculation 10 2 2" xfId="1220"/>
    <cellStyle name="Calculation 10 3" xfId="1221"/>
    <cellStyle name="Calculation 10 3 2" xfId="1222"/>
    <cellStyle name="Calculation 10 4" xfId="1223"/>
    <cellStyle name="Calculation 2" xfId="1224"/>
    <cellStyle name="Calculation 2 10" xfId="1225"/>
    <cellStyle name="Calculation 2 10 2" xfId="1226"/>
    <cellStyle name="Calculation 2 10 2 2" xfId="1227"/>
    <cellStyle name="Calculation 2 10 3" xfId="1228"/>
    <cellStyle name="Calculation 2 10 3 2" xfId="1229"/>
    <cellStyle name="Calculation 2 10 4" xfId="1230"/>
    <cellStyle name="Calculation 2 11" xfId="1231"/>
    <cellStyle name="Calculation 2 11 2" xfId="1232"/>
    <cellStyle name="Calculation 2 12" xfId="1233"/>
    <cellStyle name="Calculation 2 12 2" xfId="1234"/>
    <cellStyle name="Calculation 2 13" xfId="1235"/>
    <cellStyle name="Calculation 2 2" xfId="1236"/>
    <cellStyle name="Calculation 2 2 2" xfId="1237"/>
    <cellStyle name="Calculation 2 2 2 2" xfId="1238"/>
    <cellStyle name="Calculation 2 2 3" xfId="1239"/>
    <cellStyle name="Calculation 2 2 3 2" xfId="1240"/>
    <cellStyle name="Calculation 2 2 4" xfId="1241"/>
    <cellStyle name="Calculation 2 3" xfId="1242"/>
    <cellStyle name="Calculation 2 3 2" xfId="1243"/>
    <cellStyle name="Calculation 2 3 2 2" xfId="1244"/>
    <cellStyle name="Calculation 2 3 3" xfId="1245"/>
    <cellStyle name="Calculation 2 3 3 2" xfId="1246"/>
    <cellStyle name="Calculation 2 3 4" xfId="1247"/>
    <cellStyle name="Calculation 2 4" xfId="1248"/>
    <cellStyle name="Calculation 2 4 2" xfId="1249"/>
    <cellStyle name="Calculation 2 4 2 2" xfId="1250"/>
    <cellStyle name="Calculation 2 4 3" xfId="1251"/>
    <cellStyle name="Calculation 2 4 3 2" xfId="1252"/>
    <cellStyle name="Calculation 2 4 4" xfId="1253"/>
    <cellStyle name="Calculation 2 5" xfId="1254"/>
    <cellStyle name="Calculation 2 5 2" xfId="1255"/>
    <cellStyle name="Calculation 2 5 2 2" xfId="1256"/>
    <cellStyle name="Calculation 2 5 3" xfId="1257"/>
    <cellStyle name="Calculation 2 5 3 2" xfId="1258"/>
    <cellStyle name="Calculation 2 5 4" xfId="1259"/>
    <cellStyle name="Calculation 2 6" xfId="1260"/>
    <cellStyle name="Calculation 2 6 2" xfId="1261"/>
    <cellStyle name="Calculation 2 6 2 2" xfId="1262"/>
    <cellStyle name="Calculation 2 6 3" xfId="1263"/>
    <cellStyle name="Calculation 2 6 3 2" xfId="1264"/>
    <cellStyle name="Calculation 2 6 4" xfId="1265"/>
    <cellStyle name="Calculation 2 7" xfId="1266"/>
    <cellStyle name="Calculation 2 7 2" xfId="1267"/>
    <cellStyle name="Calculation 2 7 2 2" xfId="1268"/>
    <cellStyle name="Calculation 2 7 3" xfId="1269"/>
    <cellStyle name="Calculation 2 7 3 2" xfId="1270"/>
    <cellStyle name="Calculation 2 7 4" xfId="1271"/>
    <cellStyle name="Calculation 2 8" xfId="1272"/>
    <cellStyle name="Calculation 2 8 2" xfId="1273"/>
    <cellStyle name="Calculation 2 8 2 2" xfId="1274"/>
    <cellStyle name="Calculation 2 8 3" xfId="1275"/>
    <cellStyle name="Calculation 2 8 3 2" xfId="1276"/>
    <cellStyle name="Calculation 2 8 4" xfId="1277"/>
    <cellStyle name="Calculation 2 9" xfId="1278"/>
    <cellStyle name="Calculation 2 9 2" xfId="1279"/>
    <cellStyle name="Calculation 2 9 2 2" xfId="1280"/>
    <cellStyle name="Calculation 2 9 3" xfId="1281"/>
    <cellStyle name="Calculation 2 9 3 2" xfId="1282"/>
    <cellStyle name="Calculation 2 9 4" xfId="1283"/>
    <cellStyle name="Calculation 3" xfId="1284"/>
    <cellStyle name="Calculation 3 2" xfId="1285"/>
    <cellStyle name="Calculation 3 2 2" xfId="1286"/>
    <cellStyle name="Calculation 3 3" xfId="1287"/>
    <cellStyle name="Calculation 3 3 2" xfId="1288"/>
    <cellStyle name="Calculation 3 4" xfId="1289"/>
    <cellStyle name="Calculation 4" xfId="1290"/>
    <cellStyle name="Calculation 4 2" xfId="1291"/>
    <cellStyle name="Calculation 4 2 2" xfId="1292"/>
    <cellStyle name="Calculation 4 3" xfId="1293"/>
    <cellStyle name="Calculation 4 3 2" xfId="1294"/>
    <cellStyle name="Calculation 4 4" xfId="1295"/>
    <cellStyle name="Calculation 5" xfId="1296"/>
    <cellStyle name="Calculation 5 2" xfId="1297"/>
    <cellStyle name="Calculation 5 2 2" xfId="1298"/>
    <cellStyle name="Calculation 5 3" xfId="1299"/>
    <cellStyle name="Calculation 5 3 2" xfId="1300"/>
    <cellStyle name="Calculation 5 4" xfId="1301"/>
    <cellStyle name="Calculation 6" xfId="1302"/>
    <cellStyle name="Calculation 6 2" xfId="1303"/>
    <cellStyle name="Calculation 6 2 2" xfId="1304"/>
    <cellStyle name="Calculation 6 3" xfId="1305"/>
    <cellStyle name="Calculation 6 3 2" xfId="1306"/>
    <cellStyle name="Calculation 6 4" xfId="1307"/>
    <cellStyle name="Calculation 7" xfId="1308"/>
    <cellStyle name="Calculation 7 2" xfId="1309"/>
    <cellStyle name="Calculation 7 2 2" xfId="1310"/>
    <cellStyle name="Calculation 7 3" xfId="1311"/>
    <cellStyle name="Calculation 7 3 2" xfId="1312"/>
    <cellStyle name="Calculation 7 4" xfId="1313"/>
    <cellStyle name="Calculation 8" xfId="1314"/>
    <cellStyle name="Calculation 8 2" xfId="1315"/>
    <cellStyle name="Calculation 8 2 2" xfId="1316"/>
    <cellStyle name="Calculation 8 3" xfId="1317"/>
    <cellStyle name="Calculation 8 3 2" xfId="1318"/>
    <cellStyle name="Calculation 8 4" xfId="1319"/>
    <cellStyle name="Calculation 9" xfId="1320"/>
    <cellStyle name="Calculation 9 2" xfId="1321"/>
    <cellStyle name="Calculation 9 2 2" xfId="1322"/>
    <cellStyle name="Calculation 9 3" xfId="1323"/>
    <cellStyle name="Calculation 9 3 2" xfId="1324"/>
    <cellStyle name="Calculation 9 4" xfId="1325"/>
    <cellStyle name="ccl-tender" xfId="1326"/>
    <cellStyle name="Check Cell 10" xfId="1327"/>
    <cellStyle name="Check Cell 2" xfId="1328"/>
    <cellStyle name="Check Cell 2 10" xfId="1329"/>
    <cellStyle name="Check Cell 2 2" xfId="1330"/>
    <cellStyle name="Check Cell 2 3" xfId="1331"/>
    <cellStyle name="Check Cell 2 4" xfId="1332"/>
    <cellStyle name="Check Cell 2 5" xfId="1333"/>
    <cellStyle name="Check Cell 2 6" xfId="1334"/>
    <cellStyle name="Check Cell 2 7" xfId="1335"/>
    <cellStyle name="Check Cell 2 8" xfId="1336"/>
    <cellStyle name="Check Cell 2 9" xfId="1337"/>
    <cellStyle name="Check Cell 3" xfId="1338"/>
    <cellStyle name="Check Cell 4" xfId="1339"/>
    <cellStyle name="Check Cell 5" xfId="1340"/>
    <cellStyle name="Check Cell 6" xfId="1341"/>
    <cellStyle name="Check Cell 7" xfId="1342"/>
    <cellStyle name="Check Cell 8" xfId="1343"/>
    <cellStyle name="Check Cell 9" xfId="1344"/>
    <cellStyle name="Comma" xfId="1" builtinId="3"/>
    <cellStyle name="Comma 10" xfId="1345"/>
    <cellStyle name="Comma 10 2" xfId="1346"/>
    <cellStyle name="Comma 10 2 2" xfId="1347"/>
    <cellStyle name="Comma 10 3" xfId="1348"/>
    <cellStyle name="Comma 11" xfId="1349"/>
    <cellStyle name="Comma 11 2" xfId="1350"/>
    <cellStyle name="Comma 11 2 2" xfId="1351"/>
    <cellStyle name="Comma 11 2 2 2" xfId="1352"/>
    <cellStyle name="Comma 11 2 3" xfId="1353"/>
    <cellStyle name="Comma 11 3" xfId="1354"/>
    <cellStyle name="Comma 11 3 2" xfId="1355"/>
    <cellStyle name="Comma 11 4" xfId="1356"/>
    <cellStyle name="Comma 12" xfId="1357"/>
    <cellStyle name="Comma 13" xfId="1358"/>
    <cellStyle name="Comma 14" xfId="1359"/>
    <cellStyle name="Comma 16" xfId="1360"/>
    <cellStyle name="Comma 16 2" xfId="1361"/>
    <cellStyle name="Comma 16 2 2" xfId="1362"/>
    <cellStyle name="Comma 16 2 2 2" xfId="1363"/>
    <cellStyle name="Comma 16 2 3" xfId="1364"/>
    <cellStyle name="Comma 16 3" xfId="1365"/>
    <cellStyle name="Comma 16 3 2" xfId="1366"/>
    <cellStyle name="Comma 16 4" xfId="1367"/>
    <cellStyle name="Comma 2" xfId="3"/>
    <cellStyle name="Comma 2 10" xfId="11"/>
    <cellStyle name="Comma 2 10 2" xfId="1368"/>
    <cellStyle name="Comma 2 10 2 2" xfId="1369"/>
    <cellStyle name="Comma 2 10 3" xfId="1370"/>
    <cellStyle name="Comma 2 10 4" xfId="1371"/>
    <cellStyle name="Comma 2 11" xfId="12"/>
    <cellStyle name="Comma 2 11 2" xfId="1372"/>
    <cellStyle name="Comma 2 11 2 2" xfId="1373"/>
    <cellStyle name="Comma 2 11 3" xfId="1374"/>
    <cellStyle name="Comma 2 12" xfId="1375"/>
    <cellStyle name="Comma 2 12 2" xfId="1376"/>
    <cellStyle name="Comma 2 12 2 2" xfId="1377"/>
    <cellStyle name="Comma 2 12 3" xfId="1378"/>
    <cellStyle name="Comma 2 13" xfId="1379"/>
    <cellStyle name="Comma 2 13 2" xfId="1380"/>
    <cellStyle name="Comma 2 13 2 2" xfId="1381"/>
    <cellStyle name="Comma 2 13 3" xfId="1382"/>
    <cellStyle name="Comma 2 14" xfId="1383"/>
    <cellStyle name="Comma 2 14 2" xfId="1384"/>
    <cellStyle name="Comma 2 14 2 2" xfId="1385"/>
    <cellStyle name="Comma 2 14 3" xfId="1386"/>
    <cellStyle name="Comma 2 15" xfId="1387"/>
    <cellStyle name="Comma 2 15 2" xfId="1388"/>
    <cellStyle name="Comma 2 15 2 2" xfId="1389"/>
    <cellStyle name="Comma 2 15 3" xfId="1390"/>
    <cellStyle name="Comma 2 16" xfId="1391"/>
    <cellStyle name="Comma 2 16 2" xfId="1392"/>
    <cellStyle name="Comma 2 16 2 2" xfId="1393"/>
    <cellStyle name="Comma 2 16 3" xfId="1394"/>
    <cellStyle name="Comma 2 17" xfId="1395"/>
    <cellStyle name="Comma 2 17 2" xfId="1396"/>
    <cellStyle name="Comma 2 17 2 2" xfId="1397"/>
    <cellStyle name="Comma 2 17 3" xfId="1398"/>
    <cellStyle name="Comma 2 18" xfId="1399"/>
    <cellStyle name="Comma 2 18 2" xfId="1400"/>
    <cellStyle name="Comma 2 18 2 2" xfId="1401"/>
    <cellStyle name="Comma 2 18 3" xfId="1402"/>
    <cellStyle name="Comma 2 19" xfId="1403"/>
    <cellStyle name="Comma 2 19 2" xfId="1404"/>
    <cellStyle name="Comma 2 19 2 2" xfId="1405"/>
    <cellStyle name="Comma 2 19 3" xfId="1406"/>
    <cellStyle name="Comma 2 2" xfId="13"/>
    <cellStyle name="Comma 2 2 2" xfId="14"/>
    <cellStyle name="Comma 2 2 2 10" xfId="1407"/>
    <cellStyle name="Comma 2 2 2 2" xfId="15"/>
    <cellStyle name="Comma 2 2 2 2 2" xfId="16"/>
    <cellStyle name="Comma 2 2 2 2 2 2" xfId="1408"/>
    <cellStyle name="Comma 2 2 2 2 3" xfId="1409"/>
    <cellStyle name="Comma 2 2 2 3" xfId="17"/>
    <cellStyle name="Comma 2 2 2 3 2" xfId="1410"/>
    <cellStyle name="Comma 2 2 2 4" xfId="18"/>
    <cellStyle name="Comma 2 2 2 5" xfId="19"/>
    <cellStyle name="Comma 2 2 2 6" xfId="20"/>
    <cellStyle name="Comma 2 2 2 7" xfId="21"/>
    <cellStyle name="Comma 2 2 2 8" xfId="22"/>
    <cellStyle name="Comma 2 2 2 9" xfId="23"/>
    <cellStyle name="Comma 2 2 3" xfId="24"/>
    <cellStyle name="Comma 2 2 3 2" xfId="25"/>
    <cellStyle name="Comma 2 2 3 2 2" xfId="1411"/>
    <cellStyle name="Comma 2 2 3 2 3" xfId="1412"/>
    <cellStyle name="Comma 2 2 3 3" xfId="1413"/>
    <cellStyle name="Comma 2 2 3 4" xfId="1414"/>
    <cellStyle name="Comma 2 2 4" xfId="1415"/>
    <cellStyle name="Comma 2 2 4 2" xfId="1416"/>
    <cellStyle name="Comma 2 2 4 2 2" xfId="1417"/>
    <cellStyle name="Comma 2 2 4 3" xfId="1418"/>
    <cellStyle name="Comma 2 2 5" xfId="1419"/>
    <cellStyle name="Comma 2 2 6" xfId="1420"/>
    <cellStyle name="Comma 2 20" xfId="1421"/>
    <cellStyle name="Comma 2 20 2" xfId="1422"/>
    <cellStyle name="Comma 2 20 2 2" xfId="1423"/>
    <cellStyle name="Comma 2 20 3" xfId="1424"/>
    <cellStyle name="Comma 2 21" xfId="1425"/>
    <cellStyle name="Comma 2 21 2" xfId="1426"/>
    <cellStyle name="Comma 2 21 2 2" xfId="1427"/>
    <cellStyle name="Comma 2 21 3" xfId="1428"/>
    <cellStyle name="Comma 2 22" xfId="1429"/>
    <cellStyle name="Comma 2 22 2" xfId="1430"/>
    <cellStyle name="Comma 2 22 2 2" xfId="1431"/>
    <cellStyle name="Comma 2 22 3" xfId="1432"/>
    <cellStyle name="Comma 2 23" xfId="1433"/>
    <cellStyle name="Comma 2 23 2" xfId="1434"/>
    <cellStyle name="Comma 2 23 2 2" xfId="1435"/>
    <cellStyle name="Comma 2 23 3" xfId="1436"/>
    <cellStyle name="Comma 2 24" xfId="1437"/>
    <cellStyle name="Comma 2 24 2" xfId="1438"/>
    <cellStyle name="Comma 2 24 2 2" xfId="1439"/>
    <cellStyle name="Comma 2 24 3" xfId="1440"/>
    <cellStyle name="Comma 2 25" xfId="1441"/>
    <cellStyle name="Comma 2 25 2" xfId="1442"/>
    <cellStyle name="Comma 2 25 2 2" xfId="1443"/>
    <cellStyle name="Comma 2 25 3" xfId="1444"/>
    <cellStyle name="Comma 2 26" xfId="1445"/>
    <cellStyle name="Comma 2 26 2" xfId="1446"/>
    <cellStyle name="Comma 2 26 2 2" xfId="1447"/>
    <cellStyle name="Comma 2 26 3" xfId="1448"/>
    <cellStyle name="Comma 2 27" xfId="1449"/>
    <cellStyle name="Comma 2 27 2" xfId="1450"/>
    <cellStyle name="Comma 2 27 2 2" xfId="1451"/>
    <cellStyle name="Comma 2 27 3" xfId="1452"/>
    <cellStyle name="Comma 2 28" xfId="1453"/>
    <cellStyle name="Comma 2 28 2" xfId="1454"/>
    <cellStyle name="Comma 2 28 2 2" xfId="1455"/>
    <cellStyle name="Comma 2 28 3" xfId="1456"/>
    <cellStyle name="Comma 2 29" xfId="1457"/>
    <cellStyle name="Comma 2 3" xfId="26"/>
    <cellStyle name="Comma 2 3 10" xfId="27"/>
    <cellStyle name="Comma 2 3 11" xfId="28"/>
    <cellStyle name="Comma 2 3 2" xfId="29"/>
    <cellStyle name="Comma 2 3 2 2" xfId="30"/>
    <cellStyle name="Comma 2 3 2 2 2" xfId="1458"/>
    <cellStyle name="Comma 2 3 2 2 2 2" xfId="1459"/>
    <cellStyle name="Comma 2 3 2 2 3" xfId="1460"/>
    <cellStyle name="Comma 2 3 2 2 4" xfId="1461"/>
    <cellStyle name="Comma 2 3 2 3" xfId="1462"/>
    <cellStyle name="Comma 2 3 2 3 2" xfId="1463"/>
    <cellStyle name="Comma 2 3 2 4" xfId="1464"/>
    <cellStyle name="Comma 2 3 2 5" xfId="1465"/>
    <cellStyle name="Comma 2 3 3" xfId="31"/>
    <cellStyle name="Comma 2 3 3 2" xfId="1466"/>
    <cellStyle name="Comma 2 3 3 3" xfId="1467"/>
    <cellStyle name="Comma 2 3 4" xfId="32"/>
    <cellStyle name="Comma 2 3 5" xfId="33"/>
    <cellStyle name="Comma 2 3 6" xfId="34"/>
    <cellStyle name="Comma 2 3 7" xfId="35"/>
    <cellStyle name="Comma 2 3 8" xfId="36"/>
    <cellStyle name="Comma 2 3 9" xfId="37"/>
    <cellStyle name="Comma 2 4" xfId="38"/>
    <cellStyle name="Comma 2 4 2" xfId="39"/>
    <cellStyle name="Comma 2 4 2 2" xfId="1468"/>
    <cellStyle name="Comma 2 4 2 3" xfId="1469"/>
    <cellStyle name="Comma 2 4 3" xfId="1470"/>
    <cellStyle name="Comma 2 4 4" xfId="1471"/>
    <cellStyle name="Comma 2 5" xfId="40"/>
    <cellStyle name="Comma 2 5 2" xfId="1472"/>
    <cellStyle name="Comma 2 5 2 2" xfId="1473"/>
    <cellStyle name="Comma 2 5 2 2 2" xfId="1474"/>
    <cellStyle name="Comma 2 5 2 3" xfId="1475"/>
    <cellStyle name="Comma 2 5 3" xfId="1476"/>
    <cellStyle name="Comma 2 5 3 2" xfId="1477"/>
    <cellStyle name="Comma 2 5 4" xfId="1478"/>
    <cellStyle name="Comma 2 5 5" xfId="1479"/>
    <cellStyle name="Comma 2 6" xfId="41"/>
    <cellStyle name="Comma 2 6 2" xfId="1480"/>
    <cellStyle name="Comma 2 6 2 2" xfId="1481"/>
    <cellStyle name="Comma 2 6 3" xfId="1482"/>
    <cellStyle name="Comma 2 7" xfId="42"/>
    <cellStyle name="Comma 2 7 2" xfId="1483"/>
    <cellStyle name="Comma 2 7 2 2" xfId="1484"/>
    <cellStyle name="Comma 2 7 3" xfId="1485"/>
    <cellStyle name="Comma 2 8" xfId="43"/>
    <cellStyle name="Comma 2 8 2" xfId="1486"/>
    <cellStyle name="Comma 2 8 2 2" xfId="1487"/>
    <cellStyle name="Comma 2 8 3" xfId="1488"/>
    <cellStyle name="Comma 2 9" xfId="44"/>
    <cellStyle name="Comma 2 9 2" xfId="1489"/>
    <cellStyle name="Comma 2 9 2 2" xfId="1490"/>
    <cellStyle name="Comma 2 9 3" xfId="1491"/>
    <cellStyle name="Comma 28" xfId="45"/>
    <cellStyle name="Comma 3" xfId="46"/>
    <cellStyle name="Comma 3 10" xfId="47"/>
    <cellStyle name="Comma 3 10 2" xfId="1492"/>
    <cellStyle name="Comma 3 11" xfId="48"/>
    <cellStyle name="Comma 3 11 2" xfId="1493"/>
    <cellStyle name="Comma 3 12" xfId="1494"/>
    <cellStyle name="Comma 3 2" xfId="49"/>
    <cellStyle name="Comma 3 2 2" xfId="1495"/>
    <cellStyle name="Comma 3 2 2 2" xfId="1496"/>
    <cellStyle name="Comma 3 2 3" xfId="1497"/>
    <cellStyle name="Comma 3 2 4" xfId="1498"/>
    <cellStyle name="Comma 3 3" xfId="50"/>
    <cellStyle name="Comma 3 3 2" xfId="1499"/>
    <cellStyle name="Comma 3 3 2 2" xfId="1500"/>
    <cellStyle name="Comma 3 3 3" xfId="1501"/>
    <cellStyle name="Comma 3 3 4" xfId="1502"/>
    <cellStyle name="Comma 3 4" xfId="51"/>
    <cellStyle name="Comma 3 4 2" xfId="1503"/>
    <cellStyle name="Comma 3 4 2 2" xfId="1504"/>
    <cellStyle name="Comma 3 4 3" xfId="1505"/>
    <cellStyle name="Comma 3 5" xfId="52"/>
    <cellStyle name="Comma 3 5 2" xfId="1506"/>
    <cellStyle name="Comma 3 5 2 2" xfId="1507"/>
    <cellStyle name="Comma 3 5 3" xfId="1508"/>
    <cellStyle name="Comma 3 6" xfId="53"/>
    <cellStyle name="Comma 3 6 2" xfId="1509"/>
    <cellStyle name="Comma 3 7" xfId="54"/>
    <cellStyle name="Comma 3 7 2" xfId="1510"/>
    <cellStyle name="Comma 3 8" xfId="55"/>
    <cellStyle name="Comma 3 8 2" xfId="1511"/>
    <cellStyle name="Comma 3 9" xfId="56"/>
    <cellStyle name="Comma 3 9 2" xfId="1512"/>
    <cellStyle name="Comma 31" xfId="1513"/>
    <cellStyle name="Comma 32" xfId="1514"/>
    <cellStyle name="Comma 4" xfId="9"/>
    <cellStyle name="Comma 4 2" xfId="57"/>
    <cellStyle name="Comma 4 2 2" xfId="1515"/>
    <cellStyle name="Comma 4 2 2 2" xfId="1516"/>
    <cellStyle name="Comma 4 2 2 2 2" xfId="1517"/>
    <cellStyle name="Comma 4 2 2 3" xfId="1518"/>
    <cellStyle name="Comma 4 2 3" xfId="1519"/>
    <cellStyle name="Comma 4 3" xfId="58"/>
    <cellStyle name="Comma 4 3 2" xfId="1520"/>
    <cellStyle name="Comma 4 4" xfId="59"/>
    <cellStyle name="Comma 4 4 2" xfId="1521"/>
    <cellStyle name="Comma 4 4 2 2" xfId="1522"/>
    <cellStyle name="Comma 4 4 3" xfId="1523"/>
    <cellStyle name="Comma 4 4 4" xfId="1524"/>
    <cellStyle name="Comma 4 5" xfId="60"/>
    <cellStyle name="Comma 4 6" xfId="61"/>
    <cellStyle name="Comma 4 7" xfId="62"/>
    <cellStyle name="Comma 4 8" xfId="63"/>
    <cellStyle name="Comma 4 9" xfId="1525"/>
    <cellStyle name="Comma 5" xfId="64"/>
    <cellStyle name="Comma 5 2" xfId="65"/>
    <cellStyle name="Comma 5 2 2" xfId="1526"/>
    <cellStyle name="Comma 5 2 2 2" xfId="1527"/>
    <cellStyle name="Comma 5 2 3" xfId="1528"/>
    <cellStyle name="Comma 5 2 4" xfId="1529"/>
    <cellStyle name="Comma 5 3" xfId="66"/>
    <cellStyle name="Comma 5 3 2" xfId="1530"/>
    <cellStyle name="Comma 5 4" xfId="67"/>
    <cellStyle name="Comma 5 4 2" xfId="1531"/>
    <cellStyle name="Comma 5 5" xfId="68"/>
    <cellStyle name="Comma 5 5 2" xfId="1532"/>
    <cellStyle name="Comma 5 6" xfId="69"/>
    <cellStyle name="Comma 5 6 2" xfId="1533"/>
    <cellStyle name="Comma 5 7" xfId="70"/>
    <cellStyle name="Comma 5 7 2" xfId="1534"/>
    <cellStyle name="Comma 5 8" xfId="1535"/>
    <cellStyle name="Comma 6" xfId="71"/>
    <cellStyle name="Comma 6 10" xfId="1536"/>
    <cellStyle name="Comma 6 2" xfId="72"/>
    <cellStyle name="Comma 6 2 2" xfId="1537"/>
    <cellStyle name="Comma 6 2 2 2" xfId="1538"/>
    <cellStyle name="Comma 6 2 3" xfId="1539"/>
    <cellStyle name="Comma 6 2 4" xfId="1540"/>
    <cellStyle name="Comma 6 3" xfId="73"/>
    <cellStyle name="Comma 6 3 2" xfId="1541"/>
    <cellStyle name="Comma 6 3 3" xfId="1542"/>
    <cellStyle name="Comma 6 4" xfId="74"/>
    <cellStyle name="Comma 6 4 2" xfId="1543"/>
    <cellStyle name="Comma 6 5" xfId="75"/>
    <cellStyle name="Comma 6 5 2" xfId="1544"/>
    <cellStyle name="Comma 6 6" xfId="76"/>
    <cellStyle name="Comma 6 6 2" xfId="1545"/>
    <cellStyle name="Comma 6 7" xfId="77"/>
    <cellStyle name="Comma 6 7 2" xfId="1546"/>
    <cellStyle name="Comma 6 8" xfId="78"/>
    <cellStyle name="Comma 6 8 2" xfId="1547"/>
    <cellStyle name="Comma 6 9" xfId="79"/>
    <cellStyle name="Comma 6 9 2" xfId="1548"/>
    <cellStyle name="Comma 7" xfId="1549"/>
    <cellStyle name="Comma 7 2" xfId="1550"/>
    <cellStyle name="Comma 7 2 2" xfId="1551"/>
    <cellStyle name="Comma 7 2 2 2" xfId="1552"/>
    <cellStyle name="Comma 7 2 3" xfId="1553"/>
    <cellStyle name="Comma 7 2 4" xfId="1554"/>
    <cellStyle name="Comma 7 2 4 2" xfId="1555"/>
    <cellStyle name="Comma 7 2 5" xfId="1556"/>
    <cellStyle name="Comma 7 2 6" xfId="1557"/>
    <cellStyle name="Comma 7 3" xfId="1558"/>
    <cellStyle name="Comma 7 3 2" xfId="1559"/>
    <cellStyle name="Comma 7 4" xfId="1560"/>
    <cellStyle name="Comma 8" xfId="1561"/>
    <cellStyle name="Comma 8 2" xfId="1562"/>
    <cellStyle name="Comma 8 2 2" xfId="1563"/>
    <cellStyle name="Comma 8 3" xfId="1564"/>
    <cellStyle name="Comma 9" xfId="1565"/>
    <cellStyle name="Comma 9 2" xfId="1566"/>
    <cellStyle name="Comma 9 2 2" xfId="1567"/>
    <cellStyle name="Comma 9 2 2 2" xfId="1568"/>
    <cellStyle name="Comma 9 2 3" xfId="1569"/>
    <cellStyle name="Comma 9 2 4" xfId="1570"/>
    <cellStyle name="Comma 9 3" xfId="1571"/>
    <cellStyle name="Comma 9 3 2" xfId="1572"/>
    <cellStyle name="Comma 9 4" xfId="1573"/>
    <cellStyle name="Comma 9 5" xfId="1574"/>
    <cellStyle name="Copied" xfId="1575"/>
    <cellStyle name="CSI" xfId="1576"/>
    <cellStyle name="Currency 2" xfId="80"/>
    <cellStyle name="Currency 2 2" xfId="1577"/>
    <cellStyle name="Currency 3" xfId="1578"/>
    <cellStyle name="Date" xfId="1579"/>
    <cellStyle name="Description" xfId="1580"/>
    <cellStyle name="Dist" xfId="1581"/>
    <cellStyle name="Entered" xfId="1582"/>
    <cellStyle name="Euro" xfId="81"/>
    <cellStyle name="Euro 2" xfId="1583"/>
    <cellStyle name="Euro 3" xfId="1584"/>
    <cellStyle name="Euro 4" xfId="1585"/>
    <cellStyle name="Euro 5" xfId="1586"/>
    <cellStyle name="Excel Built-in Comma" xfId="1587"/>
    <cellStyle name="Excel Built-in Comma 2" xfId="1588"/>
    <cellStyle name="Excel Built-in Normal" xfId="1589"/>
    <cellStyle name="Excel Built-in Normal 3" xfId="1590"/>
    <cellStyle name="Explanatory Text 10" xfId="1591"/>
    <cellStyle name="Explanatory Text 2" xfId="1592"/>
    <cellStyle name="Explanatory Text 2 10" xfId="1593"/>
    <cellStyle name="Explanatory Text 2 2" xfId="1594"/>
    <cellStyle name="Explanatory Text 2 3" xfId="1595"/>
    <cellStyle name="Explanatory Text 2 4" xfId="1596"/>
    <cellStyle name="Explanatory Text 2 5" xfId="1597"/>
    <cellStyle name="Explanatory Text 2 6" xfId="1598"/>
    <cellStyle name="Explanatory Text 2 7" xfId="1599"/>
    <cellStyle name="Explanatory Text 2 8" xfId="1600"/>
    <cellStyle name="Explanatory Text 2 9" xfId="1601"/>
    <cellStyle name="Explanatory Text 3" xfId="1602"/>
    <cellStyle name="Explanatory Text 4" xfId="1603"/>
    <cellStyle name="Explanatory Text 5" xfId="1604"/>
    <cellStyle name="Explanatory Text 6" xfId="1605"/>
    <cellStyle name="Explanatory Text 7" xfId="1606"/>
    <cellStyle name="Explanatory Text 8" xfId="1607"/>
    <cellStyle name="Explanatory Text 9" xfId="1608"/>
    <cellStyle name="Fixed" xfId="1609"/>
    <cellStyle name="Foottitle" xfId="1610"/>
    <cellStyle name="Good 10" xfId="1611"/>
    <cellStyle name="Good 2" xfId="1612"/>
    <cellStyle name="Good 2 10" xfId="1613"/>
    <cellStyle name="Good 2 2" xfId="1614"/>
    <cellStyle name="Good 2 3" xfId="1615"/>
    <cellStyle name="Good 2 4" xfId="1616"/>
    <cellStyle name="Good 2 5" xfId="1617"/>
    <cellStyle name="Good 2 6" xfId="1618"/>
    <cellStyle name="Good 2 7" xfId="1619"/>
    <cellStyle name="Good 2 8" xfId="1620"/>
    <cellStyle name="Good 2 9" xfId="1621"/>
    <cellStyle name="Good 3" xfId="1622"/>
    <cellStyle name="Good 4" xfId="1623"/>
    <cellStyle name="Good 5" xfId="1624"/>
    <cellStyle name="Good 6" xfId="1625"/>
    <cellStyle name="Good 7" xfId="1626"/>
    <cellStyle name="Good 8" xfId="1627"/>
    <cellStyle name="Good 9" xfId="1628"/>
    <cellStyle name="Grey" xfId="1629"/>
    <cellStyle name="header" xfId="1630"/>
    <cellStyle name="Header1" xfId="1631"/>
    <cellStyle name="Header2" xfId="1632"/>
    <cellStyle name="Header2 2" xfId="1633"/>
    <cellStyle name="Header2 2 2" xfId="1634"/>
    <cellStyle name="Header2 3" xfId="1635"/>
    <cellStyle name="Header2 3 2" xfId="1636"/>
    <cellStyle name="Header2 4" xfId="1637"/>
    <cellStyle name="Header2 4 2" xfId="1638"/>
    <cellStyle name="Heading" xfId="1639"/>
    <cellStyle name="Heading 1 10" xfId="1640"/>
    <cellStyle name="Heading 1 2" xfId="1641"/>
    <cellStyle name="Heading 1 2 10" xfId="1642"/>
    <cellStyle name="Heading 1 2 2" xfId="1643"/>
    <cellStyle name="Heading 1 2 3" xfId="1644"/>
    <cellStyle name="Heading 1 2 4" xfId="1645"/>
    <cellStyle name="Heading 1 2 5" xfId="1646"/>
    <cellStyle name="Heading 1 2 6" xfId="1647"/>
    <cellStyle name="Heading 1 2 7" xfId="1648"/>
    <cellStyle name="Heading 1 2 8" xfId="1649"/>
    <cellStyle name="Heading 1 2 9" xfId="1650"/>
    <cellStyle name="Heading 1 3" xfId="1651"/>
    <cellStyle name="Heading 1 4" xfId="1652"/>
    <cellStyle name="Heading 1 5" xfId="1653"/>
    <cellStyle name="Heading 1 6" xfId="1654"/>
    <cellStyle name="Heading 1 7" xfId="1655"/>
    <cellStyle name="Heading 1 8" xfId="1656"/>
    <cellStyle name="Heading 1 9" xfId="1657"/>
    <cellStyle name="Heading 2 10" xfId="1658"/>
    <cellStyle name="Heading 2 2" xfId="1659"/>
    <cellStyle name="Heading 2 2 10" xfId="1660"/>
    <cellStyle name="Heading 2 2 2" xfId="1661"/>
    <cellStyle name="Heading 2 2 3" xfId="1662"/>
    <cellStyle name="Heading 2 2 4" xfId="1663"/>
    <cellStyle name="Heading 2 2 5" xfId="1664"/>
    <cellStyle name="Heading 2 2 6" xfId="1665"/>
    <cellStyle name="Heading 2 2 7" xfId="1666"/>
    <cellStyle name="Heading 2 2 8" xfId="1667"/>
    <cellStyle name="Heading 2 2 9" xfId="1668"/>
    <cellStyle name="Heading 2 3" xfId="1669"/>
    <cellStyle name="Heading 2 4" xfId="1670"/>
    <cellStyle name="Heading 2 5" xfId="1671"/>
    <cellStyle name="Heading 2 6" xfId="1672"/>
    <cellStyle name="Heading 2 7" xfId="1673"/>
    <cellStyle name="Heading 2 8" xfId="1674"/>
    <cellStyle name="Heading 2 9" xfId="1675"/>
    <cellStyle name="Heading 3 10" xfId="1676"/>
    <cellStyle name="Heading 3 2" xfId="1677"/>
    <cellStyle name="Heading 3 2 10" xfId="1678"/>
    <cellStyle name="Heading 3 2 2" xfId="1679"/>
    <cellStyle name="Heading 3 2 3" xfId="1680"/>
    <cellStyle name="Heading 3 2 4" xfId="1681"/>
    <cellStyle name="Heading 3 2 5" xfId="1682"/>
    <cellStyle name="Heading 3 2 6" xfId="1683"/>
    <cellStyle name="Heading 3 2 7" xfId="1684"/>
    <cellStyle name="Heading 3 2 8" xfId="1685"/>
    <cellStyle name="Heading 3 2 9" xfId="1686"/>
    <cellStyle name="Heading 3 3" xfId="1687"/>
    <cellStyle name="Heading 3 4" xfId="1688"/>
    <cellStyle name="Heading 3 5" xfId="1689"/>
    <cellStyle name="Heading 3 6" xfId="1690"/>
    <cellStyle name="Heading 3 7" xfId="1691"/>
    <cellStyle name="Heading 3 8" xfId="1692"/>
    <cellStyle name="Heading 3 9" xfId="1693"/>
    <cellStyle name="Heading 4 10" xfId="1694"/>
    <cellStyle name="Heading 4 2" xfId="1695"/>
    <cellStyle name="Heading 4 2 10" xfId="1696"/>
    <cellStyle name="Heading 4 2 2" xfId="1697"/>
    <cellStyle name="Heading 4 2 3" xfId="1698"/>
    <cellStyle name="Heading 4 2 4" xfId="1699"/>
    <cellStyle name="Heading 4 2 5" xfId="1700"/>
    <cellStyle name="Heading 4 2 6" xfId="1701"/>
    <cellStyle name="Heading 4 2 7" xfId="1702"/>
    <cellStyle name="Heading 4 2 8" xfId="1703"/>
    <cellStyle name="Heading 4 2 9" xfId="1704"/>
    <cellStyle name="Heading 4 3" xfId="1705"/>
    <cellStyle name="Heading 4 4" xfId="1706"/>
    <cellStyle name="Heading 4 5" xfId="1707"/>
    <cellStyle name="Heading 4 6" xfId="1708"/>
    <cellStyle name="Heading 4 7" xfId="1709"/>
    <cellStyle name="Heading 4 8" xfId="1710"/>
    <cellStyle name="Heading 4 9" xfId="1711"/>
    <cellStyle name="Heading1" xfId="1712"/>
    <cellStyle name="Heading1 1" xfId="1713"/>
    <cellStyle name="Heading2" xfId="1714"/>
    <cellStyle name="Hyperlink 2" xfId="82"/>
    <cellStyle name="Hyperlink 2 2" xfId="1715"/>
    <cellStyle name="Hyperlink 3" xfId="83"/>
    <cellStyle name="Hyperlink 3 2" xfId="1716"/>
    <cellStyle name="Hyperlink 4" xfId="1717"/>
    <cellStyle name="Input [yellow]" xfId="1718"/>
    <cellStyle name="Input [yellow] 2" xfId="1719"/>
    <cellStyle name="Input 10" xfId="1720"/>
    <cellStyle name="Input 10 2" xfId="1721"/>
    <cellStyle name="Input 10 2 2" xfId="1722"/>
    <cellStyle name="Input 10 3" xfId="1723"/>
    <cellStyle name="Input 10 3 2" xfId="1724"/>
    <cellStyle name="Input 10 4" xfId="1725"/>
    <cellStyle name="Input 2" xfId="1726"/>
    <cellStyle name="Input 2 10" xfId="1727"/>
    <cellStyle name="Input 2 10 2" xfId="1728"/>
    <cellStyle name="Input 2 10 2 2" xfId="1729"/>
    <cellStyle name="Input 2 10 3" xfId="1730"/>
    <cellStyle name="Input 2 10 3 2" xfId="1731"/>
    <cellStyle name="Input 2 10 4" xfId="1732"/>
    <cellStyle name="Input 2 11" xfId="1733"/>
    <cellStyle name="Input 2 11 2" xfId="1734"/>
    <cellStyle name="Input 2 12" xfId="1735"/>
    <cellStyle name="Input 2 12 2" xfId="1736"/>
    <cellStyle name="Input 2 13" xfId="1737"/>
    <cellStyle name="Input 2 2" xfId="1738"/>
    <cellStyle name="Input 2 2 2" xfId="1739"/>
    <cellStyle name="Input 2 2 2 2" xfId="1740"/>
    <cellStyle name="Input 2 2 3" xfId="1741"/>
    <cellStyle name="Input 2 2 3 2" xfId="1742"/>
    <cellStyle name="Input 2 2 4" xfId="1743"/>
    <cellStyle name="Input 2 3" xfId="1744"/>
    <cellStyle name="Input 2 3 2" xfId="1745"/>
    <cellStyle name="Input 2 3 2 2" xfId="1746"/>
    <cellStyle name="Input 2 3 3" xfId="1747"/>
    <cellStyle name="Input 2 3 3 2" xfId="1748"/>
    <cellStyle name="Input 2 3 4" xfId="1749"/>
    <cellStyle name="Input 2 4" xfId="1750"/>
    <cellStyle name="Input 2 4 2" xfId="1751"/>
    <cellStyle name="Input 2 4 2 2" xfId="1752"/>
    <cellStyle name="Input 2 4 3" xfId="1753"/>
    <cellStyle name="Input 2 4 3 2" xfId="1754"/>
    <cellStyle name="Input 2 4 4" xfId="1755"/>
    <cellStyle name="Input 2 5" xfId="1756"/>
    <cellStyle name="Input 2 5 2" xfId="1757"/>
    <cellStyle name="Input 2 5 2 2" xfId="1758"/>
    <cellStyle name="Input 2 5 3" xfId="1759"/>
    <cellStyle name="Input 2 5 3 2" xfId="1760"/>
    <cellStyle name="Input 2 5 4" xfId="1761"/>
    <cellStyle name="Input 2 6" xfId="1762"/>
    <cellStyle name="Input 2 6 2" xfId="1763"/>
    <cellStyle name="Input 2 6 2 2" xfId="1764"/>
    <cellStyle name="Input 2 6 3" xfId="1765"/>
    <cellStyle name="Input 2 6 3 2" xfId="1766"/>
    <cellStyle name="Input 2 6 4" xfId="1767"/>
    <cellStyle name="Input 2 7" xfId="1768"/>
    <cellStyle name="Input 2 7 2" xfId="1769"/>
    <cellStyle name="Input 2 7 2 2" xfId="1770"/>
    <cellStyle name="Input 2 7 3" xfId="1771"/>
    <cellStyle name="Input 2 7 3 2" xfId="1772"/>
    <cellStyle name="Input 2 7 4" xfId="1773"/>
    <cellStyle name="Input 2 8" xfId="1774"/>
    <cellStyle name="Input 2 8 2" xfId="1775"/>
    <cellStyle name="Input 2 8 2 2" xfId="1776"/>
    <cellStyle name="Input 2 8 3" xfId="1777"/>
    <cellStyle name="Input 2 8 3 2" xfId="1778"/>
    <cellStyle name="Input 2 8 4" xfId="1779"/>
    <cellStyle name="Input 2 9" xfId="1780"/>
    <cellStyle name="Input 2 9 2" xfId="1781"/>
    <cellStyle name="Input 2 9 2 2" xfId="1782"/>
    <cellStyle name="Input 2 9 3" xfId="1783"/>
    <cellStyle name="Input 2 9 3 2" xfId="1784"/>
    <cellStyle name="Input 2 9 4" xfId="1785"/>
    <cellStyle name="Input 3" xfId="1786"/>
    <cellStyle name="Input 3 2" xfId="1787"/>
    <cellStyle name="Input 3 2 2" xfId="1788"/>
    <cellStyle name="Input 3 3" xfId="1789"/>
    <cellStyle name="Input 3 3 2" xfId="1790"/>
    <cellStyle name="Input 3 4" xfId="1791"/>
    <cellStyle name="Input 4" xfId="1792"/>
    <cellStyle name="Input 4 2" xfId="1793"/>
    <cellStyle name="Input 4 2 2" xfId="1794"/>
    <cellStyle name="Input 4 3" xfId="1795"/>
    <cellStyle name="Input 4 3 2" xfId="1796"/>
    <cellStyle name="Input 4 4" xfId="1797"/>
    <cellStyle name="Input 5" xfId="1798"/>
    <cellStyle name="Input 5 2" xfId="1799"/>
    <cellStyle name="Input 5 2 2" xfId="1800"/>
    <cellStyle name="Input 5 3" xfId="1801"/>
    <cellStyle name="Input 5 3 2" xfId="1802"/>
    <cellStyle name="Input 5 4" xfId="1803"/>
    <cellStyle name="Input 6" xfId="1804"/>
    <cellStyle name="Input 6 2" xfId="1805"/>
    <cellStyle name="Input 6 2 2" xfId="1806"/>
    <cellStyle name="Input 6 3" xfId="1807"/>
    <cellStyle name="Input 6 3 2" xfId="1808"/>
    <cellStyle name="Input 6 4" xfId="1809"/>
    <cellStyle name="Input 7" xfId="1810"/>
    <cellStyle name="Input 7 2" xfId="1811"/>
    <cellStyle name="Input 7 2 2" xfId="1812"/>
    <cellStyle name="Input 7 3" xfId="1813"/>
    <cellStyle name="Input 7 3 2" xfId="1814"/>
    <cellStyle name="Input 7 4" xfId="1815"/>
    <cellStyle name="Input 8" xfId="1816"/>
    <cellStyle name="Input 8 2" xfId="1817"/>
    <cellStyle name="Input 8 2 2" xfId="1818"/>
    <cellStyle name="Input 8 3" xfId="1819"/>
    <cellStyle name="Input 8 3 2" xfId="1820"/>
    <cellStyle name="Input 8 4" xfId="1821"/>
    <cellStyle name="Input 9" xfId="1822"/>
    <cellStyle name="Input 9 2" xfId="1823"/>
    <cellStyle name="Input 9 2 2" xfId="1824"/>
    <cellStyle name="Input 9 3" xfId="1825"/>
    <cellStyle name="Input 9 3 2" xfId="1826"/>
    <cellStyle name="Input 9 4" xfId="1827"/>
    <cellStyle name="intervals" xfId="1828"/>
    <cellStyle name="k" xfId="1829"/>
    <cellStyle name="L" xfId="1830"/>
    <cellStyle name="L_BOQ" xfId="1831"/>
    <cellStyle name="L_Copy of Costing" xfId="1832"/>
    <cellStyle name="L_Copy of Costing_Gurgaon 1 _29.07.04 _ MDS" xfId="1833"/>
    <cellStyle name="L_Costing - ITC Main Revised Qty- 11.01_ ITC Main" xfId="1834"/>
    <cellStyle name="L_Costing - MBD Books-20.12" xfId="1835"/>
    <cellStyle name="L_Costing_Birla Sugar_9.4.05" xfId="1836"/>
    <cellStyle name="L_Costing_Hero Honda_Haridwar" xfId="1837"/>
    <cellStyle name="L_Costing_Inst. Bld-Emirates Group-Noida-13.06.06" xfId="1838"/>
    <cellStyle name="L_Costing_Nicholas_21.12.04" xfId="1839"/>
    <cellStyle name="L_DLF Cyber Tower _02.06.05 l" xfId="1840"/>
    <cellStyle name="L_Major quantities _Inst. Bld-Emirates Group-Noida" xfId="1841"/>
    <cellStyle name="L_Major quantities_Hero Honda_Haridwar" xfId="1842"/>
    <cellStyle name="L_RATE ANALYSIS_Sample" xfId="1843"/>
    <cellStyle name="L_Sheet1" xfId="1844"/>
    <cellStyle name="L_Submitted_27.10.05" xfId="1845"/>
    <cellStyle name="L_Working_Submitted" xfId="1846"/>
    <cellStyle name="Length" xfId="1847"/>
    <cellStyle name="Linked Cell 10" xfId="1848"/>
    <cellStyle name="Linked Cell 2" xfId="1849"/>
    <cellStyle name="Linked Cell 2 10" xfId="1850"/>
    <cellStyle name="Linked Cell 2 2" xfId="1851"/>
    <cellStyle name="Linked Cell 2 3" xfId="1852"/>
    <cellStyle name="Linked Cell 2 4" xfId="1853"/>
    <cellStyle name="Linked Cell 2 5" xfId="1854"/>
    <cellStyle name="Linked Cell 2 6" xfId="1855"/>
    <cellStyle name="Linked Cell 2 7" xfId="1856"/>
    <cellStyle name="Linked Cell 2 8" xfId="1857"/>
    <cellStyle name="Linked Cell 2 9" xfId="1858"/>
    <cellStyle name="Linked Cell 3" xfId="1859"/>
    <cellStyle name="Linked Cell 4" xfId="1860"/>
    <cellStyle name="Linked Cell 5" xfId="1861"/>
    <cellStyle name="Linked Cell 6" xfId="1862"/>
    <cellStyle name="Linked Cell 7" xfId="1863"/>
    <cellStyle name="Linked Cell 8" xfId="1864"/>
    <cellStyle name="Linked Cell 9" xfId="1865"/>
    <cellStyle name="M" xfId="1866"/>
    <cellStyle name="M_BOQ" xfId="1867"/>
    <cellStyle name="M_Copy of Costing" xfId="1868"/>
    <cellStyle name="M_Copy of Costing_Gurgaon 1 _29.07.04 _ MDS" xfId="1869"/>
    <cellStyle name="M_Costing - ITC Main Revised Qty- 11.01_ ITC Main" xfId="1870"/>
    <cellStyle name="M_Costing - MBD Books-20.12" xfId="1871"/>
    <cellStyle name="M_Costing_Birla Sugar_9.4.05" xfId="1872"/>
    <cellStyle name="M_Costing_Hero Honda_Haridwar" xfId="1873"/>
    <cellStyle name="M_Costing_Inst. Bld-Emirates Group-Noida-13.06.06" xfId="1874"/>
    <cellStyle name="M_Costing_Nicholas_21.12.04" xfId="1875"/>
    <cellStyle name="M_DLF Cyber Tower _02.06.05 l" xfId="1876"/>
    <cellStyle name="M_Major quantities _Inst. Bld-Emirates Group-Noida" xfId="1877"/>
    <cellStyle name="M_Major quantities_Hero Honda_Haridwar" xfId="1878"/>
    <cellStyle name="M_RATE ANALYSIS_Sample" xfId="1879"/>
    <cellStyle name="M_Sheet1" xfId="1880"/>
    <cellStyle name="M_Submitted_27.10.05" xfId="1881"/>
    <cellStyle name="M_Working_Submitted" xfId="1882"/>
    <cellStyle name="M-0" xfId="1883"/>
    <cellStyle name="MainDescription" xfId="1884"/>
    <cellStyle name="Measure" xfId="1885"/>
    <cellStyle name="m-o" xfId="1886"/>
    <cellStyle name="MS_Arabic" xfId="1887"/>
    <cellStyle name="n" xfId="1888"/>
    <cellStyle name="Neutral 10" xfId="1889"/>
    <cellStyle name="Neutral 2" xfId="1890"/>
    <cellStyle name="Neutral 2 10" xfId="1891"/>
    <cellStyle name="Neutral 2 2" xfId="1892"/>
    <cellStyle name="Neutral 2 3" xfId="1893"/>
    <cellStyle name="Neutral 2 4" xfId="1894"/>
    <cellStyle name="Neutral 2 5" xfId="1895"/>
    <cellStyle name="Neutral 2 6" xfId="1896"/>
    <cellStyle name="Neutral 2 7" xfId="1897"/>
    <cellStyle name="Neutral 2 8" xfId="1898"/>
    <cellStyle name="Neutral 2 9" xfId="1899"/>
    <cellStyle name="Neutral 3" xfId="1900"/>
    <cellStyle name="Neutral 4" xfId="1901"/>
    <cellStyle name="Neutral 5" xfId="1902"/>
    <cellStyle name="Neutral 6" xfId="1903"/>
    <cellStyle name="Neutral 7" xfId="1904"/>
    <cellStyle name="Neutral 8" xfId="1905"/>
    <cellStyle name="Neutral 9" xfId="1906"/>
    <cellStyle name="Normal" xfId="0" builtinId="0"/>
    <cellStyle name="Normal - Style1" xfId="1907"/>
    <cellStyle name="Normal 10" xfId="84"/>
    <cellStyle name="Normal 10 2" xfId="85"/>
    <cellStyle name="Normal 10 2 2" xfId="86"/>
    <cellStyle name="Normal 10 2 3" xfId="1908"/>
    <cellStyle name="Normal 10 2 4" xfId="505"/>
    <cellStyle name="Normal 10 2 5" xfId="1909"/>
    <cellStyle name="Normal 10 3" xfId="504"/>
    <cellStyle name="Normal 10 3 2" xfId="1910"/>
    <cellStyle name="Normal 10 4" xfId="1911"/>
    <cellStyle name="Normal 10 4 2" xfId="1912"/>
    <cellStyle name="Normal 10 5" xfId="1913"/>
    <cellStyle name="Normal 10 6" xfId="1914"/>
    <cellStyle name="Normal 10 7" xfId="1915"/>
    <cellStyle name="Normal 11" xfId="87"/>
    <cellStyle name="Normal 11 2" xfId="1916"/>
    <cellStyle name="Normal 11 3" xfId="1917"/>
    <cellStyle name="Normal 11 3 2" xfId="1918"/>
    <cellStyle name="Normal 11 3 3" xfId="1919"/>
    <cellStyle name="Normal 11 3 3 2" xfId="1920"/>
    <cellStyle name="Normal 11 3 3 3" xfId="1921"/>
    <cellStyle name="Normal 11 4" xfId="1922"/>
    <cellStyle name="Normal 12" xfId="88"/>
    <cellStyle name="Normal 12 2" xfId="1923"/>
    <cellStyle name="Normal 12 3" xfId="1924"/>
    <cellStyle name="Normal 13" xfId="89"/>
    <cellStyle name="Normal 13 2" xfId="1925"/>
    <cellStyle name="Normal 13 3" xfId="1926"/>
    <cellStyle name="Normal 13 4" xfId="1927"/>
    <cellStyle name="Normal 14" xfId="90"/>
    <cellStyle name="Normal 14 2" xfId="1928"/>
    <cellStyle name="Normal 14 2 2" xfId="1929"/>
    <cellStyle name="Normal 14 3" xfId="1930"/>
    <cellStyle name="Normal 14 5 2" xfId="1931"/>
    <cellStyle name="Normal 14 5 2 2" xfId="1932"/>
    <cellStyle name="Normal 14 5 2 3" xfId="1933"/>
    <cellStyle name="Normal 14 5 2 4" xfId="1934"/>
    <cellStyle name="Normal 15" xfId="91"/>
    <cellStyle name="Normal 15 2" xfId="1935"/>
    <cellStyle name="Normal 15 2 2" xfId="1936"/>
    <cellStyle name="Normal 15 2 2 2" xfId="1937"/>
    <cellStyle name="Normal 15 2 3" xfId="1938"/>
    <cellStyle name="Normal 15 3" xfId="1939"/>
    <cellStyle name="Normal 15 4" xfId="1940"/>
    <cellStyle name="Normal 16" xfId="92"/>
    <cellStyle name="Normal 16 2" xfId="1941"/>
    <cellStyle name="Normal 16 2 2" xfId="1942"/>
    <cellStyle name="Normal 16 3" xfId="1943"/>
    <cellStyle name="Normal 16 4" xfId="1944"/>
    <cellStyle name="Normal 17" xfId="93"/>
    <cellStyle name="Normal 17 2" xfId="1945"/>
    <cellStyle name="Normal 17 3" xfId="1946"/>
    <cellStyle name="Normal 18" xfId="94"/>
    <cellStyle name="Normal 19" xfId="95"/>
    <cellStyle name="Normal 2" xfId="8"/>
    <cellStyle name="Normal 2 10" xfId="6"/>
    <cellStyle name="Normal 2 10 2" xfId="1947"/>
    <cellStyle name="Normal 2 10 3" xfId="1948"/>
    <cellStyle name="Normal 2 10 4" xfId="1949"/>
    <cellStyle name="Normal 2 11" xfId="96"/>
    <cellStyle name="Normal 2 11 2" xfId="1950"/>
    <cellStyle name="Normal 2 11 3" xfId="1951"/>
    <cellStyle name="Normal 2 11 4" xfId="1952"/>
    <cellStyle name="Normal 2 12" xfId="97"/>
    <cellStyle name="Normal 2 12 2" xfId="1953"/>
    <cellStyle name="Normal 2 12 3" xfId="1954"/>
    <cellStyle name="Normal 2 12 4" xfId="1955"/>
    <cellStyle name="Normal 2 13" xfId="98"/>
    <cellStyle name="Normal 2 13 2" xfId="1956"/>
    <cellStyle name="Normal 2 13 3" xfId="1957"/>
    <cellStyle name="Normal 2 13 4" xfId="1958"/>
    <cellStyle name="Normal 2 14" xfId="99"/>
    <cellStyle name="Normal 2 14 2" xfId="1959"/>
    <cellStyle name="Normal 2 14 3" xfId="1960"/>
    <cellStyle name="Normal 2 14 4" xfId="1961"/>
    <cellStyle name="Normal 2 15" xfId="100"/>
    <cellStyle name="Normal 2 15 2" xfId="1962"/>
    <cellStyle name="Normal 2 15 3" xfId="1963"/>
    <cellStyle name="Normal 2 15 4" xfId="1964"/>
    <cellStyle name="Normal 2 16" xfId="1965"/>
    <cellStyle name="Normal 2 16 2" xfId="1966"/>
    <cellStyle name="Normal 2 16 3" xfId="1967"/>
    <cellStyle name="Normal 2 16 4" xfId="1968"/>
    <cellStyle name="Normal 2 17" xfId="1969"/>
    <cellStyle name="Normal 2 17 2" xfId="1970"/>
    <cellStyle name="Normal 2 17 3" xfId="1971"/>
    <cellStyle name="Normal 2 18" xfId="1972"/>
    <cellStyle name="Normal 2 18 2" xfId="1973"/>
    <cellStyle name="Normal 2 18 3" xfId="1974"/>
    <cellStyle name="Normal 2 19" xfId="1975"/>
    <cellStyle name="Normal 2 19 2" xfId="1976"/>
    <cellStyle name="Normal 2 19 3" xfId="1977"/>
    <cellStyle name="Normal 2 2" xfId="101"/>
    <cellStyle name="Normal 2 2 10" xfId="102"/>
    <cellStyle name="Normal 2 2 11" xfId="103"/>
    <cellStyle name="Normal 2 2 12" xfId="104"/>
    <cellStyle name="Normal 2 2 13" xfId="1978"/>
    <cellStyle name="Normal 2 2 13 2" xfId="1979"/>
    <cellStyle name="Normal 2 2 14" xfId="1980"/>
    <cellStyle name="Normal 2 2 2" xfId="4"/>
    <cellStyle name="Normal 2 2 2 10" xfId="1981"/>
    <cellStyle name="Normal 2 2 2 10 2" xfId="1982"/>
    <cellStyle name="Normal 2 2 2 11" xfId="1983"/>
    <cellStyle name="Normal 2 2 2 12" xfId="1984"/>
    <cellStyle name="Normal 2 2 2 13" xfId="1985"/>
    <cellStyle name="Normal 2 2 2 2" xfId="105"/>
    <cellStyle name="Normal 2 2 2 2 2" xfId="106"/>
    <cellStyle name="Normal 2 2 2 2 3" xfId="1986"/>
    <cellStyle name="Normal 2 2 2 3" xfId="107"/>
    <cellStyle name="Normal 2 2 2 4" xfId="108"/>
    <cellStyle name="Normal 2 2 2 5" xfId="109"/>
    <cellStyle name="Normal 2 2 2 6" xfId="110"/>
    <cellStyle name="Normal 2 2 2 7" xfId="111"/>
    <cellStyle name="Normal 2 2 2 8" xfId="112"/>
    <cellStyle name="Normal 2 2 2 9" xfId="113"/>
    <cellStyle name="Normal 2 2 3" xfId="114"/>
    <cellStyle name="Normal 2 2 3 2" xfId="5"/>
    <cellStyle name="Normal 2 2 3 2 2" xfId="1987"/>
    <cellStyle name="Normal 2 2 3 2 2 2" xfId="1988"/>
    <cellStyle name="Normal 2 2 3 2 3" xfId="1989"/>
    <cellStyle name="Normal 2 2 3 3" xfId="115"/>
    <cellStyle name="Normal 2 2 3 4" xfId="1990"/>
    <cellStyle name="Normal 2 2 3 4 2" xfId="1991"/>
    <cellStyle name="Normal 2 2 3 4 2 2" xfId="1992"/>
    <cellStyle name="Normal 2 2 3 4 3" xfId="1993"/>
    <cellStyle name="Normal 2 2 3 4 3 2" xfId="1994"/>
    <cellStyle name="Normal 2 2 3 4 3 3" xfId="1995"/>
    <cellStyle name="Normal 2 2 3 4 4" xfId="1996"/>
    <cellStyle name="Normal 2 2 3 4 5" xfId="1997"/>
    <cellStyle name="Normal 2 2 3 5" xfId="1998"/>
    <cellStyle name="Normal 2 2 4" xfId="116"/>
    <cellStyle name="Normal 2 2 4 2" xfId="1999"/>
    <cellStyle name="Normal 2 2 4 2 2" xfId="2000"/>
    <cellStyle name="Normal 2 2 4 3" xfId="2001"/>
    <cellStyle name="Normal 2 2 4 4" xfId="2002"/>
    <cellStyle name="Normal 2 2 5" xfId="117"/>
    <cellStyle name="Normal 2 2 6" xfId="118"/>
    <cellStyle name="Normal 2 2 7" xfId="119"/>
    <cellStyle name="Normal 2 2 8" xfId="120"/>
    <cellStyle name="Normal 2 2 9" xfId="121"/>
    <cellStyle name="Normal 2 20" xfId="2003"/>
    <cellStyle name="Normal 2 21" xfId="2004"/>
    <cellStyle name="Normal 2 22" xfId="2005"/>
    <cellStyle name="Normal 2 23" xfId="2006"/>
    <cellStyle name="Normal 2 24" xfId="2007"/>
    <cellStyle name="Normal 2 25" xfId="2008"/>
    <cellStyle name="Normal 2 26" xfId="2009"/>
    <cellStyle name="Normal 2 27" xfId="2010"/>
    <cellStyle name="Normal 2 28" xfId="2011"/>
    <cellStyle name="Normal 2 29" xfId="2012"/>
    <cellStyle name="Normal 2 3" xfId="122"/>
    <cellStyle name="Normal 2 3 10" xfId="123"/>
    <cellStyle name="Normal 2 3 11" xfId="124"/>
    <cellStyle name="Normal 2 3 12" xfId="125"/>
    <cellStyle name="Normal 2 3 13" xfId="126"/>
    <cellStyle name="Normal 2 3 2" xfId="127"/>
    <cellStyle name="Normal 2 3 2 10" xfId="2013"/>
    <cellStyle name="Normal 2 3 2 2" xfId="128"/>
    <cellStyle name="Normal 2 3 2 3" xfId="129"/>
    <cellStyle name="Normal 2 3 2 4" xfId="130"/>
    <cellStyle name="Normal 2 3 2 5" xfId="131"/>
    <cellStyle name="Normal 2 3 2 6" xfId="132"/>
    <cellStyle name="Normal 2 3 2 7" xfId="133"/>
    <cellStyle name="Normal 2 3 2 8" xfId="134"/>
    <cellStyle name="Normal 2 3 2 9" xfId="135"/>
    <cellStyle name="Normal 2 3 3" xfId="136"/>
    <cellStyle name="Normal 2 3 3 2" xfId="2014"/>
    <cellStyle name="Normal 2 3 3 3" xfId="2015"/>
    <cellStyle name="Normal 2 3 4" xfId="137"/>
    <cellStyle name="Normal 2 3 5" xfId="138"/>
    <cellStyle name="Normal 2 3 6" xfId="139"/>
    <cellStyle name="Normal 2 3 7" xfId="140"/>
    <cellStyle name="Normal 2 3 8" xfId="141"/>
    <cellStyle name="Normal 2 3 9" xfId="142"/>
    <cellStyle name="Normal 2 30" xfId="2016"/>
    <cellStyle name="Normal 2 31" xfId="2017"/>
    <cellStyle name="Normal 2 32" xfId="2018"/>
    <cellStyle name="Normal 2 33" xfId="2019"/>
    <cellStyle name="Normal 2 34" xfId="2020"/>
    <cellStyle name="Normal 2 35" xfId="2021"/>
    <cellStyle name="Normal 2 36" xfId="2022"/>
    <cellStyle name="Normal 2 37" xfId="2023"/>
    <cellStyle name="Normal 2 38" xfId="2024"/>
    <cellStyle name="Normal 2 39" xfId="2025"/>
    <cellStyle name="Normal 2 39 2" xfId="2026"/>
    <cellStyle name="Normal 2 4" xfId="143"/>
    <cellStyle name="Normal 2 4 2" xfId="144"/>
    <cellStyle name="Normal 2 4 2 2" xfId="145"/>
    <cellStyle name="Normal 2 4 2 3" xfId="146"/>
    <cellStyle name="Normal 2 4 2 4" xfId="147"/>
    <cellStyle name="Normal 2 4 2 5" xfId="148"/>
    <cellStyle name="Normal 2 4 2 6" xfId="149"/>
    <cellStyle name="Normal 2 4 2 7" xfId="150"/>
    <cellStyle name="Normal 2 4 2 8" xfId="151"/>
    <cellStyle name="Normal 2 4 2 9" xfId="2027"/>
    <cellStyle name="Normal 2 4 3" xfId="152"/>
    <cellStyle name="Normal 2 4 3 2" xfId="2028"/>
    <cellStyle name="Normal 2 4 4" xfId="153"/>
    <cellStyle name="Normal 2 4 5" xfId="154"/>
    <cellStyle name="Normal 2 4 6" xfId="155"/>
    <cellStyle name="Normal 2 4 7" xfId="156"/>
    <cellStyle name="Normal 2 4 8" xfId="157"/>
    <cellStyle name="Normal 2 4 9" xfId="158"/>
    <cellStyle name="Normal 2 5" xfId="159"/>
    <cellStyle name="Normal 2 5 2" xfId="160"/>
    <cellStyle name="Normal 2 5 2 2" xfId="161"/>
    <cellStyle name="Normal 2 5 2 3" xfId="162"/>
    <cellStyle name="Normal 2 5 2 4" xfId="163"/>
    <cellStyle name="Normal 2 5 2 5" xfId="164"/>
    <cellStyle name="Normal 2 5 2 6" xfId="165"/>
    <cellStyle name="Normal 2 5 2 7" xfId="166"/>
    <cellStyle name="Normal 2 5 2 8" xfId="167"/>
    <cellStyle name="Normal 2 5 2 9" xfId="2029"/>
    <cellStyle name="Normal 2 5 3" xfId="168"/>
    <cellStyle name="Normal 2 5 3 2" xfId="2030"/>
    <cellStyle name="Normal 2 5 4" xfId="169"/>
    <cellStyle name="Normal 2 5 5" xfId="170"/>
    <cellStyle name="Normal 2 5 6" xfId="171"/>
    <cellStyle name="Normal 2 5 7" xfId="172"/>
    <cellStyle name="Normal 2 5 8" xfId="173"/>
    <cellStyle name="Normal 2 5 9" xfId="174"/>
    <cellStyle name="Normal 2 6" xfId="175"/>
    <cellStyle name="Normal 2 6 2" xfId="176"/>
    <cellStyle name="Normal 2 6 2 2" xfId="2031"/>
    <cellStyle name="Normal 2 6 3" xfId="177"/>
    <cellStyle name="Normal 2 6 3 2" xfId="2032"/>
    <cellStyle name="Normal 2 6 4" xfId="178"/>
    <cellStyle name="Normal 2 6 5" xfId="179"/>
    <cellStyle name="Normal 2 6 6" xfId="180"/>
    <cellStyle name="Normal 2 6 7" xfId="181"/>
    <cellStyle name="Normal 2 6 8" xfId="182"/>
    <cellStyle name="Normal 2 6 9" xfId="2033"/>
    <cellStyle name="Normal 2 7" xfId="183"/>
    <cellStyle name="Normal 2 7 2" xfId="184"/>
    <cellStyle name="Normal 2 7 2 2" xfId="2034"/>
    <cellStyle name="Normal 2 7 3" xfId="2035"/>
    <cellStyle name="Normal 2 7 4" xfId="2036"/>
    <cellStyle name="Normal 2 8" xfId="185"/>
    <cellStyle name="Normal 2 8 2" xfId="2037"/>
    <cellStyle name="Normal 2 8 3" xfId="2038"/>
    <cellStyle name="Normal 2 9" xfId="186"/>
    <cellStyle name="Normal 2 9 2" xfId="2039"/>
    <cellStyle name="Normal 2 9 3" xfId="2040"/>
    <cellStyle name="Normal 2 9 4" xfId="2041"/>
    <cellStyle name="Normal 2_03. Omaxe Twin Tower Final May-10" xfId="2042"/>
    <cellStyle name="Normal 20" xfId="187"/>
    <cellStyle name="Normal 21" xfId="188"/>
    <cellStyle name="Normal 21 10" xfId="189"/>
    <cellStyle name="Normal 21 10 2" xfId="2043"/>
    <cellStyle name="Normal 21 11" xfId="190"/>
    <cellStyle name="Normal 21 11 2" xfId="2044"/>
    <cellStyle name="Normal 21 12" xfId="2045"/>
    <cellStyle name="Normal 21 2" xfId="191"/>
    <cellStyle name="Normal 21 2 2" xfId="192"/>
    <cellStyle name="Normal 21 2 2 2" xfId="2046"/>
    <cellStyle name="Normal 21 2 3" xfId="193"/>
    <cellStyle name="Normal 21 2 3 2" xfId="2047"/>
    <cellStyle name="Normal 21 2 4" xfId="194"/>
    <cellStyle name="Normal 21 2 4 2" xfId="2048"/>
    <cellStyle name="Normal 21 2 5" xfId="195"/>
    <cellStyle name="Normal 21 2 5 2" xfId="2049"/>
    <cellStyle name="Normal 21 2 6" xfId="196"/>
    <cellStyle name="Normal 21 2 6 2" xfId="2050"/>
    <cellStyle name="Normal 21 2 7" xfId="197"/>
    <cellStyle name="Normal 21 2 7 2" xfId="2051"/>
    <cellStyle name="Normal 21 2 8" xfId="2052"/>
    <cellStyle name="Normal 21 3" xfId="198"/>
    <cellStyle name="Normal 21 3 10" xfId="2053"/>
    <cellStyle name="Normal 21 3 2" xfId="199"/>
    <cellStyle name="Normal 21 3 2 2" xfId="200"/>
    <cellStyle name="Normal 21 3 2 2 2" xfId="201"/>
    <cellStyle name="Normal 21 3 2 2 2 2" xfId="2054"/>
    <cellStyle name="Normal 21 3 2 2 3" xfId="202"/>
    <cellStyle name="Normal 21 3 2 2 3 2" xfId="2055"/>
    <cellStyle name="Normal 21 3 2 2 4" xfId="203"/>
    <cellStyle name="Normal 21 3 2 2 4 2" xfId="2056"/>
    <cellStyle name="Normal 21 3 2 2 5" xfId="204"/>
    <cellStyle name="Normal 21 3 2 2 5 2" xfId="2057"/>
    <cellStyle name="Normal 21 3 2 2 6" xfId="205"/>
    <cellStyle name="Normal 21 3 2 2 6 2" xfId="2058"/>
    <cellStyle name="Normal 21 3 2 2 7" xfId="206"/>
    <cellStyle name="Normal 21 3 2 2 7 2" xfId="2059"/>
    <cellStyle name="Normal 21 3 2 2 8" xfId="2060"/>
    <cellStyle name="Normal 21 3 2 3" xfId="207"/>
    <cellStyle name="Normal 21 3 2 3 2" xfId="2061"/>
    <cellStyle name="Normal 21 3 2 4" xfId="208"/>
    <cellStyle name="Normal 21 3 2 4 2" xfId="2062"/>
    <cellStyle name="Normal 21 3 2 5" xfId="209"/>
    <cellStyle name="Normal 21 3 2 5 2" xfId="2063"/>
    <cellStyle name="Normal 21 3 2 6" xfId="210"/>
    <cellStyle name="Normal 21 3 2 6 2" xfId="2064"/>
    <cellStyle name="Normal 21 3 2 7" xfId="211"/>
    <cellStyle name="Normal 21 3 2 7 2" xfId="2065"/>
    <cellStyle name="Normal 21 3 2 8" xfId="212"/>
    <cellStyle name="Normal 21 3 2 8 2" xfId="2066"/>
    <cellStyle name="Normal 21 3 2 9" xfId="2067"/>
    <cellStyle name="Normal 21 3 3" xfId="213"/>
    <cellStyle name="Normal 21 3 3 2" xfId="214"/>
    <cellStyle name="Normal 21 3 3 2 2" xfId="215"/>
    <cellStyle name="Normal 21 3 3 2 2 2" xfId="2068"/>
    <cellStyle name="Normal 21 3 3 2 3" xfId="216"/>
    <cellStyle name="Normal 21 3 3 2 3 2" xfId="2069"/>
    <cellStyle name="Normal 21 3 3 2 4" xfId="217"/>
    <cellStyle name="Normal 21 3 3 2 4 2" xfId="2070"/>
    <cellStyle name="Normal 21 3 3 2 5" xfId="218"/>
    <cellStyle name="Normal 21 3 3 2 5 2" xfId="2071"/>
    <cellStyle name="Normal 21 3 3 2 6" xfId="219"/>
    <cellStyle name="Normal 21 3 3 2 6 2" xfId="2072"/>
    <cellStyle name="Normal 21 3 3 2 7" xfId="220"/>
    <cellStyle name="Normal 21 3 3 2 7 2" xfId="2073"/>
    <cellStyle name="Normal 21 3 3 2 8" xfId="2074"/>
    <cellStyle name="Normal 21 3 3 3" xfId="221"/>
    <cellStyle name="Normal 21 3 3 3 2" xfId="2075"/>
    <cellStyle name="Normal 21 3 3 4" xfId="222"/>
    <cellStyle name="Normal 21 3 3 4 2" xfId="2076"/>
    <cellStyle name="Normal 21 3 3 5" xfId="223"/>
    <cellStyle name="Normal 21 3 3 5 2" xfId="2077"/>
    <cellStyle name="Normal 21 3 3 6" xfId="224"/>
    <cellStyle name="Normal 21 3 3 6 2" xfId="2078"/>
    <cellStyle name="Normal 21 3 3 7" xfId="225"/>
    <cellStyle name="Normal 21 3 3 7 2" xfId="2079"/>
    <cellStyle name="Normal 21 3 3 8" xfId="226"/>
    <cellStyle name="Normal 21 3 3 8 2" xfId="2080"/>
    <cellStyle name="Normal 21 3 3 9" xfId="2081"/>
    <cellStyle name="Normal 21 3 4" xfId="227"/>
    <cellStyle name="Normal 21 3 4 2" xfId="2082"/>
    <cellStyle name="Normal 21 3 5" xfId="228"/>
    <cellStyle name="Normal 21 3 5 2" xfId="2083"/>
    <cellStyle name="Normal 21 3 6" xfId="229"/>
    <cellStyle name="Normal 21 3 6 2" xfId="2084"/>
    <cellStyle name="Normal 21 3 7" xfId="230"/>
    <cellStyle name="Normal 21 3 7 2" xfId="2085"/>
    <cellStyle name="Normal 21 3 8" xfId="231"/>
    <cellStyle name="Normal 21 3 8 2" xfId="2086"/>
    <cellStyle name="Normal 21 3 9" xfId="232"/>
    <cellStyle name="Normal 21 3 9 2" xfId="2087"/>
    <cellStyle name="Normal 21 4" xfId="233"/>
    <cellStyle name="Normal 21 4 2" xfId="2088"/>
    <cellStyle name="Normal 21 5" xfId="234"/>
    <cellStyle name="Normal 21 5 2" xfId="2089"/>
    <cellStyle name="Normal 21 6" xfId="235"/>
    <cellStyle name="Normal 21 6 2" xfId="2090"/>
    <cellStyle name="Normal 21 7" xfId="236"/>
    <cellStyle name="Normal 21 7 2" xfId="2091"/>
    <cellStyle name="Normal 21 8" xfId="237"/>
    <cellStyle name="Normal 21 8 2" xfId="2092"/>
    <cellStyle name="Normal 21 9" xfId="238"/>
    <cellStyle name="Normal 21 9 2" xfId="2093"/>
    <cellStyle name="Normal 22" xfId="239"/>
    <cellStyle name="Normal 22 2" xfId="240"/>
    <cellStyle name="Normal 22 3" xfId="241"/>
    <cellStyle name="Normal 22 3 2" xfId="2094"/>
    <cellStyle name="Normal 22 4" xfId="242"/>
    <cellStyle name="Normal 22 4 2" xfId="2095"/>
    <cellStyle name="Normal 22 5" xfId="243"/>
    <cellStyle name="Normal 22 5 2" xfId="2096"/>
    <cellStyle name="Normal 22 6" xfId="244"/>
    <cellStyle name="Normal 22 6 2" xfId="2097"/>
    <cellStyle name="Normal 22 7" xfId="245"/>
    <cellStyle name="Normal 22 7 2" xfId="2098"/>
    <cellStyle name="Normal 22 8" xfId="246"/>
    <cellStyle name="Normal 22 8 2" xfId="2099"/>
    <cellStyle name="Normal 23" xfId="247"/>
    <cellStyle name="Normal 24" xfId="248"/>
    <cellStyle name="Normal 25" xfId="249"/>
    <cellStyle name="Normal 26" xfId="250"/>
    <cellStyle name="Normal 27" xfId="251"/>
    <cellStyle name="Normal 28" xfId="252"/>
    <cellStyle name="Normal 29" xfId="253"/>
    <cellStyle name="Normal 3" xfId="254"/>
    <cellStyle name="Normal 3 10" xfId="255"/>
    <cellStyle name="Normal 3 11" xfId="256"/>
    <cellStyle name="Normal 3 12" xfId="2100"/>
    <cellStyle name="Normal 3 2" xfId="257"/>
    <cellStyle name="Normal 3 2 2" xfId="258"/>
    <cellStyle name="Normal 3 2 2 2" xfId="2101"/>
    <cellStyle name="Normal 3 2 3" xfId="259"/>
    <cellStyle name="Normal 3 2 3 2" xfId="2102"/>
    <cellStyle name="Normal 3 2 4" xfId="260"/>
    <cellStyle name="Normal 3 2 4 2" xfId="2103"/>
    <cellStyle name="Normal 3 2 5" xfId="261"/>
    <cellStyle name="Normal 3 2 5 2" xfId="2104"/>
    <cellStyle name="Normal 3 2 6" xfId="262"/>
    <cellStyle name="Normal 3 2 6 2" xfId="2105"/>
    <cellStyle name="Normal 3 2 7" xfId="263"/>
    <cellStyle name="Normal 3 2 7 2" xfId="2106"/>
    <cellStyle name="Normal 3 2 8" xfId="264"/>
    <cellStyle name="Normal 3 2 8 2" xfId="2107"/>
    <cellStyle name="Normal 3 3" xfId="265"/>
    <cellStyle name="Normal 3 3 2" xfId="266"/>
    <cellStyle name="Normal 3 3 2 2" xfId="2108"/>
    <cellStyle name="Normal 3 3 3" xfId="267"/>
    <cellStyle name="Normal 3 3 3 2" xfId="268"/>
    <cellStyle name="Normal 3 3 4" xfId="2109"/>
    <cellStyle name="Normal 3 4" xfId="269"/>
    <cellStyle name="Normal 3 4 2" xfId="2110"/>
    <cellStyle name="Normal 3 5" xfId="270"/>
    <cellStyle name="Normal 3 5 2" xfId="2111"/>
    <cellStyle name="Normal 3 5 3" xfId="2112"/>
    <cellStyle name="Normal 3 6" xfId="271"/>
    <cellStyle name="Normal 3 6 2" xfId="2113"/>
    <cellStyle name="Normal 3 7" xfId="272"/>
    <cellStyle name="Normal 3 8" xfId="273"/>
    <cellStyle name="Normal 3 8 2" xfId="2114"/>
    <cellStyle name="Normal 3 9" xfId="274"/>
    <cellStyle name="Normal 3_03. Omaxe Twin Tower Final May-10" xfId="2115"/>
    <cellStyle name="Normal 30" xfId="275"/>
    <cellStyle name="Normal 30 10" xfId="2116"/>
    <cellStyle name="Normal 30 2" xfId="276"/>
    <cellStyle name="Normal 30 2 2" xfId="277"/>
    <cellStyle name="Normal 30 2 2 2" xfId="2117"/>
    <cellStyle name="Normal 30 3" xfId="278"/>
    <cellStyle name="Normal 30 3 2" xfId="279"/>
    <cellStyle name="Normal 30 3 2 2" xfId="280"/>
    <cellStyle name="Normal 30 3 2 2 2" xfId="281"/>
    <cellStyle name="Normal 30 3 2 2 2 2" xfId="2118"/>
    <cellStyle name="Normal 30 3 2 2 3" xfId="2119"/>
    <cellStyle name="Normal 30 3 2 3" xfId="2120"/>
    <cellStyle name="Normal 30 3 3" xfId="2121"/>
    <cellStyle name="Normal 30 4" xfId="282"/>
    <cellStyle name="Normal 30 5" xfId="283"/>
    <cellStyle name="Normal 30 6" xfId="284"/>
    <cellStyle name="Normal 30 7" xfId="285"/>
    <cellStyle name="Normal 30 8" xfId="286"/>
    <cellStyle name="Normal 30 9" xfId="287"/>
    <cellStyle name="Normal 31" xfId="288"/>
    <cellStyle name="Normal 31 10" xfId="2122"/>
    <cellStyle name="Normal 31 2" xfId="289"/>
    <cellStyle name="Normal 31 2 2" xfId="290"/>
    <cellStyle name="Normal 31 2 2 2" xfId="291"/>
    <cellStyle name="Normal 31 2 2 2 2" xfId="2123"/>
    <cellStyle name="Normal 31 2 2 3" xfId="292"/>
    <cellStyle name="Normal 31 2 2 3 2" xfId="2124"/>
    <cellStyle name="Normal 31 2 2 4" xfId="293"/>
    <cellStyle name="Normal 31 2 2 4 2" xfId="2125"/>
    <cellStyle name="Normal 31 2 2 5" xfId="294"/>
    <cellStyle name="Normal 31 2 2 5 2" xfId="2126"/>
    <cellStyle name="Normal 31 2 2 6" xfId="295"/>
    <cellStyle name="Normal 31 2 2 6 2" xfId="2127"/>
    <cellStyle name="Normal 31 2 2 7" xfId="296"/>
    <cellStyle name="Normal 31 2 2 7 2" xfId="2128"/>
    <cellStyle name="Normal 31 2 2 8" xfId="2129"/>
    <cellStyle name="Normal 31 2 3" xfId="297"/>
    <cellStyle name="Normal 31 2 3 2" xfId="2130"/>
    <cellStyle name="Normal 31 2 4" xfId="298"/>
    <cellStyle name="Normal 31 2 4 2" xfId="2131"/>
    <cellStyle name="Normal 31 2 5" xfId="299"/>
    <cellStyle name="Normal 31 2 5 2" xfId="2132"/>
    <cellStyle name="Normal 31 2 6" xfId="300"/>
    <cellStyle name="Normal 31 2 6 2" xfId="2133"/>
    <cellStyle name="Normal 31 2 7" xfId="301"/>
    <cellStyle name="Normal 31 2 7 2" xfId="2134"/>
    <cellStyle name="Normal 31 2 8" xfId="302"/>
    <cellStyle name="Normal 31 2 8 2" xfId="2135"/>
    <cellStyle name="Normal 31 2 9" xfId="2136"/>
    <cellStyle name="Normal 31 3" xfId="303"/>
    <cellStyle name="Normal 31 4" xfId="304"/>
    <cellStyle name="Normal 31 5" xfId="305"/>
    <cellStyle name="Normal 31 6" xfId="306"/>
    <cellStyle name="Normal 31 7" xfId="307"/>
    <cellStyle name="Normal 31 8" xfId="308"/>
    <cellStyle name="Normal 31 9" xfId="309"/>
    <cellStyle name="Normal 32" xfId="310"/>
    <cellStyle name="Normal 33" xfId="311"/>
    <cellStyle name="Normal 33 2" xfId="312"/>
    <cellStyle name="Normal 33 2 2" xfId="313"/>
    <cellStyle name="Normal 33 2 2 2" xfId="2137"/>
    <cellStyle name="Normal 33 2 3" xfId="314"/>
    <cellStyle name="Normal 33 2 3 2" xfId="315"/>
    <cellStyle name="Normal 33 2 3 2 2" xfId="316"/>
    <cellStyle name="Normal 33 2 3 2 2 2" xfId="2138"/>
    <cellStyle name="Normal 33 2 3 2 3" xfId="2139"/>
    <cellStyle name="Normal 33 2 3 3" xfId="2140"/>
    <cellStyle name="Normal 33 2 4" xfId="2141"/>
    <cellStyle name="Normal 33 3" xfId="317"/>
    <cellStyle name="Normal 33 3 2" xfId="2142"/>
    <cellStyle name="Normal 33 4" xfId="318"/>
    <cellStyle name="Normal 33 4 2" xfId="2143"/>
    <cellStyle name="Normal 33 5" xfId="319"/>
    <cellStyle name="Normal 33 5 2" xfId="2144"/>
    <cellStyle name="Normal 33 6" xfId="320"/>
    <cellStyle name="Normal 33 6 2" xfId="2145"/>
    <cellStyle name="Normal 33 7" xfId="321"/>
    <cellStyle name="Normal 33 7 2" xfId="2146"/>
    <cellStyle name="Normal 33 8" xfId="322"/>
    <cellStyle name="Normal 33 8 2" xfId="2147"/>
    <cellStyle name="Normal 33 9" xfId="2148"/>
    <cellStyle name="Normal 34" xfId="323"/>
    <cellStyle name="Normal 34 2" xfId="324"/>
    <cellStyle name="Normal 34 2 2" xfId="325"/>
    <cellStyle name="Normal 34 2 2 2" xfId="2149"/>
    <cellStyle name="Normal 34 2 3" xfId="326"/>
    <cellStyle name="Normal 34 2 3 2" xfId="2150"/>
    <cellStyle name="Normal 34 2 4" xfId="327"/>
    <cellStyle name="Normal 34 2 4 2" xfId="2151"/>
    <cellStyle name="Normal 34 2 5" xfId="328"/>
    <cellStyle name="Normal 34 2 5 2" xfId="2152"/>
    <cellStyle name="Normal 34 2 6" xfId="329"/>
    <cellStyle name="Normal 34 2 6 2" xfId="2153"/>
    <cellStyle name="Normal 34 2 7" xfId="330"/>
    <cellStyle name="Normal 34 2 7 2" xfId="2154"/>
    <cellStyle name="Normal 34 2 8" xfId="2155"/>
    <cellStyle name="Normal 34 3" xfId="331"/>
    <cellStyle name="Normal 34 3 2" xfId="332"/>
    <cellStyle name="Normal 34 3 2 2" xfId="2156"/>
    <cellStyle name="Normal 34 3 3" xfId="2157"/>
    <cellStyle name="Normal 34 4" xfId="333"/>
    <cellStyle name="Normal 34 4 2" xfId="2158"/>
    <cellStyle name="Normal 34 5" xfId="334"/>
    <cellStyle name="Normal 34 5 2" xfId="2159"/>
    <cellStyle name="Normal 34 6" xfId="335"/>
    <cellStyle name="Normal 34 6 2" xfId="2160"/>
    <cellStyle name="Normal 34 7" xfId="336"/>
    <cellStyle name="Normal 34 7 2" xfId="2161"/>
    <cellStyle name="Normal 34 8" xfId="337"/>
    <cellStyle name="Normal 34 8 2" xfId="2162"/>
    <cellStyle name="Normal 34 9" xfId="2163"/>
    <cellStyle name="Normal 35" xfId="338"/>
    <cellStyle name="Normal 36" xfId="339"/>
    <cellStyle name="Normal 36 2" xfId="2164"/>
    <cellStyle name="Normal 37" xfId="340"/>
    <cellStyle name="Normal 37 2" xfId="2165"/>
    <cellStyle name="Normal 38" xfId="341"/>
    <cellStyle name="Normal 39" xfId="342"/>
    <cellStyle name="Normal 4" xfId="10"/>
    <cellStyle name="Normal 4 2" xfId="343"/>
    <cellStyle name="Normal 4 2 2" xfId="2166"/>
    <cellStyle name="Normal 4 2 2 2" xfId="2167"/>
    <cellStyle name="Normal 4 2 3" xfId="2168"/>
    <cellStyle name="Normal 4 3" xfId="344"/>
    <cellStyle name="Normal 4 3 2" xfId="2169"/>
    <cellStyle name="Normal 4 3 2 2" xfId="2170"/>
    <cellStyle name="Normal 4 3 3" xfId="2171"/>
    <cellStyle name="Normal 4 4" xfId="345"/>
    <cellStyle name="Normal 4 5" xfId="346"/>
    <cellStyle name="Normal 4 6" xfId="2172"/>
    <cellStyle name="Normal 4 6 2" xfId="2173"/>
    <cellStyle name="Normal 4 7" xfId="2174"/>
    <cellStyle name="Normal 40" xfId="347"/>
    <cellStyle name="Normal 40 2" xfId="2175"/>
    <cellStyle name="Normal 41" xfId="348"/>
    <cellStyle name="Normal 41 2" xfId="2176"/>
    <cellStyle name="Normal 42" xfId="349"/>
    <cellStyle name="Normal 43" xfId="2177"/>
    <cellStyle name="Normal 43 2" xfId="2178"/>
    <cellStyle name="Normal 43 2 2" xfId="2179"/>
    <cellStyle name="Normal 43 2 2 2" xfId="2180"/>
    <cellStyle name="Normal 43 2 3" xfId="2181"/>
    <cellStyle name="Normal 43 2 3 2" xfId="2182"/>
    <cellStyle name="Normal 43 2 3 3" xfId="2183"/>
    <cellStyle name="Normal 43 2 4" xfId="2184"/>
    <cellStyle name="Normal 43 3" xfId="2185"/>
    <cellStyle name="Normal 44" xfId="7"/>
    <cellStyle name="Normal 44 2" xfId="2186"/>
    <cellStyle name="Normal 44 2 2" xfId="2187"/>
    <cellStyle name="Normal 44 2 3" xfId="2188"/>
    <cellStyle name="Normal 44 3" xfId="502"/>
    <cellStyle name="Normal 44 4" xfId="2189"/>
    <cellStyle name="Normal 45" xfId="2190"/>
    <cellStyle name="Normal 45 2" xfId="2191"/>
    <cellStyle name="Normal 45 2 2" xfId="2192"/>
    <cellStyle name="Normal 45 2 2 2" xfId="2193"/>
    <cellStyle name="Normal 45 2 2 3" xfId="2194"/>
    <cellStyle name="Normal 45 2 3" xfId="2195"/>
    <cellStyle name="Normal 45 2 4" xfId="2196"/>
    <cellStyle name="Normal 45 3" xfId="2197"/>
    <cellStyle name="Normal 46" xfId="2198"/>
    <cellStyle name="Normal 46 2" xfId="2199"/>
    <cellStyle name="Normal 47" xfId="2200"/>
    <cellStyle name="Normal 47 2" xfId="506"/>
    <cellStyle name="Normal 48" xfId="2201"/>
    <cellStyle name="Normal 49" xfId="503"/>
    <cellStyle name="Normal 5" xfId="350"/>
    <cellStyle name="Normal 5 10" xfId="351"/>
    <cellStyle name="Normal 5 10 2" xfId="2202"/>
    <cellStyle name="Normal 5 11" xfId="352"/>
    <cellStyle name="Normal 5 11 2" xfId="2203"/>
    <cellStyle name="Normal 5 12" xfId="353"/>
    <cellStyle name="Normal 5 12 2" xfId="2204"/>
    <cellStyle name="Normal 5 13" xfId="2205"/>
    <cellStyle name="Normal 5 13 2" xfId="2206"/>
    <cellStyle name="Normal 5 14" xfId="2207"/>
    <cellStyle name="Normal 5 15" xfId="2208"/>
    <cellStyle name="Normal 5 2" xfId="354"/>
    <cellStyle name="Normal 5 2 10" xfId="355"/>
    <cellStyle name="Normal 5 2 10 2" xfId="2209"/>
    <cellStyle name="Normal 5 2 11" xfId="2210"/>
    <cellStyle name="Normal 5 2 11 2" xfId="2211"/>
    <cellStyle name="Normal 5 2 2" xfId="356"/>
    <cellStyle name="Normal 5 2 3" xfId="357"/>
    <cellStyle name="Normal 5 2 4" xfId="358"/>
    <cellStyle name="Normal 5 2 5" xfId="359"/>
    <cellStyle name="Normal 5 2 5 2" xfId="2212"/>
    <cellStyle name="Normal 5 2 6" xfId="360"/>
    <cellStyle name="Normal 5 2 6 2" xfId="2213"/>
    <cellStyle name="Normal 5 2 7" xfId="361"/>
    <cellStyle name="Normal 5 2 7 2" xfId="2214"/>
    <cellStyle name="Normal 5 2 8" xfId="362"/>
    <cellStyle name="Normal 5 2 8 2" xfId="2215"/>
    <cellStyle name="Normal 5 2 9" xfId="363"/>
    <cellStyle name="Normal 5 2 9 2" xfId="2216"/>
    <cellStyle name="Normal 5 3" xfId="364"/>
    <cellStyle name="Normal 5 3 2" xfId="2217"/>
    <cellStyle name="Normal 5 3 2 2" xfId="2218"/>
    <cellStyle name="Normal 5 3 3" xfId="2219"/>
    <cellStyle name="Normal 5 4" xfId="365"/>
    <cellStyle name="Normal 5 5" xfId="366"/>
    <cellStyle name="Normal 5 6" xfId="367"/>
    <cellStyle name="Normal 5 7" xfId="368"/>
    <cellStyle name="Normal 5 7 2" xfId="2220"/>
    <cellStyle name="Normal 5 8" xfId="369"/>
    <cellStyle name="Normal 5 8 2" xfId="2221"/>
    <cellStyle name="Normal 5 9" xfId="370"/>
    <cellStyle name="Normal 5 9 2" xfId="2222"/>
    <cellStyle name="Normal 5_Balance Anaxture July-10" xfId="2223"/>
    <cellStyle name="Normal 50" xfId="2224"/>
    <cellStyle name="Normal 51" xfId="2225"/>
    <cellStyle name="Normal 6" xfId="371"/>
    <cellStyle name="Normal 6 10" xfId="372"/>
    <cellStyle name="Normal 6 10 2" xfId="2226"/>
    <cellStyle name="Normal 6 11" xfId="2227"/>
    <cellStyle name="Normal 6 11 2" xfId="2228"/>
    <cellStyle name="Normal 6 2" xfId="373"/>
    <cellStyle name="Normal 6 2 2" xfId="374"/>
    <cellStyle name="Normal 6 2 2 2" xfId="375"/>
    <cellStyle name="Normal 6 2 2 2 2" xfId="2229"/>
    <cellStyle name="Normal 6 2 2 3" xfId="376"/>
    <cellStyle name="Normal 6 2 2 3 2" xfId="2230"/>
    <cellStyle name="Normal 6 2 2 4" xfId="377"/>
    <cellStyle name="Normal 6 2 2 4 2" xfId="2231"/>
    <cellStyle name="Normal 6 2 2 5" xfId="378"/>
    <cellStyle name="Normal 6 2 2 5 2" xfId="2232"/>
    <cellStyle name="Normal 6 2 2 6" xfId="379"/>
    <cellStyle name="Normal 6 2 2 6 2" xfId="2233"/>
    <cellStyle name="Normal 6 2 2 7" xfId="380"/>
    <cellStyle name="Normal 6 2 2 7 2" xfId="2234"/>
    <cellStyle name="Normal 6 2 2 8" xfId="2235"/>
    <cellStyle name="Normal 6 2 3" xfId="381"/>
    <cellStyle name="Normal 6 2 3 2" xfId="2236"/>
    <cellStyle name="Normal 6 2 4" xfId="382"/>
    <cellStyle name="Normal 6 2 4 2" xfId="2237"/>
    <cellStyle name="Normal 6 2 4 3" xfId="2238"/>
    <cellStyle name="Normal 6 2 4 4" xfId="2239"/>
    <cellStyle name="Normal 6 2 4 4 2" xfId="2240"/>
    <cellStyle name="Normal 6 2 4 4 3" xfId="2241"/>
    <cellStyle name="Normal 6 2 4 5" xfId="2242"/>
    <cellStyle name="Normal 6 2 4 5 2" xfId="2243"/>
    <cellStyle name="Normal 6 2 4 5 2 2" xfId="2244"/>
    <cellStyle name="Normal 6 2 4 5 2 3" xfId="2245"/>
    <cellStyle name="Normal 6 2 4 5 2 3 2" xfId="2246"/>
    <cellStyle name="Normal 6 2 4 5 2 3 2 2" xfId="2247"/>
    <cellStyle name="Normal 6 2 4 5 2 3 3" xfId="2248"/>
    <cellStyle name="Normal 6 2 4 5 3" xfId="2249"/>
    <cellStyle name="Normal 6 2 4 6" xfId="2250"/>
    <cellStyle name="Normal 6 2 4 7" xfId="2251"/>
    <cellStyle name="Normal 6 2 5" xfId="383"/>
    <cellStyle name="Normal 6 2 5 2" xfId="2252"/>
    <cellStyle name="Normal 6 2 6" xfId="384"/>
    <cellStyle name="Normal 6 2 6 2" xfId="2253"/>
    <cellStyle name="Normal 6 2 7" xfId="385"/>
    <cellStyle name="Normal 6 2 7 2" xfId="2254"/>
    <cellStyle name="Normal 6 2 8" xfId="386"/>
    <cellStyle name="Normal 6 2 8 2" xfId="2255"/>
    <cellStyle name="Normal 6 2 9" xfId="2256"/>
    <cellStyle name="Normal 6 2 9 2" xfId="2257"/>
    <cellStyle name="Normal 6 2 9 2 2" xfId="2258"/>
    <cellStyle name="Normal 6 2 9 2 3" xfId="2259"/>
    <cellStyle name="Normal 6 3" xfId="387"/>
    <cellStyle name="Normal 6 3 2" xfId="2260"/>
    <cellStyle name="Normal 6 4" xfId="388"/>
    <cellStyle name="Normal 6 4 2" xfId="2261"/>
    <cellStyle name="Normal 6 5" xfId="389"/>
    <cellStyle name="Normal 6 5 2" xfId="2262"/>
    <cellStyle name="Normal 6 6" xfId="390"/>
    <cellStyle name="Normal 6 6 2" xfId="2263"/>
    <cellStyle name="Normal 6 7" xfId="391"/>
    <cellStyle name="Normal 6 7 2" xfId="2264"/>
    <cellStyle name="Normal 6 8" xfId="392"/>
    <cellStyle name="Normal 6 8 2" xfId="2265"/>
    <cellStyle name="Normal 6 9" xfId="393"/>
    <cellStyle name="Normal 6 9 2" xfId="394"/>
    <cellStyle name="Normal 6 9 2 2" xfId="2266"/>
    <cellStyle name="Normal 6 9 3" xfId="395"/>
    <cellStyle name="Normal 6 9 3 2" xfId="2267"/>
    <cellStyle name="Normal 6 9 4" xfId="396"/>
    <cellStyle name="Normal 6 9 4 2" xfId="2268"/>
    <cellStyle name="Normal 6 9 5" xfId="397"/>
    <cellStyle name="Normal 6 9 5 2" xfId="2269"/>
    <cellStyle name="Normal 6 9 6" xfId="398"/>
    <cellStyle name="Normal 6 9 6 2" xfId="2270"/>
    <cellStyle name="Normal 6 9 7" xfId="399"/>
    <cellStyle name="Normal 6 9 7 2" xfId="2271"/>
    <cellStyle name="Normal 6 9 8" xfId="2272"/>
    <cellStyle name="Normal 7" xfId="400"/>
    <cellStyle name="Normal 7 10" xfId="401"/>
    <cellStyle name="Normal 7 10 2" xfId="2273"/>
    <cellStyle name="Normal 7 11" xfId="402"/>
    <cellStyle name="Normal 7 11 2" xfId="2274"/>
    <cellStyle name="Normal 7 12" xfId="403"/>
    <cellStyle name="Normal 7 12 2" xfId="2275"/>
    <cellStyle name="Normal 7 13" xfId="404"/>
    <cellStyle name="Normal 7 13 2" xfId="2276"/>
    <cellStyle name="Normal 7 14" xfId="405"/>
    <cellStyle name="Normal 7 14 2" xfId="2277"/>
    <cellStyle name="Normal 7 15" xfId="406"/>
    <cellStyle name="Normal 7 15 2" xfId="2278"/>
    <cellStyle name="Normal 7 16" xfId="2279"/>
    <cellStyle name="Normal 7 16 2" xfId="2280"/>
    <cellStyle name="Normal 7 2" xfId="2"/>
    <cellStyle name="Normal 7 2 2" xfId="2281"/>
    <cellStyle name="Normal 7 2 2 2" xfId="2282"/>
    <cellStyle name="Normal 7 2 3" xfId="2283"/>
    <cellStyle name="Normal 7 3" xfId="407"/>
    <cellStyle name="Normal 7 3 2" xfId="408"/>
    <cellStyle name="Normal 7 3 2 10" xfId="409"/>
    <cellStyle name="Normal 7 3 2 10 2" xfId="2284"/>
    <cellStyle name="Normal 7 3 2 11" xfId="2285"/>
    <cellStyle name="Normal 7 3 2 2" xfId="410"/>
    <cellStyle name="Normal 7 3 2 2 2" xfId="411"/>
    <cellStyle name="Normal 7 3 2 2 2 2" xfId="412"/>
    <cellStyle name="Normal 7 3 2 2 2 2 2" xfId="2286"/>
    <cellStyle name="Normal 7 3 2 2 2 3" xfId="413"/>
    <cellStyle name="Normal 7 3 2 2 2 3 2" xfId="2287"/>
    <cellStyle name="Normal 7 3 2 2 2 4" xfId="414"/>
    <cellStyle name="Normal 7 3 2 2 2 4 2" xfId="2288"/>
    <cellStyle name="Normal 7 3 2 2 2 5" xfId="415"/>
    <cellStyle name="Normal 7 3 2 2 2 5 2" xfId="2289"/>
    <cellStyle name="Normal 7 3 2 2 2 6" xfId="416"/>
    <cellStyle name="Normal 7 3 2 2 2 6 2" xfId="2290"/>
    <cellStyle name="Normal 7 3 2 2 2 7" xfId="417"/>
    <cellStyle name="Normal 7 3 2 2 2 7 2" xfId="2291"/>
    <cellStyle name="Normal 7 3 2 2 2 8" xfId="2292"/>
    <cellStyle name="Normal 7 3 2 2 3" xfId="418"/>
    <cellStyle name="Normal 7 3 2 2 3 2" xfId="2293"/>
    <cellStyle name="Normal 7 3 2 2 4" xfId="419"/>
    <cellStyle name="Normal 7 3 2 2 4 2" xfId="2294"/>
    <cellStyle name="Normal 7 3 2 2 5" xfId="420"/>
    <cellStyle name="Normal 7 3 2 2 5 2" xfId="2295"/>
    <cellStyle name="Normal 7 3 2 2 6" xfId="421"/>
    <cellStyle name="Normal 7 3 2 2 6 2" xfId="2296"/>
    <cellStyle name="Normal 7 3 2 2 7" xfId="422"/>
    <cellStyle name="Normal 7 3 2 2 7 2" xfId="2297"/>
    <cellStyle name="Normal 7 3 2 2 8" xfId="423"/>
    <cellStyle name="Normal 7 3 2 2 8 2" xfId="2298"/>
    <cellStyle name="Normal 7 3 2 2 9" xfId="2299"/>
    <cellStyle name="Normal 7 3 2 3" xfId="424"/>
    <cellStyle name="Normal 7 3 2 3 2" xfId="425"/>
    <cellStyle name="Normal 7 3 2 3 2 2" xfId="2300"/>
    <cellStyle name="Normal 7 3 2 3 3" xfId="426"/>
    <cellStyle name="Normal 7 3 2 3 3 2" xfId="2301"/>
    <cellStyle name="Normal 7 3 2 3 4" xfId="427"/>
    <cellStyle name="Normal 7 3 2 3 4 2" xfId="2302"/>
    <cellStyle name="Normal 7 3 2 3 5" xfId="428"/>
    <cellStyle name="Normal 7 3 2 3 5 2" xfId="2303"/>
    <cellStyle name="Normal 7 3 2 3 6" xfId="429"/>
    <cellStyle name="Normal 7 3 2 3 6 2" xfId="2304"/>
    <cellStyle name="Normal 7 3 2 3 7" xfId="430"/>
    <cellStyle name="Normal 7 3 2 3 7 2" xfId="2305"/>
    <cellStyle name="Normal 7 3 2 3 8" xfId="2306"/>
    <cellStyle name="Normal 7 3 2 4" xfId="431"/>
    <cellStyle name="Normal 7 3 2 4 2" xfId="432"/>
    <cellStyle name="Normal 7 3 2 4 2 2" xfId="2307"/>
    <cellStyle name="Normal 7 3 2 4 3" xfId="433"/>
    <cellStyle name="Normal 7 3 2 4 3 2" xfId="2308"/>
    <cellStyle name="Normal 7 3 2 4 4" xfId="434"/>
    <cellStyle name="Normal 7 3 2 4 4 2" xfId="2309"/>
    <cellStyle name="Normal 7 3 2 4 5" xfId="435"/>
    <cellStyle name="Normal 7 3 2 4 5 2" xfId="2310"/>
    <cellStyle name="Normal 7 3 2 4 6" xfId="436"/>
    <cellStyle name="Normal 7 3 2 4 6 2" xfId="2311"/>
    <cellStyle name="Normal 7 3 2 4 7" xfId="437"/>
    <cellStyle name="Normal 7 3 2 4 7 2" xfId="2312"/>
    <cellStyle name="Normal 7 3 2 4 8" xfId="2313"/>
    <cellStyle name="Normal 7 3 2 5" xfId="438"/>
    <cellStyle name="Normal 7 3 2 5 2" xfId="2314"/>
    <cellStyle name="Normal 7 3 2 6" xfId="439"/>
    <cellStyle name="Normal 7 3 2 6 2" xfId="2315"/>
    <cellStyle name="Normal 7 3 2 7" xfId="440"/>
    <cellStyle name="Normal 7 3 2 7 2" xfId="2316"/>
    <cellStyle name="Normal 7 3 2 8" xfId="441"/>
    <cellStyle name="Normal 7 3 2 8 2" xfId="2317"/>
    <cellStyle name="Normal 7 3 2 9" xfId="442"/>
    <cellStyle name="Normal 7 3 2 9 2" xfId="2318"/>
    <cellStyle name="Normal 7 3 3" xfId="443"/>
    <cellStyle name="Normal 7 3 3 2" xfId="2319"/>
    <cellStyle name="Normal 7 3 4" xfId="444"/>
    <cellStyle name="Normal 7 3 4 2" xfId="2320"/>
    <cellStyle name="Normal 7 3 5" xfId="445"/>
    <cellStyle name="Normal 7 3 5 2" xfId="2321"/>
    <cellStyle name="Normal 7 3 6" xfId="446"/>
    <cellStyle name="Normal 7 3 6 2" xfId="2322"/>
    <cellStyle name="Normal 7 3 7" xfId="447"/>
    <cellStyle name="Normal 7 3 7 2" xfId="2323"/>
    <cellStyle name="Normal 7 3 8" xfId="448"/>
    <cellStyle name="Normal 7 3 8 2" xfId="2324"/>
    <cellStyle name="Normal 7 3 9" xfId="2325"/>
    <cellStyle name="Normal 7 4" xfId="449"/>
    <cellStyle name="Normal 7 4 2" xfId="450"/>
    <cellStyle name="Normal 7 4 2 2" xfId="2326"/>
    <cellStyle name="Normal 7 4 3" xfId="451"/>
    <cellStyle name="Normal 7 4 3 2" xfId="2327"/>
    <cellStyle name="Normal 7 4 4" xfId="452"/>
    <cellStyle name="Normal 7 4 4 2" xfId="2328"/>
    <cellStyle name="Normal 7 4 5" xfId="453"/>
    <cellStyle name="Normal 7 4 5 2" xfId="2329"/>
    <cellStyle name="Normal 7 4 6" xfId="454"/>
    <cellStyle name="Normal 7 4 6 2" xfId="2330"/>
    <cellStyle name="Normal 7 4 7" xfId="455"/>
    <cellStyle name="Normal 7 4 7 2" xfId="2331"/>
    <cellStyle name="Normal 7 4 8" xfId="2332"/>
    <cellStyle name="Normal 7 5" xfId="456"/>
    <cellStyle name="Normal 7 5 10" xfId="2333"/>
    <cellStyle name="Normal 7 5 2" xfId="457"/>
    <cellStyle name="Normal 7 5 2 2" xfId="458"/>
    <cellStyle name="Normal 7 5 2 2 2" xfId="2334"/>
    <cellStyle name="Normal 7 5 2 3" xfId="459"/>
    <cellStyle name="Normal 7 5 2 3 2" xfId="2335"/>
    <cellStyle name="Normal 7 5 2 4" xfId="460"/>
    <cellStyle name="Normal 7 5 2 4 2" xfId="2336"/>
    <cellStyle name="Normal 7 5 2 5" xfId="461"/>
    <cellStyle name="Normal 7 5 2 5 2" xfId="2337"/>
    <cellStyle name="Normal 7 5 2 6" xfId="462"/>
    <cellStyle name="Normal 7 5 2 6 2" xfId="2338"/>
    <cellStyle name="Normal 7 5 2 7" xfId="463"/>
    <cellStyle name="Normal 7 5 2 7 2" xfId="2339"/>
    <cellStyle name="Normal 7 5 2 8" xfId="2340"/>
    <cellStyle name="Normal 7 5 3" xfId="464"/>
    <cellStyle name="Normal 7 5 3 2" xfId="465"/>
    <cellStyle name="Normal 7 5 3 2 2" xfId="2341"/>
    <cellStyle name="Normal 7 5 3 3" xfId="466"/>
    <cellStyle name="Normal 7 5 3 3 2" xfId="2342"/>
    <cellStyle name="Normal 7 5 3 4" xfId="467"/>
    <cellStyle name="Normal 7 5 3 4 2" xfId="2343"/>
    <cellStyle name="Normal 7 5 3 5" xfId="468"/>
    <cellStyle name="Normal 7 5 3 5 2" xfId="2344"/>
    <cellStyle name="Normal 7 5 3 6" xfId="469"/>
    <cellStyle name="Normal 7 5 3 6 2" xfId="2345"/>
    <cellStyle name="Normal 7 5 3 7" xfId="470"/>
    <cellStyle name="Normal 7 5 3 7 2" xfId="2346"/>
    <cellStyle name="Normal 7 5 3 8" xfId="2347"/>
    <cellStyle name="Normal 7 5 4" xfId="471"/>
    <cellStyle name="Normal 7 5 4 2" xfId="2348"/>
    <cellStyle name="Normal 7 5 5" xfId="472"/>
    <cellStyle name="Normal 7 5 5 2" xfId="2349"/>
    <cellStyle name="Normal 7 5 6" xfId="473"/>
    <cellStyle name="Normal 7 5 6 2" xfId="2350"/>
    <cellStyle name="Normal 7 5 7" xfId="474"/>
    <cellStyle name="Normal 7 5 7 2" xfId="2351"/>
    <cellStyle name="Normal 7 5 8" xfId="475"/>
    <cellStyle name="Normal 7 5 8 2" xfId="2352"/>
    <cellStyle name="Normal 7 5 9" xfId="476"/>
    <cellStyle name="Normal 7 5 9 2" xfId="2353"/>
    <cellStyle name="Normal 7 6" xfId="477"/>
    <cellStyle name="Normal 7 6 2" xfId="2354"/>
    <cellStyle name="Normal 7 7" xfId="478"/>
    <cellStyle name="Normal 7 7 2" xfId="2355"/>
    <cellStyle name="Normal 7 8" xfId="479"/>
    <cellStyle name="Normal 7 9" xfId="480"/>
    <cellStyle name="Normal 7 9 2" xfId="481"/>
    <cellStyle name="Normal 7 9 2 2" xfId="2356"/>
    <cellStyle name="Normal 7 9 3" xfId="482"/>
    <cellStyle name="Normal 7 9 3 2" xfId="2357"/>
    <cellStyle name="Normal 7 9 4" xfId="483"/>
    <cellStyle name="Normal 7 9 4 2" xfId="2358"/>
    <cellStyle name="Normal 7 9 5" xfId="484"/>
    <cellStyle name="Normal 7 9 5 2" xfId="2359"/>
    <cellStyle name="Normal 7 9 6" xfId="485"/>
    <cellStyle name="Normal 7 9 6 2" xfId="2360"/>
    <cellStyle name="Normal 7 9 7" xfId="486"/>
    <cellStyle name="Normal 7 9 7 2" xfId="2361"/>
    <cellStyle name="Normal 7 9 8" xfId="2362"/>
    <cellStyle name="Normal 8" xfId="487"/>
    <cellStyle name="Normal 8 2" xfId="488"/>
    <cellStyle name="Normal 8 2 2" xfId="2363"/>
    <cellStyle name="Normal 8 2 2 2" xfId="2364"/>
    <cellStyle name="Normal 8 2 3" xfId="2365"/>
    <cellStyle name="Normal 8 3" xfId="489"/>
    <cellStyle name="Normal 8 3 2" xfId="2366"/>
    <cellStyle name="Normal 8 3 3" xfId="2367"/>
    <cellStyle name="Normal 8 4" xfId="490"/>
    <cellStyle name="Normal 8 4 2" xfId="2368"/>
    <cellStyle name="Normal 8 5" xfId="2369"/>
    <cellStyle name="Normal 8 5 2" xfId="2370"/>
    <cellStyle name="Normal 8 6" xfId="2371"/>
    <cellStyle name="Normal 8 7" xfId="2372"/>
    <cellStyle name="Normal 9" xfId="491"/>
    <cellStyle name="Normal 9 2" xfId="492"/>
    <cellStyle name="Normal 9 2 2" xfId="493"/>
    <cellStyle name="Normal 9 2 2 2" xfId="2373"/>
    <cellStyle name="Normal 9 2 2 2 2" xfId="2374"/>
    <cellStyle name="Normal 9 2 2 2 2 2" xfId="2375"/>
    <cellStyle name="Normal 9 2 2 2 2 2 2" xfId="2376"/>
    <cellStyle name="Normal 9 3" xfId="494"/>
    <cellStyle name="Normal 9 3 2" xfId="2377"/>
    <cellStyle name="Normal 9 4" xfId="495"/>
    <cellStyle name="Normal 9 4 2" xfId="2378"/>
    <cellStyle name="Normal 9 5" xfId="496"/>
    <cellStyle name="Normal 9 5 2" xfId="2379"/>
    <cellStyle name="Normal 9 6" xfId="2380"/>
    <cellStyle name="Normal 9 6 2" xfId="2381"/>
    <cellStyle name="Normal 9 7" xfId="2382"/>
    <cellStyle name="Normal 9 8" xfId="2383"/>
    <cellStyle name="Note 10" xfId="2384"/>
    <cellStyle name="Note 10 2" xfId="2385"/>
    <cellStyle name="Note 10 2 2" xfId="2386"/>
    <cellStyle name="Note 10 3" xfId="2387"/>
    <cellStyle name="Note 10 3 2" xfId="2388"/>
    <cellStyle name="Note 10 4" xfId="2389"/>
    <cellStyle name="Note 2" xfId="2390"/>
    <cellStyle name="Note 2 10" xfId="2391"/>
    <cellStyle name="Note 2 10 2" xfId="2392"/>
    <cellStyle name="Note 2 10 2 2" xfId="2393"/>
    <cellStyle name="Note 2 10 3" xfId="2394"/>
    <cellStyle name="Note 2 10 3 2" xfId="2395"/>
    <cellStyle name="Note 2 10 4" xfId="2396"/>
    <cellStyle name="Note 2 11" xfId="2397"/>
    <cellStyle name="Note 2 11 2" xfId="2398"/>
    <cellStyle name="Note 2 12" xfId="2399"/>
    <cellStyle name="Note 2 12 2" xfId="2400"/>
    <cellStyle name="Note 2 13" xfId="2401"/>
    <cellStyle name="Note 2 2" xfId="2402"/>
    <cellStyle name="Note 2 2 2" xfId="2403"/>
    <cellStyle name="Note 2 2 2 2" xfId="2404"/>
    <cellStyle name="Note 2 2 3" xfId="2405"/>
    <cellStyle name="Note 2 2 3 2" xfId="2406"/>
    <cellStyle name="Note 2 2 4" xfId="2407"/>
    <cellStyle name="Note 2 3" xfId="2408"/>
    <cellStyle name="Note 2 3 2" xfId="2409"/>
    <cellStyle name="Note 2 3 2 2" xfId="2410"/>
    <cellStyle name="Note 2 3 3" xfId="2411"/>
    <cellStyle name="Note 2 3 3 2" xfId="2412"/>
    <cellStyle name="Note 2 3 4" xfId="2413"/>
    <cellStyle name="Note 2 4" xfId="2414"/>
    <cellStyle name="Note 2 4 2" xfId="2415"/>
    <cellStyle name="Note 2 4 2 2" xfId="2416"/>
    <cellStyle name="Note 2 4 3" xfId="2417"/>
    <cellStyle name="Note 2 4 3 2" xfId="2418"/>
    <cellStyle name="Note 2 4 4" xfId="2419"/>
    <cellStyle name="Note 2 5" xfId="2420"/>
    <cellStyle name="Note 2 5 2" xfId="2421"/>
    <cellStyle name="Note 2 5 2 2" xfId="2422"/>
    <cellStyle name="Note 2 5 3" xfId="2423"/>
    <cellStyle name="Note 2 5 3 2" xfId="2424"/>
    <cellStyle name="Note 2 5 4" xfId="2425"/>
    <cellStyle name="Note 2 6" xfId="2426"/>
    <cellStyle name="Note 2 6 2" xfId="2427"/>
    <cellStyle name="Note 2 6 2 2" xfId="2428"/>
    <cellStyle name="Note 2 6 3" xfId="2429"/>
    <cellStyle name="Note 2 6 3 2" xfId="2430"/>
    <cellStyle name="Note 2 6 4" xfId="2431"/>
    <cellStyle name="Note 2 7" xfId="2432"/>
    <cellStyle name="Note 2 7 2" xfId="2433"/>
    <cellStyle name="Note 2 7 2 2" xfId="2434"/>
    <cellStyle name="Note 2 7 3" xfId="2435"/>
    <cellStyle name="Note 2 7 3 2" xfId="2436"/>
    <cellStyle name="Note 2 7 4" xfId="2437"/>
    <cellStyle name="Note 2 8" xfId="2438"/>
    <cellStyle name="Note 2 8 2" xfId="2439"/>
    <cellStyle name="Note 2 8 2 2" xfId="2440"/>
    <cellStyle name="Note 2 8 3" xfId="2441"/>
    <cellStyle name="Note 2 8 3 2" xfId="2442"/>
    <cellStyle name="Note 2 8 4" xfId="2443"/>
    <cellStyle name="Note 2 9" xfId="2444"/>
    <cellStyle name="Note 2 9 2" xfId="2445"/>
    <cellStyle name="Note 2 9 2 2" xfId="2446"/>
    <cellStyle name="Note 2 9 3" xfId="2447"/>
    <cellStyle name="Note 2 9 3 2" xfId="2448"/>
    <cellStyle name="Note 2 9 4" xfId="2449"/>
    <cellStyle name="Note 3" xfId="2450"/>
    <cellStyle name="Note 3 2" xfId="2451"/>
    <cellStyle name="Note 3 2 2" xfId="2452"/>
    <cellStyle name="Note 3 3" xfId="2453"/>
    <cellStyle name="Note 3 3 2" xfId="2454"/>
    <cellStyle name="Note 3 4" xfId="2455"/>
    <cellStyle name="Note 4" xfId="2456"/>
    <cellStyle name="Note 4 2" xfId="2457"/>
    <cellStyle name="Note 4 2 2" xfId="2458"/>
    <cellStyle name="Note 4 3" xfId="2459"/>
    <cellStyle name="Note 4 3 2" xfId="2460"/>
    <cellStyle name="Note 4 4" xfId="2461"/>
    <cellStyle name="Note 5" xfId="2462"/>
    <cellStyle name="Note 5 2" xfId="2463"/>
    <cellStyle name="Note 5 2 2" xfId="2464"/>
    <cellStyle name="Note 5 3" xfId="2465"/>
    <cellStyle name="Note 5 3 2" xfId="2466"/>
    <cellStyle name="Note 5 4" xfId="2467"/>
    <cellStyle name="Note 6" xfId="2468"/>
    <cellStyle name="Note 6 2" xfId="2469"/>
    <cellStyle name="Note 6 2 2" xfId="2470"/>
    <cellStyle name="Note 6 3" xfId="2471"/>
    <cellStyle name="Note 6 3 2" xfId="2472"/>
    <cellStyle name="Note 6 4" xfId="2473"/>
    <cellStyle name="Note 7" xfId="2474"/>
    <cellStyle name="Note 7 2" xfId="2475"/>
    <cellStyle name="Note 7 2 2" xfId="2476"/>
    <cellStyle name="Note 7 3" xfId="2477"/>
    <cellStyle name="Note 7 3 2" xfId="2478"/>
    <cellStyle name="Note 7 4" xfId="2479"/>
    <cellStyle name="Note 8" xfId="2480"/>
    <cellStyle name="Note 8 2" xfId="2481"/>
    <cellStyle name="Note 8 2 2" xfId="2482"/>
    <cellStyle name="Note 8 3" xfId="2483"/>
    <cellStyle name="Note 8 3 2" xfId="2484"/>
    <cellStyle name="Note 8 4" xfId="2485"/>
    <cellStyle name="Note 9" xfId="2486"/>
    <cellStyle name="Note 9 2" xfId="2487"/>
    <cellStyle name="Note 9 2 2" xfId="2488"/>
    <cellStyle name="Note 9 3" xfId="2489"/>
    <cellStyle name="Note 9 3 2" xfId="2490"/>
    <cellStyle name="Note 9 4" xfId="2491"/>
    <cellStyle name="Nr" xfId="2492"/>
    <cellStyle name="Output 10" xfId="2493"/>
    <cellStyle name="Output 10 2" xfId="2494"/>
    <cellStyle name="Output 10 2 2" xfId="2495"/>
    <cellStyle name="Output 10 3" xfId="2496"/>
    <cellStyle name="Output 10 3 2" xfId="2497"/>
    <cellStyle name="Output 10 4" xfId="2498"/>
    <cellStyle name="Output 2" xfId="2499"/>
    <cellStyle name="Output 2 10" xfId="2500"/>
    <cellStyle name="Output 2 10 2" xfId="2501"/>
    <cellStyle name="Output 2 10 2 2" xfId="2502"/>
    <cellStyle name="Output 2 10 3" xfId="2503"/>
    <cellStyle name="Output 2 10 3 2" xfId="2504"/>
    <cellStyle name="Output 2 10 4" xfId="2505"/>
    <cellStyle name="Output 2 11" xfId="2506"/>
    <cellStyle name="Output 2 11 2" xfId="2507"/>
    <cellStyle name="Output 2 12" xfId="2508"/>
    <cellStyle name="Output 2 12 2" xfId="2509"/>
    <cellStyle name="Output 2 13" xfId="2510"/>
    <cellStyle name="Output 2 2" xfId="2511"/>
    <cellStyle name="Output 2 2 2" xfId="2512"/>
    <cellStyle name="Output 2 2 2 2" xfId="2513"/>
    <cellStyle name="Output 2 2 3" xfId="2514"/>
    <cellStyle name="Output 2 2 3 2" xfId="2515"/>
    <cellStyle name="Output 2 2 4" xfId="2516"/>
    <cellStyle name="Output 2 3" xfId="2517"/>
    <cellStyle name="Output 2 3 2" xfId="2518"/>
    <cellStyle name="Output 2 3 2 2" xfId="2519"/>
    <cellStyle name="Output 2 3 3" xfId="2520"/>
    <cellStyle name="Output 2 3 3 2" xfId="2521"/>
    <cellStyle name="Output 2 3 4" xfId="2522"/>
    <cellStyle name="Output 2 4" xfId="2523"/>
    <cellStyle name="Output 2 4 2" xfId="2524"/>
    <cellStyle name="Output 2 4 2 2" xfId="2525"/>
    <cellStyle name="Output 2 4 3" xfId="2526"/>
    <cellStyle name="Output 2 4 3 2" xfId="2527"/>
    <cellStyle name="Output 2 4 4" xfId="2528"/>
    <cellStyle name="Output 2 5" xfId="2529"/>
    <cellStyle name="Output 2 5 2" xfId="2530"/>
    <cellStyle name="Output 2 5 2 2" xfId="2531"/>
    <cellStyle name="Output 2 5 3" xfId="2532"/>
    <cellStyle name="Output 2 5 3 2" xfId="2533"/>
    <cellStyle name="Output 2 5 4" xfId="2534"/>
    <cellStyle name="Output 2 6" xfId="2535"/>
    <cellStyle name="Output 2 6 2" xfId="2536"/>
    <cellStyle name="Output 2 6 2 2" xfId="2537"/>
    <cellStyle name="Output 2 6 3" xfId="2538"/>
    <cellStyle name="Output 2 6 3 2" xfId="2539"/>
    <cellStyle name="Output 2 6 4" xfId="2540"/>
    <cellStyle name="Output 2 7" xfId="2541"/>
    <cellStyle name="Output 2 7 2" xfId="2542"/>
    <cellStyle name="Output 2 7 2 2" xfId="2543"/>
    <cellStyle name="Output 2 7 3" xfId="2544"/>
    <cellStyle name="Output 2 7 3 2" xfId="2545"/>
    <cellStyle name="Output 2 7 4" xfId="2546"/>
    <cellStyle name="Output 2 8" xfId="2547"/>
    <cellStyle name="Output 2 8 2" xfId="2548"/>
    <cellStyle name="Output 2 8 2 2" xfId="2549"/>
    <cellStyle name="Output 2 8 3" xfId="2550"/>
    <cellStyle name="Output 2 8 3 2" xfId="2551"/>
    <cellStyle name="Output 2 8 4" xfId="2552"/>
    <cellStyle name="Output 2 9" xfId="2553"/>
    <cellStyle name="Output 2 9 2" xfId="2554"/>
    <cellStyle name="Output 2 9 2 2" xfId="2555"/>
    <cellStyle name="Output 2 9 3" xfId="2556"/>
    <cellStyle name="Output 2 9 3 2" xfId="2557"/>
    <cellStyle name="Output 2 9 4" xfId="2558"/>
    <cellStyle name="Output 3" xfId="2559"/>
    <cellStyle name="Output 3 2" xfId="2560"/>
    <cellStyle name="Output 3 2 2" xfId="2561"/>
    <cellStyle name="Output 3 3" xfId="2562"/>
    <cellStyle name="Output 3 3 2" xfId="2563"/>
    <cellStyle name="Output 3 4" xfId="2564"/>
    <cellStyle name="Output 4" xfId="2565"/>
    <cellStyle name="Output 4 2" xfId="2566"/>
    <cellStyle name="Output 4 2 2" xfId="2567"/>
    <cellStyle name="Output 4 3" xfId="2568"/>
    <cellStyle name="Output 4 3 2" xfId="2569"/>
    <cellStyle name="Output 4 4" xfId="2570"/>
    <cellStyle name="Output 5" xfId="2571"/>
    <cellStyle name="Output 5 2" xfId="2572"/>
    <cellStyle name="Output 5 2 2" xfId="2573"/>
    <cellStyle name="Output 5 3" xfId="2574"/>
    <cellStyle name="Output 5 3 2" xfId="2575"/>
    <cellStyle name="Output 5 4" xfId="2576"/>
    <cellStyle name="Output 6" xfId="2577"/>
    <cellStyle name="Output 6 2" xfId="2578"/>
    <cellStyle name="Output 6 2 2" xfId="2579"/>
    <cellStyle name="Output 6 3" xfId="2580"/>
    <cellStyle name="Output 6 3 2" xfId="2581"/>
    <cellStyle name="Output 6 4" xfId="2582"/>
    <cellStyle name="Output 7" xfId="2583"/>
    <cellStyle name="Output 7 2" xfId="2584"/>
    <cellStyle name="Output 7 2 2" xfId="2585"/>
    <cellStyle name="Output 7 3" xfId="2586"/>
    <cellStyle name="Output 7 3 2" xfId="2587"/>
    <cellStyle name="Output 7 4" xfId="2588"/>
    <cellStyle name="Output 8" xfId="2589"/>
    <cellStyle name="Output 8 2" xfId="2590"/>
    <cellStyle name="Output 8 2 2" xfId="2591"/>
    <cellStyle name="Output 8 3" xfId="2592"/>
    <cellStyle name="Output 8 3 2" xfId="2593"/>
    <cellStyle name="Output 8 4" xfId="2594"/>
    <cellStyle name="Output 9" xfId="2595"/>
    <cellStyle name="Output 9 2" xfId="2596"/>
    <cellStyle name="Output 9 2 2" xfId="2597"/>
    <cellStyle name="Output 9 3" xfId="2598"/>
    <cellStyle name="Output 9 3 2" xfId="2599"/>
    <cellStyle name="Output 9 4" xfId="2600"/>
    <cellStyle name="pankaj" xfId="2601"/>
    <cellStyle name="Percent [2]" xfId="2602"/>
    <cellStyle name="Percent 10" xfId="2603"/>
    <cellStyle name="Percent 11" xfId="2604"/>
    <cellStyle name="Percent 12" xfId="2605"/>
    <cellStyle name="Percent 13" xfId="2606"/>
    <cellStyle name="Percent 14" xfId="2607"/>
    <cellStyle name="Percent 15" xfId="2608"/>
    <cellStyle name="Percent 16" xfId="2609"/>
    <cellStyle name="Percent 17" xfId="2610"/>
    <cellStyle name="Percent 18" xfId="2611"/>
    <cellStyle name="Percent 19" xfId="2612"/>
    <cellStyle name="Percent 2" xfId="497"/>
    <cellStyle name="Percent 2 10" xfId="2613"/>
    <cellStyle name="Percent 2 10 2" xfId="2614"/>
    <cellStyle name="Percent 2 11" xfId="2615"/>
    <cellStyle name="Percent 2 11 2" xfId="2616"/>
    <cellStyle name="Percent 2 12" xfId="2617"/>
    <cellStyle name="Percent 2 12 2" xfId="2618"/>
    <cellStyle name="Percent 2 13" xfId="2619"/>
    <cellStyle name="Percent 2 13 2" xfId="2620"/>
    <cellStyle name="Percent 2 14" xfId="2621"/>
    <cellStyle name="Percent 2 14 2" xfId="2622"/>
    <cellStyle name="Percent 2 15" xfId="2623"/>
    <cellStyle name="Percent 2 15 2" xfId="2624"/>
    <cellStyle name="Percent 2 16" xfId="2625"/>
    <cellStyle name="Percent 2 16 2" xfId="2626"/>
    <cellStyle name="Percent 2 17" xfId="2627"/>
    <cellStyle name="Percent 2 17 2" xfId="2628"/>
    <cellStyle name="Percent 2 18" xfId="2629"/>
    <cellStyle name="Percent 2 18 2" xfId="2630"/>
    <cellStyle name="Percent 2 19" xfId="2631"/>
    <cellStyle name="Percent 2 19 2" xfId="2632"/>
    <cellStyle name="Percent 2 2" xfId="498"/>
    <cellStyle name="Percent 2 2 2" xfId="2633"/>
    <cellStyle name="Percent 2 2 3" xfId="2634"/>
    <cellStyle name="Percent 2 20" xfId="2635"/>
    <cellStyle name="Percent 2 20 2" xfId="2636"/>
    <cellStyle name="Percent 2 21" xfId="2637"/>
    <cellStyle name="Percent 2 21 2" xfId="2638"/>
    <cellStyle name="Percent 2 22" xfId="2639"/>
    <cellStyle name="Percent 2 22 2" xfId="2640"/>
    <cellStyle name="Percent 2 23" xfId="2641"/>
    <cellStyle name="Percent 2 23 2" xfId="2642"/>
    <cellStyle name="Percent 2 24" xfId="2643"/>
    <cellStyle name="Percent 2 24 2" xfId="2644"/>
    <cellStyle name="Percent 2 25" xfId="2645"/>
    <cellStyle name="Percent 2 25 2" xfId="2646"/>
    <cellStyle name="Percent 2 26" xfId="2647"/>
    <cellStyle name="Percent 2 26 2" xfId="2648"/>
    <cellStyle name="Percent 2 27" xfId="2649"/>
    <cellStyle name="Percent 2 28" xfId="2650"/>
    <cellStyle name="Percent 2 28 2" xfId="2651"/>
    <cellStyle name="Percent 2 29" xfId="2652"/>
    <cellStyle name="Percent 2 3" xfId="499"/>
    <cellStyle name="Percent 2 3 2" xfId="2653"/>
    <cellStyle name="Percent 2 3 3" xfId="2654"/>
    <cellStyle name="Percent 2 30" xfId="2655"/>
    <cellStyle name="Percent 2 4" xfId="500"/>
    <cellStyle name="Percent 2 4 2" xfId="2656"/>
    <cellStyle name="Percent 2 4 3" xfId="2657"/>
    <cellStyle name="Percent 2 5" xfId="2658"/>
    <cellStyle name="Percent 2 5 2" xfId="2659"/>
    <cellStyle name="Percent 2 6" xfId="2660"/>
    <cellStyle name="Percent 2 6 2" xfId="2661"/>
    <cellStyle name="Percent 2 7" xfId="2662"/>
    <cellStyle name="Percent 2 7 2" xfId="2663"/>
    <cellStyle name="Percent 2 8" xfId="2664"/>
    <cellStyle name="Percent 2 8 2" xfId="2665"/>
    <cellStyle name="Percent 2 9" xfId="2666"/>
    <cellStyle name="Percent 2 9 2" xfId="2667"/>
    <cellStyle name="Percent 20" xfId="2668"/>
    <cellStyle name="Percent 21" xfId="2669"/>
    <cellStyle name="Percent 22" xfId="2670"/>
    <cellStyle name="Percent 23" xfId="2671"/>
    <cellStyle name="Percent 24" xfId="2672"/>
    <cellStyle name="Percent 24 2" xfId="2673"/>
    <cellStyle name="Percent 25" xfId="2674"/>
    <cellStyle name="Percent 3" xfId="2675"/>
    <cellStyle name="Percent 3 2" xfId="2676"/>
    <cellStyle name="Percent 3 3" xfId="2677"/>
    <cellStyle name="Percent 4" xfId="2678"/>
    <cellStyle name="Percent 4 2" xfId="2679"/>
    <cellStyle name="Percent 4 2 2" xfId="2680"/>
    <cellStyle name="Percent 4 3" xfId="2681"/>
    <cellStyle name="Percent 5" xfId="2682"/>
    <cellStyle name="Percent 5 2" xfId="2683"/>
    <cellStyle name="Percent 5 3" xfId="2684"/>
    <cellStyle name="Percent 6" xfId="2685"/>
    <cellStyle name="Percent 7" xfId="2686"/>
    <cellStyle name="Percent 8" xfId="2687"/>
    <cellStyle name="Percent 9" xfId="2688"/>
    <cellStyle name="Rate" xfId="2689"/>
    <cellStyle name="RateBold" xfId="2690"/>
    <cellStyle name="Result" xfId="2691"/>
    <cellStyle name="Result2" xfId="2692"/>
    <cellStyle name="RevList" xfId="2693"/>
    <cellStyle name="Section Title" xfId="2694"/>
    <cellStyle name="Style 1" xfId="501"/>
    <cellStyle name="Style 1 2" xfId="2695"/>
    <cellStyle name="Style 1 3" xfId="2696"/>
    <cellStyle name="SubDescription" xfId="2697"/>
    <cellStyle name="Subtitle" xfId="2698"/>
    <cellStyle name="Subtotal" xfId="2699"/>
    <cellStyle name="sum" xfId="2700"/>
    <cellStyle name="sum8" xfId="2701"/>
    <cellStyle name="Summary_back" xfId="2702"/>
    <cellStyle name="Title 10" xfId="2703"/>
    <cellStyle name="Title 2" xfId="2704"/>
    <cellStyle name="Title 2 10" xfId="2705"/>
    <cellStyle name="Title 2 2" xfId="2706"/>
    <cellStyle name="Title 2 3" xfId="2707"/>
    <cellStyle name="Title 2 4" xfId="2708"/>
    <cellStyle name="Title 2 5" xfId="2709"/>
    <cellStyle name="Title 2 6" xfId="2710"/>
    <cellStyle name="Title 2 7" xfId="2711"/>
    <cellStyle name="Title 2 8" xfId="2712"/>
    <cellStyle name="Title 2 9" xfId="2713"/>
    <cellStyle name="Title 3" xfId="2714"/>
    <cellStyle name="Title 4" xfId="2715"/>
    <cellStyle name="Title 5" xfId="2716"/>
    <cellStyle name="Title 6" xfId="2717"/>
    <cellStyle name="Title 7" xfId="2718"/>
    <cellStyle name="Title 8" xfId="2719"/>
    <cellStyle name="Title 9" xfId="2720"/>
    <cellStyle name="Title Row" xfId="2721"/>
    <cellStyle name="Total 10" xfId="2722"/>
    <cellStyle name="Total 10 2" xfId="2723"/>
    <cellStyle name="Total 10 2 2" xfId="2724"/>
    <cellStyle name="Total 10 3" xfId="2725"/>
    <cellStyle name="Total 10 3 2" xfId="2726"/>
    <cellStyle name="Total 10 4" xfId="2727"/>
    <cellStyle name="Total 2" xfId="2728"/>
    <cellStyle name="Total 2 10" xfId="2729"/>
    <cellStyle name="Total 2 10 2" xfId="2730"/>
    <cellStyle name="Total 2 10 2 2" xfId="2731"/>
    <cellStyle name="Total 2 10 3" xfId="2732"/>
    <cellStyle name="Total 2 10 3 2" xfId="2733"/>
    <cellStyle name="Total 2 10 4" xfId="2734"/>
    <cellStyle name="Total 2 11" xfId="2735"/>
    <cellStyle name="Total 2 11 2" xfId="2736"/>
    <cellStyle name="Total 2 12" xfId="2737"/>
    <cellStyle name="Total 2 12 2" xfId="2738"/>
    <cellStyle name="Total 2 13" xfId="2739"/>
    <cellStyle name="Total 2 2" xfId="2740"/>
    <cellStyle name="Total 2 2 2" xfId="2741"/>
    <cellStyle name="Total 2 2 2 2" xfId="2742"/>
    <cellStyle name="Total 2 2 3" xfId="2743"/>
    <cellStyle name="Total 2 2 3 2" xfId="2744"/>
    <cellStyle name="Total 2 2 4" xfId="2745"/>
    <cellStyle name="Total 2 3" xfId="2746"/>
    <cellStyle name="Total 2 3 2" xfId="2747"/>
    <cellStyle name="Total 2 3 2 2" xfId="2748"/>
    <cellStyle name="Total 2 3 3" xfId="2749"/>
    <cellStyle name="Total 2 3 3 2" xfId="2750"/>
    <cellStyle name="Total 2 3 4" xfId="2751"/>
    <cellStyle name="Total 2 4" xfId="2752"/>
    <cellStyle name="Total 2 4 2" xfId="2753"/>
    <cellStyle name="Total 2 4 2 2" xfId="2754"/>
    <cellStyle name="Total 2 4 3" xfId="2755"/>
    <cellStyle name="Total 2 4 3 2" xfId="2756"/>
    <cellStyle name="Total 2 4 4" xfId="2757"/>
    <cellStyle name="Total 2 5" xfId="2758"/>
    <cellStyle name="Total 2 5 2" xfId="2759"/>
    <cellStyle name="Total 2 5 2 2" xfId="2760"/>
    <cellStyle name="Total 2 5 3" xfId="2761"/>
    <cellStyle name="Total 2 5 3 2" xfId="2762"/>
    <cellStyle name="Total 2 5 4" xfId="2763"/>
    <cellStyle name="Total 2 6" xfId="2764"/>
    <cellStyle name="Total 2 6 2" xfId="2765"/>
    <cellStyle name="Total 2 6 2 2" xfId="2766"/>
    <cellStyle name="Total 2 6 3" xfId="2767"/>
    <cellStyle name="Total 2 6 3 2" xfId="2768"/>
    <cellStyle name="Total 2 6 4" xfId="2769"/>
    <cellStyle name="Total 2 7" xfId="2770"/>
    <cellStyle name="Total 2 7 2" xfId="2771"/>
    <cellStyle name="Total 2 7 2 2" xfId="2772"/>
    <cellStyle name="Total 2 7 3" xfId="2773"/>
    <cellStyle name="Total 2 7 3 2" xfId="2774"/>
    <cellStyle name="Total 2 7 4" xfId="2775"/>
    <cellStyle name="Total 2 8" xfId="2776"/>
    <cellStyle name="Total 2 8 2" xfId="2777"/>
    <cellStyle name="Total 2 8 2 2" xfId="2778"/>
    <cellStyle name="Total 2 8 3" xfId="2779"/>
    <cellStyle name="Total 2 8 3 2" xfId="2780"/>
    <cellStyle name="Total 2 8 4" xfId="2781"/>
    <cellStyle name="Total 2 9" xfId="2782"/>
    <cellStyle name="Total 2 9 2" xfId="2783"/>
    <cellStyle name="Total 2 9 2 2" xfId="2784"/>
    <cellStyle name="Total 2 9 3" xfId="2785"/>
    <cellStyle name="Total 2 9 3 2" xfId="2786"/>
    <cellStyle name="Total 2 9 4" xfId="2787"/>
    <cellStyle name="Total 3" xfId="2788"/>
    <cellStyle name="Total 3 2" xfId="2789"/>
    <cellStyle name="Total 3 2 2" xfId="2790"/>
    <cellStyle name="Total 3 3" xfId="2791"/>
    <cellStyle name="Total 3 3 2" xfId="2792"/>
    <cellStyle name="Total 3 4" xfId="2793"/>
    <cellStyle name="Total 4" xfId="2794"/>
    <cellStyle name="Total 4 2" xfId="2795"/>
    <cellStyle name="Total 4 2 2" xfId="2796"/>
    <cellStyle name="Total 4 3" xfId="2797"/>
    <cellStyle name="Total 4 3 2" xfId="2798"/>
    <cellStyle name="Total 4 4" xfId="2799"/>
    <cellStyle name="Total 5" xfId="2800"/>
    <cellStyle name="Total 5 2" xfId="2801"/>
    <cellStyle name="Total 5 2 2" xfId="2802"/>
    <cellStyle name="Total 5 3" xfId="2803"/>
    <cellStyle name="Total 5 3 2" xfId="2804"/>
    <cellStyle name="Total 5 4" xfId="2805"/>
    <cellStyle name="Total 6" xfId="2806"/>
    <cellStyle name="Total 6 2" xfId="2807"/>
    <cellStyle name="Total 6 2 2" xfId="2808"/>
    <cellStyle name="Total 6 3" xfId="2809"/>
    <cellStyle name="Total 6 3 2" xfId="2810"/>
    <cellStyle name="Total 6 4" xfId="2811"/>
    <cellStyle name="Total 7" xfId="2812"/>
    <cellStyle name="Total 7 2" xfId="2813"/>
    <cellStyle name="Total 7 2 2" xfId="2814"/>
    <cellStyle name="Total 7 3" xfId="2815"/>
    <cellStyle name="Total 7 3 2" xfId="2816"/>
    <cellStyle name="Total 7 4" xfId="2817"/>
    <cellStyle name="Total 8" xfId="2818"/>
    <cellStyle name="Total 8 2" xfId="2819"/>
    <cellStyle name="Total 8 2 2" xfId="2820"/>
    <cellStyle name="Total 8 3" xfId="2821"/>
    <cellStyle name="Total 8 3 2" xfId="2822"/>
    <cellStyle name="Total 8 4" xfId="2823"/>
    <cellStyle name="Total 9" xfId="2824"/>
    <cellStyle name="Total 9 2" xfId="2825"/>
    <cellStyle name="Total 9 2 2" xfId="2826"/>
    <cellStyle name="Total 9 3" xfId="2827"/>
    <cellStyle name="Total 9 3 2" xfId="2828"/>
    <cellStyle name="Total 9 4" xfId="2829"/>
    <cellStyle name="totalbold" xfId="2830"/>
    <cellStyle name="uni" xfId="2831"/>
    <cellStyle name="Unit" xfId="2832"/>
    <cellStyle name="v" xfId="2833"/>
    <cellStyle name="v 2" xfId="2834"/>
    <cellStyle name="v_Costing - ITC Main Revised Qty- 11.01_ ITC Main" xfId="2835"/>
    <cellStyle name="v_Costing - ITC Main Revised Qty- 11.01_ ITC Main 2" xfId="2836"/>
    <cellStyle name="v_Costing - MBD Books-20.12" xfId="2837"/>
    <cellStyle name="v_Costing - MBD Books-20.12 2" xfId="2838"/>
    <cellStyle name="v_Costing_Hero Honda_Haridwar" xfId="2839"/>
    <cellStyle name="v_Costing_Hero Honda_Haridwar 2" xfId="2840"/>
    <cellStyle name="v_Costing_Hero Honda_Haridwar 2 2" xfId="2841"/>
    <cellStyle name="v_Costing_Hero Honda_Haridwar 3" xfId="2842"/>
    <cellStyle name="v_Costing_Hero Honda_Haridwar 3 2" xfId="2843"/>
    <cellStyle name="v_Costing_Hero Honda_Haridwar 4" xfId="2844"/>
    <cellStyle name="v_Costing_Inst. Bld-Emirates Group-Noida-13.06.06" xfId="2845"/>
    <cellStyle name="v_Costing_Inst. Bld-Emirates Group-Noida-13.06.06 2" xfId="2846"/>
    <cellStyle name="v_Costing_Inst. Bld-Emirates Group-Noida-13.06.06 2 2" xfId="2847"/>
    <cellStyle name="v_Costing_Inst. Bld-Emirates Group-Noida-13.06.06 3" xfId="2848"/>
    <cellStyle name="v_Costing_Inst. Bld-Emirates Group-Noida-13.06.06 3 2" xfId="2849"/>
    <cellStyle name="v_Costing_Inst. Bld-Emirates Group-Noida-13.06.06 4" xfId="2850"/>
    <cellStyle name="v_DLF Cyber Tower _02.06.05 l" xfId="2851"/>
    <cellStyle name="v_DLF Cyber Tower _02.06.05 l 2" xfId="2852"/>
    <cellStyle name="v_Sheet1" xfId="2853"/>
    <cellStyle name="v_Sheet1 2" xfId="2854"/>
    <cellStyle name="v_Submitted_27.10.05" xfId="2855"/>
    <cellStyle name="v_Submitted_27.10.05 2" xfId="2856"/>
    <cellStyle name="v_Submitted_27.10.05 2 2" xfId="2857"/>
    <cellStyle name="v_Submitted_27.10.05 3" xfId="2858"/>
    <cellStyle name="v_Submitted_27.10.05 3 2" xfId="2859"/>
    <cellStyle name="v_Submitted_27.10.05 4" xfId="2860"/>
    <cellStyle name="Warning Text 10" xfId="2861"/>
    <cellStyle name="Warning Text 2" xfId="2862"/>
    <cellStyle name="Warning Text 2 10" xfId="2863"/>
    <cellStyle name="Warning Text 2 2" xfId="2864"/>
    <cellStyle name="Warning Text 2 3" xfId="2865"/>
    <cellStyle name="Warning Text 2 4" xfId="2866"/>
    <cellStyle name="Warning Text 2 5" xfId="2867"/>
    <cellStyle name="Warning Text 2 6" xfId="2868"/>
    <cellStyle name="Warning Text 2 7" xfId="2869"/>
    <cellStyle name="Warning Text 2 8" xfId="2870"/>
    <cellStyle name="Warning Text 2 9" xfId="2871"/>
    <cellStyle name="Warning Text 3" xfId="2872"/>
    <cellStyle name="Warning Text 4" xfId="2873"/>
    <cellStyle name="Warning Text 5" xfId="2874"/>
    <cellStyle name="Warning Text 6" xfId="2875"/>
    <cellStyle name="Warning Text 7" xfId="2876"/>
    <cellStyle name="Warning Text 8" xfId="2877"/>
    <cellStyle name="Warning Text 9" xfId="2878"/>
    <cellStyle name="標準_94物件" xfId="28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179295</xdr:rowOff>
    </xdr:from>
    <xdr:to>
      <xdr:col>5</xdr:col>
      <xdr:colOff>11206</xdr:colOff>
      <xdr:row>6</xdr:row>
      <xdr:rowOff>179295</xdr:rowOff>
    </xdr:to>
    <xdr:cxnSp macro="">
      <xdr:nvCxnSpPr>
        <xdr:cNvPr id="2" name="Straight Connector 1"/>
        <xdr:cNvCxnSpPr/>
      </xdr:nvCxnSpPr>
      <xdr:spPr>
        <a:xfrm>
          <a:off x="2981325" y="161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3" name="Straight Connector 2"/>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4" name="Straight Connector 3"/>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5" name="Straight Connector 4"/>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6" name="Straight Connector 5"/>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7" name="Straight Connector 6"/>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8" name="Straight Connector 7"/>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xdr:row>
      <xdr:rowOff>179295</xdr:rowOff>
    </xdr:from>
    <xdr:to>
      <xdr:col>5</xdr:col>
      <xdr:colOff>11206</xdr:colOff>
      <xdr:row>12</xdr:row>
      <xdr:rowOff>179295</xdr:rowOff>
    </xdr:to>
    <xdr:cxnSp macro="">
      <xdr:nvCxnSpPr>
        <xdr:cNvPr id="9" name="Straight Connector 8"/>
        <xdr:cNvCxnSpPr/>
      </xdr:nvCxnSpPr>
      <xdr:spPr>
        <a:xfrm>
          <a:off x="2981325" y="2760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0" name="Straight Connector 9"/>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1" name="Straight Connector 10"/>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2" name="Straight Connector 11"/>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3" name="Straight Connector 12"/>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4" name="Straight Connector 13"/>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5" name="Straight Connector 14"/>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18</xdr:row>
      <xdr:rowOff>179295</xdr:rowOff>
    </xdr:from>
    <xdr:to>
      <xdr:col>5</xdr:col>
      <xdr:colOff>11206</xdr:colOff>
      <xdr:row>18</xdr:row>
      <xdr:rowOff>179295</xdr:rowOff>
    </xdr:to>
    <xdr:cxnSp macro="">
      <xdr:nvCxnSpPr>
        <xdr:cNvPr id="16" name="Straight Connector 15"/>
        <xdr:cNvCxnSpPr/>
      </xdr:nvCxnSpPr>
      <xdr:spPr>
        <a:xfrm>
          <a:off x="2981325" y="3903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7" name="Straight Connector 16"/>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18" name="Straight Connector 17"/>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9" name="Straight Connector 18"/>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0" name="Straight Connector 19"/>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21" name="Straight Connector 20"/>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2" name="Straight Connector 21"/>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24</xdr:row>
      <xdr:rowOff>179295</xdr:rowOff>
    </xdr:from>
    <xdr:to>
      <xdr:col>5</xdr:col>
      <xdr:colOff>11206</xdr:colOff>
      <xdr:row>24</xdr:row>
      <xdr:rowOff>179295</xdr:rowOff>
    </xdr:to>
    <xdr:cxnSp macro="">
      <xdr:nvCxnSpPr>
        <xdr:cNvPr id="23" name="Straight Connector 22"/>
        <xdr:cNvCxnSpPr/>
      </xdr:nvCxnSpPr>
      <xdr:spPr>
        <a:xfrm>
          <a:off x="2981325" y="5046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4" name="Straight Connector 23"/>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5" name="Straight Connector 24"/>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6" name="Straight Connector 25"/>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7" name="Straight Connector 26"/>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8" name="Straight Connector 27"/>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9" name="Straight Connector 28"/>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36</xdr:row>
      <xdr:rowOff>179295</xdr:rowOff>
    </xdr:from>
    <xdr:to>
      <xdr:col>5</xdr:col>
      <xdr:colOff>11206</xdr:colOff>
      <xdr:row>36</xdr:row>
      <xdr:rowOff>179295</xdr:rowOff>
    </xdr:to>
    <xdr:cxnSp macro="">
      <xdr:nvCxnSpPr>
        <xdr:cNvPr id="30" name="Straight Connector 29"/>
        <xdr:cNvCxnSpPr/>
      </xdr:nvCxnSpPr>
      <xdr:spPr>
        <a:xfrm>
          <a:off x="2981325" y="733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1" name="Straight Connector 30"/>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2" name="Straight Connector 31"/>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3" name="Straight Connector 32"/>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4" name="Straight Connector 33"/>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5" name="Straight Connector 34"/>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6" name="Straight Connector 35"/>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42</xdr:row>
      <xdr:rowOff>179295</xdr:rowOff>
    </xdr:from>
    <xdr:to>
      <xdr:col>5</xdr:col>
      <xdr:colOff>11206</xdr:colOff>
      <xdr:row>42</xdr:row>
      <xdr:rowOff>179295</xdr:rowOff>
    </xdr:to>
    <xdr:cxnSp macro="">
      <xdr:nvCxnSpPr>
        <xdr:cNvPr id="37" name="Straight Connector 36"/>
        <xdr:cNvCxnSpPr/>
      </xdr:nvCxnSpPr>
      <xdr:spPr>
        <a:xfrm>
          <a:off x="2981325" y="847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38" name="Straight Connector 37"/>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39" name="Straight Connector 38"/>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0" name="Straight Connector 39"/>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1" name="Straight Connector 40"/>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2" name="Straight Connector 41"/>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3" name="Straight Connector 42"/>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30</xdr:row>
      <xdr:rowOff>179295</xdr:rowOff>
    </xdr:from>
    <xdr:to>
      <xdr:col>5</xdr:col>
      <xdr:colOff>11206</xdr:colOff>
      <xdr:row>30</xdr:row>
      <xdr:rowOff>179295</xdr:rowOff>
    </xdr:to>
    <xdr:cxnSp macro="">
      <xdr:nvCxnSpPr>
        <xdr:cNvPr id="44" name="Straight Connector 43"/>
        <xdr:cNvCxnSpPr/>
      </xdr:nvCxnSpPr>
      <xdr:spPr>
        <a:xfrm>
          <a:off x="2981325" y="618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5" name="Straight Connector 44"/>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6" name="Straight Connector 45"/>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7" name="Straight Connector 46"/>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8" name="Straight Connector 47"/>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9" name="Straight Connector 48"/>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50" name="Straight Connector 49"/>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65</xdr:row>
      <xdr:rowOff>179295</xdr:rowOff>
    </xdr:from>
    <xdr:to>
      <xdr:col>5</xdr:col>
      <xdr:colOff>11206</xdr:colOff>
      <xdr:row>65</xdr:row>
      <xdr:rowOff>179295</xdr:rowOff>
    </xdr:to>
    <xdr:cxnSp macro="">
      <xdr:nvCxnSpPr>
        <xdr:cNvPr id="51" name="Straight Connector 50"/>
        <xdr:cNvCxnSpPr/>
      </xdr:nvCxnSpPr>
      <xdr:spPr>
        <a:xfrm>
          <a:off x="2981325" y="1285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2" name="Straight Connector 51"/>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3" name="Straight Connector 52"/>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4" name="Straight Connector 53"/>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5" name="Straight Connector 54"/>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6" name="Straight Connector 55"/>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7" name="Straight Connector 56"/>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62</xdr:row>
      <xdr:rowOff>179295</xdr:rowOff>
    </xdr:from>
    <xdr:to>
      <xdr:col>5</xdr:col>
      <xdr:colOff>11206</xdr:colOff>
      <xdr:row>62</xdr:row>
      <xdr:rowOff>179295</xdr:rowOff>
    </xdr:to>
    <xdr:cxnSp macro="">
      <xdr:nvCxnSpPr>
        <xdr:cNvPr id="58" name="Straight Connector 57"/>
        <xdr:cNvCxnSpPr/>
      </xdr:nvCxnSpPr>
      <xdr:spPr>
        <a:xfrm>
          <a:off x="2981325" y="1228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59" name="Straight Connector 58"/>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0" name="Straight Connector 59"/>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1" name="Straight Connector 60"/>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2" name="Straight Connector 61"/>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3" name="Straight Connector 62"/>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4" name="Straight Connector 63"/>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59</xdr:row>
      <xdr:rowOff>179295</xdr:rowOff>
    </xdr:from>
    <xdr:to>
      <xdr:col>5</xdr:col>
      <xdr:colOff>11206</xdr:colOff>
      <xdr:row>59</xdr:row>
      <xdr:rowOff>179295</xdr:rowOff>
    </xdr:to>
    <xdr:cxnSp macro="">
      <xdr:nvCxnSpPr>
        <xdr:cNvPr id="65" name="Straight Connector 64"/>
        <xdr:cNvCxnSpPr/>
      </xdr:nvCxnSpPr>
      <xdr:spPr>
        <a:xfrm>
          <a:off x="2981325" y="1171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56</xdr:row>
      <xdr:rowOff>179295</xdr:rowOff>
    </xdr:from>
    <xdr:to>
      <xdr:col>5</xdr:col>
      <xdr:colOff>11206</xdr:colOff>
      <xdr:row>56</xdr:row>
      <xdr:rowOff>179295</xdr:rowOff>
    </xdr:to>
    <xdr:cxnSp macro="">
      <xdr:nvCxnSpPr>
        <xdr:cNvPr id="66" name="Straight Connector 65"/>
        <xdr:cNvCxnSpPr/>
      </xdr:nvCxnSpPr>
      <xdr:spPr>
        <a:xfrm>
          <a:off x="2981325" y="1114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67" name="Straight Connector 66"/>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8" name="Straight Connector 67"/>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9" name="Straight Connector 68"/>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0" name="Straight Connector 69"/>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71" name="Straight Connector 70"/>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2" name="Straight Connector 71"/>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3" name="Straight Connector 72"/>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4" name="Straight Connector 73"/>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5" name="Straight Connector 74"/>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6" name="Straight Connector 75"/>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7" name="Straight Connector 76"/>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78" name="Straight Connector 77"/>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79" name="Straight Connector 78"/>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0" name="Straight Connector 79"/>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1" name="Straight Connector 80"/>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82" name="Straight Connector 81"/>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3" name="Straight Connector 82"/>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4" name="Straight Connector 83"/>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5" name="Straight Connector 84"/>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6" name="Straight Connector 85"/>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7" name="Straight Connector 86"/>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8" name="Straight Connector 87"/>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89" name="Straight Connector 88"/>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0" name="Straight Connector 89"/>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1" name="Straight Connector 90"/>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2" name="Straight Connector 91"/>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93" name="Straight Connector 92"/>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4" name="Straight Connector 93"/>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5" name="Straight Connector 94"/>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6" name="Straight Connector 95"/>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7" name="Straight Connector 96"/>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8" name="Straight Connector 97"/>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9" name="Straight Connector 98"/>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133</xdr:row>
      <xdr:rowOff>179295</xdr:rowOff>
    </xdr:from>
    <xdr:to>
      <xdr:col>5</xdr:col>
      <xdr:colOff>11206</xdr:colOff>
      <xdr:row>133</xdr:row>
      <xdr:rowOff>179295</xdr:rowOff>
    </xdr:to>
    <xdr:cxnSp macro="">
      <xdr:nvCxnSpPr>
        <xdr:cNvPr id="100" name="Straight Connector 99"/>
        <xdr:cNvCxnSpPr/>
      </xdr:nvCxnSpPr>
      <xdr:spPr>
        <a:xfrm>
          <a:off x="2981325" y="2581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133</xdr:row>
      <xdr:rowOff>0</xdr:rowOff>
    </xdr:from>
    <xdr:to>
      <xdr:col>3</xdr:col>
      <xdr:colOff>23112</xdr:colOff>
      <xdr:row>133</xdr:row>
      <xdr:rowOff>188399</xdr:rowOff>
    </xdr:to>
    <xdr:cxnSp macro="">
      <xdr:nvCxnSpPr>
        <xdr:cNvPr id="101" name="Straight Connector 100"/>
        <xdr:cNvCxnSpPr/>
      </xdr:nvCxnSpPr>
      <xdr:spPr>
        <a:xfrm flipV="1">
          <a:off x="3004437" y="2563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2" name="Straight Connector 101"/>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3" name="Straight Connector 102"/>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4" name="Straight Connector 103"/>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135</xdr:row>
      <xdr:rowOff>179295</xdr:rowOff>
    </xdr:from>
    <xdr:to>
      <xdr:col>5</xdr:col>
      <xdr:colOff>11206</xdr:colOff>
      <xdr:row>135</xdr:row>
      <xdr:rowOff>179295</xdr:rowOff>
    </xdr:to>
    <xdr:cxnSp macro="">
      <xdr:nvCxnSpPr>
        <xdr:cNvPr id="105" name="Straight Connector 104"/>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135</xdr:row>
      <xdr:rowOff>0</xdr:rowOff>
    </xdr:from>
    <xdr:to>
      <xdr:col>3</xdr:col>
      <xdr:colOff>23112</xdr:colOff>
      <xdr:row>135</xdr:row>
      <xdr:rowOff>188399</xdr:rowOff>
    </xdr:to>
    <xdr:cxnSp macro="">
      <xdr:nvCxnSpPr>
        <xdr:cNvPr id="106" name="Straight Connector 105"/>
        <xdr:cNvCxnSpPr/>
      </xdr:nvCxnSpPr>
      <xdr:spPr>
        <a:xfrm flipV="1">
          <a:off x="3004437" y="2601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7" name="Straight Connector 106"/>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8" name="Straight Connector 107"/>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9" name="Straight Connector 108"/>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137</xdr:row>
      <xdr:rowOff>179295</xdr:rowOff>
    </xdr:from>
    <xdr:to>
      <xdr:col>5</xdr:col>
      <xdr:colOff>11206</xdr:colOff>
      <xdr:row>137</xdr:row>
      <xdr:rowOff>179295</xdr:rowOff>
    </xdr:to>
    <xdr:cxnSp macro="">
      <xdr:nvCxnSpPr>
        <xdr:cNvPr id="110" name="Straight Connector 109"/>
        <xdr:cNvCxnSpPr/>
      </xdr:nvCxnSpPr>
      <xdr:spPr>
        <a:xfrm>
          <a:off x="2981325" y="2657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137</xdr:row>
      <xdr:rowOff>0</xdr:rowOff>
    </xdr:from>
    <xdr:to>
      <xdr:col>3</xdr:col>
      <xdr:colOff>23112</xdr:colOff>
      <xdr:row>137</xdr:row>
      <xdr:rowOff>188399</xdr:rowOff>
    </xdr:to>
    <xdr:cxnSp macro="">
      <xdr:nvCxnSpPr>
        <xdr:cNvPr id="111" name="Straight Connector 110"/>
        <xdr:cNvCxnSpPr/>
      </xdr:nvCxnSpPr>
      <xdr:spPr>
        <a:xfrm flipV="1">
          <a:off x="3004437" y="2639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2" name="Straight Connector 111"/>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3" name="Straight Connector 112"/>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4" name="Straight Connector 113"/>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139</xdr:row>
      <xdr:rowOff>179295</xdr:rowOff>
    </xdr:from>
    <xdr:to>
      <xdr:col>5</xdr:col>
      <xdr:colOff>11206</xdr:colOff>
      <xdr:row>139</xdr:row>
      <xdr:rowOff>179295</xdr:rowOff>
    </xdr:to>
    <xdr:cxnSp macro="">
      <xdr:nvCxnSpPr>
        <xdr:cNvPr id="115" name="Straight Connector 114"/>
        <xdr:cNvCxnSpPr/>
      </xdr:nvCxnSpPr>
      <xdr:spPr>
        <a:xfrm>
          <a:off x="2981325" y="2695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139</xdr:row>
      <xdr:rowOff>0</xdr:rowOff>
    </xdr:from>
    <xdr:to>
      <xdr:col>3</xdr:col>
      <xdr:colOff>23112</xdr:colOff>
      <xdr:row>139</xdr:row>
      <xdr:rowOff>188399</xdr:rowOff>
    </xdr:to>
    <xdr:cxnSp macro="">
      <xdr:nvCxnSpPr>
        <xdr:cNvPr id="116" name="Straight Connector 115"/>
        <xdr:cNvCxnSpPr/>
      </xdr:nvCxnSpPr>
      <xdr:spPr>
        <a:xfrm flipV="1">
          <a:off x="3004437" y="2677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7" name="Straight Connector 116"/>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8" name="Straight Connector 117"/>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9" name="Straight Connector 118"/>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143</xdr:row>
      <xdr:rowOff>179295</xdr:rowOff>
    </xdr:from>
    <xdr:to>
      <xdr:col>5</xdr:col>
      <xdr:colOff>11206</xdr:colOff>
      <xdr:row>143</xdr:row>
      <xdr:rowOff>179295</xdr:rowOff>
    </xdr:to>
    <xdr:cxnSp macro="">
      <xdr:nvCxnSpPr>
        <xdr:cNvPr id="120" name="Straight Connector 119"/>
        <xdr:cNvCxnSpPr/>
      </xdr:nvCxnSpPr>
      <xdr:spPr>
        <a:xfrm>
          <a:off x="2981325" y="2771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143</xdr:row>
      <xdr:rowOff>0</xdr:rowOff>
    </xdr:from>
    <xdr:to>
      <xdr:col>3</xdr:col>
      <xdr:colOff>23112</xdr:colOff>
      <xdr:row>143</xdr:row>
      <xdr:rowOff>188399</xdr:rowOff>
    </xdr:to>
    <xdr:cxnSp macro="">
      <xdr:nvCxnSpPr>
        <xdr:cNvPr id="121" name="Straight Connector 120"/>
        <xdr:cNvCxnSpPr/>
      </xdr:nvCxnSpPr>
      <xdr:spPr>
        <a:xfrm flipV="1">
          <a:off x="3004437" y="2753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2" name="Straight Connector 121"/>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3" name="Straight Connector 122"/>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4" name="Straight Connector 123"/>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141</xdr:row>
      <xdr:rowOff>179295</xdr:rowOff>
    </xdr:from>
    <xdr:to>
      <xdr:col>5</xdr:col>
      <xdr:colOff>11206</xdr:colOff>
      <xdr:row>141</xdr:row>
      <xdr:rowOff>179295</xdr:rowOff>
    </xdr:to>
    <xdr:cxnSp macro="">
      <xdr:nvCxnSpPr>
        <xdr:cNvPr id="125" name="Straight Connector 124"/>
        <xdr:cNvCxnSpPr/>
      </xdr:nvCxnSpPr>
      <xdr:spPr>
        <a:xfrm>
          <a:off x="2981325" y="2733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141</xdr:row>
      <xdr:rowOff>0</xdr:rowOff>
    </xdr:from>
    <xdr:to>
      <xdr:col>3</xdr:col>
      <xdr:colOff>23112</xdr:colOff>
      <xdr:row>141</xdr:row>
      <xdr:rowOff>188399</xdr:rowOff>
    </xdr:to>
    <xdr:cxnSp macro="">
      <xdr:nvCxnSpPr>
        <xdr:cNvPr id="126" name="Straight Connector 125"/>
        <xdr:cNvCxnSpPr/>
      </xdr:nvCxnSpPr>
      <xdr:spPr>
        <a:xfrm flipV="1">
          <a:off x="3004437" y="2715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7" name="Straight Connector 126"/>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8" name="Straight Connector 127"/>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9" name="Straight Connector 128"/>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145</xdr:row>
      <xdr:rowOff>179295</xdr:rowOff>
    </xdr:from>
    <xdr:to>
      <xdr:col>5</xdr:col>
      <xdr:colOff>11206</xdr:colOff>
      <xdr:row>145</xdr:row>
      <xdr:rowOff>179295</xdr:rowOff>
    </xdr:to>
    <xdr:cxnSp macro="">
      <xdr:nvCxnSpPr>
        <xdr:cNvPr id="130" name="Straight Connector 129"/>
        <xdr:cNvCxnSpPr/>
      </xdr:nvCxnSpPr>
      <xdr:spPr>
        <a:xfrm>
          <a:off x="2981325" y="2809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145</xdr:row>
      <xdr:rowOff>0</xdr:rowOff>
    </xdr:from>
    <xdr:to>
      <xdr:col>3</xdr:col>
      <xdr:colOff>23112</xdr:colOff>
      <xdr:row>145</xdr:row>
      <xdr:rowOff>188399</xdr:rowOff>
    </xdr:to>
    <xdr:cxnSp macro="">
      <xdr:nvCxnSpPr>
        <xdr:cNvPr id="131" name="Straight Connector 130"/>
        <xdr:cNvCxnSpPr/>
      </xdr:nvCxnSpPr>
      <xdr:spPr>
        <a:xfrm flipV="1">
          <a:off x="3004437" y="2791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2" name="Straight Connector 131"/>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3" name="Straight Connector 132"/>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4" name="Straight Connector 133"/>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147</xdr:row>
      <xdr:rowOff>179295</xdr:rowOff>
    </xdr:from>
    <xdr:to>
      <xdr:col>5</xdr:col>
      <xdr:colOff>11206</xdr:colOff>
      <xdr:row>147</xdr:row>
      <xdr:rowOff>179295</xdr:rowOff>
    </xdr:to>
    <xdr:cxnSp macro="">
      <xdr:nvCxnSpPr>
        <xdr:cNvPr id="135" name="Straight Connector 134"/>
        <xdr:cNvCxnSpPr/>
      </xdr:nvCxnSpPr>
      <xdr:spPr>
        <a:xfrm>
          <a:off x="2981325" y="2847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147</xdr:row>
      <xdr:rowOff>0</xdr:rowOff>
    </xdr:from>
    <xdr:to>
      <xdr:col>3</xdr:col>
      <xdr:colOff>23112</xdr:colOff>
      <xdr:row>147</xdr:row>
      <xdr:rowOff>188399</xdr:rowOff>
    </xdr:to>
    <xdr:cxnSp macro="">
      <xdr:nvCxnSpPr>
        <xdr:cNvPr id="136" name="Straight Connector 135"/>
        <xdr:cNvCxnSpPr/>
      </xdr:nvCxnSpPr>
      <xdr:spPr>
        <a:xfrm flipV="1">
          <a:off x="3004437" y="2829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7" name="Straight Connector 136"/>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8" name="Straight Connector 137"/>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9" name="Straight Connector 138"/>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149</xdr:row>
      <xdr:rowOff>179295</xdr:rowOff>
    </xdr:from>
    <xdr:to>
      <xdr:col>5</xdr:col>
      <xdr:colOff>11206</xdr:colOff>
      <xdr:row>149</xdr:row>
      <xdr:rowOff>179295</xdr:rowOff>
    </xdr:to>
    <xdr:cxnSp macro="">
      <xdr:nvCxnSpPr>
        <xdr:cNvPr id="140" name="Straight Connector 139"/>
        <xdr:cNvCxnSpPr/>
      </xdr:nvCxnSpPr>
      <xdr:spPr>
        <a:xfrm>
          <a:off x="2981325" y="2885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149</xdr:row>
      <xdr:rowOff>0</xdr:rowOff>
    </xdr:from>
    <xdr:to>
      <xdr:col>3</xdr:col>
      <xdr:colOff>23112</xdr:colOff>
      <xdr:row>149</xdr:row>
      <xdr:rowOff>188399</xdr:rowOff>
    </xdr:to>
    <xdr:cxnSp macro="">
      <xdr:nvCxnSpPr>
        <xdr:cNvPr id="141" name="Straight Connector 140"/>
        <xdr:cNvCxnSpPr/>
      </xdr:nvCxnSpPr>
      <xdr:spPr>
        <a:xfrm flipV="1">
          <a:off x="3004437" y="2867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2" name="Straight Connector 141"/>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3" name="Straight Connector 142"/>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4" name="Straight Connector 143"/>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151</xdr:row>
      <xdr:rowOff>179295</xdr:rowOff>
    </xdr:from>
    <xdr:to>
      <xdr:col>5</xdr:col>
      <xdr:colOff>11206</xdr:colOff>
      <xdr:row>151</xdr:row>
      <xdr:rowOff>179295</xdr:rowOff>
    </xdr:to>
    <xdr:cxnSp macro="">
      <xdr:nvCxnSpPr>
        <xdr:cNvPr id="145" name="Straight Connector 144"/>
        <xdr:cNvCxnSpPr/>
      </xdr:nvCxnSpPr>
      <xdr:spPr>
        <a:xfrm>
          <a:off x="2981325" y="2924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160</xdr:row>
      <xdr:rowOff>132522</xdr:rowOff>
    </xdr:from>
    <xdr:to>
      <xdr:col>5</xdr:col>
      <xdr:colOff>33131</xdr:colOff>
      <xdr:row>161</xdr:row>
      <xdr:rowOff>82826</xdr:rowOff>
    </xdr:to>
    <xdr:cxnSp macro="">
      <xdr:nvCxnSpPr>
        <xdr:cNvPr id="146" name="Straight Connector 145"/>
        <xdr:cNvCxnSpPr/>
      </xdr:nvCxnSpPr>
      <xdr:spPr>
        <a:xfrm>
          <a:off x="3238086" y="30907797"/>
          <a:ext cx="786020"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160</xdr:row>
      <xdr:rowOff>157370</xdr:rowOff>
    </xdr:from>
    <xdr:to>
      <xdr:col>3</xdr:col>
      <xdr:colOff>281610</xdr:colOff>
      <xdr:row>163</xdr:row>
      <xdr:rowOff>41415</xdr:rowOff>
    </xdr:to>
    <xdr:cxnSp macro="">
      <xdr:nvCxnSpPr>
        <xdr:cNvPr id="147" name="Straight Connector 146"/>
        <xdr:cNvCxnSpPr/>
      </xdr:nvCxnSpPr>
      <xdr:spPr>
        <a:xfrm rot="5400000" flipH="1" flipV="1">
          <a:off x="3031023" y="31156279"/>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161</xdr:row>
      <xdr:rowOff>107674</xdr:rowOff>
    </xdr:from>
    <xdr:to>
      <xdr:col>5</xdr:col>
      <xdr:colOff>16569</xdr:colOff>
      <xdr:row>164</xdr:row>
      <xdr:rowOff>3</xdr:rowOff>
    </xdr:to>
    <xdr:cxnSp macro="">
      <xdr:nvCxnSpPr>
        <xdr:cNvPr id="148" name="Straight Connector 147"/>
        <xdr:cNvCxnSpPr/>
      </xdr:nvCxnSpPr>
      <xdr:spPr>
        <a:xfrm rot="5400000" flipH="1" flipV="1">
          <a:off x="3771486" y="31301221"/>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162</xdr:row>
      <xdr:rowOff>149678</xdr:rowOff>
    </xdr:from>
    <xdr:to>
      <xdr:col>5</xdr:col>
      <xdr:colOff>421821</xdr:colOff>
      <xdr:row>163</xdr:row>
      <xdr:rowOff>173935</xdr:rowOff>
    </xdr:to>
    <xdr:cxnSp macro="">
      <xdr:nvCxnSpPr>
        <xdr:cNvPr id="149" name="Straight Connector 148"/>
        <xdr:cNvCxnSpPr/>
      </xdr:nvCxnSpPr>
      <xdr:spPr>
        <a:xfrm flipV="1">
          <a:off x="3999261" y="31305953"/>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163</xdr:row>
      <xdr:rowOff>16572</xdr:rowOff>
    </xdr:from>
    <xdr:to>
      <xdr:col>3</xdr:col>
      <xdr:colOff>281607</xdr:colOff>
      <xdr:row>163</xdr:row>
      <xdr:rowOff>149678</xdr:rowOff>
    </xdr:to>
    <xdr:cxnSp macro="">
      <xdr:nvCxnSpPr>
        <xdr:cNvPr id="150" name="Straight Connector 149"/>
        <xdr:cNvCxnSpPr/>
      </xdr:nvCxnSpPr>
      <xdr:spPr>
        <a:xfrm flipV="1">
          <a:off x="2884714" y="31363347"/>
          <a:ext cx="37821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168</xdr:row>
      <xdr:rowOff>74934</xdr:rowOff>
    </xdr:from>
    <xdr:to>
      <xdr:col>5</xdr:col>
      <xdr:colOff>14130</xdr:colOff>
      <xdr:row>168</xdr:row>
      <xdr:rowOff>74934</xdr:rowOff>
    </xdr:to>
    <xdr:cxnSp macro="">
      <xdr:nvCxnSpPr>
        <xdr:cNvPr id="151" name="Straight Connector 150"/>
        <xdr:cNvCxnSpPr/>
      </xdr:nvCxnSpPr>
      <xdr:spPr>
        <a:xfrm>
          <a:off x="2985223" y="3237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174</xdr:row>
      <xdr:rowOff>74935</xdr:rowOff>
    </xdr:from>
    <xdr:to>
      <xdr:col>5</xdr:col>
      <xdr:colOff>2924</xdr:colOff>
      <xdr:row>174</xdr:row>
      <xdr:rowOff>74935</xdr:rowOff>
    </xdr:to>
    <xdr:cxnSp macro="">
      <xdr:nvCxnSpPr>
        <xdr:cNvPr id="152" name="Straight Connector 151"/>
        <xdr:cNvCxnSpPr/>
      </xdr:nvCxnSpPr>
      <xdr:spPr>
        <a:xfrm>
          <a:off x="2973457" y="3351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171</xdr:row>
      <xdr:rowOff>86140</xdr:rowOff>
    </xdr:from>
    <xdr:to>
      <xdr:col>5</xdr:col>
      <xdr:colOff>14130</xdr:colOff>
      <xdr:row>171</xdr:row>
      <xdr:rowOff>86140</xdr:rowOff>
    </xdr:to>
    <xdr:cxnSp macro="">
      <xdr:nvCxnSpPr>
        <xdr:cNvPr id="153" name="Straight Connector 152"/>
        <xdr:cNvCxnSpPr/>
      </xdr:nvCxnSpPr>
      <xdr:spPr>
        <a:xfrm>
          <a:off x="2985223" y="32956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177</xdr:row>
      <xdr:rowOff>74935</xdr:rowOff>
    </xdr:from>
    <xdr:to>
      <xdr:col>5</xdr:col>
      <xdr:colOff>2924</xdr:colOff>
      <xdr:row>177</xdr:row>
      <xdr:rowOff>74935</xdr:rowOff>
    </xdr:to>
    <xdr:cxnSp macro="">
      <xdr:nvCxnSpPr>
        <xdr:cNvPr id="154" name="Straight Connector 153"/>
        <xdr:cNvCxnSpPr/>
      </xdr:nvCxnSpPr>
      <xdr:spPr>
        <a:xfrm>
          <a:off x="2973457" y="3408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180</xdr:row>
      <xdr:rowOff>74935</xdr:rowOff>
    </xdr:from>
    <xdr:to>
      <xdr:col>5</xdr:col>
      <xdr:colOff>2924</xdr:colOff>
      <xdr:row>180</xdr:row>
      <xdr:rowOff>74935</xdr:rowOff>
    </xdr:to>
    <xdr:cxnSp macro="">
      <xdr:nvCxnSpPr>
        <xdr:cNvPr id="155" name="Straight Connector 154"/>
        <xdr:cNvCxnSpPr/>
      </xdr:nvCxnSpPr>
      <xdr:spPr>
        <a:xfrm>
          <a:off x="2973457" y="3466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183</xdr:row>
      <xdr:rowOff>74935</xdr:rowOff>
    </xdr:from>
    <xdr:to>
      <xdr:col>5</xdr:col>
      <xdr:colOff>2924</xdr:colOff>
      <xdr:row>183</xdr:row>
      <xdr:rowOff>74935</xdr:rowOff>
    </xdr:to>
    <xdr:cxnSp macro="">
      <xdr:nvCxnSpPr>
        <xdr:cNvPr id="156" name="Straight Connector 155"/>
        <xdr:cNvCxnSpPr/>
      </xdr:nvCxnSpPr>
      <xdr:spPr>
        <a:xfrm>
          <a:off x="2973457" y="3523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186</xdr:row>
      <xdr:rowOff>74935</xdr:rowOff>
    </xdr:from>
    <xdr:to>
      <xdr:col>5</xdr:col>
      <xdr:colOff>2924</xdr:colOff>
      <xdr:row>186</xdr:row>
      <xdr:rowOff>74935</xdr:rowOff>
    </xdr:to>
    <xdr:cxnSp macro="">
      <xdr:nvCxnSpPr>
        <xdr:cNvPr id="157" name="Straight Connector 156"/>
        <xdr:cNvCxnSpPr/>
      </xdr:nvCxnSpPr>
      <xdr:spPr>
        <a:xfrm>
          <a:off x="2973457" y="3580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192</xdr:row>
      <xdr:rowOff>74935</xdr:rowOff>
    </xdr:from>
    <xdr:to>
      <xdr:col>5</xdr:col>
      <xdr:colOff>2924</xdr:colOff>
      <xdr:row>192</xdr:row>
      <xdr:rowOff>74935</xdr:rowOff>
    </xdr:to>
    <xdr:cxnSp macro="">
      <xdr:nvCxnSpPr>
        <xdr:cNvPr id="158" name="Straight Connector 157"/>
        <xdr:cNvCxnSpPr/>
      </xdr:nvCxnSpPr>
      <xdr:spPr>
        <a:xfrm>
          <a:off x="2973457" y="3694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189</xdr:row>
      <xdr:rowOff>74935</xdr:rowOff>
    </xdr:from>
    <xdr:to>
      <xdr:col>5</xdr:col>
      <xdr:colOff>2924</xdr:colOff>
      <xdr:row>189</xdr:row>
      <xdr:rowOff>74935</xdr:rowOff>
    </xdr:to>
    <xdr:cxnSp macro="">
      <xdr:nvCxnSpPr>
        <xdr:cNvPr id="159" name="Straight Connector 158"/>
        <xdr:cNvCxnSpPr/>
      </xdr:nvCxnSpPr>
      <xdr:spPr>
        <a:xfrm>
          <a:off x="2973457" y="3637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195</xdr:row>
      <xdr:rowOff>74935</xdr:rowOff>
    </xdr:from>
    <xdr:to>
      <xdr:col>5</xdr:col>
      <xdr:colOff>2924</xdr:colOff>
      <xdr:row>195</xdr:row>
      <xdr:rowOff>74935</xdr:rowOff>
    </xdr:to>
    <xdr:cxnSp macro="">
      <xdr:nvCxnSpPr>
        <xdr:cNvPr id="160" name="Straight Connector 159"/>
        <xdr:cNvCxnSpPr/>
      </xdr:nvCxnSpPr>
      <xdr:spPr>
        <a:xfrm>
          <a:off x="2973457" y="3751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198</xdr:row>
      <xdr:rowOff>74935</xdr:rowOff>
    </xdr:from>
    <xdr:to>
      <xdr:col>5</xdr:col>
      <xdr:colOff>2924</xdr:colOff>
      <xdr:row>198</xdr:row>
      <xdr:rowOff>74935</xdr:rowOff>
    </xdr:to>
    <xdr:cxnSp macro="">
      <xdr:nvCxnSpPr>
        <xdr:cNvPr id="161" name="Straight Connector 160"/>
        <xdr:cNvCxnSpPr/>
      </xdr:nvCxnSpPr>
      <xdr:spPr>
        <a:xfrm>
          <a:off x="2973457" y="3808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201</xdr:row>
      <xdr:rowOff>74935</xdr:rowOff>
    </xdr:from>
    <xdr:to>
      <xdr:col>5</xdr:col>
      <xdr:colOff>2924</xdr:colOff>
      <xdr:row>201</xdr:row>
      <xdr:rowOff>74935</xdr:rowOff>
    </xdr:to>
    <xdr:cxnSp macro="">
      <xdr:nvCxnSpPr>
        <xdr:cNvPr id="162" name="Straight Connector 161"/>
        <xdr:cNvCxnSpPr/>
      </xdr:nvCxnSpPr>
      <xdr:spPr>
        <a:xfrm>
          <a:off x="2973457" y="3866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204</xdr:row>
      <xdr:rowOff>74935</xdr:rowOff>
    </xdr:from>
    <xdr:to>
      <xdr:col>5</xdr:col>
      <xdr:colOff>2924</xdr:colOff>
      <xdr:row>204</xdr:row>
      <xdr:rowOff>74935</xdr:rowOff>
    </xdr:to>
    <xdr:cxnSp macro="">
      <xdr:nvCxnSpPr>
        <xdr:cNvPr id="163" name="Straight Connector 162"/>
        <xdr:cNvCxnSpPr/>
      </xdr:nvCxnSpPr>
      <xdr:spPr>
        <a:xfrm>
          <a:off x="2973457" y="3923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207</xdr:row>
      <xdr:rowOff>74935</xdr:rowOff>
    </xdr:from>
    <xdr:to>
      <xdr:col>5</xdr:col>
      <xdr:colOff>2924</xdr:colOff>
      <xdr:row>207</xdr:row>
      <xdr:rowOff>74935</xdr:rowOff>
    </xdr:to>
    <xdr:cxnSp macro="">
      <xdr:nvCxnSpPr>
        <xdr:cNvPr id="164" name="Straight Connector 163"/>
        <xdr:cNvCxnSpPr/>
      </xdr:nvCxnSpPr>
      <xdr:spPr>
        <a:xfrm>
          <a:off x="2973457" y="3980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210</xdr:row>
      <xdr:rowOff>74935</xdr:rowOff>
    </xdr:from>
    <xdr:to>
      <xdr:col>5</xdr:col>
      <xdr:colOff>2924</xdr:colOff>
      <xdr:row>210</xdr:row>
      <xdr:rowOff>74935</xdr:rowOff>
    </xdr:to>
    <xdr:cxnSp macro="">
      <xdr:nvCxnSpPr>
        <xdr:cNvPr id="165" name="Straight Connector 164"/>
        <xdr:cNvCxnSpPr/>
      </xdr:nvCxnSpPr>
      <xdr:spPr>
        <a:xfrm>
          <a:off x="2973457" y="4037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213</xdr:row>
      <xdr:rowOff>74935</xdr:rowOff>
    </xdr:from>
    <xdr:to>
      <xdr:col>5</xdr:col>
      <xdr:colOff>2924</xdr:colOff>
      <xdr:row>213</xdr:row>
      <xdr:rowOff>74935</xdr:rowOff>
    </xdr:to>
    <xdr:cxnSp macro="">
      <xdr:nvCxnSpPr>
        <xdr:cNvPr id="166" name="Straight Connector 165"/>
        <xdr:cNvCxnSpPr/>
      </xdr:nvCxnSpPr>
      <xdr:spPr>
        <a:xfrm>
          <a:off x="2973457" y="4094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216</xdr:row>
      <xdr:rowOff>74935</xdr:rowOff>
    </xdr:from>
    <xdr:to>
      <xdr:col>5</xdr:col>
      <xdr:colOff>2924</xdr:colOff>
      <xdr:row>216</xdr:row>
      <xdr:rowOff>74935</xdr:rowOff>
    </xdr:to>
    <xdr:cxnSp macro="">
      <xdr:nvCxnSpPr>
        <xdr:cNvPr id="167" name="Straight Connector 166"/>
        <xdr:cNvCxnSpPr/>
      </xdr:nvCxnSpPr>
      <xdr:spPr>
        <a:xfrm>
          <a:off x="2973457" y="4151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219</xdr:row>
      <xdr:rowOff>74935</xdr:rowOff>
    </xdr:from>
    <xdr:to>
      <xdr:col>5</xdr:col>
      <xdr:colOff>2924</xdr:colOff>
      <xdr:row>219</xdr:row>
      <xdr:rowOff>74935</xdr:rowOff>
    </xdr:to>
    <xdr:cxnSp macro="">
      <xdr:nvCxnSpPr>
        <xdr:cNvPr id="168" name="Straight Connector 167"/>
        <xdr:cNvCxnSpPr/>
      </xdr:nvCxnSpPr>
      <xdr:spPr>
        <a:xfrm>
          <a:off x="2973457" y="4208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222</xdr:row>
      <xdr:rowOff>74935</xdr:rowOff>
    </xdr:from>
    <xdr:to>
      <xdr:col>5</xdr:col>
      <xdr:colOff>2924</xdr:colOff>
      <xdr:row>222</xdr:row>
      <xdr:rowOff>74935</xdr:rowOff>
    </xdr:to>
    <xdr:cxnSp macro="">
      <xdr:nvCxnSpPr>
        <xdr:cNvPr id="169" name="Straight Connector 168"/>
        <xdr:cNvCxnSpPr/>
      </xdr:nvCxnSpPr>
      <xdr:spPr>
        <a:xfrm>
          <a:off x="2973457" y="4266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225</xdr:row>
      <xdr:rowOff>74935</xdr:rowOff>
    </xdr:from>
    <xdr:to>
      <xdr:col>5</xdr:col>
      <xdr:colOff>2924</xdr:colOff>
      <xdr:row>225</xdr:row>
      <xdr:rowOff>74935</xdr:rowOff>
    </xdr:to>
    <xdr:cxnSp macro="">
      <xdr:nvCxnSpPr>
        <xdr:cNvPr id="170" name="Straight Connector 169"/>
        <xdr:cNvCxnSpPr/>
      </xdr:nvCxnSpPr>
      <xdr:spPr>
        <a:xfrm>
          <a:off x="2973457" y="4323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228</xdr:row>
      <xdr:rowOff>74935</xdr:rowOff>
    </xdr:from>
    <xdr:to>
      <xdr:col>5</xdr:col>
      <xdr:colOff>2924</xdr:colOff>
      <xdr:row>228</xdr:row>
      <xdr:rowOff>74935</xdr:rowOff>
    </xdr:to>
    <xdr:cxnSp macro="">
      <xdr:nvCxnSpPr>
        <xdr:cNvPr id="171" name="Straight Connector 170"/>
        <xdr:cNvCxnSpPr/>
      </xdr:nvCxnSpPr>
      <xdr:spPr>
        <a:xfrm>
          <a:off x="2973457" y="4380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231</xdr:row>
      <xdr:rowOff>74935</xdr:rowOff>
    </xdr:from>
    <xdr:to>
      <xdr:col>5</xdr:col>
      <xdr:colOff>2924</xdr:colOff>
      <xdr:row>231</xdr:row>
      <xdr:rowOff>74935</xdr:rowOff>
    </xdr:to>
    <xdr:cxnSp macro="">
      <xdr:nvCxnSpPr>
        <xdr:cNvPr id="172" name="Straight Connector 171"/>
        <xdr:cNvCxnSpPr/>
      </xdr:nvCxnSpPr>
      <xdr:spPr>
        <a:xfrm>
          <a:off x="2973457" y="4437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234</xdr:row>
      <xdr:rowOff>74935</xdr:rowOff>
    </xdr:from>
    <xdr:to>
      <xdr:col>5</xdr:col>
      <xdr:colOff>2924</xdr:colOff>
      <xdr:row>234</xdr:row>
      <xdr:rowOff>74935</xdr:rowOff>
    </xdr:to>
    <xdr:cxnSp macro="">
      <xdr:nvCxnSpPr>
        <xdr:cNvPr id="173" name="Straight Connector 172"/>
        <xdr:cNvCxnSpPr/>
      </xdr:nvCxnSpPr>
      <xdr:spPr>
        <a:xfrm>
          <a:off x="2973457" y="4494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237</xdr:row>
      <xdr:rowOff>74935</xdr:rowOff>
    </xdr:from>
    <xdr:to>
      <xdr:col>5</xdr:col>
      <xdr:colOff>2924</xdr:colOff>
      <xdr:row>237</xdr:row>
      <xdr:rowOff>74935</xdr:rowOff>
    </xdr:to>
    <xdr:cxnSp macro="">
      <xdr:nvCxnSpPr>
        <xdr:cNvPr id="174" name="Straight Connector 173"/>
        <xdr:cNvCxnSpPr/>
      </xdr:nvCxnSpPr>
      <xdr:spPr>
        <a:xfrm>
          <a:off x="2973457" y="4551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240</xdr:row>
      <xdr:rowOff>74935</xdr:rowOff>
    </xdr:from>
    <xdr:to>
      <xdr:col>5</xdr:col>
      <xdr:colOff>2924</xdr:colOff>
      <xdr:row>240</xdr:row>
      <xdr:rowOff>74935</xdr:rowOff>
    </xdr:to>
    <xdr:cxnSp macro="">
      <xdr:nvCxnSpPr>
        <xdr:cNvPr id="175" name="Straight Connector 174"/>
        <xdr:cNvCxnSpPr/>
      </xdr:nvCxnSpPr>
      <xdr:spPr>
        <a:xfrm>
          <a:off x="2973457" y="4609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243</xdr:row>
      <xdr:rowOff>74935</xdr:rowOff>
    </xdr:from>
    <xdr:to>
      <xdr:col>5</xdr:col>
      <xdr:colOff>2924</xdr:colOff>
      <xdr:row>243</xdr:row>
      <xdr:rowOff>74935</xdr:rowOff>
    </xdr:to>
    <xdr:cxnSp macro="">
      <xdr:nvCxnSpPr>
        <xdr:cNvPr id="176" name="Straight Connector 175"/>
        <xdr:cNvCxnSpPr/>
      </xdr:nvCxnSpPr>
      <xdr:spPr>
        <a:xfrm>
          <a:off x="2973457" y="4666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246</xdr:row>
      <xdr:rowOff>74935</xdr:rowOff>
    </xdr:from>
    <xdr:to>
      <xdr:col>5</xdr:col>
      <xdr:colOff>2924</xdr:colOff>
      <xdr:row>246</xdr:row>
      <xdr:rowOff>74935</xdr:rowOff>
    </xdr:to>
    <xdr:cxnSp macro="">
      <xdr:nvCxnSpPr>
        <xdr:cNvPr id="177" name="Straight Connector 176"/>
        <xdr:cNvCxnSpPr/>
      </xdr:nvCxnSpPr>
      <xdr:spPr>
        <a:xfrm>
          <a:off x="2973457" y="4723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249</xdr:row>
      <xdr:rowOff>74935</xdr:rowOff>
    </xdr:from>
    <xdr:to>
      <xdr:col>5</xdr:col>
      <xdr:colOff>2924</xdr:colOff>
      <xdr:row>249</xdr:row>
      <xdr:rowOff>74935</xdr:rowOff>
    </xdr:to>
    <xdr:cxnSp macro="">
      <xdr:nvCxnSpPr>
        <xdr:cNvPr id="178" name="Straight Connector 177"/>
        <xdr:cNvCxnSpPr/>
      </xdr:nvCxnSpPr>
      <xdr:spPr>
        <a:xfrm>
          <a:off x="2973457" y="4780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252</xdr:row>
      <xdr:rowOff>74935</xdr:rowOff>
    </xdr:from>
    <xdr:to>
      <xdr:col>5</xdr:col>
      <xdr:colOff>2924</xdr:colOff>
      <xdr:row>252</xdr:row>
      <xdr:rowOff>74935</xdr:rowOff>
    </xdr:to>
    <xdr:cxnSp macro="">
      <xdr:nvCxnSpPr>
        <xdr:cNvPr id="179" name="Straight Connector 178"/>
        <xdr:cNvCxnSpPr/>
      </xdr:nvCxnSpPr>
      <xdr:spPr>
        <a:xfrm>
          <a:off x="2973457" y="4837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255</xdr:row>
      <xdr:rowOff>74935</xdr:rowOff>
    </xdr:from>
    <xdr:to>
      <xdr:col>5</xdr:col>
      <xdr:colOff>2924</xdr:colOff>
      <xdr:row>255</xdr:row>
      <xdr:rowOff>74935</xdr:rowOff>
    </xdr:to>
    <xdr:cxnSp macro="">
      <xdr:nvCxnSpPr>
        <xdr:cNvPr id="180" name="Straight Connector 179"/>
        <xdr:cNvCxnSpPr/>
      </xdr:nvCxnSpPr>
      <xdr:spPr>
        <a:xfrm>
          <a:off x="2973457" y="4894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258</xdr:row>
      <xdr:rowOff>74935</xdr:rowOff>
    </xdr:from>
    <xdr:to>
      <xdr:col>5</xdr:col>
      <xdr:colOff>2924</xdr:colOff>
      <xdr:row>258</xdr:row>
      <xdr:rowOff>74935</xdr:rowOff>
    </xdr:to>
    <xdr:cxnSp macro="">
      <xdr:nvCxnSpPr>
        <xdr:cNvPr id="181" name="Straight Connector 180"/>
        <xdr:cNvCxnSpPr/>
      </xdr:nvCxnSpPr>
      <xdr:spPr>
        <a:xfrm>
          <a:off x="2973457" y="4951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261</xdr:row>
      <xdr:rowOff>74935</xdr:rowOff>
    </xdr:from>
    <xdr:to>
      <xdr:col>5</xdr:col>
      <xdr:colOff>2924</xdr:colOff>
      <xdr:row>261</xdr:row>
      <xdr:rowOff>74935</xdr:rowOff>
    </xdr:to>
    <xdr:cxnSp macro="">
      <xdr:nvCxnSpPr>
        <xdr:cNvPr id="182" name="Straight Connector 181"/>
        <xdr:cNvCxnSpPr/>
      </xdr:nvCxnSpPr>
      <xdr:spPr>
        <a:xfrm>
          <a:off x="2973457" y="5009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264</xdr:row>
      <xdr:rowOff>74935</xdr:rowOff>
    </xdr:from>
    <xdr:to>
      <xdr:col>5</xdr:col>
      <xdr:colOff>2924</xdr:colOff>
      <xdr:row>264</xdr:row>
      <xdr:rowOff>74935</xdr:rowOff>
    </xdr:to>
    <xdr:cxnSp macro="">
      <xdr:nvCxnSpPr>
        <xdr:cNvPr id="183" name="Straight Connector 182"/>
        <xdr:cNvCxnSpPr/>
      </xdr:nvCxnSpPr>
      <xdr:spPr>
        <a:xfrm>
          <a:off x="2973457" y="5066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267</xdr:row>
      <xdr:rowOff>74935</xdr:rowOff>
    </xdr:from>
    <xdr:to>
      <xdr:col>5</xdr:col>
      <xdr:colOff>2924</xdr:colOff>
      <xdr:row>267</xdr:row>
      <xdr:rowOff>74935</xdr:rowOff>
    </xdr:to>
    <xdr:cxnSp macro="">
      <xdr:nvCxnSpPr>
        <xdr:cNvPr id="184" name="Straight Connector 183"/>
        <xdr:cNvCxnSpPr/>
      </xdr:nvCxnSpPr>
      <xdr:spPr>
        <a:xfrm>
          <a:off x="2973457" y="5123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270</xdr:row>
      <xdr:rowOff>74935</xdr:rowOff>
    </xdr:from>
    <xdr:to>
      <xdr:col>5</xdr:col>
      <xdr:colOff>2924</xdr:colOff>
      <xdr:row>270</xdr:row>
      <xdr:rowOff>74935</xdr:rowOff>
    </xdr:to>
    <xdr:cxnSp macro="">
      <xdr:nvCxnSpPr>
        <xdr:cNvPr id="185" name="Straight Connector 184"/>
        <xdr:cNvCxnSpPr/>
      </xdr:nvCxnSpPr>
      <xdr:spPr>
        <a:xfrm>
          <a:off x="2973457" y="5180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273</xdr:row>
      <xdr:rowOff>74935</xdr:rowOff>
    </xdr:from>
    <xdr:to>
      <xdr:col>5</xdr:col>
      <xdr:colOff>2924</xdr:colOff>
      <xdr:row>273</xdr:row>
      <xdr:rowOff>74935</xdr:rowOff>
    </xdr:to>
    <xdr:cxnSp macro="">
      <xdr:nvCxnSpPr>
        <xdr:cNvPr id="186" name="Straight Connector 185"/>
        <xdr:cNvCxnSpPr/>
      </xdr:nvCxnSpPr>
      <xdr:spPr>
        <a:xfrm>
          <a:off x="2973457" y="5237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276</xdr:row>
      <xdr:rowOff>74935</xdr:rowOff>
    </xdr:from>
    <xdr:to>
      <xdr:col>5</xdr:col>
      <xdr:colOff>2924</xdr:colOff>
      <xdr:row>276</xdr:row>
      <xdr:rowOff>74935</xdr:rowOff>
    </xdr:to>
    <xdr:cxnSp macro="">
      <xdr:nvCxnSpPr>
        <xdr:cNvPr id="187" name="Straight Connector 186"/>
        <xdr:cNvCxnSpPr/>
      </xdr:nvCxnSpPr>
      <xdr:spPr>
        <a:xfrm>
          <a:off x="2973457" y="5294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282</xdr:row>
      <xdr:rowOff>74935</xdr:rowOff>
    </xdr:from>
    <xdr:to>
      <xdr:col>5</xdr:col>
      <xdr:colOff>2924</xdr:colOff>
      <xdr:row>282</xdr:row>
      <xdr:rowOff>74935</xdr:rowOff>
    </xdr:to>
    <xdr:cxnSp macro="">
      <xdr:nvCxnSpPr>
        <xdr:cNvPr id="188" name="Straight Connector 187"/>
        <xdr:cNvCxnSpPr/>
      </xdr:nvCxnSpPr>
      <xdr:spPr>
        <a:xfrm>
          <a:off x="2973457" y="5409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279</xdr:row>
      <xdr:rowOff>74935</xdr:rowOff>
    </xdr:from>
    <xdr:to>
      <xdr:col>5</xdr:col>
      <xdr:colOff>2924</xdr:colOff>
      <xdr:row>279</xdr:row>
      <xdr:rowOff>74935</xdr:rowOff>
    </xdr:to>
    <xdr:cxnSp macro="">
      <xdr:nvCxnSpPr>
        <xdr:cNvPr id="189" name="Straight Connector 188"/>
        <xdr:cNvCxnSpPr/>
      </xdr:nvCxnSpPr>
      <xdr:spPr>
        <a:xfrm>
          <a:off x="2973457" y="5351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288</xdr:row>
      <xdr:rowOff>74935</xdr:rowOff>
    </xdr:from>
    <xdr:to>
      <xdr:col>5</xdr:col>
      <xdr:colOff>2924</xdr:colOff>
      <xdr:row>288</xdr:row>
      <xdr:rowOff>74935</xdr:rowOff>
    </xdr:to>
    <xdr:cxnSp macro="">
      <xdr:nvCxnSpPr>
        <xdr:cNvPr id="190" name="Straight Connector 189"/>
        <xdr:cNvCxnSpPr/>
      </xdr:nvCxnSpPr>
      <xdr:spPr>
        <a:xfrm>
          <a:off x="2973457" y="5523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285</xdr:row>
      <xdr:rowOff>74935</xdr:rowOff>
    </xdr:from>
    <xdr:to>
      <xdr:col>5</xdr:col>
      <xdr:colOff>2924</xdr:colOff>
      <xdr:row>285</xdr:row>
      <xdr:rowOff>74935</xdr:rowOff>
    </xdr:to>
    <xdr:cxnSp macro="">
      <xdr:nvCxnSpPr>
        <xdr:cNvPr id="191" name="Straight Connector 190"/>
        <xdr:cNvCxnSpPr/>
      </xdr:nvCxnSpPr>
      <xdr:spPr>
        <a:xfrm>
          <a:off x="2973457" y="5466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294</xdr:row>
      <xdr:rowOff>74935</xdr:rowOff>
    </xdr:from>
    <xdr:to>
      <xdr:col>5</xdr:col>
      <xdr:colOff>2924</xdr:colOff>
      <xdr:row>294</xdr:row>
      <xdr:rowOff>74935</xdr:rowOff>
    </xdr:to>
    <xdr:cxnSp macro="">
      <xdr:nvCxnSpPr>
        <xdr:cNvPr id="192" name="Straight Connector 191"/>
        <xdr:cNvCxnSpPr/>
      </xdr:nvCxnSpPr>
      <xdr:spPr>
        <a:xfrm>
          <a:off x="2973457" y="5637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291</xdr:row>
      <xdr:rowOff>74935</xdr:rowOff>
    </xdr:from>
    <xdr:to>
      <xdr:col>5</xdr:col>
      <xdr:colOff>2924</xdr:colOff>
      <xdr:row>291</xdr:row>
      <xdr:rowOff>74935</xdr:rowOff>
    </xdr:to>
    <xdr:cxnSp macro="">
      <xdr:nvCxnSpPr>
        <xdr:cNvPr id="193" name="Straight Connector 192"/>
        <xdr:cNvCxnSpPr/>
      </xdr:nvCxnSpPr>
      <xdr:spPr>
        <a:xfrm>
          <a:off x="2973457" y="5580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300</xdr:row>
      <xdr:rowOff>74935</xdr:rowOff>
    </xdr:from>
    <xdr:to>
      <xdr:col>5</xdr:col>
      <xdr:colOff>2924</xdr:colOff>
      <xdr:row>300</xdr:row>
      <xdr:rowOff>74935</xdr:rowOff>
    </xdr:to>
    <xdr:cxnSp macro="">
      <xdr:nvCxnSpPr>
        <xdr:cNvPr id="194" name="Straight Connector 193"/>
        <xdr:cNvCxnSpPr/>
      </xdr:nvCxnSpPr>
      <xdr:spPr>
        <a:xfrm>
          <a:off x="2973457" y="5752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297</xdr:row>
      <xdr:rowOff>74935</xdr:rowOff>
    </xdr:from>
    <xdr:to>
      <xdr:col>5</xdr:col>
      <xdr:colOff>2924</xdr:colOff>
      <xdr:row>297</xdr:row>
      <xdr:rowOff>74935</xdr:rowOff>
    </xdr:to>
    <xdr:cxnSp macro="">
      <xdr:nvCxnSpPr>
        <xdr:cNvPr id="195" name="Straight Connector 194"/>
        <xdr:cNvCxnSpPr/>
      </xdr:nvCxnSpPr>
      <xdr:spPr>
        <a:xfrm>
          <a:off x="2973457" y="5694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306</xdr:row>
      <xdr:rowOff>74935</xdr:rowOff>
    </xdr:from>
    <xdr:to>
      <xdr:col>5</xdr:col>
      <xdr:colOff>2924</xdr:colOff>
      <xdr:row>306</xdr:row>
      <xdr:rowOff>74935</xdr:rowOff>
    </xdr:to>
    <xdr:cxnSp macro="">
      <xdr:nvCxnSpPr>
        <xdr:cNvPr id="196" name="Straight Connector 195"/>
        <xdr:cNvCxnSpPr/>
      </xdr:nvCxnSpPr>
      <xdr:spPr>
        <a:xfrm>
          <a:off x="2973457" y="5866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303</xdr:row>
      <xdr:rowOff>74935</xdr:rowOff>
    </xdr:from>
    <xdr:to>
      <xdr:col>5</xdr:col>
      <xdr:colOff>2924</xdr:colOff>
      <xdr:row>303</xdr:row>
      <xdr:rowOff>74935</xdr:rowOff>
    </xdr:to>
    <xdr:cxnSp macro="">
      <xdr:nvCxnSpPr>
        <xdr:cNvPr id="197" name="Straight Connector 196"/>
        <xdr:cNvCxnSpPr/>
      </xdr:nvCxnSpPr>
      <xdr:spPr>
        <a:xfrm>
          <a:off x="2973457" y="5809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312</xdr:row>
      <xdr:rowOff>74935</xdr:rowOff>
    </xdr:from>
    <xdr:to>
      <xdr:col>5</xdr:col>
      <xdr:colOff>2924</xdr:colOff>
      <xdr:row>312</xdr:row>
      <xdr:rowOff>74935</xdr:rowOff>
    </xdr:to>
    <xdr:cxnSp macro="">
      <xdr:nvCxnSpPr>
        <xdr:cNvPr id="198" name="Straight Connector 197"/>
        <xdr:cNvCxnSpPr/>
      </xdr:nvCxnSpPr>
      <xdr:spPr>
        <a:xfrm>
          <a:off x="2973457" y="5980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309</xdr:row>
      <xdr:rowOff>74935</xdr:rowOff>
    </xdr:from>
    <xdr:to>
      <xdr:col>5</xdr:col>
      <xdr:colOff>2924</xdr:colOff>
      <xdr:row>309</xdr:row>
      <xdr:rowOff>74935</xdr:rowOff>
    </xdr:to>
    <xdr:cxnSp macro="">
      <xdr:nvCxnSpPr>
        <xdr:cNvPr id="199" name="Straight Connector 198"/>
        <xdr:cNvCxnSpPr/>
      </xdr:nvCxnSpPr>
      <xdr:spPr>
        <a:xfrm>
          <a:off x="2973457" y="5923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318</xdr:row>
      <xdr:rowOff>74935</xdr:rowOff>
    </xdr:from>
    <xdr:to>
      <xdr:col>5</xdr:col>
      <xdr:colOff>2924</xdr:colOff>
      <xdr:row>318</xdr:row>
      <xdr:rowOff>74935</xdr:rowOff>
    </xdr:to>
    <xdr:cxnSp macro="">
      <xdr:nvCxnSpPr>
        <xdr:cNvPr id="200" name="Straight Connector 199"/>
        <xdr:cNvCxnSpPr/>
      </xdr:nvCxnSpPr>
      <xdr:spPr>
        <a:xfrm>
          <a:off x="2973457" y="6094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315</xdr:row>
      <xdr:rowOff>74935</xdr:rowOff>
    </xdr:from>
    <xdr:to>
      <xdr:col>5</xdr:col>
      <xdr:colOff>2924</xdr:colOff>
      <xdr:row>315</xdr:row>
      <xdr:rowOff>74935</xdr:rowOff>
    </xdr:to>
    <xdr:cxnSp macro="">
      <xdr:nvCxnSpPr>
        <xdr:cNvPr id="201" name="Straight Connector 200"/>
        <xdr:cNvCxnSpPr/>
      </xdr:nvCxnSpPr>
      <xdr:spPr>
        <a:xfrm>
          <a:off x="2973457" y="6037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324</xdr:row>
      <xdr:rowOff>74935</xdr:rowOff>
    </xdr:from>
    <xdr:to>
      <xdr:col>5</xdr:col>
      <xdr:colOff>2924</xdr:colOff>
      <xdr:row>324</xdr:row>
      <xdr:rowOff>74935</xdr:rowOff>
    </xdr:to>
    <xdr:cxnSp macro="">
      <xdr:nvCxnSpPr>
        <xdr:cNvPr id="202" name="Straight Connector 201"/>
        <xdr:cNvCxnSpPr/>
      </xdr:nvCxnSpPr>
      <xdr:spPr>
        <a:xfrm>
          <a:off x="2973457" y="6209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321</xdr:row>
      <xdr:rowOff>74935</xdr:rowOff>
    </xdr:from>
    <xdr:to>
      <xdr:col>5</xdr:col>
      <xdr:colOff>2924</xdr:colOff>
      <xdr:row>321</xdr:row>
      <xdr:rowOff>74935</xdr:rowOff>
    </xdr:to>
    <xdr:cxnSp macro="">
      <xdr:nvCxnSpPr>
        <xdr:cNvPr id="203" name="Straight Connector 202"/>
        <xdr:cNvCxnSpPr/>
      </xdr:nvCxnSpPr>
      <xdr:spPr>
        <a:xfrm>
          <a:off x="2973457" y="6152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333</xdr:row>
      <xdr:rowOff>74935</xdr:rowOff>
    </xdr:from>
    <xdr:to>
      <xdr:col>5</xdr:col>
      <xdr:colOff>2924</xdr:colOff>
      <xdr:row>333</xdr:row>
      <xdr:rowOff>74935</xdr:rowOff>
    </xdr:to>
    <xdr:cxnSp macro="">
      <xdr:nvCxnSpPr>
        <xdr:cNvPr id="204" name="Straight Connector 203"/>
        <xdr:cNvCxnSpPr/>
      </xdr:nvCxnSpPr>
      <xdr:spPr>
        <a:xfrm>
          <a:off x="2973457" y="6380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327</xdr:row>
      <xdr:rowOff>74935</xdr:rowOff>
    </xdr:from>
    <xdr:to>
      <xdr:col>5</xdr:col>
      <xdr:colOff>2924</xdr:colOff>
      <xdr:row>327</xdr:row>
      <xdr:rowOff>74935</xdr:rowOff>
    </xdr:to>
    <xdr:cxnSp macro="">
      <xdr:nvCxnSpPr>
        <xdr:cNvPr id="205" name="Straight Connector 204"/>
        <xdr:cNvCxnSpPr/>
      </xdr:nvCxnSpPr>
      <xdr:spPr>
        <a:xfrm>
          <a:off x="2973457" y="6266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330</xdr:row>
      <xdr:rowOff>74935</xdr:rowOff>
    </xdr:from>
    <xdr:to>
      <xdr:col>5</xdr:col>
      <xdr:colOff>2924</xdr:colOff>
      <xdr:row>330</xdr:row>
      <xdr:rowOff>74935</xdr:rowOff>
    </xdr:to>
    <xdr:cxnSp macro="">
      <xdr:nvCxnSpPr>
        <xdr:cNvPr id="206" name="Straight Connector 205"/>
        <xdr:cNvCxnSpPr/>
      </xdr:nvCxnSpPr>
      <xdr:spPr>
        <a:xfrm>
          <a:off x="2973457" y="6323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336</xdr:row>
      <xdr:rowOff>74935</xdr:rowOff>
    </xdr:from>
    <xdr:to>
      <xdr:col>5</xdr:col>
      <xdr:colOff>2924</xdr:colOff>
      <xdr:row>336</xdr:row>
      <xdr:rowOff>74935</xdr:rowOff>
    </xdr:to>
    <xdr:cxnSp macro="">
      <xdr:nvCxnSpPr>
        <xdr:cNvPr id="207" name="Straight Connector 206"/>
        <xdr:cNvCxnSpPr/>
      </xdr:nvCxnSpPr>
      <xdr:spPr>
        <a:xfrm>
          <a:off x="2973457" y="6437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342</xdr:row>
      <xdr:rowOff>74935</xdr:rowOff>
    </xdr:from>
    <xdr:to>
      <xdr:col>5</xdr:col>
      <xdr:colOff>2924</xdr:colOff>
      <xdr:row>342</xdr:row>
      <xdr:rowOff>74935</xdr:rowOff>
    </xdr:to>
    <xdr:cxnSp macro="">
      <xdr:nvCxnSpPr>
        <xdr:cNvPr id="208" name="Straight Connector 207"/>
        <xdr:cNvCxnSpPr/>
      </xdr:nvCxnSpPr>
      <xdr:spPr>
        <a:xfrm>
          <a:off x="2973457" y="6552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339</xdr:row>
      <xdr:rowOff>74935</xdr:rowOff>
    </xdr:from>
    <xdr:to>
      <xdr:col>5</xdr:col>
      <xdr:colOff>2924</xdr:colOff>
      <xdr:row>339</xdr:row>
      <xdr:rowOff>74935</xdr:rowOff>
    </xdr:to>
    <xdr:cxnSp macro="">
      <xdr:nvCxnSpPr>
        <xdr:cNvPr id="209" name="Straight Connector 208"/>
        <xdr:cNvCxnSpPr/>
      </xdr:nvCxnSpPr>
      <xdr:spPr>
        <a:xfrm>
          <a:off x="2973457" y="6494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348</xdr:row>
      <xdr:rowOff>74935</xdr:rowOff>
    </xdr:from>
    <xdr:to>
      <xdr:col>5</xdr:col>
      <xdr:colOff>2924</xdr:colOff>
      <xdr:row>348</xdr:row>
      <xdr:rowOff>74935</xdr:rowOff>
    </xdr:to>
    <xdr:cxnSp macro="">
      <xdr:nvCxnSpPr>
        <xdr:cNvPr id="210" name="Straight Connector 209"/>
        <xdr:cNvCxnSpPr/>
      </xdr:nvCxnSpPr>
      <xdr:spPr>
        <a:xfrm>
          <a:off x="2973457" y="6666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345</xdr:row>
      <xdr:rowOff>74935</xdr:rowOff>
    </xdr:from>
    <xdr:to>
      <xdr:col>5</xdr:col>
      <xdr:colOff>2924</xdr:colOff>
      <xdr:row>345</xdr:row>
      <xdr:rowOff>74935</xdr:rowOff>
    </xdr:to>
    <xdr:cxnSp macro="">
      <xdr:nvCxnSpPr>
        <xdr:cNvPr id="211" name="Straight Connector 210"/>
        <xdr:cNvCxnSpPr/>
      </xdr:nvCxnSpPr>
      <xdr:spPr>
        <a:xfrm>
          <a:off x="2973457" y="6609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357</xdr:row>
      <xdr:rowOff>74935</xdr:rowOff>
    </xdr:from>
    <xdr:to>
      <xdr:col>5</xdr:col>
      <xdr:colOff>2924</xdr:colOff>
      <xdr:row>357</xdr:row>
      <xdr:rowOff>74935</xdr:rowOff>
    </xdr:to>
    <xdr:cxnSp macro="">
      <xdr:nvCxnSpPr>
        <xdr:cNvPr id="212" name="Straight Connector 211"/>
        <xdr:cNvCxnSpPr/>
      </xdr:nvCxnSpPr>
      <xdr:spPr>
        <a:xfrm>
          <a:off x="2973457" y="6837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354</xdr:row>
      <xdr:rowOff>74935</xdr:rowOff>
    </xdr:from>
    <xdr:to>
      <xdr:col>5</xdr:col>
      <xdr:colOff>2924</xdr:colOff>
      <xdr:row>354</xdr:row>
      <xdr:rowOff>74935</xdr:rowOff>
    </xdr:to>
    <xdr:cxnSp macro="">
      <xdr:nvCxnSpPr>
        <xdr:cNvPr id="213" name="Straight Connector 212"/>
        <xdr:cNvCxnSpPr/>
      </xdr:nvCxnSpPr>
      <xdr:spPr>
        <a:xfrm>
          <a:off x="2973457" y="6780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351</xdr:row>
      <xdr:rowOff>74935</xdr:rowOff>
    </xdr:from>
    <xdr:to>
      <xdr:col>5</xdr:col>
      <xdr:colOff>2924</xdr:colOff>
      <xdr:row>351</xdr:row>
      <xdr:rowOff>74935</xdr:rowOff>
    </xdr:to>
    <xdr:cxnSp macro="">
      <xdr:nvCxnSpPr>
        <xdr:cNvPr id="214" name="Straight Connector 213"/>
        <xdr:cNvCxnSpPr/>
      </xdr:nvCxnSpPr>
      <xdr:spPr>
        <a:xfrm>
          <a:off x="2973457" y="6723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360</xdr:row>
      <xdr:rowOff>74935</xdr:rowOff>
    </xdr:from>
    <xdr:to>
      <xdr:col>5</xdr:col>
      <xdr:colOff>2924</xdr:colOff>
      <xdr:row>360</xdr:row>
      <xdr:rowOff>74935</xdr:rowOff>
    </xdr:to>
    <xdr:cxnSp macro="">
      <xdr:nvCxnSpPr>
        <xdr:cNvPr id="215" name="Straight Connector 214"/>
        <xdr:cNvCxnSpPr/>
      </xdr:nvCxnSpPr>
      <xdr:spPr>
        <a:xfrm>
          <a:off x="2973457" y="6895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366</xdr:row>
      <xdr:rowOff>74935</xdr:rowOff>
    </xdr:from>
    <xdr:to>
      <xdr:col>5</xdr:col>
      <xdr:colOff>2924</xdr:colOff>
      <xdr:row>366</xdr:row>
      <xdr:rowOff>74935</xdr:rowOff>
    </xdr:to>
    <xdr:cxnSp macro="">
      <xdr:nvCxnSpPr>
        <xdr:cNvPr id="216" name="Straight Connector 215"/>
        <xdr:cNvCxnSpPr/>
      </xdr:nvCxnSpPr>
      <xdr:spPr>
        <a:xfrm>
          <a:off x="2973457" y="7009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363</xdr:row>
      <xdr:rowOff>74935</xdr:rowOff>
    </xdr:from>
    <xdr:to>
      <xdr:col>5</xdr:col>
      <xdr:colOff>2924</xdr:colOff>
      <xdr:row>363</xdr:row>
      <xdr:rowOff>74935</xdr:rowOff>
    </xdr:to>
    <xdr:cxnSp macro="">
      <xdr:nvCxnSpPr>
        <xdr:cNvPr id="217" name="Straight Connector 216"/>
        <xdr:cNvCxnSpPr/>
      </xdr:nvCxnSpPr>
      <xdr:spPr>
        <a:xfrm>
          <a:off x="2973457" y="6952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372</xdr:row>
      <xdr:rowOff>74935</xdr:rowOff>
    </xdr:from>
    <xdr:to>
      <xdr:col>5</xdr:col>
      <xdr:colOff>2924</xdr:colOff>
      <xdr:row>372</xdr:row>
      <xdr:rowOff>74935</xdr:rowOff>
    </xdr:to>
    <xdr:cxnSp macro="">
      <xdr:nvCxnSpPr>
        <xdr:cNvPr id="218" name="Straight Connector 217"/>
        <xdr:cNvCxnSpPr/>
      </xdr:nvCxnSpPr>
      <xdr:spPr>
        <a:xfrm>
          <a:off x="2973457" y="7123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369</xdr:row>
      <xdr:rowOff>74935</xdr:rowOff>
    </xdr:from>
    <xdr:to>
      <xdr:col>5</xdr:col>
      <xdr:colOff>2924</xdr:colOff>
      <xdr:row>369</xdr:row>
      <xdr:rowOff>74935</xdr:rowOff>
    </xdr:to>
    <xdr:cxnSp macro="">
      <xdr:nvCxnSpPr>
        <xdr:cNvPr id="219" name="Straight Connector 218"/>
        <xdr:cNvCxnSpPr/>
      </xdr:nvCxnSpPr>
      <xdr:spPr>
        <a:xfrm>
          <a:off x="2973457" y="7066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378</xdr:row>
      <xdr:rowOff>74935</xdr:rowOff>
    </xdr:from>
    <xdr:to>
      <xdr:col>5</xdr:col>
      <xdr:colOff>2924</xdr:colOff>
      <xdr:row>378</xdr:row>
      <xdr:rowOff>74935</xdr:rowOff>
    </xdr:to>
    <xdr:cxnSp macro="">
      <xdr:nvCxnSpPr>
        <xdr:cNvPr id="220" name="Straight Connector 219"/>
        <xdr:cNvCxnSpPr/>
      </xdr:nvCxnSpPr>
      <xdr:spPr>
        <a:xfrm>
          <a:off x="2973457" y="7237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375</xdr:row>
      <xdr:rowOff>74935</xdr:rowOff>
    </xdr:from>
    <xdr:to>
      <xdr:col>5</xdr:col>
      <xdr:colOff>2924</xdr:colOff>
      <xdr:row>375</xdr:row>
      <xdr:rowOff>74935</xdr:rowOff>
    </xdr:to>
    <xdr:cxnSp macro="">
      <xdr:nvCxnSpPr>
        <xdr:cNvPr id="221" name="Straight Connector 220"/>
        <xdr:cNvCxnSpPr/>
      </xdr:nvCxnSpPr>
      <xdr:spPr>
        <a:xfrm>
          <a:off x="2973457" y="7180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381</xdr:row>
      <xdr:rowOff>74935</xdr:rowOff>
    </xdr:from>
    <xdr:to>
      <xdr:col>5</xdr:col>
      <xdr:colOff>2924</xdr:colOff>
      <xdr:row>381</xdr:row>
      <xdr:rowOff>74935</xdr:rowOff>
    </xdr:to>
    <xdr:cxnSp macro="">
      <xdr:nvCxnSpPr>
        <xdr:cNvPr id="222" name="Straight Connector 221"/>
        <xdr:cNvCxnSpPr/>
      </xdr:nvCxnSpPr>
      <xdr:spPr>
        <a:xfrm>
          <a:off x="2973457" y="7295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384</xdr:row>
      <xdr:rowOff>74935</xdr:rowOff>
    </xdr:from>
    <xdr:to>
      <xdr:col>5</xdr:col>
      <xdr:colOff>2924</xdr:colOff>
      <xdr:row>384</xdr:row>
      <xdr:rowOff>74935</xdr:rowOff>
    </xdr:to>
    <xdr:cxnSp macro="">
      <xdr:nvCxnSpPr>
        <xdr:cNvPr id="223" name="Straight Connector 222"/>
        <xdr:cNvCxnSpPr/>
      </xdr:nvCxnSpPr>
      <xdr:spPr>
        <a:xfrm>
          <a:off x="2973457" y="7352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387</xdr:row>
      <xdr:rowOff>74935</xdr:rowOff>
    </xdr:from>
    <xdr:to>
      <xdr:col>5</xdr:col>
      <xdr:colOff>2924</xdr:colOff>
      <xdr:row>387</xdr:row>
      <xdr:rowOff>74935</xdr:rowOff>
    </xdr:to>
    <xdr:cxnSp macro="">
      <xdr:nvCxnSpPr>
        <xdr:cNvPr id="224" name="Straight Connector 223"/>
        <xdr:cNvCxnSpPr/>
      </xdr:nvCxnSpPr>
      <xdr:spPr>
        <a:xfrm>
          <a:off x="2973457" y="7409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390</xdr:row>
      <xdr:rowOff>74935</xdr:rowOff>
    </xdr:from>
    <xdr:to>
      <xdr:col>5</xdr:col>
      <xdr:colOff>2924</xdr:colOff>
      <xdr:row>390</xdr:row>
      <xdr:rowOff>74935</xdr:rowOff>
    </xdr:to>
    <xdr:cxnSp macro="">
      <xdr:nvCxnSpPr>
        <xdr:cNvPr id="225" name="Straight Connector 224"/>
        <xdr:cNvCxnSpPr/>
      </xdr:nvCxnSpPr>
      <xdr:spPr>
        <a:xfrm>
          <a:off x="2973457" y="7466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393</xdr:row>
      <xdr:rowOff>74935</xdr:rowOff>
    </xdr:from>
    <xdr:to>
      <xdr:col>5</xdr:col>
      <xdr:colOff>2924</xdr:colOff>
      <xdr:row>393</xdr:row>
      <xdr:rowOff>74935</xdr:rowOff>
    </xdr:to>
    <xdr:cxnSp macro="">
      <xdr:nvCxnSpPr>
        <xdr:cNvPr id="226" name="Straight Connector 225"/>
        <xdr:cNvCxnSpPr/>
      </xdr:nvCxnSpPr>
      <xdr:spPr>
        <a:xfrm>
          <a:off x="2973457" y="7523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396</xdr:row>
      <xdr:rowOff>74935</xdr:rowOff>
    </xdr:from>
    <xdr:to>
      <xdr:col>5</xdr:col>
      <xdr:colOff>2924</xdr:colOff>
      <xdr:row>396</xdr:row>
      <xdr:rowOff>74935</xdr:rowOff>
    </xdr:to>
    <xdr:cxnSp macro="">
      <xdr:nvCxnSpPr>
        <xdr:cNvPr id="227" name="Straight Connector 226"/>
        <xdr:cNvCxnSpPr/>
      </xdr:nvCxnSpPr>
      <xdr:spPr>
        <a:xfrm>
          <a:off x="2973457" y="7580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399</xdr:row>
      <xdr:rowOff>74935</xdr:rowOff>
    </xdr:from>
    <xdr:to>
      <xdr:col>5</xdr:col>
      <xdr:colOff>2924</xdr:colOff>
      <xdr:row>399</xdr:row>
      <xdr:rowOff>74935</xdr:rowOff>
    </xdr:to>
    <xdr:cxnSp macro="">
      <xdr:nvCxnSpPr>
        <xdr:cNvPr id="228" name="Straight Connector 227"/>
        <xdr:cNvCxnSpPr/>
      </xdr:nvCxnSpPr>
      <xdr:spPr>
        <a:xfrm>
          <a:off x="2973457" y="7637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402</xdr:row>
      <xdr:rowOff>74935</xdr:rowOff>
    </xdr:from>
    <xdr:to>
      <xdr:col>5</xdr:col>
      <xdr:colOff>2924</xdr:colOff>
      <xdr:row>402</xdr:row>
      <xdr:rowOff>74935</xdr:rowOff>
    </xdr:to>
    <xdr:cxnSp macro="">
      <xdr:nvCxnSpPr>
        <xdr:cNvPr id="229" name="Straight Connector 228"/>
        <xdr:cNvCxnSpPr/>
      </xdr:nvCxnSpPr>
      <xdr:spPr>
        <a:xfrm>
          <a:off x="2973457" y="7695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405</xdr:row>
      <xdr:rowOff>74935</xdr:rowOff>
    </xdr:from>
    <xdr:to>
      <xdr:col>5</xdr:col>
      <xdr:colOff>2924</xdr:colOff>
      <xdr:row>405</xdr:row>
      <xdr:rowOff>74935</xdr:rowOff>
    </xdr:to>
    <xdr:cxnSp macro="">
      <xdr:nvCxnSpPr>
        <xdr:cNvPr id="230" name="Straight Connector 229"/>
        <xdr:cNvCxnSpPr/>
      </xdr:nvCxnSpPr>
      <xdr:spPr>
        <a:xfrm>
          <a:off x="2973457" y="7752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408</xdr:row>
      <xdr:rowOff>74935</xdr:rowOff>
    </xdr:from>
    <xdr:to>
      <xdr:col>5</xdr:col>
      <xdr:colOff>2924</xdr:colOff>
      <xdr:row>408</xdr:row>
      <xdr:rowOff>74935</xdr:rowOff>
    </xdr:to>
    <xdr:cxnSp macro="">
      <xdr:nvCxnSpPr>
        <xdr:cNvPr id="231" name="Straight Connector 230"/>
        <xdr:cNvCxnSpPr/>
      </xdr:nvCxnSpPr>
      <xdr:spPr>
        <a:xfrm>
          <a:off x="2973457" y="7809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414</xdr:row>
      <xdr:rowOff>74935</xdr:rowOff>
    </xdr:from>
    <xdr:to>
      <xdr:col>5</xdr:col>
      <xdr:colOff>2924</xdr:colOff>
      <xdr:row>414</xdr:row>
      <xdr:rowOff>74935</xdr:rowOff>
    </xdr:to>
    <xdr:cxnSp macro="">
      <xdr:nvCxnSpPr>
        <xdr:cNvPr id="232" name="Straight Connector 231"/>
        <xdr:cNvCxnSpPr/>
      </xdr:nvCxnSpPr>
      <xdr:spPr>
        <a:xfrm>
          <a:off x="2973457" y="7923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411</xdr:row>
      <xdr:rowOff>74935</xdr:rowOff>
    </xdr:from>
    <xdr:to>
      <xdr:col>5</xdr:col>
      <xdr:colOff>2924</xdr:colOff>
      <xdr:row>411</xdr:row>
      <xdr:rowOff>74935</xdr:rowOff>
    </xdr:to>
    <xdr:cxnSp macro="">
      <xdr:nvCxnSpPr>
        <xdr:cNvPr id="233" name="Straight Connector 232"/>
        <xdr:cNvCxnSpPr/>
      </xdr:nvCxnSpPr>
      <xdr:spPr>
        <a:xfrm>
          <a:off x="2973457" y="7866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420</xdr:row>
      <xdr:rowOff>74935</xdr:rowOff>
    </xdr:from>
    <xdr:to>
      <xdr:col>5</xdr:col>
      <xdr:colOff>2924</xdr:colOff>
      <xdr:row>420</xdr:row>
      <xdr:rowOff>74935</xdr:rowOff>
    </xdr:to>
    <xdr:cxnSp macro="">
      <xdr:nvCxnSpPr>
        <xdr:cNvPr id="234" name="Straight Connector 233"/>
        <xdr:cNvCxnSpPr/>
      </xdr:nvCxnSpPr>
      <xdr:spPr>
        <a:xfrm>
          <a:off x="2973457" y="8038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417</xdr:row>
      <xdr:rowOff>74935</xdr:rowOff>
    </xdr:from>
    <xdr:to>
      <xdr:col>5</xdr:col>
      <xdr:colOff>2924</xdr:colOff>
      <xdr:row>417</xdr:row>
      <xdr:rowOff>74935</xdr:rowOff>
    </xdr:to>
    <xdr:cxnSp macro="">
      <xdr:nvCxnSpPr>
        <xdr:cNvPr id="235" name="Straight Connector 234"/>
        <xdr:cNvCxnSpPr/>
      </xdr:nvCxnSpPr>
      <xdr:spPr>
        <a:xfrm>
          <a:off x="2973457" y="7980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426</xdr:row>
      <xdr:rowOff>74935</xdr:rowOff>
    </xdr:from>
    <xdr:to>
      <xdr:col>5</xdr:col>
      <xdr:colOff>2924</xdr:colOff>
      <xdr:row>426</xdr:row>
      <xdr:rowOff>74935</xdr:rowOff>
    </xdr:to>
    <xdr:cxnSp macro="">
      <xdr:nvCxnSpPr>
        <xdr:cNvPr id="236" name="Straight Connector 235"/>
        <xdr:cNvCxnSpPr/>
      </xdr:nvCxnSpPr>
      <xdr:spPr>
        <a:xfrm>
          <a:off x="2973457" y="8152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423</xdr:row>
      <xdr:rowOff>74935</xdr:rowOff>
    </xdr:from>
    <xdr:to>
      <xdr:col>5</xdr:col>
      <xdr:colOff>2924</xdr:colOff>
      <xdr:row>423</xdr:row>
      <xdr:rowOff>74935</xdr:rowOff>
    </xdr:to>
    <xdr:cxnSp macro="">
      <xdr:nvCxnSpPr>
        <xdr:cNvPr id="237" name="Straight Connector 236"/>
        <xdr:cNvCxnSpPr/>
      </xdr:nvCxnSpPr>
      <xdr:spPr>
        <a:xfrm>
          <a:off x="2973457" y="8095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432</xdr:row>
      <xdr:rowOff>74935</xdr:rowOff>
    </xdr:from>
    <xdr:to>
      <xdr:col>5</xdr:col>
      <xdr:colOff>2924</xdr:colOff>
      <xdr:row>432</xdr:row>
      <xdr:rowOff>74935</xdr:rowOff>
    </xdr:to>
    <xdr:cxnSp macro="">
      <xdr:nvCxnSpPr>
        <xdr:cNvPr id="238" name="Straight Connector 237"/>
        <xdr:cNvCxnSpPr/>
      </xdr:nvCxnSpPr>
      <xdr:spPr>
        <a:xfrm>
          <a:off x="2973457" y="8266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429</xdr:row>
      <xdr:rowOff>74935</xdr:rowOff>
    </xdr:from>
    <xdr:to>
      <xdr:col>5</xdr:col>
      <xdr:colOff>2924</xdr:colOff>
      <xdr:row>429</xdr:row>
      <xdr:rowOff>74935</xdr:rowOff>
    </xdr:to>
    <xdr:cxnSp macro="">
      <xdr:nvCxnSpPr>
        <xdr:cNvPr id="239" name="Straight Connector 238"/>
        <xdr:cNvCxnSpPr/>
      </xdr:nvCxnSpPr>
      <xdr:spPr>
        <a:xfrm>
          <a:off x="2973457" y="8209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438</xdr:row>
      <xdr:rowOff>74935</xdr:rowOff>
    </xdr:from>
    <xdr:to>
      <xdr:col>5</xdr:col>
      <xdr:colOff>2924</xdr:colOff>
      <xdr:row>438</xdr:row>
      <xdr:rowOff>74935</xdr:rowOff>
    </xdr:to>
    <xdr:cxnSp macro="">
      <xdr:nvCxnSpPr>
        <xdr:cNvPr id="240" name="Straight Connector 239"/>
        <xdr:cNvCxnSpPr/>
      </xdr:nvCxnSpPr>
      <xdr:spPr>
        <a:xfrm>
          <a:off x="2973457" y="8380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435</xdr:row>
      <xdr:rowOff>74935</xdr:rowOff>
    </xdr:from>
    <xdr:to>
      <xdr:col>5</xdr:col>
      <xdr:colOff>2924</xdr:colOff>
      <xdr:row>435</xdr:row>
      <xdr:rowOff>74935</xdr:rowOff>
    </xdr:to>
    <xdr:cxnSp macro="">
      <xdr:nvCxnSpPr>
        <xdr:cNvPr id="241" name="Straight Connector 240"/>
        <xdr:cNvCxnSpPr/>
      </xdr:nvCxnSpPr>
      <xdr:spPr>
        <a:xfrm>
          <a:off x="2973457" y="8323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444</xdr:row>
      <xdr:rowOff>74935</xdr:rowOff>
    </xdr:from>
    <xdr:to>
      <xdr:col>5</xdr:col>
      <xdr:colOff>2924</xdr:colOff>
      <xdr:row>444</xdr:row>
      <xdr:rowOff>74935</xdr:rowOff>
    </xdr:to>
    <xdr:cxnSp macro="">
      <xdr:nvCxnSpPr>
        <xdr:cNvPr id="242" name="Straight Connector 241"/>
        <xdr:cNvCxnSpPr/>
      </xdr:nvCxnSpPr>
      <xdr:spPr>
        <a:xfrm>
          <a:off x="2973457" y="8495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441</xdr:row>
      <xdr:rowOff>74935</xdr:rowOff>
    </xdr:from>
    <xdr:to>
      <xdr:col>5</xdr:col>
      <xdr:colOff>2924</xdr:colOff>
      <xdr:row>441</xdr:row>
      <xdr:rowOff>74935</xdr:rowOff>
    </xdr:to>
    <xdr:cxnSp macro="">
      <xdr:nvCxnSpPr>
        <xdr:cNvPr id="243" name="Straight Connector 242"/>
        <xdr:cNvCxnSpPr/>
      </xdr:nvCxnSpPr>
      <xdr:spPr>
        <a:xfrm>
          <a:off x="2973457" y="8438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450</xdr:row>
      <xdr:rowOff>74935</xdr:rowOff>
    </xdr:from>
    <xdr:to>
      <xdr:col>5</xdr:col>
      <xdr:colOff>2924</xdr:colOff>
      <xdr:row>450</xdr:row>
      <xdr:rowOff>74935</xdr:rowOff>
    </xdr:to>
    <xdr:cxnSp macro="">
      <xdr:nvCxnSpPr>
        <xdr:cNvPr id="244" name="Straight Connector 243"/>
        <xdr:cNvCxnSpPr/>
      </xdr:nvCxnSpPr>
      <xdr:spPr>
        <a:xfrm>
          <a:off x="2973457" y="8609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447</xdr:row>
      <xdr:rowOff>74935</xdr:rowOff>
    </xdr:from>
    <xdr:to>
      <xdr:col>5</xdr:col>
      <xdr:colOff>2924</xdr:colOff>
      <xdr:row>447</xdr:row>
      <xdr:rowOff>74935</xdr:rowOff>
    </xdr:to>
    <xdr:cxnSp macro="">
      <xdr:nvCxnSpPr>
        <xdr:cNvPr id="245" name="Straight Connector 244"/>
        <xdr:cNvCxnSpPr/>
      </xdr:nvCxnSpPr>
      <xdr:spPr>
        <a:xfrm>
          <a:off x="2973457" y="8552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453</xdr:row>
      <xdr:rowOff>74935</xdr:rowOff>
    </xdr:from>
    <xdr:to>
      <xdr:col>5</xdr:col>
      <xdr:colOff>2924</xdr:colOff>
      <xdr:row>453</xdr:row>
      <xdr:rowOff>74935</xdr:rowOff>
    </xdr:to>
    <xdr:cxnSp macro="">
      <xdr:nvCxnSpPr>
        <xdr:cNvPr id="246" name="Straight Connector 245"/>
        <xdr:cNvCxnSpPr/>
      </xdr:nvCxnSpPr>
      <xdr:spPr>
        <a:xfrm>
          <a:off x="2973457" y="8666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459</xdr:row>
      <xdr:rowOff>74935</xdr:rowOff>
    </xdr:from>
    <xdr:to>
      <xdr:col>5</xdr:col>
      <xdr:colOff>2924</xdr:colOff>
      <xdr:row>459</xdr:row>
      <xdr:rowOff>74935</xdr:rowOff>
    </xdr:to>
    <xdr:cxnSp macro="">
      <xdr:nvCxnSpPr>
        <xdr:cNvPr id="247" name="Straight Connector 246"/>
        <xdr:cNvCxnSpPr/>
      </xdr:nvCxnSpPr>
      <xdr:spPr>
        <a:xfrm>
          <a:off x="2973457" y="8780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456</xdr:row>
      <xdr:rowOff>74935</xdr:rowOff>
    </xdr:from>
    <xdr:to>
      <xdr:col>5</xdr:col>
      <xdr:colOff>2924</xdr:colOff>
      <xdr:row>456</xdr:row>
      <xdr:rowOff>74935</xdr:rowOff>
    </xdr:to>
    <xdr:cxnSp macro="">
      <xdr:nvCxnSpPr>
        <xdr:cNvPr id="248" name="Straight Connector 247"/>
        <xdr:cNvCxnSpPr/>
      </xdr:nvCxnSpPr>
      <xdr:spPr>
        <a:xfrm>
          <a:off x="2973457" y="8723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465</xdr:row>
      <xdr:rowOff>74935</xdr:rowOff>
    </xdr:from>
    <xdr:to>
      <xdr:col>5</xdr:col>
      <xdr:colOff>2924</xdr:colOff>
      <xdr:row>465</xdr:row>
      <xdr:rowOff>74935</xdr:rowOff>
    </xdr:to>
    <xdr:cxnSp macro="">
      <xdr:nvCxnSpPr>
        <xdr:cNvPr id="249" name="Straight Connector 248"/>
        <xdr:cNvCxnSpPr/>
      </xdr:nvCxnSpPr>
      <xdr:spPr>
        <a:xfrm>
          <a:off x="2973457" y="8895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462</xdr:row>
      <xdr:rowOff>74935</xdr:rowOff>
    </xdr:from>
    <xdr:to>
      <xdr:col>5</xdr:col>
      <xdr:colOff>2924</xdr:colOff>
      <xdr:row>462</xdr:row>
      <xdr:rowOff>74935</xdr:rowOff>
    </xdr:to>
    <xdr:cxnSp macro="">
      <xdr:nvCxnSpPr>
        <xdr:cNvPr id="250" name="Straight Connector 249"/>
        <xdr:cNvCxnSpPr/>
      </xdr:nvCxnSpPr>
      <xdr:spPr>
        <a:xfrm>
          <a:off x="2973457" y="8838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468</xdr:row>
      <xdr:rowOff>74935</xdr:rowOff>
    </xdr:from>
    <xdr:to>
      <xdr:col>5</xdr:col>
      <xdr:colOff>2924</xdr:colOff>
      <xdr:row>468</xdr:row>
      <xdr:rowOff>74935</xdr:rowOff>
    </xdr:to>
    <xdr:cxnSp macro="">
      <xdr:nvCxnSpPr>
        <xdr:cNvPr id="251" name="Straight Connector 250"/>
        <xdr:cNvCxnSpPr/>
      </xdr:nvCxnSpPr>
      <xdr:spPr>
        <a:xfrm>
          <a:off x="2973457" y="8952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474</xdr:row>
      <xdr:rowOff>74935</xdr:rowOff>
    </xdr:from>
    <xdr:to>
      <xdr:col>5</xdr:col>
      <xdr:colOff>2924</xdr:colOff>
      <xdr:row>474</xdr:row>
      <xdr:rowOff>74935</xdr:rowOff>
    </xdr:to>
    <xdr:cxnSp macro="">
      <xdr:nvCxnSpPr>
        <xdr:cNvPr id="252" name="Straight Connector 251"/>
        <xdr:cNvCxnSpPr/>
      </xdr:nvCxnSpPr>
      <xdr:spPr>
        <a:xfrm>
          <a:off x="2973457" y="9066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471</xdr:row>
      <xdr:rowOff>74935</xdr:rowOff>
    </xdr:from>
    <xdr:to>
      <xdr:col>5</xdr:col>
      <xdr:colOff>2924</xdr:colOff>
      <xdr:row>471</xdr:row>
      <xdr:rowOff>74935</xdr:rowOff>
    </xdr:to>
    <xdr:cxnSp macro="">
      <xdr:nvCxnSpPr>
        <xdr:cNvPr id="253" name="Straight Connector 252"/>
        <xdr:cNvCxnSpPr/>
      </xdr:nvCxnSpPr>
      <xdr:spPr>
        <a:xfrm>
          <a:off x="2973457" y="9009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480</xdr:row>
      <xdr:rowOff>74935</xdr:rowOff>
    </xdr:from>
    <xdr:to>
      <xdr:col>5</xdr:col>
      <xdr:colOff>2924</xdr:colOff>
      <xdr:row>480</xdr:row>
      <xdr:rowOff>74935</xdr:rowOff>
    </xdr:to>
    <xdr:cxnSp macro="">
      <xdr:nvCxnSpPr>
        <xdr:cNvPr id="254" name="Straight Connector 253"/>
        <xdr:cNvCxnSpPr/>
      </xdr:nvCxnSpPr>
      <xdr:spPr>
        <a:xfrm>
          <a:off x="2973457" y="9181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477</xdr:row>
      <xdr:rowOff>74935</xdr:rowOff>
    </xdr:from>
    <xdr:to>
      <xdr:col>5</xdr:col>
      <xdr:colOff>2924</xdr:colOff>
      <xdr:row>477</xdr:row>
      <xdr:rowOff>74935</xdr:rowOff>
    </xdr:to>
    <xdr:cxnSp macro="">
      <xdr:nvCxnSpPr>
        <xdr:cNvPr id="255" name="Straight Connector 254"/>
        <xdr:cNvCxnSpPr/>
      </xdr:nvCxnSpPr>
      <xdr:spPr>
        <a:xfrm>
          <a:off x="2973457" y="9123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483</xdr:row>
      <xdr:rowOff>74935</xdr:rowOff>
    </xdr:from>
    <xdr:to>
      <xdr:col>5</xdr:col>
      <xdr:colOff>2924</xdr:colOff>
      <xdr:row>483</xdr:row>
      <xdr:rowOff>74935</xdr:rowOff>
    </xdr:to>
    <xdr:cxnSp macro="">
      <xdr:nvCxnSpPr>
        <xdr:cNvPr id="256" name="Straight Connector 255"/>
        <xdr:cNvCxnSpPr/>
      </xdr:nvCxnSpPr>
      <xdr:spPr>
        <a:xfrm>
          <a:off x="2973457" y="9238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486</xdr:row>
      <xdr:rowOff>74935</xdr:rowOff>
    </xdr:from>
    <xdr:to>
      <xdr:col>5</xdr:col>
      <xdr:colOff>2924</xdr:colOff>
      <xdr:row>486</xdr:row>
      <xdr:rowOff>74935</xdr:rowOff>
    </xdr:to>
    <xdr:cxnSp macro="">
      <xdr:nvCxnSpPr>
        <xdr:cNvPr id="257" name="Straight Connector 256"/>
        <xdr:cNvCxnSpPr/>
      </xdr:nvCxnSpPr>
      <xdr:spPr>
        <a:xfrm>
          <a:off x="2973457" y="9295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489</xdr:row>
      <xdr:rowOff>74935</xdr:rowOff>
    </xdr:from>
    <xdr:to>
      <xdr:col>5</xdr:col>
      <xdr:colOff>2924</xdr:colOff>
      <xdr:row>489</xdr:row>
      <xdr:rowOff>74935</xdr:rowOff>
    </xdr:to>
    <xdr:cxnSp macro="">
      <xdr:nvCxnSpPr>
        <xdr:cNvPr id="258" name="Straight Connector 257"/>
        <xdr:cNvCxnSpPr/>
      </xdr:nvCxnSpPr>
      <xdr:spPr>
        <a:xfrm>
          <a:off x="2973457" y="9352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492</xdr:row>
      <xdr:rowOff>74935</xdr:rowOff>
    </xdr:from>
    <xdr:to>
      <xdr:col>5</xdr:col>
      <xdr:colOff>2924</xdr:colOff>
      <xdr:row>492</xdr:row>
      <xdr:rowOff>74935</xdr:rowOff>
    </xdr:to>
    <xdr:cxnSp macro="">
      <xdr:nvCxnSpPr>
        <xdr:cNvPr id="259" name="Straight Connector 258"/>
        <xdr:cNvCxnSpPr/>
      </xdr:nvCxnSpPr>
      <xdr:spPr>
        <a:xfrm>
          <a:off x="2973457" y="9409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495</xdr:row>
      <xdr:rowOff>74935</xdr:rowOff>
    </xdr:from>
    <xdr:to>
      <xdr:col>5</xdr:col>
      <xdr:colOff>2924</xdr:colOff>
      <xdr:row>495</xdr:row>
      <xdr:rowOff>74935</xdr:rowOff>
    </xdr:to>
    <xdr:cxnSp macro="">
      <xdr:nvCxnSpPr>
        <xdr:cNvPr id="260" name="Straight Connector 259"/>
        <xdr:cNvCxnSpPr/>
      </xdr:nvCxnSpPr>
      <xdr:spPr>
        <a:xfrm>
          <a:off x="2973457" y="9466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498</xdr:row>
      <xdr:rowOff>74935</xdr:rowOff>
    </xdr:from>
    <xdr:to>
      <xdr:col>5</xdr:col>
      <xdr:colOff>2924</xdr:colOff>
      <xdr:row>498</xdr:row>
      <xdr:rowOff>74935</xdr:rowOff>
    </xdr:to>
    <xdr:cxnSp macro="">
      <xdr:nvCxnSpPr>
        <xdr:cNvPr id="261" name="Straight Connector 260"/>
        <xdr:cNvCxnSpPr/>
      </xdr:nvCxnSpPr>
      <xdr:spPr>
        <a:xfrm>
          <a:off x="2973457" y="9523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504</xdr:row>
      <xdr:rowOff>74935</xdr:rowOff>
    </xdr:from>
    <xdr:to>
      <xdr:col>5</xdr:col>
      <xdr:colOff>2924</xdr:colOff>
      <xdr:row>504</xdr:row>
      <xdr:rowOff>74935</xdr:rowOff>
    </xdr:to>
    <xdr:cxnSp macro="">
      <xdr:nvCxnSpPr>
        <xdr:cNvPr id="262" name="Straight Connector 261"/>
        <xdr:cNvCxnSpPr/>
      </xdr:nvCxnSpPr>
      <xdr:spPr>
        <a:xfrm>
          <a:off x="2973457" y="9638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501</xdr:row>
      <xdr:rowOff>74935</xdr:rowOff>
    </xdr:from>
    <xdr:to>
      <xdr:col>5</xdr:col>
      <xdr:colOff>2924</xdr:colOff>
      <xdr:row>501</xdr:row>
      <xdr:rowOff>74935</xdr:rowOff>
    </xdr:to>
    <xdr:cxnSp macro="">
      <xdr:nvCxnSpPr>
        <xdr:cNvPr id="263" name="Straight Connector 262"/>
        <xdr:cNvCxnSpPr/>
      </xdr:nvCxnSpPr>
      <xdr:spPr>
        <a:xfrm>
          <a:off x="2973457" y="9581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510</xdr:row>
      <xdr:rowOff>74935</xdr:rowOff>
    </xdr:from>
    <xdr:to>
      <xdr:col>5</xdr:col>
      <xdr:colOff>2924</xdr:colOff>
      <xdr:row>510</xdr:row>
      <xdr:rowOff>74935</xdr:rowOff>
    </xdr:to>
    <xdr:cxnSp macro="">
      <xdr:nvCxnSpPr>
        <xdr:cNvPr id="264" name="Straight Connector 263"/>
        <xdr:cNvCxnSpPr/>
      </xdr:nvCxnSpPr>
      <xdr:spPr>
        <a:xfrm>
          <a:off x="2973457" y="9752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507</xdr:row>
      <xdr:rowOff>74935</xdr:rowOff>
    </xdr:from>
    <xdr:to>
      <xdr:col>5</xdr:col>
      <xdr:colOff>2924</xdr:colOff>
      <xdr:row>507</xdr:row>
      <xdr:rowOff>74935</xdr:rowOff>
    </xdr:to>
    <xdr:cxnSp macro="">
      <xdr:nvCxnSpPr>
        <xdr:cNvPr id="265" name="Straight Connector 264"/>
        <xdr:cNvCxnSpPr/>
      </xdr:nvCxnSpPr>
      <xdr:spPr>
        <a:xfrm>
          <a:off x="2973457" y="9695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516</xdr:row>
      <xdr:rowOff>74935</xdr:rowOff>
    </xdr:from>
    <xdr:to>
      <xdr:col>5</xdr:col>
      <xdr:colOff>2924</xdr:colOff>
      <xdr:row>516</xdr:row>
      <xdr:rowOff>74935</xdr:rowOff>
    </xdr:to>
    <xdr:cxnSp macro="">
      <xdr:nvCxnSpPr>
        <xdr:cNvPr id="266" name="Straight Connector 265"/>
        <xdr:cNvCxnSpPr/>
      </xdr:nvCxnSpPr>
      <xdr:spPr>
        <a:xfrm>
          <a:off x="2973457" y="9866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513</xdr:row>
      <xdr:rowOff>74935</xdr:rowOff>
    </xdr:from>
    <xdr:to>
      <xdr:col>5</xdr:col>
      <xdr:colOff>2924</xdr:colOff>
      <xdr:row>513</xdr:row>
      <xdr:rowOff>74935</xdr:rowOff>
    </xdr:to>
    <xdr:cxnSp macro="">
      <xdr:nvCxnSpPr>
        <xdr:cNvPr id="267" name="Straight Connector 266"/>
        <xdr:cNvCxnSpPr/>
      </xdr:nvCxnSpPr>
      <xdr:spPr>
        <a:xfrm>
          <a:off x="2973457" y="9809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522</xdr:row>
      <xdr:rowOff>74935</xdr:rowOff>
    </xdr:from>
    <xdr:to>
      <xdr:col>5</xdr:col>
      <xdr:colOff>2924</xdr:colOff>
      <xdr:row>522</xdr:row>
      <xdr:rowOff>74935</xdr:rowOff>
    </xdr:to>
    <xdr:cxnSp macro="">
      <xdr:nvCxnSpPr>
        <xdr:cNvPr id="268" name="Straight Connector 267"/>
        <xdr:cNvCxnSpPr/>
      </xdr:nvCxnSpPr>
      <xdr:spPr>
        <a:xfrm>
          <a:off x="2973457" y="9981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519</xdr:row>
      <xdr:rowOff>74935</xdr:rowOff>
    </xdr:from>
    <xdr:to>
      <xdr:col>5</xdr:col>
      <xdr:colOff>2924</xdr:colOff>
      <xdr:row>519</xdr:row>
      <xdr:rowOff>74935</xdr:rowOff>
    </xdr:to>
    <xdr:cxnSp macro="">
      <xdr:nvCxnSpPr>
        <xdr:cNvPr id="269" name="Straight Connector 268"/>
        <xdr:cNvCxnSpPr/>
      </xdr:nvCxnSpPr>
      <xdr:spPr>
        <a:xfrm>
          <a:off x="2973457" y="9923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540</xdr:row>
      <xdr:rowOff>74935</xdr:rowOff>
    </xdr:from>
    <xdr:to>
      <xdr:col>5</xdr:col>
      <xdr:colOff>2924</xdr:colOff>
      <xdr:row>540</xdr:row>
      <xdr:rowOff>74935</xdr:rowOff>
    </xdr:to>
    <xdr:cxnSp macro="">
      <xdr:nvCxnSpPr>
        <xdr:cNvPr id="270" name="Straight Connector 269"/>
        <xdr:cNvCxnSpPr/>
      </xdr:nvCxnSpPr>
      <xdr:spPr>
        <a:xfrm>
          <a:off x="2973457" y="10324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537</xdr:row>
      <xdr:rowOff>74935</xdr:rowOff>
    </xdr:from>
    <xdr:to>
      <xdr:col>5</xdr:col>
      <xdr:colOff>2924</xdr:colOff>
      <xdr:row>537</xdr:row>
      <xdr:rowOff>74935</xdr:rowOff>
    </xdr:to>
    <xdr:cxnSp macro="">
      <xdr:nvCxnSpPr>
        <xdr:cNvPr id="271" name="Straight Connector 270"/>
        <xdr:cNvCxnSpPr/>
      </xdr:nvCxnSpPr>
      <xdr:spPr>
        <a:xfrm>
          <a:off x="2973457" y="10266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528</xdr:row>
      <xdr:rowOff>74935</xdr:rowOff>
    </xdr:from>
    <xdr:to>
      <xdr:col>5</xdr:col>
      <xdr:colOff>2924</xdr:colOff>
      <xdr:row>528</xdr:row>
      <xdr:rowOff>74935</xdr:rowOff>
    </xdr:to>
    <xdr:cxnSp macro="">
      <xdr:nvCxnSpPr>
        <xdr:cNvPr id="272" name="Straight Connector 271"/>
        <xdr:cNvCxnSpPr/>
      </xdr:nvCxnSpPr>
      <xdr:spPr>
        <a:xfrm>
          <a:off x="2973457" y="10095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525</xdr:row>
      <xdr:rowOff>74935</xdr:rowOff>
    </xdr:from>
    <xdr:to>
      <xdr:col>5</xdr:col>
      <xdr:colOff>2924</xdr:colOff>
      <xdr:row>525</xdr:row>
      <xdr:rowOff>74935</xdr:rowOff>
    </xdr:to>
    <xdr:cxnSp macro="">
      <xdr:nvCxnSpPr>
        <xdr:cNvPr id="273" name="Straight Connector 272"/>
        <xdr:cNvCxnSpPr/>
      </xdr:nvCxnSpPr>
      <xdr:spPr>
        <a:xfrm>
          <a:off x="2973457" y="10038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534</xdr:row>
      <xdr:rowOff>74935</xdr:rowOff>
    </xdr:from>
    <xdr:to>
      <xdr:col>5</xdr:col>
      <xdr:colOff>2924</xdr:colOff>
      <xdr:row>534</xdr:row>
      <xdr:rowOff>74935</xdr:rowOff>
    </xdr:to>
    <xdr:cxnSp macro="">
      <xdr:nvCxnSpPr>
        <xdr:cNvPr id="274" name="Straight Connector 273"/>
        <xdr:cNvCxnSpPr/>
      </xdr:nvCxnSpPr>
      <xdr:spPr>
        <a:xfrm>
          <a:off x="2973457" y="10209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531</xdr:row>
      <xdr:rowOff>74935</xdr:rowOff>
    </xdr:from>
    <xdr:to>
      <xdr:col>5</xdr:col>
      <xdr:colOff>2924</xdr:colOff>
      <xdr:row>531</xdr:row>
      <xdr:rowOff>74935</xdr:rowOff>
    </xdr:to>
    <xdr:cxnSp macro="">
      <xdr:nvCxnSpPr>
        <xdr:cNvPr id="275" name="Straight Connector 274"/>
        <xdr:cNvCxnSpPr/>
      </xdr:nvCxnSpPr>
      <xdr:spPr>
        <a:xfrm>
          <a:off x="2973457" y="10152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549</xdr:row>
      <xdr:rowOff>74935</xdr:rowOff>
    </xdr:from>
    <xdr:to>
      <xdr:col>5</xdr:col>
      <xdr:colOff>2924</xdr:colOff>
      <xdr:row>549</xdr:row>
      <xdr:rowOff>74935</xdr:rowOff>
    </xdr:to>
    <xdr:cxnSp macro="">
      <xdr:nvCxnSpPr>
        <xdr:cNvPr id="276" name="Straight Connector 275"/>
        <xdr:cNvCxnSpPr/>
      </xdr:nvCxnSpPr>
      <xdr:spPr>
        <a:xfrm>
          <a:off x="2973457" y="10495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543</xdr:row>
      <xdr:rowOff>74935</xdr:rowOff>
    </xdr:from>
    <xdr:to>
      <xdr:col>5</xdr:col>
      <xdr:colOff>2924</xdr:colOff>
      <xdr:row>543</xdr:row>
      <xdr:rowOff>74935</xdr:rowOff>
    </xdr:to>
    <xdr:cxnSp macro="">
      <xdr:nvCxnSpPr>
        <xdr:cNvPr id="277" name="Straight Connector 276"/>
        <xdr:cNvCxnSpPr/>
      </xdr:nvCxnSpPr>
      <xdr:spPr>
        <a:xfrm>
          <a:off x="2973457" y="10381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546</xdr:row>
      <xdr:rowOff>74935</xdr:rowOff>
    </xdr:from>
    <xdr:to>
      <xdr:col>5</xdr:col>
      <xdr:colOff>2924</xdr:colOff>
      <xdr:row>546</xdr:row>
      <xdr:rowOff>74935</xdr:rowOff>
    </xdr:to>
    <xdr:cxnSp macro="">
      <xdr:nvCxnSpPr>
        <xdr:cNvPr id="278" name="Straight Connector 277"/>
        <xdr:cNvCxnSpPr/>
      </xdr:nvCxnSpPr>
      <xdr:spPr>
        <a:xfrm>
          <a:off x="2973457" y="10438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552</xdr:row>
      <xdr:rowOff>74935</xdr:rowOff>
    </xdr:from>
    <xdr:to>
      <xdr:col>5</xdr:col>
      <xdr:colOff>2924</xdr:colOff>
      <xdr:row>552</xdr:row>
      <xdr:rowOff>74935</xdr:rowOff>
    </xdr:to>
    <xdr:cxnSp macro="">
      <xdr:nvCxnSpPr>
        <xdr:cNvPr id="279" name="Straight Connector 278"/>
        <xdr:cNvCxnSpPr/>
      </xdr:nvCxnSpPr>
      <xdr:spPr>
        <a:xfrm>
          <a:off x="2973457" y="10552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558</xdr:row>
      <xdr:rowOff>74935</xdr:rowOff>
    </xdr:from>
    <xdr:to>
      <xdr:col>5</xdr:col>
      <xdr:colOff>2924</xdr:colOff>
      <xdr:row>558</xdr:row>
      <xdr:rowOff>74935</xdr:rowOff>
    </xdr:to>
    <xdr:cxnSp macro="">
      <xdr:nvCxnSpPr>
        <xdr:cNvPr id="280" name="Straight Connector 279"/>
        <xdr:cNvCxnSpPr/>
      </xdr:nvCxnSpPr>
      <xdr:spPr>
        <a:xfrm>
          <a:off x="2973457" y="10666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555</xdr:row>
      <xdr:rowOff>74935</xdr:rowOff>
    </xdr:from>
    <xdr:to>
      <xdr:col>5</xdr:col>
      <xdr:colOff>2924</xdr:colOff>
      <xdr:row>555</xdr:row>
      <xdr:rowOff>74935</xdr:rowOff>
    </xdr:to>
    <xdr:cxnSp macro="">
      <xdr:nvCxnSpPr>
        <xdr:cNvPr id="281" name="Straight Connector 280"/>
        <xdr:cNvCxnSpPr/>
      </xdr:nvCxnSpPr>
      <xdr:spPr>
        <a:xfrm>
          <a:off x="2973457" y="10609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561</xdr:row>
      <xdr:rowOff>74935</xdr:rowOff>
    </xdr:from>
    <xdr:to>
      <xdr:col>5</xdr:col>
      <xdr:colOff>2924</xdr:colOff>
      <xdr:row>561</xdr:row>
      <xdr:rowOff>74935</xdr:rowOff>
    </xdr:to>
    <xdr:cxnSp macro="">
      <xdr:nvCxnSpPr>
        <xdr:cNvPr id="282" name="Straight Connector 281"/>
        <xdr:cNvCxnSpPr/>
      </xdr:nvCxnSpPr>
      <xdr:spPr>
        <a:xfrm>
          <a:off x="2973457" y="10724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567</xdr:row>
      <xdr:rowOff>74935</xdr:rowOff>
    </xdr:from>
    <xdr:to>
      <xdr:col>5</xdr:col>
      <xdr:colOff>2924</xdr:colOff>
      <xdr:row>567</xdr:row>
      <xdr:rowOff>74935</xdr:rowOff>
    </xdr:to>
    <xdr:cxnSp macro="">
      <xdr:nvCxnSpPr>
        <xdr:cNvPr id="283" name="Straight Connector 282"/>
        <xdr:cNvCxnSpPr/>
      </xdr:nvCxnSpPr>
      <xdr:spPr>
        <a:xfrm>
          <a:off x="2973457" y="10838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573</xdr:row>
      <xdr:rowOff>74935</xdr:rowOff>
    </xdr:from>
    <xdr:to>
      <xdr:col>5</xdr:col>
      <xdr:colOff>2924</xdr:colOff>
      <xdr:row>573</xdr:row>
      <xdr:rowOff>74935</xdr:rowOff>
    </xdr:to>
    <xdr:cxnSp macro="">
      <xdr:nvCxnSpPr>
        <xdr:cNvPr id="284" name="Straight Connector 283"/>
        <xdr:cNvCxnSpPr/>
      </xdr:nvCxnSpPr>
      <xdr:spPr>
        <a:xfrm>
          <a:off x="2973457" y="10952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570</xdr:row>
      <xdr:rowOff>74935</xdr:rowOff>
    </xdr:from>
    <xdr:to>
      <xdr:col>5</xdr:col>
      <xdr:colOff>2924</xdr:colOff>
      <xdr:row>570</xdr:row>
      <xdr:rowOff>74935</xdr:rowOff>
    </xdr:to>
    <xdr:cxnSp macro="">
      <xdr:nvCxnSpPr>
        <xdr:cNvPr id="285" name="Straight Connector 284"/>
        <xdr:cNvCxnSpPr/>
      </xdr:nvCxnSpPr>
      <xdr:spPr>
        <a:xfrm>
          <a:off x="2973457" y="10895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564</xdr:row>
      <xdr:rowOff>74935</xdr:rowOff>
    </xdr:from>
    <xdr:to>
      <xdr:col>5</xdr:col>
      <xdr:colOff>2924</xdr:colOff>
      <xdr:row>564</xdr:row>
      <xdr:rowOff>74935</xdr:rowOff>
    </xdr:to>
    <xdr:cxnSp macro="">
      <xdr:nvCxnSpPr>
        <xdr:cNvPr id="286" name="Straight Connector 285"/>
        <xdr:cNvCxnSpPr/>
      </xdr:nvCxnSpPr>
      <xdr:spPr>
        <a:xfrm>
          <a:off x="2973457" y="10781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616</xdr:row>
      <xdr:rowOff>74934</xdr:rowOff>
    </xdr:from>
    <xdr:to>
      <xdr:col>5</xdr:col>
      <xdr:colOff>14130</xdr:colOff>
      <xdr:row>616</xdr:row>
      <xdr:rowOff>74934</xdr:rowOff>
    </xdr:to>
    <xdr:cxnSp macro="">
      <xdr:nvCxnSpPr>
        <xdr:cNvPr id="287" name="Straight Connector 286"/>
        <xdr:cNvCxnSpPr/>
      </xdr:nvCxnSpPr>
      <xdr:spPr>
        <a:xfrm>
          <a:off x="2985223" y="11771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619</xdr:row>
      <xdr:rowOff>86140</xdr:rowOff>
    </xdr:from>
    <xdr:to>
      <xdr:col>5</xdr:col>
      <xdr:colOff>14130</xdr:colOff>
      <xdr:row>619</xdr:row>
      <xdr:rowOff>86140</xdr:rowOff>
    </xdr:to>
    <xdr:cxnSp macro="">
      <xdr:nvCxnSpPr>
        <xdr:cNvPr id="288" name="Straight Connector 287"/>
        <xdr:cNvCxnSpPr/>
      </xdr:nvCxnSpPr>
      <xdr:spPr>
        <a:xfrm>
          <a:off x="2985223" y="118300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622</xdr:row>
      <xdr:rowOff>74934</xdr:rowOff>
    </xdr:from>
    <xdr:to>
      <xdr:col>5</xdr:col>
      <xdr:colOff>14130</xdr:colOff>
      <xdr:row>622</xdr:row>
      <xdr:rowOff>74934</xdr:rowOff>
    </xdr:to>
    <xdr:cxnSp macro="">
      <xdr:nvCxnSpPr>
        <xdr:cNvPr id="289" name="Straight Connector 288"/>
        <xdr:cNvCxnSpPr/>
      </xdr:nvCxnSpPr>
      <xdr:spPr>
        <a:xfrm>
          <a:off x="2985223" y="11886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625</xdr:row>
      <xdr:rowOff>86140</xdr:rowOff>
    </xdr:from>
    <xdr:to>
      <xdr:col>5</xdr:col>
      <xdr:colOff>14130</xdr:colOff>
      <xdr:row>625</xdr:row>
      <xdr:rowOff>86140</xdr:rowOff>
    </xdr:to>
    <xdr:cxnSp macro="">
      <xdr:nvCxnSpPr>
        <xdr:cNvPr id="290" name="Straight Connector 289"/>
        <xdr:cNvCxnSpPr/>
      </xdr:nvCxnSpPr>
      <xdr:spPr>
        <a:xfrm>
          <a:off x="2985223" y="119443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628</xdr:row>
      <xdr:rowOff>74934</xdr:rowOff>
    </xdr:from>
    <xdr:to>
      <xdr:col>5</xdr:col>
      <xdr:colOff>14130</xdr:colOff>
      <xdr:row>628</xdr:row>
      <xdr:rowOff>74934</xdr:rowOff>
    </xdr:to>
    <xdr:cxnSp macro="">
      <xdr:nvCxnSpPr>
        <xdr:cNvPr id="291" name="Straight Connector 290"/>
        <xdr:cNvCxnSpPr/>
      </xdr:nvCxnSpPr>
      <xdr:spPr>
        <a:xfrm>
          <a:off x="2985223" y="12000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634</xdr:row>
      <xdr:rowOff>86140</xdr:rowOff>
    </xdr:from>
    <xdr:to>
      <xdr:col>5</xdr:col>
      <xdr:colOff>14130</xdr:colOff>
      <xdr:row>634</xdr:row>
      <xdr:rowOff>86140</xdr:rowOff>
    </xdr:to>
    <xdr:cxnSp macro="">
      <xdr:nvCxnSpPr>
        <xdr:cNvPr id="292" name="Straight Connector 291"/>
        <xdr:cNvCxnSpPr/>
      </xdr:nvCxnSpPr>
      <xdr:spPr>
        <a:xfrm>
          <a:off x="2985223" y="121158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631</xdr:row>
      <xdr:rowOff>74934</xdr:rowOff>
    </xdr:from>
    <xdr:to>
      <xdr:col>5</xdr:col>
      <xdr:colOff>14130</xdr:colOff>
      <xdr:row>631</xdr:row>
      <xdr:rowOff>74934</xdr:rowOff>
    </xdr:to>
    <xdr:cxnSp macro="">
      <xdr:nvCxnSpPr>
        <xdr:cNvPr id="293" name="Straight Connector 292"/>
        <xdr:cNvCxnSpPr/>
      </xdr:nvCxnSpPr>
      <xdr:spPr>
        <a:xfrm>
          <a:off x="2985223" y="12057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637</xdr:row>
      <xdr:rowOff>86140</xdr:rowOff>
    </xdr:from>
    <xdr:to>
      <xdr:col>5</xdr:col>
      <xdr:colOff>14130</xdr:colOff>
      <xdr:row>637</xdr:row>
      <xdr:rowOff>86140</xdr:rowOff>
    </xdr:to>
    <xdr:cxnSp macro="">
      <xdr:nvCxnSpPr>
        <xdr:cNvPr id="294" name="Straight Connector 293"/>
        <xdr:cNvCxnSpPr/>
      </xdr:nvCxnSpPr>
      <xdr:spPr>
        <a:xfrm>
          <a:off x="2985223" y="121729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643</xdr:row>
      <xdr:rowOff>86140</xdr:rowOff>
    </xdr:from>
    <xdr:to>
      <xdr:col>5</xdr:col>
      <xdr:colOff>14130</xdr:colOff>
      <xdr:row>643</xdr:row>
      <xdr:rowOff>86140</xdr:rowOff>
    </xdr:to>
    <xdr:cxnSp macro="">
      <xdr:nvCxnSpPr>
        <xdr:cNvPr id="295" name="Straight Connector 294"/>
        <xdr:cNvCxnSpPr/>
      </xdr:nvCxnSpPr>
      <xdr:spPr>
        <a:xfrm>
          <a:off x="2985223" y="122872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640</xdr:row>
      <xdr:rowOff>74934</xdr:rowOff>
    </xdr:from>
    <xdr:to>
      <xdr:col>5</xdr:col>
      <xdr:colOff>14130</xdr:colOff>
      <xdr:row>640</xdr:row>
      <xdr:rowOff>74934</xdr:rowOff>
    </xdr:to>
    <xdr:cxnSp macro="">
      <xdr:nvCxnSpPr>
        <xdr:cNvPr id="296" name="Straight Connector 295"/>
        <xdr:cNvCxnSpPr/>
      </xdr:nvCxnSpPr>
      <xdr:spPr>
        <a:xfrm>
          <a:off x="2985223" y="12229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649</xdr:row>
      <xdr:rowOff>86140</xdr:rowOff>
    </xdr:from>
    <xdr:to>
      <xdr:col>5</xdr:col>
      <xdr:colOff>14130</xdr:colOff>
      <xdr:row>649</xdr:row>
      <xdr:rowOff>86140</xdr:rowOff>
    </xdr:to>
    <xdr:cxnSp macro="">
      <xdr:nvCxnSpPr>
        <xdr:cNvPr id="297" name="Straight Connector 296"/>
        <xdr:cNvCxnSpPr/>
      </xdr:nvCxnSpPr>
      <xdr:spPr>
        <a:xfrm>
          <a:off x="2985223" y="124015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646</xdr:row>
      <xdr:rowOff>74934</xdr:rowOff>
    </xdr:from>
    <xdr:to>
      <xdr:col>5</xdr:col>
      <xdr:colOff>14130</xdr:colOff>
      <xdr:row>646</xdr:row>
      <xdr:rowOff>74934</xdr:rowOff>
    </xdr:to>
    <xdr:cxnSp macro="">
      <xdr:nvCxnSpPr>
        <xdr:cNvPr id="298" name="Straight Connector 297"/>
        <xdr:cNvCxnSpPr/>
      </xdr:nvCxnSpPr>
      <xdr:spPr>
        <a:xfrm>
          <a:off x="2985223" y="12343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652</xdr:row>
      <xdr:rowOff>86140</xdr:rowOff>
    </xdr:from>
    <xdr:to>
      <xdr:col>5</xdr:col>
      <xdr:colOff>14130</xdr:colOff>
      <xdr:row>652</xdr:row>
      <xdr:rowOff>86140</xdr:rowOff>
    </xdr:to>
    <xdr:cxnSp macro="">
      <xdr:nvCxnSpPr>
        <xdr:cNvPr id="299" name="Straight Connector 298"/>
        <xdr:cNvCxnSpPr/>
      </xdr:nvCxnSpPr>
      <xdr:spPr>
        <a:xfrm>
          <a:off x="2985223" y="12458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655</xdr:row>
      <xdr:rowOff>74934</xdr:rowOff>
    </xdr:from>
    <xdr:to>
      <xdr:col>5</xdr:col>
      <xdr:colOff>14130</xdr:colOff>
      <xdr:row>655</xdr:row>
      <xdr:rowOff>74934</xdr:rowOff>
    </xdr:to>
    <xdr:cxnSp macro="">
      <xdr:nvCxnSpPr>
        <xdr:cNvPr id="300" name="Straight Connector 299"/>
        <xdr:cNvCxnSpPr/>
      </xdr:nvCxnSpPr>
      <xdr:spPr>
        <a:xfrm>
          <a:off x="2985223" y="125147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658</xdr:row>
      <xdr:rowOff>74934</xdr:rowOff>
    </xdr:from>
    <xdr:to>
      <xdr:col>5</xdr:col>
      <xdr:colOff>14130</xdr:colOff>
      <xdr:row>658</xdr:row>
      <xdr:rowOff>74934</xdr:rowOff>
    </xdr:to>
    <xdr:cxnSp macro="">
      <xdr:nvCxnSpPr>
        <xdr:cNvPr id="301" name="Straight Connector 300"/>
        <xdr:cNvCxnSpPr/>
      </xdr:nvCxnSpPr>
      <xdr:spPr>
        <a:xfrm>
          <a:off x="2985223" y="12571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661</xdr:row>
      <xdr:rowOff>74934</xdr:rowOff>
    </xdr:from>
    <xdr:to>
      <xdr:col>5</xdr:col>
      <xdr:colOff>14130</xdr:colOff>
      <xdr:row>661</xdr:row>
      <xdr:rowOff>74934</xdr:rowOff>
    </xdr:to>
    <xdr:cxnSp macro="">
      <xdr:nvCxnSpPr>
        <xdr:cNvPr id="302" name="Straight Connector 301"/>
        <xdr:cNvCxnSpPr/>
      </xdr:nvCxnSpPr>
      <xdr:spPr>
        <a:xfrm>
          <a:off x="2985223" y="126290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664</xdr:row>
      <xdr:rowOff>74934</xdr:rowOff>
    </xdr:from>
    <xdr:to>
      <xdr:col>5</xdr:col>
      <xdr:colOff>14130</xdr:colOff>
      <xdr:row>664</xdr:row>
      <xdr:rowOff>74934</xdr:rowOff>
    </xdr:to>
    <xdr:cxnSp macro="">
      <xdr:nvCxnSpPr>
        <xdr:cNvPr id="303" name="Straight Connector 302"/>
        <xdr:cNvCxnSpPr/>
      </xdr:nvCxnSpPr>
      <xdr:spPr>
        <a:xfrm>
          <a:off x="2985223" y="126862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667</xdr:row>
      <xdr:rowOff>74934</xdr:rowOff>
    </xdr:from>
    <xdr:to>
      <xdr:col>5</xdr:col>
      <xdr:colOff>14130</xdr:colOff>
      <xdr:row>667</xdr:row>
      <xdr:rowOff>74934</xdr:rowOff>
    </xdr:to>
    <xdr:cxnSp macro="">
      <xdr:nvCxnSpPr>
        <xdr:cNvPr id="304" name="Straight Connector 303"/>
        <xdr:cNvCxnSpPr/>
      </xdr:nvCxnSpPr>
      <xdr:spPr>
        <a:xfrm>
          <a:off x="2985223" y="12743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670</xdr:row>
      <xdr:rowOff>74934</xdr:rowOff>
    </xdr:from>
    <xdr:to>
      <xdr:col>5</xdr:col>
      <xdr:colOff>14130</xdr:colOff>
      <xdr:row>670</xdr:row>
      <xdr:rowOff>74934</xdr:rowOff>
    </xdr:to>
    <xdr:cxnSp macro="">
      <xdr:nvCxnSpPr>
        <xdr:cNvPr id="305" name="Straight Connector 304"/>
        <xdr:cNvCxnSpPr/>
      </xdr:nvCxnSpPr>
      <xdr:spPr>
        <a:xfrm>
          <a:off x="2985223" y="128005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673</xdr:row>
      <xdr:rowOff>74934</xdr:rowOff>
    </xdr:from>
    <xdr:to>
      <xdr:col>5</xdr:col>
      <xdr:colOff>14130</xdr:colOff>
      <xdr:row>673</xdr:row>
      <xdr:rowOff>74934</xdr:rowOff>
    </xdr:to>
    <xdr:cxnSp macro="">
      <xdr:nvCxnSpPr>
        <xdr:cNvPr id="306" name="Straight Connector 305"/>
        <xdr:cNvCxnSpPr/>
      </xdr:nvCxnSpPr>
      <xdr:spPr>
        <a:xfrm>
          <a:off x="2985223" y="12857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676</xdr:row>
      <xdr:rowOff>74934</xdr:rowOff>
    </xdr:from>
    <xdr:to>
      <xdr:col>5</xdr:col>
      <xdr:colOff>14130</xdr:colOff>
      <xdr:row>676</xdr:row>
      <xdr:rowOff>74934</xdr:rowOff>
    </xdr:to>
    <xdr:cxnSp macro="">
      <xdr:nvCxnSpPr>
        <xdr:cNvPr id="307" name="Straight Connector 306"/>
        <xdr:cNvCxnSpPr/>
      </xdr:nvCxnSpPr>
      <xdr:spPr>
        <a:xfrm>
          <a:off x="2985223" y="12914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679</xdr:row>
      <xdr:rowOff>74934</xdr:rowOff>
    </xdr:from>
    <xdr:to>
      <xdr:col>5</xdr:col>
      <xdr:colOff>14130</xdr:colOff>
      <xdr:row>679</xdr:row>
      <xdr:rowOff>74934</xdr:rowOff>
    </xdr:to>
    <xdr:cxnSp macro="">
      <xdr:nvCxnSpPr>
        <xdr:cNvPr id="308" name="Straight Connector 307"/>
        <xdr:cNvCxnSpPr/>
      </xdr:nvCxnSpPr>
      <xdr:spPr>
        <a:xfrm>
          <a:off x="2985223" y="12971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682</xdr:row>
      <xdr:rowOff>74934</xdr:rowOff>
    </xdr:from>
    <xdr:to>
      <xdr:col>5</xdr:col>
      <xdr:colOff>14130</xdr:colOff>
      <xdr:row>682</xdr:row>
      <xdr:rowOff>74934</xdr:rowOff>
    </xdr:to>
    <xdr:cxnSp macro="">
      <xdr:nvCxnSpPr>
        <xdr:cNvPr id="309" name="Straight Connector 308"/>
        <xdr:cNvCxnSpPr/>
      </xdr:nvCxnSpPr>
      <xdr:spPr>
        <a:xfrm>
          <a:off x="2985223" y="13029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685</xdr:row>
      <xdr:rowOff>74934</xdr:rowOff>
    </xdr:from>
    <xdr:to>
      <xdr:col>5</xdr:col>
      <xdr:colOff>14130</xdr:colOff>
      <xdr:row>685</xdr:row>
      <xdr:rowOff>74934</xdr:rowOff>
    </xdr:to>
    <xdr:cxnSp macro="">
      <xdr:nvCxnSpPr>
        <xdr:cNvPr id="310" name="Straight Connector 309"/>
        <xdr:cNvCxnSpPr/>
      </xdr:nvCxnSpPr>
      <xdr:spPr>
        <a:xfrm>
          <a:off x="2985223" y="130862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688</xdr:row>
      <xdr:rowOff>74934</xdr:rowOff>
    </xdr:from>
    <xdr:to>
      <xdr:col>5</xdr:col>
      <xdr:colOff>14130</xdr:colOff>
      <xdr:row>688</xdr:row>
      <xdr:rowOff>74934</xdr:rowOff>
    </xdr:to>
    <xdr:cxnSp macro="">
      <xdr:nvCxnSpPr>
        <xdr:cNvPr id="311" name="Straight Connector 310"/>
        <xdr:cNvCxnSpPr/>
      </xdr:nvCxnSpPr>
      <xdr:spPr>
        <a:xfrm>
          <a:off x="2985223" y="13143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691</xdr:row>
      <xdr:rowOff>74934</xdr:rowOff>
    </xdr:from>
    <xdr:to>
      <xdr:col>5</xdr:col>
      <xdr:colOff>14130</xdr:colOff>
      <xdr:row>691</xdr:row>
      <xdr:rowOff>74934</xdr:rowOff>
    </xdr:to>
    <xdr:cxnSp macro="">
      <xdr:nvCxnSpPr>
        <xdr:cNvPr id="312" name="Straight Connector 311"/>
        <xdr:cNvCxnSpPr/>
      </xdr:nvCxnSpPr>
      <xdr:spPr>
        <a:xfrm>
          <a:off x="2985223" y="13200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694</xdr:row>
      <xdr:rowOff>74934</xdr:rowOff>
    </xdr:from>
    <xdr:to>
      <xdr:col>5</xdr:col>
      <xdr:colOff>14130</xdr:colOff>
      <xdr:row>694</xdr:row>
      <xdr:rowOff>74934</xdr:rowOff>
    </xdr:to>
    <xdr:cxnSp macro="">
      <xdr:nvCxnSpPr>
        <xdr:cNvPr id="313" name="Straight Connector 312"/>
        <xdr:cNvCxnSpPr/>
      </xdr:nvCxnSpPr>
      <xdr:spPr>
        <a:xfrm>
          <a:off x="2985223" y="132577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697</xdr:row>
      <xdr:rowOff>74934</xdr:rowOff>
    </xdr:from>
    <xdr:to>
      <xdr:col>5</xdr:col>
      <xdr:colOff>14130</xdr:colOff>
      <xdr:row>697</xdr:row>
      <xdr:rowOff>74934</xdr:rowOff>
    </xdr:to>
    <xdr:cxnSp macro="">
      <xdr:nvCxnSpPr>
        <xdr:cNvPr id="314" name="Straight Connector 313"/>
        <xdr:cNvCxnSpPr/>
      </xdr:nvCxnSpPr>
      <xdr:spPr>
        <a:xfrm>
          <a:off x="2985223" y="133148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700</xdr:row>
      <xdr:rowOff>74934</xdr:rowOff>
    </xdr:from>
    <xdr:to>
      <xdr:col>5</xdr:col>
      <xdr:colOff>14130</xdr:colOff>
      <xdr:row>700</xdr:row>
      <xdr:rowOff>74934</xdr:rowOff>
    </xdr:to>
    <xdr:cxnSp macro="">
      <xdr:nvCxnSpPr>
        <xdr:cNvPr id="315" name="Straight Connector 314"/>
        <xdr:cNvCxnSpPr/>
      </xdr:nvCxnSpPr>
      <xdr:spPr>
        <a:xfrm>
          <a:off x="2985223" y="13372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703</xdr:row>
      <xdr:rowOff>74934</xdr:rowOff>
    </xdr:from>
    <xdr:to>
      <xdr:col>5</xdr:col>
      <xdr:colOff>14130</xdr:colOff>
      <xdr:row>703</xdr:row>
      <xdr:rowOff>74934</xdr:rowOff>
    </xdr:to>
    <xdr:cxnSp macro="">
      <xdr:nvCxnSpPr>
        <xdr:cNvPr id="316" name="Straight Connector 315"/>
        <xdr:cNvCxnSpPr/>
      </xdr:nvCxnSpPr>
      <xdr:spPr>
        <a:xfrm>
          <a:off x="2985223" y="134291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706</xdr:row>
      <xdr:rowOff>74934</xdr:rowOff>
    </xdr:from>
    <xdr:to>
      <xdr:col>5</xdr:col>
      <xdr:colOff>14130</xdr:colOff>
      <xdr:row>706</xdr:row>
      <xdr:rowOff>74934</xdr:rowOff>
    </xdr:to>
    <xdr:cxnSp macro="">
      <xdr:nvCxnSpPr>
        <xdr:cNvPr id="317" name="Straight Connector 316"/>
        <xdr:cNvCxnSpPr/>
      </xdr:nvCxnSpPr>
      <xdr:spPr>
        <a:xfrm>
          <a:off x="2985223" y="13486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712</xdr:row>
      <xdr:rowOff>86140</xdr:rowOff>
    </xdr:from>
    <xdr:to>
      <xdr:col>5</xdr:col>
      <xdr:colOff>14130</xdr:colOff>
      <xdr:row>712</xdr:row>
      <xdr:rowOff>86140</xdr:rowOff>
    </xdr:to>
    <xdr:cxnSp macro="">
      <xdr:nvCxnSpPr>
        <xdr:cNvPr id="318" name="Straight Connector 317"/>
        <xdr:cNvCxnSpPr/>
      </xdr:nvCxnSpPr>
      <xdr:spPr>
        <a:xfrm>
          <a:off x="2985223" y="13601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709</xdr:row>
      <xdr:rowOff>74934</xdr:rowOff>
    </xdr:from>
    <xdr:to>
      <xdr:col>5</xdr:col>
      <xdr:colOff>14130</xdr:colOff>
      <xdr:row>709</xdr:row>
      <xdr:rowOff>74934</xdr:rowOff>
    </xdr:to>
    <xdr:cxnSp macro="">
      <xdr:nvCxnSpPr>
        <xdr:cNvPr id="319" name="Straight Connector 318"/>
        <xdr:cNvCxnSpPr/>
      </xdr:nvCxnSpPr>
      <xdr:spPr>
        <a:xfrm>
          <a:off x="2985223" y="135434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715</xdr:row>
      <xdr:rowOff>86140</xdr:rowOff>
    </xdr:from>
    <xdr:to>
      <xdr:col>5</xdr:col>
      <xdr:colOff>14130</xdr:colOff>
      <xdr:row>715</xdr:row>
      <xdr:rowOff>86140</xdr:rowOff>
    </xdr:to>
    <xdr:cxnSp macro="">
      <xdr:nvCxnSpPr>
        <xdr:cNvPr id="320" name="Straight Connector 319"/>
        <xdr:cNvCxnSpPr/>
      </xdr:nvCxnSpPr>
      <xdr:spPr>
        <a:xfrm>
          <a:off x="2985223" y="136588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721</xdr:row>
      <xdr:rowOff>86140</xdr:rowOff>
    </xdr:from>
    <xdr:to>
      <xdr:col>5</xdr:col>
      <xdr:colOff>14130</xdr:colOff>
      <xdr:row>721</xdr:row>
      <xdr:rowOff>86140</xdr:rowOff>
    </xdr:to>
    <xdr:cxnSp macro="">
      <xdr:nvCxnSpPr>
        <xdr:cNvPr id="321" name="Straight Connector 320"/>
        <xdr:cNvCxnSpPr/>
      </xdr:nvCxnSpPr>
      <xdr:spPr>
        <a:xfrm>
          <a:off x="2985223" y="137731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718</xdr:row>
      <xdr:rowOff>74934</xdr:rowOff>
    </xdr:from>
    <xdr:to>
      <xdr:col>5</xdr:col>
      <xdr:colOff>14130</xdr:colOff>
      <xdr:row>718</xdr:row>
      <xdr:rowOff>74934</xdr:rowOff>
    </xdr:to>
    <xdr:cxnSp macro="">
      <xdr:nvCxnSpPr>
        <xdr:cNvPr id="322" name="Straight Connector 321"/>
        <xdr:cNvCxnSpPr/>
      </xdr:nvCxnSpPr>
      <xdr:spPr>
        <a:xfrm>
          <a:off x="2985223" y="13714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724</xdr:row>
      <xdr:rowOff>86140</xdr:rowOff>
    </xdr:from>
    <xdr:to>
      <xdr:col>5</xdr:col>
      <xdr:colOff>14130</xdr:colOff>
      <xdr:row>724</xdr:row>
      <xdr:rowOff>86140</xdr:rowOff>
    </xdr:to>
    <xdr:cxnSp macro="">
      <xdr:nvCxnSpPr>
        <xdr:cNvPr id="323" name="Straight Connector 322"/>
        <xdr:cNvCxnSpPr/>
      </xdr:nvCxnSpPr>
      <xdr:spPr>
        <a:xfrm>
          <a:off x="2985223" y="138303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730</xdr:row>
      <xdr:rowOff>86140</xdr:rowOff>
    </xdr:from>
    <xdr:to>
      <xdr:col>5</xdr:col>
      <xdr:colOff>14130</xdr:colOff>
      <xdr:row>730</xdr:row>
      <xdr:rowOff>86140</xdr:rowOff>
    </xdr:to>
    <xdr:cxnSp macro="">
      <xdr:nvCxnSpPr>
        <xdr:cNvPr id="324" name="Straight Connector 323"/>
        <xdr:cNvCxnSpPr/>
      </xdr:nvCxnSpPr>
      <xdr:spPr>
        <a:xfrm>
          <a:off x="2985223" y="139446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727</xdr:row>
      <xdr:rowOff>74934</xdr:rowOff>
    </xdr:from>
    <xdr:to>
      <xdr:col>5</xdr:col>
      <xdr:colOff>14130</xdr:colOff>
      <xdr:row>727</xdr:row>
      <xdr:rowOff>74934</xdr:rowOff>
    </xdr:to>
    <xdr:cxnSp macro="">
      <xdr:nvCxnSpPr>
        <xdr:cNvPr id="325" name="Straight Connector 324"/>
        <xdr:cNvCxnSpPr/>
      </xdr:nvCxnSpPr>
      <xdr:spPr>
        <a:xfrm>
          <a:off x="2985223" y="13886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736</xdr:row>
      <xdr:rowOff>86140</xdr:rowOff>
    </xdr:from>
    <xdr:to>
      <xdr:col>5</xdr:col>
      <xdr:colOff>14130</xdr:colOff>
      <xdr:row>736</xdr:row>
      <xdr:rowOff>86140</xdr:rowOff>
    </xdr:to>
    <xdr:cxnSp macro="">
      <xdr:nvCxnSpPr>
        <xdr:cNvPr id="326" name="Straight Connector 325"/>
        <xdr:cNvCxnSpPr/>
      </xdr:nvCxnSpPr>
      <xdr:spPr>
        <a:xfrm>
          <a:off x="2985223" y="140589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733</xdr:row>
      <xdr:rowOff>74934</xdr:rowOff>
    </xdr:from>
    <xdr:to>
      <xdr:col>5</xdr:col>
      <xdr:colOff>14130</xdr:colOff>
      <xdr:row>733</xdr:row>
      <xdr:rowOff>74934</xdr:rowOff>
    </xdr:to>
    <xdr:cxnSp macro="">
      <xdr:nvCxnSpPr>
        <xdr:cNvPr id="327" name="Straight Connector 326"/>
        <xdr:cNvCxnSpPr/>
      </xdr:nvCxnSpPr>
      <xdr:spPr>
        <a:xfrm>
          <a:off x="2985223" y="14000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739</xdr:row>
      <xdr:rowOff>74934</xdr:rowOff>
    </xdr:from>
    <xdr:to>
      <xdr:col>5</xdr:col>
      <xdr:colOff>14130</xdr:colOff>
      <xdr:row>739</xdr:row>
      <xdr:rowOff>74934</xdr:rowOff>
    </xdr:to>
    <xdr:cxnSp macro="">
      <xdr:nvCxnSpPr>
        <xdr:cNvPr id="328" name="Straight Connector 327"/>
        <xdr:cNvCxnSpPr/>
      </xdr:nvCxnSpPr>
      <xdr:spPr>
        <a:xfrm>
          <a:off x="2985223" y="14114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xdr:row>
      <xdr:rowOff>179295</xdr:rowOff>
    </xdr:from>
    <xdr:to>
      <xdr:col>5</xdr:col>
      <xdr:colOff>11206</xdr:colOff>
      <xdr:row>9</xdr:row>
      <xdr:rowOff>179295</xdr:rowOff>
    </xdr:to>
    <xdr:cxnSp macro="">
      <xdr:nvCxnSpPr>
        <xdr:cNvPr id="329" name="Straight Connector 328"/>
        <xdr:cNvCxnSpPr/>
      </xdr:nvCxnSpPr>
      <xdr:spPr>
        <a:xfrm>
          <a:off x="2981325" y="218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0" name="Straight Connector 329"/>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1" name="Straight Connector 330"/>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2" name="Straight Connector 331"/>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3" name="Straight Connector 332"/>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4" name="Straight Connector 333"/>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5" name="Straight Connector 334"/>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xdr:row>
      <xdr:rowOff>179295</xdr:rowOff>
    </xdr:from>
    <xdr:to>
      <xdr:col>5</xdr:col>
      <xdr:colOff>11206</xdr:colOff>
      <xdr:row>15</xdr:row>
      <xdr:rowOff>179295</xdr:rowOff>
    </xdr:to>
    <xdr:cxnSp macro="">
      <xdr:nvCxnSpPr>
        <xdr:cNvPr id="336" name="Straight Connector 335"/>
        <xdr:cNvCxnSpPr/>
      </xdr:nvCxnSpPr>
      <xdr:spPr>
        <a:xfrm>
          <a:off x="2981325" y="333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7" name="Straight Connector 336"/>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38" name="Straight Connector 337"/>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9" name="Straight Connector 338"/>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0" name="Straight Connector 339"/>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41" name="Straight Connector 340"/>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2" name="Straight Connector 341"/>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21</xdr:row>
      <xdr:rowOff>179295</xdr:rowOff>
    </xdr:from>
    <xdr:to>
      <xdr:col>5</xdr:col>
      <xdr:colOff>11206</xdr:colOff>
      <xdr:row>21</xdr:row>
      <xdr:rowOff>179295</xdr:rowOff>
    </xdr:to>
    <xdr:cxnSp macro="">
      <xdr:nvCxnSpPr>
        <xdr:cNvPr id="343" name="Straight Connector 342"/>
        <xdr:cNvCxnSpPr/>
      </xdr:nvCxnSpPr>
      <xdr:spPr>
        <a:xfrm>
          <a:off x="2981325" y="447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4" name="Straight Connector 343"/>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5" name="Straight Connector 344"/>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6" name="Straight Connector 345"/>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7" name="Straight Connector 346"/>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8" name="Straight Connector 347"/>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9" name="Straight Connector 348"/>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27</xdr:row>
      <xdr:rowOff>179295</xdr:rowOff>
    </xdr:from>
    <xdr:to>
      <xdr:col>5</xdr:col>
      <xdr:colOff>11206</xdr:colOff>
      <xdr:row>27</xdr:row>
      <xdr:rowOff>179295</xdr:rowOff>
    </xdr:to>
    <xdr:cxnSp macro="">
      <xdr:nvCxnSpPr>
        <xdr:cNvPr id="350" name="Straight Connector 349"/>
        <xdr:cNvCxnSpPr/>
      </xdr:nvCxnSpPr>
      <xdr:spPr>
        <a:xfrm>
          <a:off x="2981325" y="561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1" name="Straight Connector 350"/>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2" name="Straight Connector 351"/>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3" name="Straight Connector 352"/>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4" name="Straight Connector 353"/>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5" name="Straight Connector 354"/>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6" name="Straight Connector 355"/>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33</xdr:row>
      <xdr:rowOff>179295</xdr:rowOff>
    </xdr:from>
    <xdr:to>
      <xdr:col>5</xdr:col>
      <xdr:colOff>11206</xdr:colOff>
      <xdr:row>33</xdr:row>
      <xdr:rowOff>179295</xdr:rowOff>
    </xdr:to>
    <xdr:cxnSp macro="">
      <xdr:nvCxnSpPr>
        <xdr:cNvPr id="357" name="Straight Connector 356"/>
        <xdr:cNvCxnSpPr/>
      </xdr:nvCxnSpPr>
      <xdr:spPr>
        <a:xfrm>
          <a:off x="2981325" y="676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58" name="Straight Connector 357"/>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59" name="Straight Connector 358"/>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0" name="Straight Connector 359"/>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1" name="Straight Connector 360"/>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2" name="Straight Connector 361"/>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3" name="Straight Connector 362"/>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39</xdr:row>
      <xdr:rowOff>179295</xdr:rowOff>
    </xdr:from>
    <xdr:to>
      <xdr:col>5</xdr:col>
      <xdr:colOff>11206</xdr:colOff>
      <xdr:row>39</xdr:row>
      <xdr:rowOff>179295</xdr:rowOff>
    </xdr:to>
    <xdr:cxnSp macro="">
      <xdr:nvCxnSpPr>
        <xdr:cNvPr id="364" name="Straight Connector 363"/>
        <xdr:cNvCxnSpPr/>
      </xdr:nvCxnSpPr>
      <xdr:spPr>
        <a:xfrm>
          <a:off x="2981325" y="790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5" name="Straight Connector 364"/>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6" name="Straight Connector 365"/>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7" name="Straight Connector 366"/>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8" name="Straight Connector 367"/>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9" name="Straight Connector 368"/>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70" name="Straight Connector 369"/>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59</xdr:row>
      <xdr:rowOff>0</xdr:rowOff>
    </xdr:from>
    <xdr:to>
      <xdr:col>5</xdr:col>
      <xdr:colOff>0</xdr:colOff>
      <xdr:row>59</xdr:row>
      <xdr:rowOff>187699</xdr:rowOff>
    </xdr:to>
    <xdr:cxnSp macro="">
      <xdr:nvCxnSpPr>
        <xdr:cNvPr id="371" name="Straight Connector 370"/>
        <xdr:cNvCxnSpPr/>
      </xdr:nvCxnSpPr>
      <xdr:spPr>
        <a:xfrm flipV="1">
          <a:off x="3990975" y="1153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56</xdr:row>
      <xdr:rowOff>0</xdr:rowOff>
    </xdr:from>
    <xdr:to>
      <xdr:col>5</xdr:col>
      <xdr:colOff>0</xdr:colOff>
      <xdr:row>56</xdr:row>
      <xdr:rowOff>187699</xdr:rowOff>
    </xdr:to>
    <xdr:cxnSp macro="">
      <xdr:nvCxnSpPr>
        <xdr:cNvPr id="372" name="Straight Connector 371"/>
        <xdr:cNvCxnSpPr/>
      </xdr:nvCxnSpPr>
      <xdr:spPr>
        <a:xfrm flipV="1">
          <a:off x="3990975" y="1096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70</xdr:row>
      <xdr:rowOff>179295</xdr:rowOff>
    </xdr:from>
    <xdr:to>
      <xdr:col>5</xdr:col>
      <xdr:colOff>11206</xdr:colOff>
      <xdr:row>70</xdr:row>
      <xdr:rowOff>179295</xdr:rowOff>
    </xdr:to>
    <xdr:cxnSp macro="">
      <xdr:nvCxnSpPr>
        <xdr:cNvPr id="373" name="Straight Connector 372"/>
        <xdr:cNvCxnSpPr/>
      </xdr:nvCxnSpPr>
      <xdr:spPr>
        <a:xfrm>
          <a:off x="2981325" y="1380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4" name="Straight Connector 373"/>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5" name="Straight Connector 374"/>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6" name="Straight Connector 375"/>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7" name="Straight Connector 376"/>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8" name="Straight Connector 377"/>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9" name="Straight Connector 378"/>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xdr:row>
      <xdr:rowOff>179295</xdr:rowOff>
    </xdr:from>
    <xdr:to>
      <xdr:col>5</xdr:col>
      <xdr:colOff>11206</xdr:colOff>
      <xdr:row>76</xdr:row>
      <xdr:rowOff>179295</xdr:rowOff>
    </xdr:to>
    <xdr:cxnSp macro="">
      <xdr:nvCxnSpPr>
        <xdr:cNvPr id="380" name="Straight Connector 379"/>
        <xdr:cNvCxnSpPr/>
      </xdr:nvCxnSpPr>
      <xdr:spPr>
        <a:xfrm>
          <a:off x="2981325" y="1495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1" name="Straight Connector 380"/>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2" name="Straight Connector 381"/>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3" name="Straight Connector 382"/>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4" name="Straight Connector 383"/>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5" name="Straight Connector 384"/>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6" name="Straight Connector 385"/>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xdr:row>
      <xdr:rowOff>179295</xdr:rowOff>
    </xdr:from>
    <xdr:to>
      <xdr:col>5</xdr:col>
      <xdr:colOff>11206</xdr:colOff>
      <xdr:row>82</xdr:row>
      <xdr:rowOff>179295</xdr:rowOff>
    </xdr:to>
    <xdr:cxnSp macro="">
      <xdr:nvCxnSpPr>
        <xdr:cNvPr id="387" name="Straight Connector 386"/>
        <xdr:cNvCxnSpPr/>
      </xdr:nvCxnSpPr>
      <xdr:spPr>
        <a:xfrm>
          <a:off x="2981325" y="1609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88" name="Straight Connector 387"/>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89" name="Straight Connector 388"/>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0" name="Straight Connector 389"/>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1" name="Straight Connector 390"/>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2" name="Straight Connector 391"/>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3" name="Straight Connector 392"/>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xdr:row>
      <xdr:rowOff>179295</xdr:rowOff>
    </xdr:from>
    <xdr:to>
      <xdr:col>5</xdr:col>
      <xdr:colOff>11206</xdr:colOff>
      <xdr:row>88</xdr:row>
      <xdr:rowOff>179295</xdr:rowOff>
    </xdr:to>
    <xdr:cxnSp macro="">
      <xdr:nvCxnSpPr>
        <xdr:cNvPr id="394" name="Straight Connector 393"/>
        <xdr:cNvCxnSpPr/>
      </xdr:nvCxnSpPr>
      <xdr:spPr>
        <a:xfrm>
          <a:off x="2981325" y="17238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5" name="Straight Connector 394"/>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6" name="Straight Connector 395"/>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7" name="Straight Connector 396"/>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8" name="Straight Connector 397"/>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9" name="Straight Connector 398"/>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400" name="Straight Connector 399"/>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100</xdr:row>
      <xdr:rowOff>179295</xdr:rowOff>
    </xdr:from>
    <xdr:to>
      <xdr:col>5</xdr:col>
      <xdr:colOff>11206</xdr:colOff>
      <xdr:row>100</xdr:row>
      <xdr:rowOff>179295</xdr:rowOff>
    </xdr:to>
    <xdr:cxnSp macro="">
      <xdr:nvCxnSpPr>
        <xdr:cNvPr id="401" name="Straight Connector 400"/>
        <xdr:cNvCxnSpPr/>
      </xdr:nvCxnSpPr>
      <xdr:spPr>
        <a:xfrm>
          <a:off x="2981325" y="1952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2" name="Straight Connector 401"/>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3" name="Straight Connector 402"/>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4" name="Straight Connector 403"/>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5" name="Straight Connector 404"/>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6" name="Straight Connector 405"/>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7" name="Straight Connector 406"/>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106</xdr:row>
      <xdr:rowOff>179295</xdr:rowOff>
    </xdr:from>
    <xdr:to>
      <xdr:col>5</xdr:col>
      <xdr:colOff>11206</xdr:colOff>
      <xdr:row>106</xdr:row>
      <xdr:rowOff>179295</xdr:rowOff>
    </xdr:to>
    <xdr:cxnSp macro="">
      <xdr:nvCxnSpPr>
        <xdr:cNvPr id="408" name="Straight Connector 407"/>
        <xdr:cNvCxnSpPr/>
      </xdr:nvCxnSpPr>
      <xdr:spPr>
        <a:xfrm>
          <a:off x="2981325" y="2066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09" name="Straight Connector 408"/>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0" name="Straight Connector 409"/>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1" name="Straight Connector 410"/>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2" name="Straight Connector 411"/>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3" name="Straight Connector 412"/>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4" name="Straight Connector 413"/>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xdr:row>
      <xdr:rowOff>179295</xdr:rowOff>
    </xdr:from>
    <xdr:to>
      <xdr:col>5</xdr:col>
      <xdr:colOff>11206</xdr:colOff>
      <xdr:row>94</xdr:row>
      <xdr:rowOff>179295</xdr:rowOff>
    </xdr:to>
    <xdr:cxnSp macro="">
      <xdr:nvCxnSpPr>
        <xdr:cNvPr id="415" name="Straight Connector 414"/>
        <xdr:cNvCxnSpPr/>
      </xdr:nvCxnSpPr>
      <xdr:spPr>
        <a:xfrm>
          <a:off x="2981325" y="1838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6" name="Straight Connector 415"/>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7" name="Straight Connector 416"/>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8" name="Straight Connector 417"/>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9" name="Straight Connector 418"/>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20" name="Straight Connector 419"/>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21" name="Straight Connector 420"/>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73</xdr:row>
      <xdr:rowOff>179295</xdr:rowOff>
    </xdr:from>
    <xdr:to>
      <xdr:col>5</xdr:col>
      <xdr:colOff>11206</xdr:colOff>
      <xdr:row>73</xdr:row>
      <xdr:rowOff>179295</xdr:rowOff>
    </xdr:to>
    <xdr:cxnSp macro="">
      <xdr:nvCxnSpPr>
        <xdr:cNvPr id="422" name="Straight Connector 421"/>
        <xdr:cNvCxnSpPr/>
      </xdr:nvCxnSpPr>
      <xdr:spPr>
        <a:xfrm>
          <a:off x="2981325" y="1438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3" name="Straight Connector 422"/>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4" name="Straight Connector 423"/>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5" name="Straight Connector 424"/>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6" name="Straight Connector 425"/>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7" name="Straight Connector 426"/>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8" name="Straight Connector 427"/>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xdr:row>
      <xdr:rowOff>179295</xdr:rowOff>
    </xdr:from>
    <xdr:to>
      <xdr:col>5</xdr:col>
      <xdr:colOff>11206</xdr:colOff>
      <xdr:row>79</xdr:row>
      <xdr:rowOff>179295</xdr:rowOff>
    </xdr:to>
    <xdr:cxnSp macro="">
      <xdr:nvCxnSpPr>
        <xdr:cNvPr id="429" name="Straight Connector 428"/>
        <xdr:cNvCxnSpPr/>
      </xdr:nvCxnSpPr>
      <xdr:spPr>
        <a:xfrm>
          <a:off x="2981325" y="1552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0" name="Straight Connector 429"/>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1" name="Straight Connector 430"/>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2" name="Straight Connector 431"/>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3" name="Straight Connector 432"/>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4" name="Straight Connector 433"/>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5" name="Straight Connector 434"/>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xdr:row>
      <xdr:rowOff>179295</xdr:rowOff>
    </xdr:from>
    <xdr:to>
      <xdr:col>5</xdr:col>
      <xdr:colOff>11206</xdr:colOff>
      <xdr:row>85</xdr:row>
      <xdr:rowOff>179295</xdr:rowOff>
    </xdr:to>
    <xdr:cxnSp macro="">
      <xdr:nvCxnSpPr>
        <xdr:cNvPr id="436" name="Straight Connector 435"/>
        <xdr:cNvCxnSpPr/>
      </xdr:nvCxnSpPr>
      <xdr:spPr>
        <a:xfrm>
          <a:off x="2981325" y="1666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7" name="Straight Connector 436"/>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38" name="Straight Connector 437"/>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9" name="Straight Connector 438"/>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0" name="Straight Connector 439"/>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41" name="Straight Connector 440"/>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2" name="Straight Connector 441"/>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xdr:row>
      <xdr:rowOff>179295</xdr:rowOff>
    </xdr:from>
    <xdr:to>
      <xdr:col>5</xdr:col>
      <xdr:colOff>11206</xdr:colOff>
      <xdr:row>91</xdr:row>
      <xdr:rowOff>179295</xdr:rowOff>
    </xdr:to>
    <xdr:cxnSp macro="">
      <xdr:nvCxnSpPr>
        <xdr:cNvPr id="443" name="Straight Connector 442"/>
        <xdr:cNvCxnSpPr/>
      </xdr:nvCxnSpPr>
      <xdr:spPr>
        <a:xfrm>
          <a:off x="2981325" y="1781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4" name="Straight Connector 443"/>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5" name="Straight Connector 444"/>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6" name="Straight Connector 445"/>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7" name="Straight Connector 446"/>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8" name="Straight Connector 447"/>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9" name="Straight Connector 448"/>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97</xdr:row>
      <xdr:rowOff>179295</xdr:rowOff>
    </xdr:from>
    <xdr:to>
      <xdr:col>5</xdr:col>
      <xdr:colOff>11206</xdr:colOff>
      <xdr:row>97</xdr:row>
      <xdr:rowOff>179295</xdr:rowOff>
    </xdr:to>
    <xdr:cxnSp macro="">
      <xdr:nvCxnSpPr>
        <xdr:cNvPr id="450" name="Straight Connector 449"/>
        <xdr:cNvCxnSpPr/>
      </xdr:nvCxnSpPr>
      <xdr:spPr>
        <a:xfrm>
          <a:off x="2981325" y="1895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1" name="Straight Connector 450"/>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2" name="Straight Connector 451"/>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3" name="Straight Connector 452"/>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4" name="Straight Connector 453"/>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5" name="Straight Connector 454"/>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6" name="Straight Connector 455"/>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103</xdr:row>
      <xdr:rowOff>179295</xdr:rowOff>
    </xdr:from>
    <xdr:to>
      <xdr:col>5</xdr:col>
      <xdr:colOff>11206</xdr:colOff>
      <xdr:row>103</xdr:row>
      <xdr:rowOff>179295</xdr:rowOff>
    </xdr:to>
    <xdr:cxnSp macro="">
      <xdr:nvCxnSpPr>
        <xdr:cNvPr id="457" name="Straight Connector 456"/>
        <xdr:cNvCxnSpPr/>
      </xdr:nvCxnSpPr>
      <xdr:spPr>
        <a:xfrm>
          <a:off x="2981325" y="2009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58" name="Straight Connector 457"/>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59" name="Straight Connector 458"/>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0" name="Straight Connector 459"/>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1" name="Straight Connector 460"/>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2" name="Straight Connector 461"/>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3" name="Straight Connector 462"/>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129</xdr:row>
      <xdr:rowOff>179295</xdr:rowOff>
    </xdr:from>
    <xdr:to>
      <xdr:col>5</xdr:col>
      <xdr:colOff>11206</xdr:colOff>
      <xdr:row>129</xdr:row>
      <xdr:rowOff>179295</xdr:rowOff>
    </xdr:to>
    <xdr:cxnSp macro="">
      <xdr:nvCxnSpPr>
        <xdr:cNvPr id="464" name="Straight Connector 463"/>
        <xdr:cNvCxnSpPr/>
      </xdr:nvCxnSpPr>
      <xdr:spPr>
        <a:xfrm>
          <a:off x="2981325" y="2504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5" name="Straight Connector 464"/>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6" name="Straight Connector 465"/>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7" name="Straight Connector 466"/>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8" name="Straight Connector 467"/>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9" name="Straight Connector 468"/>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70" name="Straight Connector 469"/>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126</xdr:row>
      <xdr:rowOff>179295</xdr:rowOff>
    </xdr:from>
    <xdr:to>
      <xdr:col>5</xdr:col>
      <xdr:colOff>11206</xdr:colOff>
      <xdr:row>126</xdr:row>
      <xdr:rowOff>179295</xdr:rowOff>
    </xdr:to>
    <xdr:cxnSp macro="">
      <xdr:nvCxnSpPr>
        <xdr:cNvPr id="471" name="Straight Connector 470"/>
        <xdr:cNvCxnSpPr/>
      </xdr:nvCxnSpPr>
      <xdr:spPr>
        <a:xfrm>
          <a:off x="2981325" y="2447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2" name="Straight Connector 471"/>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3" name="Straight Connector 472"/>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4" name="Straight Connector 473"/>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5" name="Straight Connector 474"/>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6" name="Straight Connector 475"/>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7" name="Straight Connector 476"/>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123</xdr:row>
      <xdr:rowOff>179295</xdr:rowOff>
    </xdr:from>
    <xdr:to>
      <xdr:col>5</xdr:col>
      <xdr:colOff>11206</xdr:colOff>
      <xdr:row>123</xdr:row>
      <xdr:rowOff>179295</xdr:rowOff>
    </xdr:to>
    <xdr:cxnSp macro="">
      <xdr:nvCxnSpPr>
        <xdr:cNvPr id="478" name="Straight Connector 477"/>
        <xdr:cNvCxnSpPr/>
      </xdr:nvCxnSpPr>
      <xdr:spPr>
        <a:xfrm>
          <a:off x="2981325" y="2390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120</xdr:row>
      <xdr:rowOff>179295</xdr:rowOff>
    </xdr:from>
    <xdr:to>
      <xdr:col>5</xdr:col>
      <xdr:colOff>11206</xdr:colOff>
      <xdr:row>120</xdr:row>
      <xdr:rowOff>179295</xdr:rowOff>
    </xdr:to>
    <xdr:cxnSp macro="">
      <xdr:nvCxnSpPr>
        <xdr:cNvPr id="479" name="Straight Connector 478"/>
        <xdr:cNvCxnSpPr/>
      </xdr:nvCxnSpPr>
      <xdr:spPr>
        <a:xfrm>
          <a:off x="2981325" y="2333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0" name="Straight Connector 479"/>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1" name="Straight Connector 480"/>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2" name="Straight Connector 481"/>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3" name="Straight Connector 482"/>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4" name="Straight Connector 483"/>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5" name="Straight Connector 484"/>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6" name="Straight Connector 485"/>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7" name="Straight Connector 486"/>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8" name="Straight Connector 487"/>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9" name="Straight Connector 488"/>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90" name="Straight Connector 489"/>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1" name="Straight Connector 490"/>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2" name="Straight Connector 491"/>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3" name="Straight Connector 492"/>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4" name="Straight Connector 493"/>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5" name="Straight Connector 494"/>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6" name="Straight Connector 495"/>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7" name="Straight Connector 496"/>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8" name="Straight Connector 497"/>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9" name="Straight Connector 498"/>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500" name="Straight Connector 499"/>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501" name="Straight Connector 500"/>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2" name="Straight Connector 501"/>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3" name="Straight Connector 502"/>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4" name="Straight Connector 503"/>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5" name="Straight Connector 504"/>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6" name="Straight Connector 505"/>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7" name="Straight Connector 506"/>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08" name="Straight Connector 507"/>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9" name="Straight Connector 508"/>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0" name="Straight Connector 509"/>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11" name="Straight Connector 510"/>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2" name="Straight Connector 511"/>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123</xdr:row>
      <xdr:rowOff>0</xdr:rowOff>
    </xdr:from>
    <xdr:to>
      <xdr:col>5</xdr:col>
      <xdr:colOff>0</xdr:colOff>
      <xdr:row>123</xdr:row>
      <xdr:rowOff>187699</xdr:rowOff>
    </xdr:to>
    <xdr:cxnSp macro="">
      <xdr:nvCxnSpPr>
        <xdr:cNvPr id="513" name="Straight Connector 512"/>
        <xdr:cNvCxnSpPr/>
      </xdr:nvCxnSpPr>
      <xdr:spPr>
        <a:xfrm flipV="1">
          <a:off x="3990975" y="2372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120</xdr:row>
      <xdr:rowOff>0</xdr:rowOff>
    </xdr:from>
    <xdr:to>
      <xdr:col>5</xdr:col>
      <xdr:colOff>0</xdr:colOff>
      <xdr:row>120</xdr:row>
      <xdr:rowOff>187699</xdr:rowOff>
    </xdr:to>
    <xdr:cxnSp macro="">
      <xdr:nvCxnSpPr>
        <xdr:cNvPr id="514" name="Straight Connector 513"/>
        <xdr:cNvCxnSpPr/>
      </xdr:nvCxnSpPr>
      <xdr:spPr>
        <a:xfrm flipV="1">
          <a:off x="3990975" y="2315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151</xdr:row>
      <xdr:rowOff>0</xdr:rowOff>
    </xdr:from>
    <xdr:to>
      <xdr:col>5</xdr:col>
      <xdr:colOff>0</xdr:colOff>
      <xdr:row>151</xdr:row>
      <xdr:rowOff>188399</xdr:rowOff>
    </xdr:to>
    <xdr:cxnSp macro="">
      <xdr:nvCxnSpPr>
        <xdr:cNvPr id="515" name="Straight Connector 514"/>
        <xdr:cNvCxnSpPr/>
      </xdr:nvCxnSpPr>
      <xdr:spPr>
        <a:xfrm flipV="1">
          <a:off x="3990975" y="2906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xdr:row>
      <xdr:rowOff>179295</xdr:rowOff>
    </xdr:from>
    <xdr:to>
      <xdr:col>5</xdr:col>
      <xdr:colOff>11206</xdr:colOff>
      <xdr:row>153</xdr:row>
      <xdr:rowOff>179295</xdr:rowOff>
    </xdr:to>
    <xdr:cxnSp macro="">
      <xdr:nvCxnSpPr>
        <xdr:cNvPr id="516" name="Straight Connector 515"/>
        <xdr:cNvCxnSpPr/>
      </xdr:nvCxnSpPr>
      <xdr:spPr>
        <a:xfrm>
          <a:off x="2981325" y="2962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153</xdr:row>
      <xdr:rowOff>0</xdr:rowOff>
    </xdr:from>
    <xdr:to>
      <xdr:col>5</xdr:col>
      <xdr:colOff>0</xdr:colOff>
      <xdr:row>153</xdr:row>
      <xdr:rowOff>188399</xdr:rowOff>
    </xdr:to>
    <xdr:cxnSp macro="">
      <xdr:nvCxnSpPr>
        <xdr:cNvPr id="517" name="Straight Connector 516"/>
        <xdr:cNvCxnSpPr/>
      </xdr:nvCxnSpPr>
      <xdr:spPr>
        <a:xfrm flipV="1">
          <a:off x="3990975" y="2944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xdr:row>
      <xdr:rowOff>179295</xdr:rowOff>
    </xdr:from>
    <xdr:to>
      <xdr:col>5</xdr:col>
      <xdr:colOff>11206</xdr:colOff>
      <xdr:row>155</xdr:row>
      <xdr:rowOff>179295</xdr:rowOff>
    </xdr:to>
    <xdr:cxnSp macro="">
      <xdr:nvCxnSpPr>
        <xdr:cNvPr id="518" name="Straight Connector 517"/>
        <xdr:cNvCxnSpPr/>
      </xdr:nvCxnSpPr>
      <xdr:spPr>
        <a:xfrm>
          <a:off x="2981325" y="3000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155</xdr:row>
      <xdr:rowOff>0</xdr:rowOff>
    </xdr:from>
    <xdr:to>
      <xdr:col>3</xdr:col>
      <xdr:colOff>23112</xdr:colOff>
      <xdr:row>155</xdr:row>
      <xdr:rowOff>188399</xdr:rowOff>
    </xdr:to>
    <xdr:cxnSp macro="">
      <xdr:nvCxnSpPr>
        <xdr:cNvPr id="519" name="Straight Connector 518"/>
        <xdr:cNvCxnSpPr/>
      </xdr:nvCxnSpPr>
      <xdr:spPr>
        <a:xfrm flipV="1">
          <a:off x="3004437" y="2982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0" name="Straight Connector 519"/>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1" name="Straight Connector 520"/>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2" name="Straight Connector 521"/>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xdr:row>
      <xdr:rowOff>179295</xdr:rowOff>
    </xdr:from>
    <xdr:to>
      <xdr:col>5</xdr:col>
      <xdr:colOff>11206</xdr:colOff>
      <xdr:row>157</xdr:row>
      <xdr:rowOff>179295</xdr:rowOff>
    </xdr:to>
    <xdr:cxnSp macro="">
      <xdr:nvCxnSpPr>
        <xdr:cNvPr id="523" name="Straight Connector 522"/>
        <xdr:cNvCxnSpPr/>
      </xdr:nvCxnSpPr>
      <xdr:spPr>
        <a:xfrm>
          <a:off x="2981325" y="3038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157</xdr:row>
      <xdr:rowOff>0</xdr:rowOff>
    </xdr:from>
    <xdr:to>
      <xdr:col>3</xdr:col>
      <xdr:colOff>23112</xdr:colOff>
      <xdr:row>157</xdr:row>
      <xdr:rowOff>188399</xdr:rowOff>
    </xdr:to>
    <xdr:cxnSp macro="">
      <xdr:nvCxnSpPr>
        <xdr:cNvPr id="524" name="Straight Connector 523"/>
        <xdr:cNvCxnSpPr/>
      </xdr:nvCxnSpPr>
      <xdr:spPr>
        <a:xfrm flipV="1">
          <a:off x="3004437" y="3020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5" name="Straight Connector 524"/>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6" name="Straight Connector 525"/>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7" name="Straight Connector 526"/>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742</xdr:row>
      <xdr:rowOff>0</xdr:rowOff>
    </xdr:from>
    <xdr:to>
      <xdr:col>5</xdr:col>
      <xdr:colOff>10232</xdr:colOff>
      <xdr:row>742</xdr:row>
      <xdr:rowOff>0</xdr:rowOff>
    </xdr:to>
    <xdr:cxnSp macro="">
      <xdr:nvCxnSpPr>
        <xdr:cNvPr id="528" name="Straight Connector 527"/>
        <xdr:cNvCxnSpPr/>
      </xdr:nvCxnSpPr>
      <xdr:spPr>
        <a:xfrm>
          <a:off x="2981325" y="141646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745</xdr:row>
      <xdr:rowOff>0</xdr:rowOff>
    </xdr:from>
    <xdr:to>
      <xdr:col>5</xdr:col>
      <xdr:colOff>10232</xdr:colOff>
      <xdr:row>745</xdr:row>
      <xdr:rowOff>0</xdr:rowOff>
    </xdr:to>
    <xdr:cxnSp macro="">
      <xdr:nvCxnSpPr>
        <xdr:cNvPr id="529" name="Straight Connector 528"/>
        <xdr:cNvCxnSpPr/>
      </xdr:nvCxnSpPr>
      <xdr:spPr>
        <a:xfrm>
          <a:off x="2981325" y="142217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748</xdr:row>
      <xdr:rowOff>0</xdr:rowOff>
    </xdr:from>
    <xdr:to>
      <xdr:col>5</xdr:col>
      <xdr:colOff>10232</xdr:colOff>
      <xdr:row>748</xdr:row>
      <xdr:rowOff>0</xdr:rowOff>
    </xdr:to>
    <xdr:cxnSp macro="">
      <xdr:nvCxnSpPr>
        <xdr:cNvPr id="530" name="Straight Connector 529"/>
        <xdr:cNvCxnSpPr/>
      </xdr:nvCxnSpPr>
      <xdr:spPr>
        <a:xfrm>
          <a:off x="2981325" y="142789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751</xdr:row>
      <xdr:rowOff>0</xdr:rowOff>
    </xdr:from>
    <xdr:to>
      <xdr:col>5</xdr:col>
      <xdr:colOff>10232</xdr:colOff>
      <xdr:row>751</xdr:row>
      <xdr:rowOff>0</xdr:rowOff>
    </xdr:to>
    <xdr:cxnSp macro="">
      <xdr:nvCxnSpPr>
        <xdr:cNvPr id="531" name="Straight Connector 530"/>
        <xdr:cNvCxnSpPr/>
      </xdr:nvCxnSpPr>
      <xdr:spPr>
        <a:xfrm>
          <a:off x="2981325" y="143360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754</xdr:row>
      <xdr:rowOff>0</xdr:rowOff>
    </xdr:from>
    <xdr:to>
      <xdr:col>5</xdr:col>
      <xdr:colOff>10232</xdr:colOff>
      <xdr:row>754</xdr:row>
      <xdr:rowOff>0</xdr:rowOff>
    </xdr:to>
    <xdr:cxnSp macro="">
      <xdr:nvCxnSpPr>
        <xdr:cNvPr id="532" name="Straight Connector 531"/>
        <xdr:cNvCxnSpPr/>
      </xdr:nvCxnSpPr>
      <xdr:spPr>
        <a:xfrm>
          <a:off x="2981325" y="143932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757</xdr:row>
      <xdr:rowOff>0</xdr:rowOff>
    </xdr:from>
    <xdr:to>
      <xdr:col>5</xdr:col>
      <xdr:colOff>10232</xdr:colOff>
      <xdr:row>757</xdr:row>
      <xdr:rowOff>0</xdr:rowOff>
    </xdr:to>
    <xdr:cxnSp macro="">
      <xdr:nvCxnSpPr>
        <xdr:cNvPr id="533" name="Straight Connector 532"/>
        <xdr:cNvCxnSpPr/>
      </xdr:nvCxnSpPr>
      <xdr:spPr>
        <a:xfrm>
          <a:off x="2981325" y="144503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760</xdr:row>
      <xdr:rowOff>0</xdr:rowOff>
    </xdr:from>
    <xdr:to>
      <xdr:col>5</xdr:col>
      <xdr:colOff>10232</xdr:colOff>
      <xdr:row>760</xdr:row>
      <xdr:rowOff>0</xdr:rowOff>
    </xdr:to>
    <xdr:cxnSp macro="">
      <xdr:nvCxnSpPr>
        <xdr:cNvPr id="534" name="Straight Connector 533"/>
        <xdr:cNvCxnSpPr/>
      </xdr:nvCxnSpPr>
      <xdr:spPr>
        <a:xfrm>
          <a:off x="2981325" y="145075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763</xdr:row>
      <xdr:rowOff>0</xdr:rowOff>
    </xdr:from>
    <xdr:to>
      <xdr:col>5</xdr:col>
      <xdr:colOff>10232</xdr:colOff>
      <xdr:row>763</xdr:row>
      <xdr:rowOff>0</xdr:rowOff>
    </xdr:to>
    <xdr:cxnSp macro="">
      <xdr:nvCxnSpPr>
        <xdr:cNvPr id="535" name="Straight Connector 534"/>
        <xdr:cNvCxnSpPr/>
      </xdr:nvCxnSpPr>
      <xdr:spPr>
        <a:xfrm>
          <a:off x="2981325" y="145646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766</xdr:row>
      <xdr:rowOff>0</xdr:rowOff>
    </xdr:from>
    <xdr:to>
      <xdr:col>5</xdr:col>
      <xdr:colOff>10232</xdr:colOff>
      <xdr:row>766</xdr:row>
      <xdr:rowOff>0</xdr:rowOff>
    </xdr:to>
    <xdr:cxnSp macro="">
      <xdr:nvCxnSpPr>
        <xdr:cNvPr id="536" name="Straight Connector 535"/>
        <xdr:cNvCxnSpPr/>
      </xdr:nvCxnSpPr>
      <xdr:spPr>
        <a:xfrm>
          <a:off x="2981325" y="146218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769</xdr:row>
      <xdr:rowOff>0</xdr:rowOff>
    </xdr:from>
    <xdr:to>
      <xdr:col>5</xdr:col>
      <xdr:colOff>10232</xdr:colOff>
      <xdr:row>769</xdr:row>
      <xdr:rowOff>0</xdr:rowOff>
    </xdr:to>
    <xdr:cxnSp macro="">
      <xdr:nvCxnSpPr>
        <xdr:cNvPr id="537" name="Straight Connector 536"/>
        <xdr:cNvCxnSpPr/>
      </xdr:nvCxnSpPr>
      <xdr:spPr>
        <a:xfrm>
          <a:off x="2981325" y="146789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772</xdr:row>
      <xdr:rowOff>0</xdr:rowOff>
    </xdr:from>
    <xdr:to>
      <xdr:col>5</xdr:col>
      <xdr:colOff>10232</xdr:colOff>
      <xdr:row>772</xdr:row>
      <xdr:rowOff>0</xdr:rowOff>
    </xdr:to>
    <xdr:cxnSp macro="">
      <xdr:nvCxnSpPr>
        <xdr:cNvPr id="538" name="Straight Connector 537"/>
        <xdr:cNvCxnSpPr/>
      </xdr:nvCxnSpPr>
      <xdr:spPr>
        <a:xfrm>
          <a:off x="2981325" y="147361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775</xdr:row>
      <xdr:rowOff>0</xdr:rowOff>
    </xdr:from>
    <xdr:to>
      <xdr:col>5</xdr:col>
      <xdr:colOff>10232</xdr:colOff>
      <xdr:row>775</xdr:row>
      <xdr:rowOff>0</xdr:rowOff>
    </xdr:to>
    <xdr:cxnSp macro="">
      <xdr:nvCxnSpPr>
        <xdr:cNvPr id="539" name="Straight Connector 538"/>
        <xdr:cNvCxnSpPr/>
      </xdr:nvCxnSpPr>
      <xdr:spPr>
        <a:xfrm>
          <a:off x="2981325" y="147932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778</xdr:row>
      <xdr:rowOff>0</xdr:rowOff>
    </xdr:from>
    <xdr:to>
      <xdr:col>5</xdr:col>
      <xdr:colOff>10232</xdr:colOff>
      <xdr:row>778</xdr:row>
      <xdr:rowOff>0</xdr:rowOff>
    </xdr:to>
    <xdr:cxnSp macro="">
      <xdr:nvCxnSpPr>
        <xdr:cNvPr id="540" name="Straight Connector 539"/>
        <xdr:cNvCxnSpPr/>
      </xdr:nvCxnSpPr>
      <xdr:spPr>
        <a:xfrm>
          <a:off x="2981325" y="148504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582</xdr:row>
      <xdr:rowOff>74935</xdr:rowOff>
    </xdr:from>
    <xdr:to>
      <xdr:col>5</xdr:col>
      <xdr:colOff>2924</xdr:colOff>
      <xdr:row>582</xdr:row>
      <xdr:rowOff>74935</xdr:rowOff>
    </xdr:to>
    <xdr:cxnSp macro="">
      <xdr:nvCxnSpPr>
        <xdr:cNvPr id="541" name="Straight Connector 540"/>
        <xdr:cNvCxnSpPr/>
      </xdr:nvCxnSpPr>
      <xdr:spPr>
        <a:xfrm>
          <a:off x="2973457" y="11124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585</xdr:row>
      <xdr:rowOff>74935</xdr:rowOff>
    </xdr:from>
    <xdr:to>
      <xdr:col>5</xdr:col>
      <xdr:colOff>2924</xdr:colOff>
      <xdr:row>585</xdr:row>
      <xdr:rowOff>74935</xdr:rowOff>
    </xdr:to>
    <xdr:cxnSp macro="">
      <xdr:nvCxnSpPr>
        <xdr:cNvPr id="542" name="Straight Connector 541"/>
        <xdr:cNvCxnSpPr/>
      </xdr:nvCxnSpPr>
      <xdr:spPr>
        <a:xfrm>
          <a:off x="2973457" y="11181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588</xdr:row>
      <xdr:rowOff>74935</xdr:rowOff>
    </xdr:from>
    <xdr:to>
      <xdr:col>5</xdr:col>
      <xdr:colOff>2924</xdr:colOff>
      <xdr:row>588</xdr:row>
      <xdr:rowOff>74935</xdr:rowOff>
    </xdr:to>
    <xdr:cxnSp macro="">
      <xdr:nvCxnSpPr>
        <xdr:cNvPr id="543" name="Straight Connector 542"/>
        <xdr:cNvCxnSpPr/>
      </xdr:nvCxnSpPr>
      <xdr:spPr>
        <a:xfrm>
          <a:off x="2973457" y="11238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591</xdr:row>
      <xdr:rowOff>74935</xdr:rowOff>
    </xdr:from>
    <xdr:to>
      <xdr:col>5</xdr:col>
      <xdr:colOff>2924</xdr:colOff>
      <xdr:row>591</xdr:row>
      <xdr:rowOff>74935</xdr:rowOff>
    </xdr:to>
    <xdr:cxnSp macro="">
      <xdr:nvCxnSpPr>
        <xdr:cNvPr id="544" name="Straight Connector 543"/>
        <xdr:cNvCxnSpPr/>
      </xdr:nvCxnSpPr>
      <xdr:spPr>
        <a:xfrm>
          <a:off x="2973457" y="11295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594</xdr:row>
      <xdr:rowOff>74935</xdr:rowOff>
    </xdr:from>
    <xdr:to>
      <xdr:col>5</xdr:col>
      <xdr:colOff>2924</xdr:colOff>
      <xdr:row>594</xdr:row>
      <xdr:rowOff>74935</xdr:rowOff>
    </xdr:to>
    <xdr:cxnSp macro="">
      <xdr:nvCxnSpPr>
        <xdr:cNvPr id="545" name="Straight Connector 544"/>
        <xdr:cNvCxnSpPr/>
      </xdr:nvCxnSpPr>
      <xdr:spPr>
        <a:xfrm>
          <a:off x="2973457" y="11352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597</xdr:row>
      <xdr:rowOff>74935</xdr:rowOff>
    </xdr:from>
    <xdr:to>
      <xdr:col>5</xdr:col>
      <xdr:colOff>2924</xdr:colOff>
      <xdr:row>597</xdr:row>
      <xdr:rowOff>74935</xdr:rowOff>
    </xdr:to>
    <xdr:cxnSp macro="">
      <xdr:nvCxnSpPr>
        <xdr:cNvPr id="546" name="Straight Connector 545"/>
        <xdr:cNvCxnSpPr/>
      </xdr:nvCxnSpPr>
      <xdr:spPr>
        <a:xfrm>
          <a:off x="2973457" y="11409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600</xdr:row>
      <xdr:rowOff>74935</xdr:rowOff>
    </xdr:from>
    <xdr:to>
      <xdr:col>5</xdr:col>
      <xdr:colOff>2924</xdr:colOff>
      <xdr:row>600</xdr:row>
      <xdr:rowOff>74935</xdr:rowOff>
    </xdr:to>
    <xdr:cxnSp macro="">
      <xdr:nvCxnSpPr>
        <xdr:cNvPr id="547" name="Straight Connector 546"/>
        <xdr:cNvCxnSpPr/>
      </xdr:nvCxnSpPr>
      <xdr:spPr>
        <a:xfrm>
          <a:off x="2973457" y="11467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603</xdr:row>
      <xdr:rowOff>74935</xdr:rowOff>
    </xdr:from>
    <xdr:to>
      <xdr:col>5</xdr:col>
      <xdr:colOff>2924</xdr:colOff>
      <xdr:row>603</xdr:row>
      <xdr:rowOff>74935</xdr:rowOff>
    </xdr:to>
    <xdr:cxnSp macro="">
      <xdr:nvCxnSpPr>
        <xdr:cNvPr id="548" name="Straight Connector 547"/>
        <xdr:cNvCxnSpPr/>
      </xdr:nvCxnSpPr>
      <xdr:spPr>
        <a:xfrm>
          <a:off x="2973457" y="11524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606</xdr:row>
      <xdr:rowOff>74935</xdr:rowOff>
    </xdr:from>
    <xdr:to>
      <xdr:col>5</xdr:col>
      <xdr:colOff>2924</xdr:colOff>
      <xdr:row>606</xdr:row>
      <xdr:rowOff>74935</xdr:rowOff>
    </xdr:to>
    <xdr:cxnSp macro="">
      <xdr:nvCxnSpPr>
        <xdr:cNvPr id="549" name="Straight Connector 548"/>
        <xdr:cNvCxnSpPr/>
      </xdr:nvCxnSpPr>
      <xdr:spPr>
        <a:xfrm>
          <a:off x="2973457" y="11581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609</xdr:row>
      <xdr:rowOff>74935</xdr:rowOff>
    </xdr:from>
    <xdr:to>
      <xdr:col>5</xdr:col>
      <xdr:colOff>2924</xdr:colOff>
      <xdr:row>609</xdr:row>
      <xdr:rowOff>74935</xdr:rowOff>
    </xdr:to>
    <xdr:cxnSp macro="">
      <xdr:nvCxnSpPr>
        <xdr:cNvPr id="550" name="Straight Connector 549"/>
        <xdr:cNvCxnSpPr/>
      </xdr:nvCxnSpPr>
      <xdr:spPr>
        <a:xfrm>
          <a:off x="2973457" y="11638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579</xdr:row>
      <xdr:rowOff>74935</xdr:rowOff>
    </xdr:from>
    <xdr:to>
      <xdr:col>5</xdr:col>
      <xdr:colOff>2924</xdr:colOff>
      <xdr:row>579</xdr:row>
      <xdr:rowOff>74935</xdr:rowOff>
    </xdr:to>
    <xdr:cxnSp macro="">
      <xdr:nvCxnSpPr>
        <xdr:cNvPr id="551" name="Straight Connector 550"/>
        <xdr:cNvCxnSpPr/>
      </xdr:nvCxnSpPr>
      <xdr:spPr>
        <a:xfrm>
          <a:off x="2973457" y="11066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576</xdr:row>
      <xdr:rowOff>74935</xdr:rowOff>
    </xdr:from>
    <xdr:to>
      <xdr:col>5</xdr:col>
      <xdr:colOff>2924</xdr:colOff>
      <xdr:row>576</xdr:row>
      <xdr:rowOff>74935</xdr:rowOff>
    </xdr:to>
    <xdr:cxnSp macro="">
      <xdr:nvCxnSpPr>
        <xdr:cNvPr id="552" name="Straight Connector 551"/>
        <xdr:cNvCxnSpPr/>
      </xdr:nvCxnSpPr>
      <xdr:spPr>
        <a:xfrm>
          <a:off x="2973457" y="11009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612</xdr:row>
      <xdr:rowOff>74935</xdr:rowOff>
    </xdr:from>
    <xdr:to>
      <xdr:col>5</xdr:col>
      <xdr:colOff>2924</xdr:colOff>
      <xdr:row>612</xdr:row>
      <xdr:rowOff>74935</xdr:rowOff>
    </xdr:to>
    <xdr:cxnSp macro="">
      <xdr:nvCxnSpPr>
        <xdr:cNvPr id="553" name="Straight Connector 552"/>
        <xdr:cNvCxnSpPr/>
      </xdr:nvCxnSpPr>
      <xdr:spPr>
        <a:xfrm>
          <a:off x="2973457" y="11695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385081</xdr:colOff>
      <xdr:row>4</xdr:row>
      <xdr:rowOff>297027</xdr:rowOff>
    </xdr:from>
    <xdr:to>
      <xdr:col>3</xdr:col>
      <xdr:colOff>392907</xdr:colOff>
      <xdr:row>8</xdr:row>
      <xdr:rowOff>154781</xdr:rowOff>
    </xdr:to>
    <xdr:cxnSp macro="">
      <xdr:nvCxnSpPr>
        <xdr:cNvPr id="2" name="Straight Connector 1"/>
        <xdr:cNvCxnSpPr/>
      </xdr:nvCxnSpPr>
      <xdr:spPr>
        <a:xfrm>
          <a:off x="3166381" y="1116177"/>
          <a:ext cx="7826" cy="75310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xdr:row>
      <xdr:rowOff>142875</xdr:rowOff>
    </xdr:from>
    <xdr:to>
      <xdr:col>4</xdr:col>
      <xdr:colOff>11908</xdr:colOff>
      <xdr:row>8</xdr:row>
      <xdr:rowOff>154782</xdr:rowOff>
    </xdr:to>
    <xdr:cxnSp macro="">
      <xdr:nvCxnSpPr>
        <xdr:cNvPr id="3" name="Straight Connector 2"/>
        <xdr:cNvCxnSpPr/>
      </xdr:nvCxnSpPr>
      <xdr:spPr>
        <a:xfrm flipH="1" flipV="1">
          <a:off x="3150395" y="185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4" name="Straight Arrow Connector 3"/>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xdr:row>
      <xdr:rowOff>11907</xdr:rowOff>
    </xdr:from>
    <xdr:to>
      <xdr:col>3</xdr:col>
      <xdr:colOff>130969</xdr:colOff>
      <xdr:row>8</xdr:row>
      <xdr:rowOff>154782</xdr:rowOff>
    </xdr:to>
    <xdr:cxnSp macro="">
      <xdr:nvCxnSpPr>
        <xdr:cNvPr id="5" name="Straight Arrow Connector 4"/>
        <xdr:cNvCxnSpPr/>
      </xdr:nvCxnSpPr>
      <xdr:spPr>
        <a:xfrm>
          <a:off x="2912269"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xdr:row>
      <xdr:rowOff>89297</xdr:rowOff>
    </xdr:from>
    <xdr:to>
      <xdr:col>3</xdr:col>
      <xdr:colOff>178594</xdr:colOff>
      <xdr:row>12</xdr:row>
      <xdr:rowOff>59531</xdr:rowOff>
    </xdr:to>
    <xdr:cxnSp macro="">
      <xdr:nvCxnSpPr>
        <xdr:cNvPr id="6" name="Straight Connector 5"/>
        <xdr:cNvCxnSpPr/>
      </xdr:nvCxnSpPr>
      <xdr:spPr>
        <a:xfrm>
          <a:off x="2840831"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xdr:row>
      <xdr:rowOff>35719</xdr:rowOff>
    </xdr:from>
    <xdr:to>
      <xdr:col>3</xdr:col>
      <xdr:colOff>285750</xdr:colOff>
      <xdr:row>11</xdr:row>
      <xdr:rowOff>154781</xdr:rowOff>
    </xdr:to>
    <xdr:cxnSp macro="">
      <xdr:nvCxnSpPr>
        <xdr:cNvPr id="7" name="Straight Connector 6"/>
        <xdr:cNvCxnSpPr/>
      </xdr:nvCxnSpPr>
      <xdr:spPr>
        <a:xfrm>
          <a:off x="2876550"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xdr:row>
      <xdr:rowOff>124558</xdr:rowOff>
    </xdr:from>
    <xdr:to>
      <xdr:col>3</xdr:col>
      <xdr:colOff>381000</xdr:colOff>
      <xdr:row>23</xdr:row>
      <xdr:rowOff>124558</xdr:rowOff>
    </xdr:to>
    <xdr:cxnSp macro="">
      <xdr:nvCxnSpPr>
        <xdr:cNvPr id="8" name="Straight Connector 7"/>
        <xdr:cNvCxnSpPr/>
      </xdr:nvCxnSpPr>
      <xdr:spPr>
        <a:xfrm flipH="1">
          <a:off x="2713986" y="4125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xdr:row>
      <xdr:rowOff>139212</xdr:rowOff>
    </xdr:from>
    <xdr:to>
      <xdr:col>4</xdr:col>
      <xdr:colOff>116773</xdr:colOff>
      <xdr:row>23</xdr:row>
      <xdr:rowOff>117231</xdr:rowOff>
    </xdr:to>
    <xdr:cxnSp macro="">
      <xdr:nvCxnSpPr>
        <xdr:cNvPr id="9" name="Straight Connector 8"/>
        <xdr:cNvCxnSpPr/>
      </xdr:nvCxnSpPr>
      <xdr:spPr>
        <a:xfrm>
          <a:off x="3162300" y="4139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xdr:row>
      <xdr:rowOff>118956</xdr:rowOff>
    </xdr:from>
    <xdr:to>
      <xdr:col>4</xdr:col>
      <xdr:colOff>134902</xdr:colOff>
      <xdr:row>23</xdr:row>
      <xdr:rowOff>118956</xdr:rowOff>
    </xdr:to>
    <xdr:cxnSp macro="">
      <xdr:nvCxnSpPr>
        <xdr:cNvPr id="10" name="Straight Connector 9"/>
        <xdr:cNvCxnSpPr/>
      </xdr:nvCxnSpPr>
      <xdr:spPr>
        <a:xfrm>
          <a:off x="2706955" y="4690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21</xdr:row>
      <xdr:rowOff>36635</xdr:rowOff>
    </xdr:from>
    <xdr:to>
      <xdr:col>3</xdr:col>
      <xdr:colOff>300404</xdr:colOff>
      <xdr:row>22</xdr:row>
      <xdr:rowOff>45337</xdr:rowOff>
    </xdr:to>
    <xdr:cxnSp macro="">
      <xdr:nvCxnSpPr>
        <xdr:cNvPr id="11" name="Straight Connector 10"/>
        <xdr:cNvCxnSpPr/>
      </xdr:nvCxnSpPr>
      <xdr:spPr>
        <a:xfrm flipH="1">
          <a:off x="3076209"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21</xdr:row>
      <xdr:rowOff>25749</xdr:rowOff>
    </xdr:from>
    <xdr:to>
      <xdr:col>3</xdr:col>
      <xdr:colOff>472128</xdr:colOff>
      <xdr:row>22</xdr:row>
      <xdr:rowOff>36635</xdr:rowOff>
    </xdr:to>
    <xdr:cxnSp macro="">
      <xdr:nvCxnSpPr>
        <xdr:cNvPr id="12" name="Straight Connector 11"/>
        <xdr:cNvCxnSpPr/>
      </xdr:nvCxnSpPr>
      <xdr:spPr>
        <a:xfrm>
          <a:off x="3235569"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xdr:row>
      <xdr:rowOff>44824</xdr:rowOff>
    </xdr:from>
    <xdr:to>
      <xdr:col>3</xdr:col>
      <xdr:colOff>67235</xdr:colOff>
      <xdr:row>13</xdr:row>
      <xdr:rowOff>156883</xdr:rowOff>
    </xdr:to>
    <xdr:cxnSp macro="">
      <xdr:nvCxnSpPr>
        <xdr:cNvPr id="13" name="Straight Connector 12"/>
        <xdr:cNvCxnSpPr/>
      </xdr:nvCxnSpPr>
      <xdr:spPr>
        <a:xfrm>
          <a:off x="2848535"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13</xdr:row>
      <xdr:rowOff>166690</xdr:rowOff>
    </xdr:from>
    <xdr:to>
      <xdr:col>3</xdr:col>
      <xdr:colOff>712867</xdr:colOff>
      <xdr:row>13</xdr:row>
      <xdr:rowOff>168519</xdr:rowOff>
    </xdr:to>
    <xdr:cxnSp macro="">
      <xdr:nvCxnSpPr>
        <xdr:cNvPr id="14" name="Straight Connector 13"/>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xdr:row>
      <xdr:rowOff>41673</xdr:rowOff>
    </xdr:from>
    <xdr:to>
      <xdr:col>4</xdr:col>
      <xdr:colOff>12211</xdr:colOff>
      <xdr:row>14</xdr:row>
      <xdr:rowOff>0</xdr:rowOff>
    </xdr:to>
    <xdr:cxnSp macro="">
      <xdr:nvCxnSpPr>
        <xdr:cNvPr id="15" name="Straight Connector 14"/>
        <xdr:cNvCxnSpPr/>
      </xdr:nvCxnSpPr>
      <xdr:spPr>
        <a:xfrm flipH="1" flipV="1">
          <a:off x="3495675"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xdr:row>
      <xdr:rowOff>32918</xdr:rowOff>
    </xdr:from>
    <xdr:to>
      <xdr:col>4</xdr:col>
      <xdr:colOff>17861</xdr:colOff>
      <xdr:row>11</xdr:row>
      <xdr:rowOff>35719</xdr:rowOff>
    </xdr:to>
    <xdr:cxnSp macro="">
      <xdr:nvCxnSpPr>
        <xdr:cNvPr id="16" name="Straight Connector 15"/>
        <xdr:cNvCxnSpPr/>
      </xdr:nvCxnSpPr>
      <xdr:spPr>
        <a:xfrm flipH="1">
          <a:off x="2840831" y="231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89297</xdr:rowOff>
    </xdr:from>
    <xdr:to>
      <xdr:col>3</xdr:col>
      <xdr:colOff>178594</xdr:colOff>
      <xdr:row>17</xdr:row>
      <xdr:rowOff>59531</xdr:rowOff>
    </xdr:to>
    <xdr:cxnSp macro="">
      <xdr:nvCxnSpPr>
        <xdr:cNvPr id="17" name="Straight Connector 16"/>
        <xdr:cNvCxnSpPr/>
      </xdr:nvCxnSpPr>
      <xdr:spPr>
        <a:xfrm>
          <a:off x="2840831"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xdr:row>
      <xdr:rowOff>35719</xdr:rowOff>
    </xdr:from>
    <xdr:to>
      <xdr:col>3</xdr:col>
      <xdr:colOff>285750</xdr:colOff>
      <xdr:row>16</xdr:row>
      <xdr:rowOff>154781</xdr:rowOff>
    </xdr:to>
    <xdr:cxnSp macro="">
      <xdr:nvCxnSpPr>
        <xdr:cNvPr id="18" name="Straight Connector 17"/>
        <xdr:cNvCxnSpPr/>
      </xdr:nvCxnSpPr>
      <xdr:spPr>
        <a:xfrm>
          <a:off x="2876550"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xdr:row>
      <xdr:rowOff>44824</xdr:rowOff>
    </xdr:from>
    <xdr:to>
      <xdr:col>3</xdr:col>
      <xdr:colOff>67235</xdr:colOff>
      <xdr:row>18</xdr:row>
      <xdr:rowOff>156883</xdr:rowOff>
    </xdr:to>
    <xdr:cxnSp macro="">
      <xdr:nvCxnSpPr>
        <xdr:cNvPr id="19" name="Straight Connector 18"/>
        <xdr:cNvCxnSpPr/>
      </xdr:nvCxnSpPr>
      <xdr:spPr>
        <a:xfrm>
          <a:off x="2848535"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xdr:row>
      <xdr:rowOff>166690</xdr:rowOff>
    </xdr:from>
    <xdr:to>
      <xdr:col>4</xdr:col>
      <xdr:colOff>29308</xdr:colOff>
      <xdr:row>18</xdr:row>
      <xdr:rowOff>168519</xdr:rowOff>
    </xdr:to>
    <xdr:cxnSp macro="">
      <xdr:nvCxnSpPr>
        <xdr:cNvPr id="20" name="Straight Connector 19"/>
        <xdr:cNvCxnSpPr/>
      </xdr:nvCxnSpPr>
      <xdr:spPr>
        <a:xfrm>
          <a:off x="2840831" y="378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xdr:row>
      <xdr:rowOff>41673</xdr:rowOff>
    </xdr:from>
    <xdr:to>
      <xdr:col>4</xdr:col>
      <xdr:colOff>12211</xdr:colOff>
      <xdr:row>19</xdr:row>
      <xdr:rowOff>0</xdr:rowOff>
    </xdr:to>
    <xdr:cxnSp macro="">
      <xdr:nvCxnSpPr>
        <xdr:cNvPr id="21" name="Straight Connector 20"/>
        <xdr:cNvCxnSpPr/>
      </xdr:nvCxnSpPr>
      <xdr:spPr>
        <a:xfrm flipH="1" flipV="1">
          <a:off x="3495675"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32918</xdr:rowOff>
    </xdr:from>
    <xdr:to>
      <xdr:col>4</xdr:col>
      <xdr:colOff>17861</xdr:colOff>
      <xdr:row>16</xdr:row>
      <xdr:rowOff>35719</xdr:rowOff>
    </xdr:to>
    <xdr:cxnSp macro="">
      <xdr:nvCxnSpPr>
        <xdr:cNvPr id="22" name="Straight Connector 21"/>
        <xdr:cNvCxnSpPr/>
      </xdr:nvCxnSpPr>
      <xdr:spPr>
        <a:xfrm flipH="1">
          <a:off x="2840831" y="327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25</xdr:row>
      <xdr:rowOff>124558</xdr:rowOff>
    </xdr:from>
    <xdr:to>
      <xdr:col>3</xdr:col>
      <xdr:colOff>381000</xdr:colOff>
      <xdr:row>28</xdr:row>
      <xdr:rowOff>124558</xdr:rowOff>
    </xdr:to>
    <xdr:cxnSp macro="">
      <xdr:nvCxnSpPr>
        <xdr:cNvPr id="23" name="Straight Connector 22"/>
        <xdr:cNvCxnSpPr/>
      </xdr:nvCxnSpPr>
      <xdr:spPr>
        <a:xfrm flipH="1">
          <a:off x="2713986" y="5077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25</xdr:row>
      <xdr:rowOff>139212</xdr:rowOff>
    </xdr:from>
    <xdr:to>
      <xdr:col>4</xdr:col>
      <xdr:colOff>116773</xdr:colOff>
      <xdr:row>28</xdr:row>
      <xdr:rowOff>117231</xdr:rowOff>
    </xdr:to>
    <xdr:cxnSp macro="">
      <xdr:nvCxnSpPr>
        <xdr:cNvPr id="24" name="Straight Connector 23"/>
        <xdr:cNvCxnSpPr/>
      </xdr:nvCxnSpPr>
      <xdr:spPr>
        <a:xfrm>
          <a:off x="3162300" y="5092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28</xdr:row>
      <xdr:rowOff>118956</xdr:rowOff>
    </xdr:from>
    <xdr:to>
      <xdr:col>4</xdr:col>
      <xdr:colOff>134902</xdr:colOff>
      <xdr:row>28</xdr:row>
      <xdr:rowOff>118956</xdr:rowOff>
    </xdr:to>
    <xdr:cxnSp macro="">
      <xdr:nvCxnSpPr>
        <xdr:cNvPr id="25" name="Straight Connector 24"/>
        <xdr:cNvCxnSpPr/>
      </xdr:nvCxnSpPr>
      <xdr:spPr>
        <a:xfrm>
          <a:off x="2706955" y="5643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26</xdr:row>
      <xdr:rowOff>36635</xdr:rowOff>
    </xdr:from>
    <xdr:to>
      <xdr:col>3</xdr:col>
      <xdr:colOff>300404</xdr:colOff>
      <xdr:row>27</xdr:row>
      <xdr:rowOff>45337</xdr:rowOff>
    </xdr:to>
    <xdr:cxnSp macro="">
      <xdr:nvCxnSpPr>
        <xdr:cNvPr id="26" name="Straight Connector 25"/>
        <xdr:cNvCxnSpPr/>
      </xdr:nvCxnSpPr>
      <xdr:spPr>
        <a:xfrm flipH="1">
          <a:off x="3076209"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26</xdr:row>
      <xdr:rowOff>25749</xdr:rowOff>
    </xdr:from>
    <xdr:to>
      <xdr:col>3</xdr:col>
      <xdr:colOff>472128</xdr:colOff>
      <xdr:row>27</xdr:row>
      <xdr:rowOff>36635</xdr:rowOff>
    </xdr:to>
    <xdr:cxnSp macro="">
      <xdr:nvCxnSpPr>
        <xdr:cNvPr id="27" name="Straight Connector 26"/>
        <xdr:cNvCxnSpPr/>
      </xdr:nvCxnSpPr>
      <xdr:spPr>
        <a:xfrm>
          <a:off x="3235569"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30</xdr:row>
      <xdr:rowOff>297027</xdr:rowOff>
    </xdr:from>
    <xdr:to>
      <xdr:col>3</xdr:col>
      <xdr:colOff>392907</xdr:colOff>
      <xdr:row>34</xdr:row>
      <xdr:rowOff>154781</xdr:rowOff>
    </xdr:to>
    <xdr:cxnSp macro="">
      <xdr:nvCxnSpPr>
        <xdr:cNvPr id="28" name="Straight Connector 27"/>
        <xdr:cNvCxnSpPr/>
      </xdr:nvCxnSpPr>
      <xdr:spPr>
        <a:xfrm>
          <a:off x="3166381"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34</xdr:row>
      <xdr:rowOff>142875</xdr:rowOff>
    </xdr:from>
    <xdr:to>
      <xdr:col>4</xdr:col>
      <xdr:colOff>11908</xdr:colOff>
      <xdr:row>34</xdr:row>
      <xdr:rowOff>154782</xdr:rowOff>
    </xdr:to>
    <xdr:cxnSp macro="">
      <xdr:nvCxnSpPr>
        <xdr:cNvPr id="29" name="Straight Connector 28"/>
        <xdr:cNvCxnSpPr/>
      </xdr:nvCxnSpPr>
      <xdr:spPr>
        <a:xfrm flipH="1" flipV="1">
          <a:off x="3150395" y="681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30" name="Straight Arrow Connector 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xdr:row>
      <xdr:rowOff>11907</xdr:rowOff>
    </xdr:from>
    <xdr:to>
      <xdr:col>3</xdr:col>
      <xdr:colOff>130969</xdr:colOff>
      <xdr:row>34</xdr:row>
      <xdr:rowOff>154782</xdr:rowOff>
    </xdr:to>
    <xdr:cxnSp macro="">
      <xdr:nvCxnSpPr>
        <xdr:cNvPr id="31" name="Straight Arrow Connector 30"/>
        <xdr:cNvCxnSpPr/>
      </xdr:nvCxnSpPr>
      <xdr:spPr>
        <a:xfrm>
          <a:off x="2912269"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37</xdr:row>
      <xdr:rowOff>89297</xdr:rowOff>
    </xdr:from>
    <xdr:to>
      <xdr:col>3</xdr:col>
      <xdr:colOff>178594</xdr:colOff>
      <xdr:row>38</xdr:row>
      <xdr:rowOff>59531</xdr:rowOff>
    </xdr:to>
    <xdr:cxnSp macro="">
      <xdr:nvCxnSpPr>
        <xdr:cNvPr id="32" name="Straight Connector 31"/>
        <xdr:cNvCxnSpPr/>
      </xdr:nvCxnSpPr>
      <xdr:spPr>
        <a:xfrm>
          <a:off x="2840831"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xdr:row>
      <xdr:rowOff>35719</xdr:rowOff>
    </xdr:from>
    <xdr:to>
      <xdr:col>3</xdr:col>
      <xdr:colOff>285750</xdr:colOff>
      <xdr:row>37</xdr:row>
      <xdr:rowOff>154781</xdr:rowOff>
    </xdr:to>
    <xdr:cxnSp macro="">
      <xdr:nvCxnSpPr>
        <xdr:cNvPr id="33" name="Straight Connector 32"/>
        <xdr:cNvCxnSpPr/>
      </xdr:nvCxnSpPr>
      <xdr:spPr>
        <a:xfrm>
          <a:off x="2876550"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46</xdr:row>
      <xdr:rowOff>124558</xdr:rowOff>
    </xdr:from>
    <xdr:to>
      <xdr:col>3</xdr:col>
      <xdr:colOff>381000</xdr:colOff>
      <xdr:row>49</xdr:row>
      <xdr:rowOff>124558</xdr:rowOff>
    </xdr:to>
    <xdr:cxnSp macro="">
      <xdr:nvCxnSpPr>
        <xdr:cNvPr id="34" name="Straight Connector 33"/>
        <xdr:cNvCxnSpPr/>
      </xdr:nvCxnSpPr>
      <xdr:spPr>
        <a:xfrm flipH="1">
          <a:off x="2713986" y="9078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46</xdr:row>
      <xdr:rowOff>139212</xdr:rowOff>
    </xdr:from>
    <xdr:to>
      <xdr:col>4</xdr:col>
      <xdr:colOff>116773</xdr:colOff>
      <xdr:row>49</xdr:row>
      <xdr:rowOff>117231</xdr:rowOff>
    </xdr:to>
    <xdr:cxnSp macro="">
      <xdr:nvCxnSpPr>
        <xdr:cNvPr id="35" name="Straight Connector 34"/>
        <xdr:cNvCxnSpPr/>
      </xdr:nvCxnSpPr>
      <xdr:spPr>
        <a:xfrm>
          <a:off x="3162300" y="9092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49</xdr:row>
      <xdr:rowOff>118956</xdr:rowOff>
    </xdr:from>
    <xdr:to>
      <xdr:col>4</xdr:col>
      <xdr:colOff>134902</xdr:colOff>
      <xdr:row>49</xdr:row>
      <xdr:rowOff>118956</xdr:rowOff>
    </xdr:to>
    <xdr:cxnSp macro="">
      <xdr:nvCxnSpPr>
        <xdr:cNvPr id="36" name="Straight Connector 35"/>
        <xdr:cNvCxnSpPr/>
      </xdr:nvCxnSpPr>
      <xdr:spPr>
        <a:xfrm>
          <a:off x="2706955" y="9643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47</xdr:row>
      <xdr:rowOff>36635</xdr:rowOff>
    </xdr:from>
    <xdr:to>
      <xdr:col>3</xdr:col>
      <xdr:colOff>300404</xdr:colOff>
      <xdr:row>48</xdr:row>
      <xdr:rowOff>45337</xdr:rowOff>
    </xdr:to>
    <xdr:cxnSp macro="">
      <xdr:nvCxnSpPr>
        <xdr:cNvPr id="37" name="Straight Connector 36"/>
        <xdr:cNvCxnSpPr/>
      </xdr:nvCxnSpPr>
      <xdr:spPr>
        <a:xfrm flipH="1">
          <a:off x="3076209"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47</xdr:row>
      <xdr:rowOff>25749</xdr:rowOff>
    </xdr:from>
    <xdr:to>
      <xdr:col>3</xdr:col>
      <xdr:colOff>472128</xdr:colOff>
      <xdr:row>48</xdr:row>
      <xdr:rowOff>36635</xdr:rowOff>
    </xdr:to>
    <xdr:cxnSp macro="">
      <xdr:nvCxnSpPr>
        <xdr:cNvPr id="38" name="Straight Connector 37"/>
        <xdr:cNvCxnSpPr/>
      </xdr:nvCxnSpPr>
      <xdr:spPr>
        <a:xfrm>
          <a:off x="3235569"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xdr:row>
      <xdr:rowOff>44824</xdr:rowOff>
    </xdr:from>
    <xdr:to>
      <xdr:col>3</xdr:col>
      <xdr:colOff>67235</xdr:colOff>
      <xdr:row>39</xdr:row>
      <xdr:rowOff>156883</xdr:rowOff>
    </xdr:to>
    <xdr:cxnSp macro="">
      <xdr:nvCxnSpPr>
        <xdr:cNvPr id="39" name="Straight Connector 38"/>
        <xdr:cNvCxnSpPr/>
      </xdr:nvCxnSpPr>
      <xdr:spPr>
        <a:xfrm>
          <a:off x="2848535"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xdr:row>
      <xdr:rowOff>166690</xdr:rowOff>
    </xdr:from>
    <xdr:to>
      <xdr:col>4</xdr:col>
      <xdr:colOff>29308</xdr:colOff>
      <xdr:row>39</xdr:row>
      <xdr:rowOff>168519</xdr:rowOff>
    </xdr:to>
    <xdr:cxnSp macro="">
      <xdr:nvCxnSpPr>
        <xdr:cNvPr id="40" name="Straight Connector 39"/>
        <xdr:cNvCxnSpPr/>
      </xdr:nvCxnSpPr>
      <xdr:spPr>
        <a:xfrm>
          <a:off x="2840831" y="7786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xdr:row>
      <xdr:rowOff>41673</xdr:rowOff>
    </xdr:from>
    <xdr:to>
      <xdr:col>4</xdr:col>
      <xdr:colOff>12211</xdr:colOff>
      <xdr:row>40</xdr:row>
      <xdr:rowOff>0</xdr:rowOff>
    </xdr:to>
    <xdr:cxnSp macro="">
      <xdr:nvCxnSpPr>
        <xdr:cNvPr id="41" name="Straight Connector 40"/>
        <xdr:cNvCxnSpPr/>
      </xdr:nvCxnSpPr>
      <xdr:spPr>
        <a:xfrm flipH="1" flipV="1">
          <a:off x="3495675"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xdr:row>
      <xdr:rowOff>32918</xdr:rowOff>
    </xdr:from>
    <xdr:to>
      <xdr:col>4</xdr:col>
      <xdr:colOff>17861</xdr:colOff>
      <xdr:row>37</xdr:row>
      <xdr:rowOff>35719</xdr:rowOff>
    </xdr:to>
    <xdr:cxnSp macro="">
      <xdr:nvCxnSpPr>
        <xdr:cNvPr id="42" name="Straight Connector 41"/>
        <xdr:cNvCxnSpPr/>
      </xdr:nvCxnSpPr>
      <xdr:spPr>
        <a:xfrm flipH="1">
          <a:off x="2840831" y="7271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89297</xdr:rowOff>
    </xdr:from>
    <xdr:to>
      <xdr:col>3</xdr:col>
      <xdr:colOff>178594</xdr:colOff>
      <xdr:row>43</xdr:row>
      <xdr:rowOff>59531</xdr:rowOff>
    </xdr:to>
    <xdr:cxnSp macro="">
      <xdr:nvCxnSpPr>
        <xdr:cNvPr id="43" name="Straight Connector 42"/>
        <xdr:cNvCxnSpPr/>
      </xdr:nvCxnSpPr>
      <xdr:spPr>
        <a:xfrm>
          <a:off x="2840831"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xdr:row>
      <xdr:rowOff>35719</xdr:rowOff>
    </xdr:from>
    <xdr:to>
      <xdr:col>3</xdr:col>
      <xdr:colOff>285750</xdr:colOff>
      <xdr:row>42</xdr:row>
      <xdr:rowOff>154781</xdr:rowOff>
    </xdr:to>
    <xdr:cxnSp macro="">
      <xdr:nvCxnSpPr>
        <xdr:cNvPr id="44" name="Straight Connector 43"/>
        <xdr:cNvCxnSpPr/>
      </xdr:nvCxnSpPr>
      <xdr:spPr>
        <a:xfrm>
          <a:off x="2876550"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xdr:row>
      <xdr:rowOff>44824</xdr:rowOff>
    </xdr:from>
    <xdr:to>
      <xdr:col>3</xdr:col>
      <xdr:colOff>67235</xdr:colOff>
      <xdr:row>44</xdr:row>
      <xdr:rowOff>156883</xdr:rowOff>
    </xdr:to>
    <xdr:cxnSp macro="">
      <xdr:nvCxnSpPr>
        <xdr:cNvPr id="45" name="Straight Connector 44"/>
        <xdr:cNvCxnSpPr/>
      </xdr:nvCxnSpPr>
      <xdr:spPr>
        <a:xfrm>
          <a:off x="2848535"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xdr:row>
      <xdr:rowOff>166690</xdr:rowOff>
    </xdr:from>
    <xdr:to>
      <xdr:col>4</xdr:col>
      <xdr:colOff>29308</xdr:colOff>
      <xdr:row>44</xdr:row>
      <xdr:rowOff>168519</xdr:rowOff>
    </xdr:to>
    <xdr:cxnSp macro="">
      <xdr:nvCxnSpPr>
        <xdr:cNvPr id="46" name="Straight Connector 45"/>
        <xdr:cNvCxnSpPr/>
      </xdr:nvCxnSpPr>
      <xdr:spPr>
        <a:xfrm>
          <a:off x="2840831" y="873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xdr:row>
      <xdr:rowOff>41673</xdr:rowOff>
    </xdr:from>
    <xdr:to>
      <xdr:col>4</xdr:col>
      <xdr:colOff>12211</xdr:colOff>
      <xdr:row>45</xdr:row>
      <xdr:rowOff>0</xdr:rowOff>
    </xdr:to>
    <xdr:cxnSp macro="">
      <xdr:nvCxnSpPr>
        <xdr:cNvPr id="47" name="Straight Connector 46"/>
        <xdr:cNvCxnSpPr/>
      </xdr:nvCxnSpPr>
      <xdr:spPr>
        <a:xfrm flipH="1" flipV="1">
          <a:off x="3495675"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32918</xdr:rowOff>
    </xdr:from>
    <xdr:to>
      <xdr:col>4</xdr:col>
      <xdr:colOff>17861</xdr:colOff>
      <xdr:row>42</xdr:row>
      <xdr:rowOff>35719</xdr:rowOff>
    </xdr:to>
    <xdr:cxnSp macro="">
      <xdr:nvCxnSpPr>
        <xdr:cNvPr id="48" name="Straight Connector 47"/>
        <xdr:cNvCxnSpPr/>
      </xdr:nvCxnSpPr>
      <xdr:spPr>
        <a:xfrm flipH="1">
          <a:off x="2840831" y="822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51</xdr:row>
      <xdr:rowOff>124558</xdr:rowOff>
    </xdr:from>
    <xdr:to>
      <xdr:col>3</xdr:col>
      <xdr:colOff>381000</xdr:colOff>
      <xdr:row>54</xdr:row>
      <xdr:rowOff>124558</xdr:rowOff>
    </xdr:to>
    <xdr:cxnSp macro="">
      <xdr:nvCxnSpPr>
        <xdr:cNvPr id="49" name="Straight Connector 48"/>
        <xdr:cNvCxnSpPr/>
      </xdr:nvCxnSpPr>
      <xdr:spPr>
        <a:xfrm flipH="1">
          <a:off x="2713986" y="1003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51</xdr:row>
      <xdr:rowOff>139212</xdr:rowOff>
    </xdr:from>
    <xdr:to>
      <xdr:col>4</xdr:col>
      <xdr:colOff>116773</xdr:colOff>
      <xdr:row>54</xdr:row>
      <xdr:rowOff>117231</xdr:rowOff>
    </xdr:to>
    <xdr:cxnSp macro="">
      <xdr:nvCxnSpPr>
        <xdr:cNvPr id="50" name="Straight Connector 49"/>
        <xdr:cNvCxnSpPr/>
      </xdr:nvCxnSpPr>
      <xdr:spPr>
        <a:xfrm>
          <a:off x="3162300" y="1004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54</xdr:row>
      <xdr:rowOff>118956</xdr:rowOff>
    </xdr:from>
    <xdr:to>
      <xdr:col>4</xdr:col>
      <xdr:colOff>134902</xdr:colOff>
      <xdr:row>54</xdr:row>
      <xdr:rowOff>118956</xdr:rowOff>
    </xdr:to>
    <xdr:cxnSp macro="">
      <xdr:nvCxnSpPr>
        <xdr:cNvPr id="51" name="Straight Connector 50"/>
        <xdr:cNvCxnSpPr/>
      </xdr:nvCxnSpPr>
      <xdr:spPr>
        <a:xfrm>
          <a:off x="2706955" y="1059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52</xdr:row>
      <xdr:rowOff>36635</xdr:rowOff>
    </xdr:from>
    <xdr:to>
      <xdr:col>3</xdr:col>
      <xdr:colOff>300404</xdr:colOff>
      <xdr:row>53</xdr:row>
      <xdr:rowOff>45337</xdr:rowOff>
    </xdr:to>
    <xdr:cxnSp macro="">
      <xdr:nvCxnSpPr>
        <xdr:cNvPr id="52" name="Straight Connector 51"/>
        <xdr:cNvCxnSpPr/>
      </xdr:nvCxnSpPr>
      <xdr:spPr>
        <a:xfrm flipH="1">
          <a:off x="3076209"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52</xdr:row>
      <xdr:rowOff>25749</xdr:rowOff>
    </xdr:from>
    <xdr:to>
      <xdr:col>3</xdr:col>
      <xdr:colOff>472128</xdr:colOff>
      <xdr:row>53</xdr:row>
      <xdr:rowOff>36635</xdr:rowOff>
    </xdr:to>
    <xdr:cxnSp macro="">
      <xdr:nvCxnSpPr>
        <xdr:cNvPr id="53" name="Straight Connector 52"/>
        <xdr:cNvCxnSpPr/>
      </xdr:nvCxnSpPr>
      <xdr:spPr>
        <a:xfrm>
          <a:off x="3235569"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56</xdr:row>
      <xdr:rowOff>297027</xdr:rowOff>
    </xdr:from>
    <xdr:to>
      <xdr:col>3</xdr:col>
      <xdr:colOff>392907</xdr:colOff>
      <xdr:row>60</xdr:row>
      <xdr:rowOff>154781</xdr:rowOff>
    </xdr:to>
    <xdr:cxnSp macro="">
      <xdr:nvCxnSpPr>
        <xdr:cNvPr id="54" name="Straight Connector 53"/>
        <xdr:cNvCxnSpPr/>
      </xdr:nvCxnSpPr>
      <xdr:spPr>
        <a:xfrm>
          <a:off x="3166381"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60</xdr:row>
      <xdr:rowOff>142875</xdr:rowOff>
    </xdr:from>
    <xdr:to>
      <xdr:col>4</xdr:col>
      <xdr:colOff>11908</xdr:colOff>
      <xdr:row>60</xdr:row>
      <xdr:rowOff>154782</xdr:rowOff>
    </xdr:to>
    <xdr:cxnSp macro="">
      <xdr:nvCxnSpPr>
        <xdr:cNvPr id="55" name="Straight Connector 54"/>
        <xdr:cNvCxnSpPr/>
      </xdr:nvCxnSpPr>
      <xdr:spPr>
        <a:xfrm flipH="1" flipV="1">
          <a:off x="3150395" y="1176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56" name="Straight Arrow Connector 55"/>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59</xdr:row>
      <xdr:rowOff>11907</xdr:rowOff>
    </xdr:from>
    <xdr:to>
      <xdr:col>3</xdr:col>
      <xdr:colOff>130969</xdr:colOff>
      <xdr:row>60</xdr:row>
      <xdr:rowOff>154782</xdr:rowOff>
    </xdr:to>
    <xdr:cxnSp macro="">
      <xdr:nvCxnSpPr>
        <xdr:cNvPr id="57" name="Straight Arrow Connector 56"/>
        <xdr:cNvCxnSpPr/>
      </xdr:nvCxnSpPr>
      <xdr:spPr>
        <a:xfrm>
          <a:off x="2912269"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63</xdr:row>
      <xdr:rowOff>89297</xdr:rowOff>
    </xdr:from>
    <xdr:to>
      <xdr:col>3</xdr:col>
      <xdr:colOff>178594</xdr:colOff>
      <xdr:row>64</xdr:row>
      <xdr:rowOff>59531</xdr:rowOff>
    </xdr:to>
    <xdr:cxnSp macro="">
      <xdr:nvCxnSpPr>
        <xdr:cNvPr id="58" name="Straight Connector 57"/>
        <xdr:cNvCxnSpPr/>
      </xdr:nvCxnSpPr>
      <xdr:spPr>
        <a:xfrm>
          <a:off x="2840831"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xdr:row>
      <xdr:rowOff>35719</xdr:rowOff>
    </xdr:from>
    <xdr:to>
      <xdr:col>3</xdr:col>
      <xdr:colOff>285750</xdr:colOff>
      <xdr:row>63</xdr:row>
      <xdr:rowOff>154781</xdr:rowOff>
    </xdr:to>
    <xdr:cxnSp macro="">
      <xdr:nvCxnSpPr>
        <xdr:cNvPr id="59" name="Straight Connector 58"/>
        <xdr:cNvCxnSpPr/>
      </xdr:nvCxnSpPr>
      <xdr:spPr>
        <a:xfrm>
          <a:off x="2876550"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xdr:row>
      <xdr:rowOff>124558</xdr:rowOff>
    </xdr:from>
    <xdr:to>
      <xdr:col>3</xdr:col>
      <xdr:colOff>381000</xdr:colOff>
      <xdr:row>75</xdr:row>
      <xdr:rowOff>124558</xdr:rowOff>
    </xdr:to>
    <xdr:cxnSp macro="">
      <xdr:nvCxnSpPr>
        <xdr:cNvPr id="60" name="Straight Connector 59"/>
        <xdr:cNvCxnSpPr/>
      </xdr:nvCxnSpPr>
      <xdr:spPr>
        <a:xfrm flipH="1">
          <a:off x="2713986" y="14031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xdr:row>
      <xdr:rowOff>139212</xdr:rowOff>
    </xdr:from>
    <xdr:to>
      <xdr:col>4</xdr:col>
      <xdr:colOff>116773</xdr:colOff>
      <xdr:row>75</xdr:row>
      <xdr:rowOff>117231</xdr:rowOff>
    </xdr:to>
    <xdr:cxnSp macro="">
      <xdr:nvCxnSpPr>
        <xdr:cNvPr id="61" name="Straight Connector 60"/>
        <xdr:cNvCxnSpPr/>
      </xdr:nvCxnSpPr>
      <xdr:spPr>
        <a:xfrm>
          <a:off x="3162300" y="14045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xdr:row>
      <xdr:rowOff>118956</xdr:rowOff>
    </xdr:from>
    <xdr:to>
      <xdr:col>4</xdr:col>
      <xdr:colOff>134902</xdr:colOff>
      <xdr:row>75</xdr:row>
      <xdr:rowOff>118956</xdr:rowOff>
    </xdr:to>
    <xdr:cxnSp macro="">
      <xdr:nvCxnSpPr>
        <xdr:cNvPr id="62" name="Straight Connector 61"/>
        <xdr:cNvCxnSpPr/>
      </xdr:nvCxnSpPr>
      <xdr:spPr>
        <a:xfrm>
          <a:off x="2706955" y="14596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xdr:row>
      <xdr:rowOff>36635</xdr:rowOff>
    </xdr:from>
    <xdr:to>
      <xdr:col>3</xdr:col>
      <xdr:colOff>300404</xdr:colOff>
      <xdr:row>74</xdr:row>
      <xdr:rowOff>45337</xdr:rowOff>
    </xdr:to>
    <xdr:cxnSp macro="">
      <xdr:nvCxnSpPr>
        <xdr:cNvPr id="63" name="Straight Connector 62"/>
        <xdr:cNvCxnSpPr/>
      </xdr:nvCxnSpPr>
      <xdr:spPr>
        <a:xfrm flipH="1">
          <a:off x="3076209"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xdr:row>
      <xdr:rowOff>25749</xdr:rowOff>
    </xdr:from>
    <xdr:to>
      <xdr:col>3</xdr:col>
      <xdr:colOff>472128</xdr:colOff>
      <xdr:row>74</xdr:row>
      <xdr:rowOff>36635</xdr:rowOff>
    </xdr:to>
    <xdr:cxnSp macro="">
      <xdr:nvCxnSpPr>
        <xdr:cNvPr id="64" name="Straight Connector 63"/>
        <xdr:cNvCxnSpPr/>
      </xdr:nvCxnSpPr>
      <xdr:spPr>
        <a:xfrm>
          <a:off x="3235569"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xdr:row>
      <xdr:rowOff>44824</xdr:rowOff>
    </xdr:from>
    <xdr:to>
      <xdr:col>3</xdr:col>
      <xdr:colOff>67235</xdr:colOff>
      <xdr:row>65</xdr:row>
      <xdr:rowOff>156883</xdr:rowOff>
    </xdr:to>
    <xdr:cxnSp macro="">
      <xdr:nvCxnSpPr>
        <xdr:cNvPr id="65" name="Straight Connector 64"/>
        <xdr:cNvCxnSpPr/>
      </xdr:nvCxnSpPr>
      <xdr:spPr>
        <a:xfrm>
          <a:off x="2848535"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xdr:row>
      <xdr:rowOff>166690</xdr:rowOff>
    </xdr:from>
    <xdr:to>
      <xdr:col>4</xdr:col>
      <xdr:colOff>29308</xdr:colOff>
      <xdr:row>65</xdr:row>
      <xdr:rowOff>168519</xdr:rowOff>
    </xdr:to>
    <xdr:cxnSp macro="">
      <xdr:nvCxnSpPr>
        <xdr:cNvPr id="66" name="Straight Connector 65"/>
        <xdr:cNvCxnSpPr/>
      </xdr:nvCxnSpPr>
      <xdr:spPr>
        <a:xfrm>
          <a:off x="2840831" y="1273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xdr:row>
      <xdr:rowOff>41673</xdr:rowOff>
    </xdr:from>
    <xdr:to>
      <xdr:col>4</xdr:col>
      <xdr:colOff>12211</xdr:colOff>
      <xdr:row>66</xdr:row>
      <xdr:rowOff>0</xdr:rowOff>
    </xdr:to>
    <xdr:cxnSp macro="">
      <xdr:nvCxnSpPr>
        <xdr:cNvPr id="67" name="Straight Connector 66"/>
        <xdr:cNvCxnSpPr/>
      </xdr:nvCxnSpPr>
      <xdr:spPr>
        <a:xfrm flipH="1" flipV="1">
          <a:off x="3495675"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xdr:row>
      <xdr:rowOff>32918</xdr:rowOff>
    </xdr:from>
    <xdr:to>
      <xdr:col>4</xdr:col>
      <xdr:colOff>17861</xdr:colOff>
      <xdr:row>63</xdr:row>
      <xdr:rowOff>35719</xdr:rowOff>
    </xdr:to>
    <xdr:cxnSp macro="">
      <xdr:nvCxnSpPr>
        <xdr:cNvPr id="68" name="Straight Connector 67"/>
        <xdr:cNvCxnSpPr/>
      </xdr:nvCxnSpPr>
      <xdr:spPr>
        <a:xfrm flipH="1">
          <a:off x="2840831" y="1222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89297</xdr:rowOff>
    </xdr:from>
    <xdr:to>
      <xdr:col>3</xdr:col>
      <xdr:colOff>178594</xdr:colOff>
      <xdr:row>69</xdr:row>
      <xdr:rowOff>59531</xdr:rowOff>
    </xdr:to>
    <xdr:cxnSp macro="">
      <xdr:nvCxnSpPr>
        <xdr:cNvPr id="69" name="Straight Connector 68"/>
        <xdr:cNvCxnSpPr/>
      </xdr:nvCxnSpPr>
      <xdr:spPr>
        <a:xfrm>
          <a:off x="2840831"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xdr:row>
      <xdr:rowOff>35719</xdr:rowOff>
    </xdr:from>
    <xdr:to>
      <xdr:col>3</xdr:col>
      <xdr:colOff>285750</xdr:colOff>
      <xdr:row>68</xdr:row>
      <xdr:rowOff>154781</xdr:rowOff>
    </xdr:to>
    <xdr:cxnSp macro="">
      <xdr:nvCxnSpPr>
        <xdr:cNvPr id="70" name="Straight Connector 69"/>
        <xdr:cNvCxnSpPr/>
      </xdr:nvCxnSpPr>
      <xdr:spPr>
        <a:xfrm>
          <a:off x="2876550"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xdr:row>
      <xdr:rowOff>44824</xdr:rowOff>
    </xdr:from>
    <xdr:to>
      <xdr:col>3</xdr:col>
      <xdr:colOff>67235</xdr:colOff>
      <xdr:row>70</xdr:row>
      <xdr:rowOff>156883</xdr:rowOff>
    </xdr:to>
    <xdr:cxnSp macro="">
      <xdr:nvCxnSpPr>
        <xdr:cNvPr id="71" name="Straight Connector 70"/>
        <xdr:cNvCxnSpPr/>
      </xdr:nvCxnSpPr>
      <xdr:spPr>
        <a:xfrm>
          <a:off x="2848535"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70</xdr:row>
      <xdr:rowOff>166690</xdr:rowOff>
    </xdr:from>
    <xdr:to>
      <xdr:col>4</xdr:col>
      <xdr:colOff>29308</xdr:colOff>
      <xdr:row>70</xdr:row>
      <xdr:rowOff>168519</xdr:rowOff>
    </xdr:to>
    <xdr:cxnSp macro="">
      <xdr:nvCxnSpPr>
        <xdr:cNvPr id="72" name="Straight Connector 71"/>
        <xdr:cNvCxnSpPr/>
      </xdr:nvCxnSpPr>
      <xdr:spPr>
        <a:xfrm>
          <a:off x="2840831" y="1369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xdr:row>
      <xdr:rowOff>41673</xdr:rowOff>
    </xdr:from>
    <xdr:to>
      <xdr:col>4</xdr:col>
      <xdr:colOff>12211</xdr:colOff>
      <xdr:row>71</xdr:row>
      <xdr:rowOff>0</xdr:rowOff>
    </xdr:to>
    <xdr:cxnSp macro="">
      <xdr:nvCxnSpPr>
        <xdr:cNvPr id="73" name="Straight Connector 72"/>
        <xdr:cNvCxnSpPr/>
      </xdr:nvCxnSpPr>
      <xdr:spPr>
        <a:xfrm flipH="1" flipV="1">
          <a:off x="3495675"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32918</xdr:rowOff>
    </xdr:from>
    <xdr:to>
      <xdr:col>4</xdr:col>
      <xdr:colOff>17861</xdr:colOff>
      <xdr:row>68</xdr:row>
      <xdr:rowOff>35719</xdr:rowOff>
    </xdr:to>
    <xdr:cxnSp macro="">
      <xdr:nvCxnSpPr>
        <xdr:cNvPr id="74" name="Straight Connector 73"/>
        <xdr:cNvCxnSpPr/>
      </xdr:nvCxnSpPr>
      <xdr:spPr>
        <a:xfrm flipH="1">
          <a:off x="2840831" y="1317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xdr:row>
      <xdr:rowOff>124558</xdr:rowOff>
    </xdr:from>
    <xdr:to>
      <xdr:col>3</xdr:col>
      <xdr:colOff>381000</xdr:colOff>
      <xdr:row>80</xdr:row>
      <xdr:rowOff>124558</xdr:rowOff>
    </xdr:to>
    <xdr:cxnSp macro="">
      <xdr:nvCxnSpPr>
        <xdr:cNvPr id="75" name="Straight Connector 74"/>
        <xdr:cNvCxnSpPr/>
      </xdr:nvCxnSpPr>
      <xdr:spPr>
        <a:xfrm flipH="1">
          <a:off x="2713986" y="14983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xdr:row>
      <xdr:rowOff>139212</xdr:rowOff>
    </xdr:from>
    <xdr:to>
      <xdr:col>4</xdr:col>
      <xdr:colOff>116773</xdr:colOff>
      <xdr:row>80</xdr:row>
      <xdr:rowOff>117231</xdr:rowOff>
    </xdr:to>
    <xdr:cxnSp macro="">
      <xdr:nvCxnSpPr>
        <xdr:cNvPr id="76" name="Straight Connector 75"/>
        <xdr:cNvCxnSpPr/>
      </xdr:nvCxnSpPr>
      <xdr:spPr>
        <a:xfrm>
          <a:off x="3162300" y="14998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80</xdr:row>
      <xdr:rowOff>118956</xdr:rowOff>
    </xdr:from>
    <xdr:to>
      <xdr:col>4</xdr:col>
      <xdr:colOff>134902</xdr:colOff>
      <xdr:row>80</xdr:row>
      <xdr:rowOff>118956</xdr:rowOff>
    </xdr:to>
    <xdr:cxnSp macro="">
      <xdr:nvCxnSpPr>
        <xdr:cNvPr id="77" name="Straight Connector 76"/>
        <xdr:cNvCxnSpPr/>
      </xdr:nvCxnSpPr>
      <xdr:spPr>
        <a:xfrm>
          <a:off x="2706955" y="15549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78</xdr:row>
      <xdr:rowOff>36635</xdr:rowOff>
    </xdr:from>
    <xdr:to>
      <xdr:col>3</xdr:col>
      <xdr:colOff>300404</xdr:colOff>
      <xdr:row>79</xdr:row>
      <xdr:rowOff>45337</xdr:rowOff>
    </xdr:to>
    <xdr:cxnSp macro="">
      <xdr:nvCxnSpPr>
        <xdr:cNvPr id="78" name="Straight Connector 77"/>
        <xdr:cNvCxnSpPr/>
      </xdr:nvCxnSpPr>
      <xdr:spPr>
        <a:xfrm flipH="1">
          <a:off x="3076209"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78</xdr:row>
      <xdr:rowOff>25749</xdr:rowOff>
    </xdr:from>
    <xdr:to>
      <xdr:col>3</xdr:col>
      <xdr:colOff>472128</xdr:colOff>
      <xdr:row>79</xdr:row>
      <xdr:rowOff>36635</xdr:rowOff>
    </xdr:to>
    <xdr:cxnSp macro="">
      <xdr:nvCxnSpPr>
        <xdr:cNvPr id="79" name="Straight Connector 78"/>
        <xdr:cNvCxnSpPr/>
      </xdr:nvCxnSpPr>
      <xdr:spPr>
        <a:xfrm>
          <a:off x="3235569"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82</xdr:row>
      <xdr:rowOff>297027</xdr:rowOff>
    </xdr:from>
    <xdr:to>
      <xdr:col>3</xdr:col>
      <xdr:colOff>392907</xdr:colOff>
      <xdr:row>86</xdr:row>
      <xdr:rowOff>154781</xdr:rowOff>
    </xdr:to>
    <xdr:cxnSp macro="">
      <xdr:nvCxnSpPr>
        <xdr:cNvPr id="80" name="Straight Connector 79"/>
        <xdr:cNvCxnSpPr/>
      </xdr:nvCxnSpPr>
      <xdr:spPr>
        <a:xfrm>
          <a:off x="3166381"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86</xdr:row>
      <xdr:rowOff>142875</xdr:rowOff>
    </xdr:from>
    <xdr:to>
      <xdr:col>4</xdr:col>
      <xdr:colOff>11908</xdr:colOff>
      <xdr:row>86</xdr:row>
      <xdr:rowOff>154782</xdr:rowOff>
    </xdr:to>
    <xdr:cxnSp macro="">
      <xdr:nvCxnSpPr>
        <xdr:cNvPr id="81" name="Straight Connector 80"/>
        <xdr:cNvCxnSpPr/>
      </xdr:nvCxnSpPr>
      <xdr:spPr>
        <a:xfrm flipH="1" flipV="1">
          <a:off x="3150395" y="16716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82" name="Straight Arrow Connector 8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85</xdr:row>
      <xdr:rowOff>11907</xdr:rowOff>
    </xdr:from>
    <xdr:to>
      <xdr:col>3</xdr:col>
      <xdr:colOff>130969</xdr:colOff>
      <xdr:row>86</xdr:row>
      <xdr:rowOff>154782</xdr:rowOff>
    </xdr:to>
    <xdr:cxnSp macro="">
      <xdr:nvCxnSpPr>
        <xdr:cNvPr id="83" name="Straight Arrow Connector 82"/>
        <xdr:cNvCxnSpPr/>
      </xdr:nvCxnSpPr>
      <xdr:spPr>
        <a:xfrm>
          <a:off x="2912269"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xdr:row>
      <xdr:rowOff>89297</xdr:rowOff>
    </xdr:from>
    <xdr:to>
      <xdr:col>3</xdr:col>
      <xdr:colOff>178594</xdr:colOff>
      <xdr:row>91</xdr:row>
      <xdr:rowOff>59531</xdr:rowOff>
    </xdr:to>
    <xdr:cxnSp macro="">
      <xdr:nvCxnSpPr>
        <xdr:cNvPr id="84" name="Straight Connector 83"/>
        <xdr:cNvCxnSpPr/>
      </xdr:nvCxnSpPr>
      <xdr:spPr>
        <a:xfrm>
          <a:off x="2840831"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xdr:row>
      <xdr:rowOff>35719</xdr:rowOff>
    </xdr:from>
    <xdr:to>
      <xdr:col>3</xdr:col>
      <xdr:colOff>285750</xdr:colOff>
      <xdr:row>90</xdr:row>
      <xdr:rowOff>154781</xdr:rowOff>
    </xdr:to>
    <xdr:cxnSp macro="">
      <xdr:nvCxnSpPr>
        <xdr:cNvPr id="85" name="Straight Connector 84"/>
        <xdr:cNvCxnSpPr/>
      </xdr:nvCxnSpPr>
      <xdr:spPr>
        <a:xfrm>
          <a:off x="2876550"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xdr:row>
      <xdr:rowOff>124558</xdr:rowOff>
    </xdr:from>
    <xdr:to>
      <xdr:col>3</xdr:col>
      <xdr:colOff>381000</xdr:colOff>
      <xdr:row>102</xdr:row>
      <xdr:rowOff>124558</xdr:rowOff>
    </xdr:to>
    <xdr:cxnSp macro="">
      <xdr:nvCxnSpPr>
        <xdr:cNvPr id="86" name="Straight Connector 85"/>
        <xdr:cNvCxnSpPr/>
      </xdr:nvCxnSpPr>
      <xdr:spPr>
        <a:xfrm flipH="1">
          <a:off x="2713986" y="19174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xdr:row>
      <xdr:rowOff>139212</xdr:rowOff>
    </xdr:from>
    <xdr:to>
      <xdr:col>4</xdr:col>
      <xdr:colOff>116773</xdr:colOff>
      <xdr:row>102</xdr:row>
      <xdr:rowOff>117231</xdr:rowOff>
    </xdr:to>
    <xdr:cxnSp macro="">
      <xdr:nvCxnSpPr>
        <xdr:cNvPr id="87" name="Straight Connector 86"/>
        <xdr:cNvCxnSpPr/>
      </xdr:nvCxnSpPr>
      <xdr:spPr>
        <a:xfrm>
          <a:off x="3162300" y="19189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102</xdr:row>
      <xdr:rowOff>118956</xdr:rowOff>
    </xdr:from>
    <xdr:to>
      <xdr:col>4</xdr:col>
      <xdr:colOff>134902</xdr:colOff>
      <xdr:row>102</xdr:row>
      <xdr:rowOff>118956</xdr:rowOff>
    </xdr:to>
    <xdr:cxnSp macro="">
      <xdr:nvCxnSpPr>
        <xdr:cNvPr id="88" name="Straight Connector 87"/>
        <xdr:cNvCxnSpPr/>
      </xdr:nvCxnSpPr>
      <xdr:spPr>
        <a:xfrm>
          <a:off x="2706955" y="19740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xdr:row>
      <xdr:rowOff>36635</xdr:rowOff>
    </xdr:from>
    <xdr:to>
      <xdr:col>3</xdr:col>
      <xdr:colOff>300404</xdr:colOff>
      <xdr:row>101</xdr:row>
      <xdr:rowOff>45337</xdr:rowOff>
    </xdr:to>
    <xdr:cxnSp macro="">
      <xdr:nvCxnSpPr>
        <xdr:cNvPr id="89" name="Straight Connector 88"/>
        <xdr:cNvCxnSpPr/>
      </xdr:nvCxnSpPr>
      <xdr:spPr>
        <a:xfrm flipH="1">
          <a:off x="3076209"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xdr:row>
      <xdr:rowOff>25749</xdr:rowOff>
    </xdr:from>
    <xdr:to>
      <xdr:col>3</xdr:col>
      <xdr:colOff>472128</xdr:colOff>
      <xdr:row>101</xdr:row>
      <xdr:rowOff>36635</xdr:rowOff>
    </xdr:to>
    <xdr:cxnSp macro="">
      <xdr:nvCxnSpPr>
        <xdr:cNvPr id="90" name="Straight Connector 89"/>
        <xdr:cNvCxnSpPr/>
      </xdr:nvCxnSpPr>
      <xdr:spPr>
        <a:xfrm>
          <a:off x="3235569"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xdr:row>
      <xdr:rowOff>44824</xdr:rowOff>
    </xdr:from>
    <xdr:to>
      <xdr:col>3</xdr:col>
      <xdr:colOff>67235</xdr:colOff>
      <xdr:row>92</xdr:row>
      <xdr:rowOff>156883</xdr:rowOff>
    </xdr:to>
    <xdr:cxnSp macro="">
      <xdr:nvCxnSpPr>
        <xdr:cNvPr id="91" name="Straight Connector 90"/>
        <xdr:cNvCxnSpPr/>
      </xdr:nvCxnSpPr>
      <xdr:spPr>
        <a:xfrm>
          <a:off x="2848535"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92</xdr:row>
      <xdr:rowOff>166690</xdr:rowOff>
    </xdr:from>
    <xdr:to>
      <xdr:col>4</xdr:col>
      <xdr:colOff>29308</xdr:colOff>
      <xdr:row>92</xdr:row>
      <xdr:rowOff>168519</xdr:rowOff>
    </xdr:to>
    <xdr:cxnSp macro="">
      <xdr:nvCxnSpPr>
        <xdr:cNvPr id="92" name="Straight Connector 91"/>
        <xdr:cNvCxnSpPr/>
      </xdr:nvCxnSpPr>
      <xdr:spPr>
        <a:xfrm>
          <a:off x="2840831" y="1788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xdr:row>
      <xdr:rowOff>41673</xdr:rowOff>
    </xdr:from>
    <xdr:to>
      <xdr:col>4</xdr:col>
      <xdr:colOff>12211</xdr:colOff>
      <xdr:row>93</xdr:row>
      <xdr:rowOff>0</xdr:rowOff>
    </xdr:to>
    <xdr:cxnSp macro="">
      <xdr:nvCxnSpPr>
        <xdr:cNvPr id="93" name="Straight Connector 92"/>
        <xdr:cNvCxnSpPr/>
      </xdr:nvCxnSpPr>
      <xdr:spPr>
        <a:xfrm flipH="1" flipV="1">
          <a:off x="3495675"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xdr:row>
      <xdr:rowOff>32918</xdr:rowOff>
    </xdr:from>
    <xdr:to>
      <xdr:col>4</xdr:col>
      <xdr:colOff>17861</xdr:colOff>
      <xdr:row>90</xdr:row>
      <xdr:rowOff>35719</xdr:rowOff>
    </xdr:to>
    <xdr:cxnSp macro="">
      <xdr:nvCxnSpPr>
        <xdr:cNvPr id="94" name="Straight Connector 93"/>
        <xdr:cNvCxnSpPr/>
      </xdr:nvCxnSpPr>
      <xdr:spPr>
        <a:xfrm flipH="1">
          <a:off x="2840831" y="1736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89297</xdr:rowOff>
    </xdr:from>
    <xdr:to>
      <xdr:col>3</xdr:col>
      <xdr:colOff>178594</xdr:colOff>
      <xdr:row>96</xdr:row>
      <xdr:rowOff>59531</xdr:rowOff>
    </xdr:to>
    <xdr:cxnSp macro="">
      <xdr:nvCxnSpPr>
        <xdr:cNvPr id="95" name="Straight Connector 94"/>
        <xdr:cNvCxnSpPr/>
      </xdr:nvCxnSpPr>
      <xdr:spPr>
        <a:xfrm>
          <a:off x="2840831"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95</xdr:row>
      <xdr:rowOff>35719</xdr:rowOff>
    </xdr:from>
    <xdr:to>
      <xdr:col>3</xdr:col>
      <xdr:colOff>285750</xdr:colOff>
      <xdr:row>95</xdr:row>
      <xdr:rowOff>154781</xdr:rowOff>
    </xdr:to>
    <xdr:cxnSp macro="">
      <xdr:nvCxnSpPr>
        <xdr:cNvPr id="96" name="Straight Connector 95"/>
        <xdr:cNvCxnSpPr/>
      </xdr:nvCxnSpPr>
      <xdr:spPr>
        <a:xfrm>
          <a:off x="2876550"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95</xdr:row>
      <xdr:rowOff>44824</xdr:rowOff>
    </xdr:from>
    <xdr:to>
      <xdr:col>3</xdr:col>
      <xdr:colOff>67235</xdr:colOff>
      <xdr:row>97</xdr:row>
      <xdr:rowOff>156883</xdr:rowOff>
    </xdr:to>
    <xdr:cxnSp macro="">
      <xdr:nvCxnSpPr>
        <xdr:cNvPr id="97" name="Straight Connector 96"/>
        <xdr:cNvCxnSpPr/>
      </xdr:nvCxnSpPr>
      <xdr:spPr>
        <a:xfrm>
          <a:off x="2848535"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xdr:row>
      <xdr:rowOff>166690</xdr:rowOff>
    </xdr:from>
    <xdr:to>
      <xdr:col>4</xdr:col>
      <xdr:colOff>29308</xdr:colOff>
      <xdr:row>97</xdr:row>
      <xdr:rowOff>168519</xdr:rowOff>
    </xdr:to>
    <xdr:cxnSp macro="">
      <xdr:nvCxnSpPr>
        <xdr:cNvPr id="98" name="Straight Connector 97"/>
        <xdr:cNvCxnSpPr/>
      </xdr:nvCxnSpPr>
      <xdr:spPr>
        <a:xfrm>
          <a:off x="2840831" y="1883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95</xdr:row>
      <xdr:rowOff>41673</xdr:rowOff>
    </xdr:from>
    <xdr:to>
      <xdr:col>4</xdr:col>
      <xdr:colOff>12211</xdr:colOff>
      <xdr:row>98</xdr:row>
      <xdr:rowOff>0</xdr:rowOff>
    </xdr:to>
    <xdr:cxnSp macro="">
      <xdr:nvCxnSpPr>
        <xdr:cNvPr id="99" name="Straight Connector 98"/>
        <xdr:cNvCxnSpPr/>
      </xdr:nvCxnSpPr>
      <xdr:spPr>
        <a:xfrm flipH="1" flipV="1">
          <a:off x="3495675"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32918</xdr:rowOff>
    </xdr:from>
    <xdr:to>
      <xdr:col>4</xdr:col>
      <xdr:colOff>17861</xdr:colOff>
      <xdr:row>95</xdr:row>
      <xdr:rowOff>35719</xdr:rowOff>
    </xdr:to>
    <xdr:cxnSp macro="">
      <xdr:nvCxnSpPr>
        <xdr:cNvPr id="100" name="Straight Connector 99"/>
        <xdr:cNvCxnSpPr/>
      </xdr:nvCxnSpPr>
      <xdr:spPr>
        <a:xfrm flipH="1">
          <a:off x="2840831" y="1832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104</xdr:row>
      <xdr:rowOff>124558</xdr:rowOff>
    </xdr:from>
    <xdr:to>
      <xdr:col>3</xdr:col>
      <xdr:colOff>381000</xdr:colOff>
      <xdr:row>107</xdr:row>
      <xdr:rowOff>124558</xdr:rowOff>
    </xdr:to>
    <xdr:cxnSp macro="">
      <xdr:nvCxnSpPr>
        <xdr:cNvPr id="101" name="Straight Connector 100"/>
        <xdr:cNvCxnSpPr/>
      </xdr:nvCxnSpPr>
      <xdr:spPr>
        <a:xfrm flipH="1">
          <a:off x="2713986" y="2012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104</xdr:row>
      <xdr:rowOff>139212</xdr:rowOff>
    </xdr:from>
    <xdr:to>
      <xdr:col>4</xdr:col>
      <xdr:colOff>116773</xdr:colOff>
      <xdr:row>107</xdr:row>
      <xdr:rowOff>117231</xdr:rowOff>
    </xdr:to>
    <xdr:cxnSp macro="">
      <xdr:nvCxnSpPr>
        <xdr:cNvPr id="102" name="Straight Connector 101"/>
        <xdr:cNvCxnSpPr/>
      </xdr:nvCxnSpPr>
      <xdr:spPr>
        <a:xfrm>
          <a:off x="3162300" y="2014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107</xdr:row>
      <xdr:rowOff>118956</xdr:rowOff>
    </xdr:from>
    <xdr:to>
      <xdr:col>4</xdr:col>
      <xdr:colOff>134902</xdr:colOff>
      <xdr:row>107</xdr:row>
      <xdr:rowOff>118956</xdr:rowOff>
    </xdr:to>
    <xdr:cxnSp macro="">
      <xdr:nvCxnSpPr>
        <xdr:cNvPr id="103" name="Straight Connector 102"/>
        <xdr:cNvCxnSpPr/>
      </xdr:nvCxnSpPr>
      <xdr:spPr>
        <a:xfrm>
          <a:off x="2706955" y="2069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xdr:row>
      <xdr:rowOff>36635</xdr:rowOff>
    </xdr:from>
    <xdr:to>
      <xdr:col>3</xdr:col>
      <xdr:colOff>300404</xdr:colOff>
      <xdr:row>106</xdr:row>
      <xdr:rowOff>45337</xdr:rowOff>
    </xdr:to>
    <xdr:cxnSp macro="">
      <xdr:nvCxnSpPr>
        <xdr:cNvPr id="104" name="Straight Connector 103"/>
        <xdr:cNvCxnSpPr/>
      </xdr:nvCxnSpPr>
      <xdr:spPr>
        <a:xfrm flipH="1">
          <a:off x="3076209"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xdr:row>
      <xdr:rowOff>25749</xdr:rowOff>
    </xdr:from>
    <xdr:to>
      <xdr:col>3</xdr:col>
      <xdr:colOff>472128</xdr:colOff>
      <xdr:row>106</xdr:row>
      <xdr:rowOff>36635</xdr:rowOff>
    </xdr:to>
    <xdr:cxnSp macro="">
      <xdr:nvCxnSpPr>
        <xdr:cNvPr id="105" name="Straight Connector 104"/>
        <xdr:cNvCxnSpPr/>
      </xdr:nvCxnSpPr>
      <xdr:spPr>
        <a:xfrm>
          <a:off x="3235569"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35719</xdr:rowOff>
    </xdr:from>
    <xdr:to>
      <xdr:col>3</xdr:col>
      <xdr:colOff>428625</xdr:colOff>
      <xdr:row>112</xdr:row>
      <xdr:rowOff>178594</xdr:rowOff>
    </xdr:to>
    <xdr:cxnSp macro="">
      <xdr:nvCxnSpPr>
        <xdr:cNvPr id="106" name="Straight Connector 105"/>
        <xdr:cNvCxnSpPr/>
      </xdr:nvCxnSpPr>
      <xdr:spPr>
        <a:xfrm>
          <a:off x="3209925"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xdr:row>
      <xdr:rowOff>95249</xdr:rowOff>
    </xdr:from>
    <xdr:to>
      <xdr:col>3</xdr:col>
      <xdr:colOff>571500</xdr:colOff>
      <xdr:row>112</xdr:row>
      <xdr:rowOff>154780</xdr:rowOff>
    </xdr:to>
    <xdr:cxnSp macro="">
      <xdr:nvCxnSpPr>
        <xdr:cNvPr id="107" name="Straight Connector 106"/>
        <xdr:cNvCxnSpPr/>
      </xdr:nvCxnSpPr>
      <xdr:spPr>
        <a:xfrm flipH="1">
          <a:off x="3209925"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47625</xdr:rowOff>
    </xdr:from>
    <xdr:to>
      <xdr:col>3</xdr:col>
      <xdr:colOff>595313</xdr:colOff>
      <xdr:row>110</xdr:row>
      <xdr:rowOff>119062</xdr:rowOff>
    </xdr:to>
    <xdr:cxnSp macro="">
      <xdr:nvCxnSpPr>
        <xdr:cNvPr id="108" name="Straight Connector 107"/>
        <xdr:cNvCxnSpPr/>
      </xdr:nvCxnSpPr>
      <xdr:spPr>
        <a:xfrm>
          <a:off x="3209925"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114</xdr:row>
      <xdr:rowOff>297027</xdr:rowOff>
    </xdr:from>
    <xdr:to>
      <xdr:col>3</xdr:col>
      <xdr:colOff>392907</xdr:colOff>
      <xdr:row>118</xdr:row>
      <xdr:rowOff>154781</xdr:rowOff>
    </xdr:to>
    <xdr:cxnSp macro="">
      <xdr:nvCxnSpPr>
        <xdr:cNvPr id="109" name="Straight Connector 108"/>
        <xdr:cNvCxnSpPr/>
      </xdr:nvCxnSpPr>
      <xdr:spPr>
        <a:xfrm>
          <a:off x="3166381"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118</xdr:row>
      <xdr:rowOff>142875</xdr:rowOff>
    </xdr:from>
    <xdr:to>
      <xdr:col>4</xdr:col>
      <xdr:colOff>11908</xdr:colOff>
      <xdr:row>118</xdr:row>
      <xdr:rowOff>154782</xdr:rowOff>
    </xdr:to>
    <xdr:cxnSp macro="">
      <xdr:nvCxnSpPr>
        <xdr:cNvPr id="110" name="Straight Connector 109"/>
        <xdr:cNvCxnSpPr/>
      </xdr:nvCxnSpPr>
      <xdr:spPr>
        <a:xfrm flipH="1" flipV="1">
          <a:off x="3150395" y="228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111" name="Straight Arrow Connector 110"/>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117</xdr:row>
      <xdr:rowOff>11907</xdr:rowOff>
    </xdr:from>
    <xdr:to>
      <xdr:col>3</xdr:col>
      <xdr:colOff>130969</xdr:colOff>
      <xdr:row>118</xdr:row>
      <xdr:rowOff>154782</xdr:rowOff>
    </xdr:to>
    <xdr:cxnSp macro="">
      <xdr:nvCxnSpPr>
        <xdr:cNvPr id="112" name="Straight Arrow Connector 111"/>
        <xdr:cNvCxnSpPr/>
      </xdr:nvCxnSpPr>
      <xdr:spPr>
        <a:xfrm>
          <a:off x="2912269"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122</xdr:row>
      <xdr:rowOff>89297</xdr:rowOff>
    </xdr:from>
    <xdr:to>
      <xdr:col>3</xdr:col>
      <xdr:colOff>178594</xdr:colOff>
      <xdr:row>123</xdr:row>
      <xdr:rowOff>59531</xdr:rowOff>
    </xdr:to>
    <xdr:cxnSp macro="">
      <xdr:nvCxnSpPr>
        <xdr:cNvPr id="113" name="Straight Connector 112"/>
        <xdr:cNvCxnSpPr/>
      </xdr:nvCxnSpPr>
      <xdr:spPr>
        <a:xfrm>
          <a:off x="2840831"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xdr:row>
      <xdr:rowOff>35719</xdr:rowOff>
    </xdr:from>
    <xdr:to>
      <xdr:col>3</xdr:col>
      <xdr:colOff>285750</xdr:colOff>
      <xdr:row>122</xdr:row>
      <xdr:rowOff>154781</xdr:rowOff>
    </xdr:to>
    <xdr:cxnSp macro="">
      <xdr:nvCxnSpPr>
        <xdr:cNvPr id="114" name="Straight Connector 113"/>
        <xdr:cNvCxnSpPr/>
      </xdr:nvCxnSpPr>
      <xdr:spPr>
        <a:xfrm>
          <a:off x="2876550"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131</xdr:row>
      <xdr:rowOff>124558</xdr:rowOff>
    </xdr:from>
    <xdr:to>
      <xdr:col>3</xdr:col>
      <xdr:colOff>381000</xdr:colOff>
      <xdr:row>134</xdr:row>
      <xdr:rowOff>124558</xdr:rowOff>
    </xdr:to>
    <xdr:cxnSp macro="">
      <xdr:nvCxnSpPr>
        <xdr:cNvPr id="115" name="Straight Connector 114"/>
        <xdr:cNvCxnSpPr/>
      </xdr:nvCxnSpPr>
      <xdr:spPr>
        <a:xfrm flipH="1">
          <a:off x="2713986" y="2527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131</xdr:row>
      <xdr:rowOff>139212</xdr:rowOff>
    </xdr:from>
    <xdr:to>
      <xdr:col>4</xdr:col>
      <xdr:colOff>116773</xdr:colOff>
      <xdr:row>134</xdr:row>
      <xdr:rowOff>117231</xdr:rowOff>
    </xdr:to>
    <xdr:cxnSp macro="">
      <xdr:nvCxnSpPr>
        <xdr:cNvPr id="116" name="Straight Connector 115"/>
        <xdr:cNvCxnSpPr/>
      </xdr:nvCxnSpPr>
      <xdr:spPr>
        <a:xfrm>
          <a:off x="3162300" y="2528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134</xdr:row>
      <xdr:rowOff>118956</xdr:rowOff>
    </xdr:from>
    <xdr:to>
      <xdr:col>4</xdr:col>
      <xdr:colOff>134902</xdr:colOff>
      <xdr:row>134</xdr:row>
      <xdr:rowOff>118956</xdr:rowOff>
    </xdr:to>
    <xdr:cxnSp macro="">
      <xdr:nvCxnSpPr>
        <xdr:cNvPr id="117" name="Straight Connector 116"/>
        <xdr:cNvCxnSpPr/>
      </xdr:nvCxnSpPr>
      <xdr:spPr>
        <a:xfrm>
          <a:off x="2706955" y="2583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132</xdr:row>
      <xdr:rowOff>36635</xdr:rowOff>
    </xdr:from>
    <xdr:to>
      <xdr:col>3</xdr:col>
      <xdr:colOff>300404</xdr:colOff>
      <xdr:row>133</xdr:row>
      <xdr:rowOff>45337</xdr:rowOff>
    </xdr:to>
    <xdr:cxnSp macro="">
      <xdr:nvCxnSpPr>
        <xdr:cNvPr id="118" name="Straight Connector 117"/>
        <xdr:cNvCxnSpPr/>
      </xdr:nvCxnSpPr>
      <xdr:spPr>
        <a:xfrm flipH="1">
          <a:off x="3076209"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132</xdr:row>
      <xdr:rowOff>25749</xdr:rowOff>
    </xdr:from>
    <xdr:to>
      <xdr:col>3</xdr:col>
      <xdr:colOff>472128</xdr:colOff>
      <xdr:row>133</xdr:row>
      <xdr:rowOff>36635</xdr:rowOff>
    </xdr:to>
    <xdr:cxnSp macro="">
      <xdr:nvCxnSpPr>
        <xdr:cNvPr id="119" name="Straight Connector 118"/>
        <xdr:cNvCxnSpPr/>
      </xdr:nvCxnSpPr>
      <xdr:spPr>
        <a:xfrm>
          <a:off x="3235569"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xdr:row>
      <xdr:rowOff>44824</xdr:rowOff>
    </xdr:from>
    <xdr:to>
      <xdr:col>3</xdr:col>
      <xdr:colOff>67235</xdr:colOff>
      <xdr:row>124</xdr:row>
      <xdr:rowOff>156883</xdr:rowOff>
    </xdr:to>
    <xdr:cxnSp macro="">
      <xdr:nvCxnSpPr>
        <xdr:cNvPr id="120" name="Straight Connector 119"/>
        <xdr:cNvCxnSpPr/>
      </xdr:nvCxnSpPr>
      <xdr:spPr>
        <a:xfrm>
          <a:off x="2848535"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xdr:row>
      <xdr:rowOff>166690</xdr:rowOff>
    </xdr:from>
    <xdr:to>
      <xdr:col>4</xdr:col>
      <xdr:colOff>29308</xdr:colOff>
      <xdr:row>124</xdr:row>
      <xdr:rowOff>168519</xdr:rowOff>
    </xdr:to>
    <xdr:cxnSp macro="">
      <xdr:nvCxnSpPr>
        <xdr:cNvPr id="121" name="Straight Connector 120"/>
        <xdr:cNvCxnSpPr/>
      </xdr:nvCxnSpPr>
      <xdr:spPr>
        <a:xfrm>
          <a:off x="2840831" y="2397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xdr:row>
      <xdr:rowOff>41673</xdr:rowOff>
    </xdr:from>
    <xdr:to>
      <xdr:col>4</xdr:col>
      <xdr:colOff>12211</xdr:colOff>
      <xdr:row>125</xdr:row>
      <xdr:rowOff>0</xdr:rowOff>
    </xdr:to>
    <xdr:cxnSp macro="">
      <xdr:nvCxnSpPr>
        <xdr:cNvPr id="122" name="Straight Connector 121"/>
        <xdr:cNvCxnSpPr/>
      </xdr:nvCxnSpPr>
      <xdr:spPr>
        <a:xfrm flipH="1" flipV="1">
          <a:off x="3495675"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xdr:row>
      <xdr:rowOff>32918</xdr:rowOff>
    </xdr:from>
    <xdr:to>
      <xdr:col>4</xdr:col>
      <xdr:colOff>17861</xdr:colOff>
      <xdr:row>122</xdr:row>
      <xdr:rowOff>35719</xdr:rowOff>
    </xdr:to>
    <xdr:cxnSp macro="">
      <xdr:nvCxnSpPr>
        <xdr:cNvPr id="123" name="Straight Connector 122"/>
        <xdr:cNvCxnSpPr/>
      </xdr:nvCxnSpPr>
      <xdr:spPr>
        <a:xfrm flipH="1">
          <a:off x="2840831" y="2346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89297</xdr:rowOff>
    </xdr:from>
    <xdr:to>
      <xdr:col>3</xdr:col>
      <xdr:colOff>178594</xdr:colOff>
      <xdr:row>128</xdr:row>
      <xdr:rowOff>59531</xdr:rowOff>
    </xdr:to>
    <xdr:cxnSp macro="">
      <xdr:nvCxnSpPr>
        <xdr:cNvPr id="124" name="Straight Connector 123"/>
        <xdr:cNvCxnSpPr/>
      </xdr:nvCxnSpPr>
      <xdr:spPr>
        <a:xfrm>
          <a:off x="2840831"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127</xdr:row>
      <xdr:rowOff>35719</xdr:rowOff>
    </xdr:from>
    <xdr:to>
      <xdr:col>3</xdr:col>
      <xdr:colOff>285750</xdr:colOff>
      <xdr:row>127</xdr:row>
      <xdr:rowOff>154781</xdr:rowOff>
    </xdr:to>
    <xdr:cxnSp macro="">
      <xdr:nvCxnSpPr>
        <xdr:cNvPr id="125" name="Straight Connector 124"/>
        <xdr:cNvCxnSpPr/>
      </xdr:nvCxnSpPr>
      <xdr:spPr>
        <a:xfrm>
          <a:off x="2876550"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127</xdr:row>
      <xdr:rowOff>44824</xdr:rowOff>
    </xdr:from>
    <xdr:to>
      <xdr:col>3</xdr:col>
      <xdr:colOff>67235</xdr:colOff>
      <xdr:row>129</xdr:row>
      <xdr:rowOff>156883</xdr:rowOff>
    </xdr:to>
    <xdr:cxnSp macro="">
      <xdr:nvCxnSpPr>
        <xdr:cNvPr id="126" name="Straight Connector 125"/>
        <xdr:cNvCxnSpPr/>
      </xdr:nvCxnSpPr>
      <xdr:spPr>
        <a:xfrm>
          <a:off x="2848535"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xdr:row>
      <xdr:rowOff>166690</xdr:rowOff>
    </xdr:from>
    <xdr:to>
      <xdr:col>4</xdr:col>
      <xdr:colOff>29308</xdr:colOff>
      <xdr:row>129</xdr:row>
      <xdr:rowOff>168519</xdr:rowOff>
    </xdr:to>
    <xdr:cxnSp macro="">
      <xdr:nvCxnSpPr>
        <xdr:cNvPr id="127" name="Straight Connector 126"/>
        <xdr:cNvCxnSpPr/>
      </xdr:nvCxnSpPr>
      <xdr:spPr>
        <a:xfrm>
          <a:off x="2840831" y="2493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127</xdr:row>
      <xdr:rowOff>41673</xdr:rowOff>
    </xdr:from>
    <xdr:to>
      <xdr:col>4</xdr:col>
      <xdr:colOff>12211</xdr:colOff>
      <xdr:row>130</xdr:row>
      <xdr:rowOff>0</xdr:rowOff>
    </xdr:to>
    <xdr:cxnSp macro="">
      <xdr:nvCxnSpPr>
        <xdr:cNvPr id="128" name="Straight Connector 127"/>
        <xdr:cNvCxnSpPr/>
      </xdr:nvCxnSpPr>
      <xdr:spPr>
        <a:xfrm flipH="1" flipV="1">
          <a:off x="3495675"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32918</xdr:rowOff>
    </xdr:from>
    <xdr:to>
      <xdr:col>4</xdr:col>
      <xdr:colOff>17861</xdr:colOff>
      <xdr:row>127</xdr:row>
      <xdr:rowOff>35719</xdr:rowOff>
    </xdr:to>
    <xdr:cxnSp macro="">
      <xdr:nvCxnSpPr>
        <xdr:cNvPr id="129" name="Straight Connector 128"/>
        <xdr:cNvCxnSpPr/>
      </xdr:nvCxnSpPr>
      <xdr:spPr>
        <a:xfrm flipH="1">
          <a:off x="2840831" y="2441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136</xdr:row>
      <xdr:rowOff>124558</xdr:rowOff>
    </xdr:from>
    <xdr:to>
      <xdr:col>3</xdr:col>
      <xdr:colOff>381000</xdr:colOff>
      <xdr:row>139</xdr:row>
      <xdr:rowOff>124558</xdr:rowOff>
    </xdr:to>
    <xdr:cxnSp macro="">
      <xdr:nvCxnSpPr>
        <xdr:cNvPr id="130" name="Straight Connector 129"/>
        <xdr:cNvCxnSpPr/>
      </xdr:nvCxnSpPr>
      <xdr:spPr>
        <a:xfrm flipH="1">
          <a:off x="2713986" y="26223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136</xdr:row>
      <xdr:rowOff>139212</xdr:rowOff>
    </xdr:from>
    <xdr:to>
      <xdr:col>4</xdr:col>
      <xdr:colOff>116773</xdr:colOff>
      <xdr:row>139</xdr:row>
      <xdr:rowOff>117231</xdr:rowOff>
    </xdr:to>
    <xdr:cxnSp macro="">
      <xdr:nvCxnSpPr>
        <xdr:cNvPr id="131" name="Straight Connector 130"/>
        <xdr:cNvCxnSpPr/>
      </xdr:nvCxnSpPr>
      <xdr:spPr>
        <a:xfrm>
          <a:off x="3162300" y="26237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139</xdr:row>
      <xdr:rowOff>118956</xdr:rowOff>
    </xdr:from>
    <xdr:to>
      <xdr:col>4</xdr:col>
      <xdr:colOff>134902</xdr:colOff>
      <xdr:row>139</xdr:row>
      <xdr:rowOff>118956</xdr:rowOff>
    </xdr:to>
    <xdr:cxnSp macro="">
      <xdr:nvCxnSpPr>
        <xdr:cNvPr id="132" name="Straight Connector 131"/>
        <xdr:cNvCxnSpPr/>
      </xdr:nvCxnSpPr>
      <xdr:spPr>
        <a:xfrm>
          <a:off x="2706955" y="26788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137</xdr:row>
      <xdr:rowOff>36635</xdr:rowOff>
    </xdr:from>
    <xdr:to>
      <xdr:col>3</xdr:col>
      <xdr:colOff>300404</xdr:colOff>
      <xdr:row>138</xdr:row>
      <xdr:rowOff>45337</xdr:rowOff>
    </xdr:to>
    <xdr:cxnSp macro="">
      <xdr:nvCxnSpPr>
        <xdr:cNvPr id="133" name="Straight Connector 132"/>
        <xdr:cNvCxnSpPr/>
      </xdr:nvCxnSpPr>
      <xdr:spPr>
        <a:xfrm flipH="1">
          <a:off x="3076209"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137</xdr:row>
      <xdr:rowOff>25749</xdr:rowOff>
    </xdr:from>
    <xdr:to>
      <xdr:col>3</xdr:col>
      <xdr:colOff>472128</xdr:colOff>
      <xdr:row>138</xdr:row>
      <xdr:rowOff>36635</xdr:rowOff>
    </xdr:to>
    <xdr:cxnSp macro="">
      <xdr:nvCxnSpPr>
        <xdr:cNvPr id="134" name="Straight Connector 133"/>
        <xdr:cNvCxnSpPr/>
      </xdr:nvCxnSpPr>
      <xdr:spPr>
        <a:xfrm>
          <a:off x="3235569"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35719</xdr:rowOff>
    </xdr:from>
    <xdr:to>
      <xdr:col>3</xdr:col>
      <xdr:colOff>428625</xdr:colOff>
      <xdr:row>144</xdr:row>
      <xdr:rowOff>178594</xdr:rowOff>
    </xdr:to>
    <xdr:cxnSp macro="">
      <xdr:nvCxnSpPr>
        <xdr:cNvPr id="135" name="Straight Connector 134"/>
        <xdr:cNvCxnSpPr/>
      </xdr:nvCxnSpPr>
      <xdr:spPr>
        <a:xfrm>
          <a:off x="3209925"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144</xdr:row>
      <xdr:rowOff>95249</xdr:rowOff>
    </xdr:from>
    <xdr:to>
      <xdr:col>3</xdr:col>
      <xdr:colOff>571500</xdr:colOff>
      <xdr:row>144</xdr:row>
      <xdr:rowOff>154780</xdr:rowOff>
    </xdr:to>
    <xdr:cxnSp macro="">
      <xdr:nvCxnSpPr>
        <xdr:cNvPr id="136" name="Straight Connector 135"/>
        <xdr:cNvCxnSpPr/>
      </xdr:nvCxnSpPr>
      <xdr:spPr>
        <a:xfrm flipH="1">
          <a:off x="3209925"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47625</xdr:rowOff>
    </xdr:from>
    <xdr:to>
      <xdr:col>3</xdr:col>
      <xdr:colOff>595313</xdr:colOff>
      <xdr:row>142</xdr:row>
      <xdr:rowOff>119062</xdr:rowOff>
    </xdr:to>
    <xdr:cxnSp macro="">
      <xdr:nvCxnSpPr>
        <xdr:cNvPr id="137" name="Straight Connector 136"/>
        <xdr:cNvCxnSpPr/>
      </xdr:nvCxnSpPr>
      <xdr:spPr>
        <a:xfrm>
          <a:off x="3209925"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145</xdr:row>
      <xdr:rowOff>297027</xdr:rowOff>
    </xdr:from>
    <xdr:to>
      <xdr:col>3</xdr:col>
      <xdr:colOff>392907</xdr:colOff>
      <xdr:row>149</xdr:row>
      <xdr:rowOff>154781</xdr:rowOff>
    </xdr:to>
    <xdr:cxnSp macro="">
      <xdr:nvCxnSpPr>
        <xdr:cNvPr id="138" name="Straight Connector 137"/>
        <xdr:cNvCxnSpPr/>
      </xdr:nvCxnSpPr>
      <xdr:spPr>
        <a:xfrm>
          <a:off x="3166381"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149</xdr:row>
      <xdr:rowOff>142875</xdr:rowOff>
    </xdr:from>
    <xdr:to>
      <xdr:col>4</xdr:col>
      <xdr:colOff>11908</xdr:colOff>
      <xdr:row>149</xdr:row>
      <xdr:rowOff>154782</xdr:rowOff>
    </xdr:to>
    <xdr:cxnSp macro="">
      <xdr:nvCxnSpPr>
        <xdr:cNvPr id="139" name="Straight Connector 138"/>
        <xdr:cNvCxnSpPr/>
      </xdr:nvCxnSpPr>
      <xdr:spPr>
        <a:xfrm flipH="1" flipV="1">
          <a:off x="3150395" y="28717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140" name="Straight Arrow Connector 139"/>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xdr:row>
      <xdr:rowOff>11907</xdr:rowOff>
    </xdr:from>
    <xdr:to>
      <xdr:col>3</xdr:col>
      <xdr:colOff>130969</xdr:colOff>
      <xdr:row>149</xdr:row>
      <xdr:rowOff>154782</xdr:rowOff>
    </xdr:to>
    <xdr:cxnSp macro="">
      <xdr:nvCxnSpPr>
        <xdr:cNvPr id="141" name="Straight Arrow Connector 140"/>
        <xdr:cNvCxnSpPr/>
      </xdr:nvCxnSpPr>
      <xdr:spPr>
        <a:xfrm>
          <a:off x="2912269"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153</xdr:row>
      <xdr:rowOff>89297</xdr:rowOff>
    </xdr:from>
    <xdr:to>
      <xdr:col>3</xdr:col>
      <xdr:colOff>178594</xdr:colOff>
      <xdr:row>154</xdr:row>
      <xdr:rowOff>59531</xdr:rowOff>
    </xdr:to>
    <xdr:cxnSp macro="">
      <xdr:nvCxnSpPr>
        <xdr:cNvPr id="142" name="Straight Connector 141"/>
        <xdr:cNvCxnSpPr/>
      </xdr:nvCxnSpPr>
      <xdr:spPr>
        <a:xfrm>
          <a:off x="2840831"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xdr:row>
      <xdr:rowOff>35719</xdr:rowOff>
    </xdr:from>
    <xdr:to>
      <xdr:col>3</xdr:col>
      <xdr:colOff>285750</xdr:colOff>
      <xdr:row>153</xdr:row>
      <xdr:rowOff>154781</xdr:rowOff>
    </xdr:to>
    <xdr:cxnSp macro="">
      <xdr:nvCxnSpPr>
        <xdr:cNvPr id="143" name="Straight Connector 142"/>
        <xdr:cNvCxnSpPr/>
      </xdr:nvCxnSpPr>
      <xdr:spPr>
        <a:xfrm>
          <a:off x="2876550"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162</xdr:row>
      <xdr:rowOff>124558</xdr:rowOff>
    </xdr:from>
    <xdr:to>
      <xdr:col>3</xdr:col>
      <xdr:colOff>381000</xdr:colOff>
      <xdr:row>165</xdr:row>
      <xdr:rowOff>124558</xdr:rowOff>
    </xdr:to>
    <xdr:cxnSp macro="">
      <xdr:nvCxnSpPr>
        <xdr:cNvPr id="144" name="Straight Connector 143"/>
        <xdr:cNvCxnSpPr/>
      </xdr:nvCxnSpPr>
      <xdr:spPr>
        <a:xfrm flipH="1">
          <a:off x="2713986" y="31176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162</xdr:row>
      <xdr:rowOff>139212</xdr:rowOff>
    </xdr:from>
    <xdr:to>
      <xdr:col>4</xdr:col>
      <xdr:colOff>116773</xdr:colOff>
      <xdr:row>165</xdr:row>
      <xdr:rowOff>117231</xdr:rowOff>
    </xdr:to>
    <xdr:cxnSp macro="">
      <xdr:nvCxnSpPr>
        <xdr:cNvPr id="145" name="Straight Connector 144"/>
        <xdr:cNvCxnSpPr/>
      </xdr:nvCxnSpPr>
      <xdr:spPr>
        <a:xfrm>
          <a:off x="3162300" y="31190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165</xdr:row>
      <xdr:rowOff>118956</xdr:rowOff>
    </xdr:from>
    <xdr:to>
      <xdr:col>4</xdr:col>
      <xdr:colOff>134902</xdr:colOff>
      <xdr:row>165</xdr:row>
      <xdr:rowOff>118956</xdr:rowOff>
    </xdr:to>
    <xdr:cxnSp macro="">
      <xdr:nvCxnSpPr>
        <xdr:cNvPr id="146" name="Straight Connector 145"/>
        <xdr:cNvCxnSpPr/>
      </xdr:nvCxnSpPr>
      <xdr:spPr>
        <a:xfrm>
          <a:off x="2706955" y="31741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163</xdr:row>
      <xdr:rowOff>36635</xdr:rowOff>
    </xdr:from>
    <xdr:to>
      <xdr:col>3</xdr:col>
      <xdr:colOff>300404</xdr:colOff>
      <xdr:row>164</xdr:row>
      <xdr:rowOff>45337</xdr:rowOff>
    </xdr:to>
    <xdr:cxnSp macro="">
      <xdr:nvCxnSpPr>
        <xdr:cNvPr id="147" name="Straight Connector 146"/>
        <xdr:cNvCxnSpPr/>
      </xdr:nvCxnSpPr>
      <xdr:spPr>
        <a:xfrm flipH="1">
          <a:off x="3076209"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163</xdr:row>
      <xdr:rowOff>25749</xdr:rowOff>
    </xdr:from>
    <xdr:to>
      <xdr:col>3</xdr:col>
      <xdr:colOff>472128</xdr:colOff>
      <xdr:row>164</xdr:row>
      <xdr:rowOff>36635</xdr:rowOff>
    </xdr:to>
    <xdr:cxnSp macro="">
      <xdr:nvCxnSpPr>
        <xdr:cNvPr id="148" name="Straight Connector 147"/>
        <xdr:cNvCxnSpPr/>
      </xdr:nvCxnSpPr>
      <xdr:spPr>
        <a:xfrm>
          <a:off x="3235569"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xdr:row>
      <xdr:rowOff>44824</xdr:rowOff>
    </xdr:from>
    <xdr:to>
      <xdr:col>3</xdr:col>
      <xdr:colOff>67235</xdr:colOff>
      <xdr:row>155</xdr:row>
      <xdr:rowOff>156883</xdr:rowOff>
    </xdr:to>
    <xdr:cxnSp macro="">
      <xdr:nvCxnSpPr>
        <xdr:cNvPr id="149" name="Straight Connector 148"/>
        <xdr:cNvCxnSpPr/>
      </xdr:nvCxnSpPr>
      <xdr:spPr>
        <a:xfrm>
          <a:off x="2848535"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xdr:row>
      <xdr:rowOff>166690</xdr:rowOff>
    </xdr:from>
    <xdr:to>
      <xdr:col>4</xdr:col>
      <xdr:colOff>29308</xdr:colOff>
      <xdr:row>155</xdr:row>
      <xdr:rowOff>168519</xdr:rowOff>
    </xdr:to>
    <xdr:cxnSp macro="">
      <xdr:nvCxnSpPr>
        <xdr:cNvPr id="150" name="Straight Connector 149"/>
        <xdr:cNvCxnSpPr/>
      </xdr:nvCxnSpPr>
      <xdr:spPr>
        <a:xfrm>
          <a:off x="2840831" y="2988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xdr:row>
      <xdr:rowOff>41673</xdr:rowOff>
    </xdr:from>
    <xdr:to>
      <xdr:col>4</xdr:col>
      <xdr:colOff>12211</xdr:colOff>
      <xdr:row>156</xdr:row>
      <xdr:rowOff>0</xdr:rowOff>
    </xdr:to>
    <xdr:cxnSp macro="">
      <xdr:nvCxnSpPr>
        <xdr:cNvPr id="151" name="Straight Connector 150"/>
        <xdr:cNvCxnSpPr/>
      </xdr:nvCxnSpPr>
      <xdr:spPr>
        <a:xfrm flipH="1" flipV="1">
          <a:off x="3495675"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xdr:row>
      <xdr:rowOff>32918</xdr:rowOff>
    </xdr:from>
    <xdr:to>
      <xdr:col>4</xdr:col>
      <xdr:colOff>17861</xdr:colOff>
      <xdr:row>153</xdr:row>
      <xdr:rowOff>35719</xdr:rowOff>
    </xdr:to>
    <xdr:cxnSp macro="">
      <xdr:nvCxnSpPr>
        <xdr:cNvPr id="152" name="Straight Connector 151"/>
        <xdr:cNvCxnSpPr/>
      </xdr:nvCxnSpPr>
      <xdr:spPr>
        <a:xfrm flipH="1">
          <a:off x="2840831" y="2936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89297</xdr:rowOff>
    </xdr:from>
    <xdr:to>
      <xdr:col>3</xdr:col>
      <xdr:colOff>178594</xdr:colOff>
      <xdr:row>159</xdr:row>
      <xdr:rowOff>59531</xdr:rowOff>
    </xdr:to>
    <xdr:cxnSp macro="">
      <xdr:nvCxnSpPr>
        <xdr:cNvPr id="153" name="Straight Connector 152"/>
        <xdr:cNvCxnSpPr/>
      </xdr:nvCxnSpPr>
      <xdr:spPr>
        <a:xfrm>
          <a:off x="2840831"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xdr:row>
      <xdr:rowOff>35719</xdr:rowOff>
    </xdr:from>
    <xdr:to>
      <xdr:col>3</xdr:col>
      <xdr:colOff>285750</xdr:colOff>
      <xdr:row>158</xdr:row>
      <xdr:rowOff>154781</xdr:rowOff>
    </xdr:to>
    <xdr:cxnSp macro="">
      <xdr:nvCxnSpPr>
        <xdr:cNvPr id="154" name="Straight Connector 153"/>
        <xdr:cNvCxnSpPr/>
      </xdr:nvCxnSpPr>
      <xdr:spPr>
        <a:xfrm>
          <a:off x="2876550"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xdr:row>
      <xdr:rowOff>44824</xdr:rowOff>
    </xdr:from>
    <xdr:to>
      <xdr:col>3</xdr:col>
      <xdr:colOff>67235</xdr:colOff>
      <xdr:row>160</xdr:row>
      <xdr:rowOff>156883</xdr:rowOff>
    </xdr:to>
    <xdr:cxnSp macro="">
      <xdr:nvCxnSpPr>
        <xdr:cNvPr id="155" name="Straight Connector 154"/>
        <xdr:cNvCxnSpPr/>
      </xdr:nvCxnSpPr>
      <xdr:spPr>
        <a:xfrm>
          <a:off x="2848535"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xdr:row>
      <xdr:rowOff>166690</xdr:rowOff>
    </xdr:from>
    <xdr:to>
      <xdr:col>4</xdr:col>
      <xdr:colOff>29308</xdr:colOff>
      <xdr:row>160</xdr:row>
      <xdr:rowOff>168519</xdr:rowOff>
    </xdr:to>
    <xdr:cxnSp macro="">
      <xdr:nvCxnSpPr>
        <xdr:cNvPr id="156" name="Straight Connector 155"/>
        <xdr:cNvCxnSpPr/>
      </xdr:nvCxnSpPr>
      <xdr:spPr>
        <a:xfrm>
          <a:off x="2840831" y="308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xdr:row>
      <xdr:rowOff>41673</xdr:rowOff>
    </xdr:from>
    <xdr:to>
      <xdr:col>4</xdr:col>
      <xdr:colOff>12211</xdr:colOff>
      <xdr:row>161</xdr:row>
      <xdr:rowOff>0</xdr:rowOff>
    </xdr:to>
    <xdr:cxnSp macro="">
      <xdr:nvCxnSpPr>
        <xdr:cNvPr id="157" name="Straight Connector 156"/>
        <xdr:cNvCxnSpPr/>
      </xdr:nvCxnSpPr>
      <xdr:spPr>
        <a:xfrm flipH="1" flipV="1">
          <a:off x="3495675"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32918</xdr:rowOff>
    </xdr:from>
    <xdr:to>
      <xdr:col>4</xdr:col>
      <xdr:colOff>17861</xdr:colOff>
      <xdr:row>158</xdr:row>
      <xdr:rowOff>35719</xdr:rowOff>
    </xdr:to>
    <xdr:cxnSp macro="">
      <xdr:nvCxnSpPr>
        <xdr:cNvPr id="158" name="Straight Connector 157"/>
        <xdr:cNvCxnSpPr/>
      </xdr:nvCxnSpPr>
      <xdr:spPr>
        <a:xfrm flipH="1">
          <a:off x="2840831" y="303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167</xdr:row>
      <xdr:rowOff>124558</xdr:rowOff>
    </xdr:from>
    <xdr:to>
      <xdr:col>3</xdr:col>
      <xdr:colOff>381000</xdr:colOff>
      <xdr:row>170</xdr:row>
      <xdr:rowOff>124558</xdr:rowOff>
    </xdr:to>
    <xdr:cxnSp macro="">
      <xdr:nvCxnSpPr>
        <xdr:cNvPr id="159" name="Straight Connector 158"/>
        <xdr:cNvCxnSpPr/>
      </xdr:nvCxnSpPr>
      <xdr:spPr>
        <a:xfrm flipH="1">
          <a:off x="2713986" y="32128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167</xdr:row>
      <xdr:rowOff>139212</xdr:rowOff>
    </xdr:from>
    <xdr:to>
      <xdr:col>4</xdr:col>
      <xdr:colOff>116773</xdr:colOff>
      <xdr:row>170</xdr:row>
      <xdr:rowOff>117231</xdr:rowOff>
    </xdr:to>
    <xdr:cxnSp macro="">
      <xdr:nvCxnSpPr>
        <xdr:cNvPr id="160" name="Straight Connector 159"/>
        <xdr:cNvCxnSpPr/>
      </xdr:nvCxnSpPr>
      <xdr:spPr>
        <a:xfrm>
          <a:off x="3162300" y="32143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170</xdr:row>
      <xdr:rowOff>118956</xdr:rowOff>
    </xdr:from>
    <xdr:to>
      <xdr:col>4</xdr:col>
      <xdr:colOff>134902</xdr:colOff>
      <xdr:row>170</xdr:row>
      <xdr:rowOff>118956</xdr:rowOff>
    </xdr:to>
    <xdr:cxnSp macro="">
      <xdr:nvCxnSpPr>
        <xdr:cNvPr id="161" name="Straight Connector 160"/>
        <xdr:cNvCxnSpPr/>
      </xdr:nvCxnSpPr>
      <xdr:spPr>
        <a:xfrm>
          <a:off x="2706955" y="32694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168</xdr:row>
      <xdr:rowOff>36635</xdr:rowOff>
    </xdr:from>
    <xdr:to>
      <xdr:col>3</xdr:col>
      <xdr:colOff>300404</xdr:colOff>
      <xdr:row>169</xdr:row>
      <xdr:rowOff>45337</xdr:rowOff>
    </xdr:to>
    <xdr:cxnSp macro="">
      <xdr:nvCxnSpPr>
        <xdr:cNvPr id="162" name="Straight Connector 161"/>
        <xdr:cNvCxnSpPr/>
      </xdr:nvCxnSpPr>
      <xdr:spPr>
        <a:xfrm flipH="1">
          <a:off x="3076209"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168</xdr:row>
      <xdr:rowOff>25749</xdr:rowOff>
    </xdr:from>
    <xdr:to>
      <xdr:col>3</xdr:col>
      <xdr:colOff>472128</xdr:colOff>
      <xdr:row>169</xdr:row>
      <xdr:rowOff>36635</xdr:rowOff>
    </xdr:to>
    <xdr:cxnSp macro="">
      <xdr:nvCxnSpPr>
        <xdr:cNvPr id="163" name="Straight Connector 162"/>
        <xdr:cNvCxnSpPr/>
      </xdr:nvCxnSpPr>
      <xdr:spPr>
        <a:xfrm>
          <a:off x="3235569"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35719</xdr:rowOff>
    </xdr:from>
    <xdr:to>
      <xdr:col>3</xdr:col>
      <xdr:colOff>428625</xdr:colOff>
      <xdr:row>175</xdr:row>
      <xdr:rowOff>178594</xdr:rowOff>
    </xdr:to>
    <xdr:cxnSp macro="">
      <xdr:nvCxnSpPr>
        <xdr:cNvPr id="164" name="Straight Connector 163"/>
        <xdr:cNvCxnSpPr/>
      </xdr:nvCxnSpPr>
      <xdr:spPr>
        <a:xfrm>
          <a:off x="3209925"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175</xdr:row>
      <xdr:rowOff>95249</xdr:rowOff>
    </xdr:from>
    <xdr:to>
      <xdr:col>3</xdr:col>
      <xdr:colOff>571500</xdr:colOff>
      <xdr:row>175</xdr:row>
      <xdr:rowOff>154780</xdr:rowOff>
    </xdr:to>
    <xdr:cxnSp macro="">
      <xdr:nvCxnSpPr>
        <xdr:cNvPr id="165" name="Straight Connector 164"/>
        <xdr:cNvCxnSpPr/>
      </xdr:nvCxnSpPr>
      <xdr:spPr>
        <a:xfrm flipH="1">
          <a:off x="3209925"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47625</xdr:rowOff>
    </xdr:from>
    <xdr:to>
      <xdr:col>3</xdr:col>
      <xdr:colOff>595313</xdr:colOff>
      <xdr:row>173</xdr:row>
      <xdr:rowOff>119062</xdr:rowOff>
    </xdr:to>
    <xdr:cxnSp macro="">
      <xdr:nvCxnSpPr>
        <xdr:cNvPr id="166" name="Straight Connector 165"/>
        <xdr:cNvCxnSpPr/>
      </xdr:nvCxnSpPr>
      <xdr:spPr>
        <a:xfrm>
          <a:off x="3209925"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176</xdr:row>
      <xdr:rowOff>297027</xdr:rowOff>
    </xdr:from>
    <xdr:to>
      <xdr:col>3</xdr:col>
      <xdr:colOff>392907</xdr:colOff>
      <xdr:row>180</xdr:row>
      <xdr:rowOff>154781</xdr:rowOff>
    </xdr:to>
    <xdr:cxnSp macro="">
      <xdr:nvCxnSpPr>
        <xdr:cNvPr id="167" name="Straight Connector 166"/>
        <xdr:cNvCxnSpPr/>
      </xdr:nvCxnSpPr>
      <xdr:spPr>
        <a:xfrm>
          <a:off x="3166381"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180</xdr:row>
      <xdr:rowOff>142875</xdr:rowOff>
    </xdr:from>
    <xdr:to>
      <xdr:col>4</xdr:col>
      <xdr:colOff>11908</xdr:colOff>
      <xdr:row>180</xdr:row>
      <xdr:rowOff>154782</xdr:rowOff>
    </xdr:to>
    <xdr:cxnSp macro="">
      <xdr:nvCxnSpPr>
        <xdr:cNvPr id="168" name="Straight Connector 167"/>
        <xdr:cNvCxnSpPr/>
      </xdr:nvCxnSpPr>
      <xdr:spPr>
        <a:xfrm flipH="1" flipV="1">
          <a:off x="3150395" y="3462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169" name="Straight Arrow Connector 168"/>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179</xdr:row>
      <xdr:rowOff>11907</xdr:rowOff>
    </xdr:from>
    <xdr:to>
      <xdr:col>3</xdr:col>
      <xdr:colOff>130969</xdr:colOff>
      <xdr:row>180</xdr:row>
      <xdr:rowOff>154782</xdr:rowOff>
    </xdr:to>
    <xdr:cxnSp macro="">
      <xdr:nvCxnSpPr>
        <xdr:cNvPr id="170" name="Straight Arrow Connector 169"/>
        <xdr:cNvCxnSpPr/>
      </xdr:nvCxnSpPr>
      <xdr:spPr>
        <a:xfrm>
          <a:off x="2912269"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184</xdr:row>
      <xdr:rowOff>89297</xdr:rowOff>
    </xdr:from>
    <xdr:to>
      <xdr:col>3</xdr:col>
      <xdr:colOff>178594</xdr:colOff>
      <xdr:row>185</xdr:row>
      <xdr:rowOff>59531</xdr:rowOff>
    </xdr:to>
    <xdr:cxnSp macro="">
      <xdr:nvCxnSpPr>
        <xdr:cNvPr id="171" name="Straight Connector 170"/>
        <xdr:cNvCxnSpPr/>
      </xdr:nvCxnSpPr>
      <xdr:spPr>
        <a:xfrm>
          <a:off x="2840831"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184</xdr:row>
      <xdr:rowOff>35719</xdr:rowOff>
    </xdr:from>
    <xdr:to>
      <xdr:col>3</xdr:col>
      <xdr:colOff>285750</xdr:colOff>
      <xdr:row>184</xdr:row>
      <xdr:rowOff>154781</xdr:rowOff>
    </xdr:to>
    <xdr:cxnSp macro="">
      <xdr:nvCxnSpPr>
        <xdr:cNvPr id="172" name="Straight Connector 171"/>
        <xdr:cNvCxnSpPr/>
      </xdr:nvCxnSpPr>
      <xdr:spPr>
        <a:xfrm>
          <a:off x="2876550"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198</xdr:row>
      <xdr:rowOff>124558</xdr:rowOff>
    </xdr:from>
    <xdr:to>
      <xdr:col>3</xdr:col>
      <xdr:colOff>381000</xdr:colOff>
      <xdr:row>201</xdr:row>
      <xdr:rowOff>124558</xdr:rowOff>
    </xdr:to>
    <xdr:cxnSp macro="">
      <xdr:nvCxnSpPr>
        <xdr:cNvPr id="173" name="Straight Connector 172"/>
        <xdr:cNvCxnSpPr/>
      </xdr:nvCxnSpPr>
      <xdr:spPr>
        <a:xfrm flipH="1">
          <a:off x="2713986" y="38034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198</xdr:row>
      <xdr:rowOff>139212</xdr:rowOff>
    </xdr:from>
    <xdr:to>
      <xdr:col>4</xdr:col>
      <xdr:colOff>116773</xdr:colOff>
      <xdr:row>201</xdr:row>
      <xdr:rowOff>117231</xdr:rowOff>
    </xdr:to>
    <xdr:cxnSp macro="">
      <xdr:nvCxnSpPr>
        <xdr:cNvPr id="174" name="Straight Connector 173"/>
        <xdr:cNvCxnSpPr/>
      </xdr:nvCxnSpPr>
      <xdr:spPr>
        <a:xfrm>
          <a:off x="3162300" y="38048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201</xdr:row>
      <xdr:rowOff>118956</xdr:rowOff>
    </xdr:from>
    <xdr:to>
      <xdr:col>4</xdr:col>
      <xdr:colOff>134902</xdr:colOff>
      <xdr:row>201</xdr:row>
      <xdr:rowOff>118956</xdr:rowOff>
    </xdr:to>
    <xdr:cxnSp macro="">
      <xdr:nvCxnSpPr>
        <xdr:cNvPr id="175" name="Straight Connector 174"/>
        <xdr:cNvCxnSpPr/>
      </xdr:nvCxnSpPr>
      <xdr:spPr>
        <a:xfrm>
          <a:off x="2706955" y="38599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199</xdr:row>
      <xdr:rowOff>36635</xdr:rowOff>
    </xdr:from>
    <xdr:to>
      <xdr:col>3</xdr:col>
      <xdr:colOff>300404</xdr:colOff>
      <xdr:row>200</xdr:row>
      <xdr:rowOff>45337</xdr:rowOff>
    </xdr:to>
    <xdr:cxnSp macro="">
      <xdr:nvCxnSpPr>
        <xdr:cNvPr id="176" name="Straight Connector 175"/>
        <xdr:cNvCxnSpPr/>
      </xdr:nvCxnSpPr>
      <xdr:spPr>
        <a:xfrm flipH="1">
          <a:off x="3076209"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199</xdr:row>
      <xdr:rowOff>25749</xdr:rowOff>
    </xdr:from>
    <xdr:to>
      <xdr:col>3</xdr:col>
      <xdr:colOff>472128</xdr:colOff>
      <xdr:row>200</xdr:row>
      <xdr:rowOff>36635</xdr:rowOff>
    </xdr:to>
    <xdr:cxnSp macro="">
      <xdr:nvCxnSpPr>
        <xdr:cNvPr id="177" name="Straight Connector 176"/>
        <xdr:cNvCxnSpPr/>
      </xdr:nvCxnSpPr>
      <xdr:spPr>
        <a:xfrm>
          <a:off x="3235569"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184</xdr:row>
      <xdr:rowOff>44824</xdr:rowOff>
    </xdr:from>
    <xdr:to>
      <xdr:col>3</xdr:col>
      <xdr:colOff>67235</xdr:colOff>
      <xdr:row>186</xdr:row>
      <xdr:rowOff>156883</xdr:rowOff>
    </xdr:to>
    <xdr:cxnSp macro="">
      <xdr:nvCxnSpPr>
        <xdr:cNvPr id="178" name="Straight Connector 177"/>
        <xdr:cNvCxnSpPr/>
      </xdr:nvCxnSpPr>
      <xdr:spPr>
        <a:xfrm>
          <a:off x="2848535"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186</xdr:row>
      <xdr:rowOff>166690</xdr:rowOff>
    </xdr:from>
    <xdr:to>
      <xdr:col>4</xdr:col>
      <xdr:colOff>29308</xdr:colOff>
      <xdr:row>186</xdr:row>
      <xdr:rowOff>168519</xdr:rowOff>
    </xdr:to>
    <xdr:cxnSp macro="">
      <xdr:nvCxnSpPr>
        <xdr:cNvPr id="179" name="Straight Connector 178"/>
        <xdr:cNvCxnSpPr/>
      </xdr:nvCxnSpPr>
      <xdr:spPr>
        <a:xfrm>
          <a:off x="2840831" y="3579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184</xdr:row>
      <xdr:rowOff>41673</xdr:rowOff>
    </xdr:from>
    <xdr:to>
      <xdr:col>4</xdr:col>
      <xdr:colOff>12211</xdr:colOff>
      <xdr:row>187</xdr:row>
      <xdr:rowOff>0</xdr:rowOff>
    </xdr:to>
    <xdr:cxnSp macro="">
      <xdr:nvCxnSpPr>
        <xdr:cNvPr id="180" name="Straight Connector 179"/>
        <xdr:cNvCxnSpPr/>
      </xdr:nvCxnSpPr>
      <xdr:spPr>
        <a:xfrm flipH="1" flipV="1">
          <a:off x="3495675"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184</xdr:row>
      <xdr:rowOff>32918</xdr:rowOff>
    </xdr:from>
    <xdr:to>
      <xdr:col>4</xdr:col>
      <xdr:colOff>17861</xdr:colOff>
      <xdr:row>184</xdr:row>
      <xdr:rowOff>35719</xdr:rowOff>
    </xdr:to>
    <xdr:cxnSp macro="">
      <xdr:nvCxnSpPr>
        <xdr:cNvPr id="181" name="Straight Connector 180"/>
        <xdr:cNvCxnSpPr/>
      </xdr:nvCxnSpPr>
      <xdr:spPr>
        <a:xfrm flipH="1">
          <a:off x="2840831" y="3527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89297</xdr:rowOff>
    </xdr:from>
    <xdr:to>
      <xdr:col>3</xdr:col>
      <xdr:colOff>178594</xdr:colOff>
      <xdr:row>190</xdr:row>
      <xdr:rowOff>59531</xdr:rowOff>
    </xdr:to>
    <xdr:cxnSp macro="">
      <xdr:nvCxnSpPr>
        <xdr:cNvPr id="182" name="Straight Connector 181"/>
        <xdr:cNvCxnSpPr/>
      </xdr:nvCxnSpPr>
      <xdr:spPr>
        <a:xfrm>
          <a:off x="2840831"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189</xdr:row>
      <xdr:rowOff>35719</xdr:rowOff>
    </xdr:from>
    <xdr:to>
      <xdr:col>3</xdr:col>
      <xdr:colOff>285750</xdr:colOff>
      <xdr:row>189</xdr:row>
      <xdr:rowOff>154781</xdr:rowOff>
    </xdr:to>
    <xdr:cxnSp macro="">
      <xdr:nvCxnSpPr>
        <xdr:cNvPr id="183" name="Straight Connector 182"/>
        <xdr:cNvCxnSpPr/>
      </xdr:nvCxnSpPr>
      <xdr:spPr>
        <a:xfrm>
          <a:off x="2876550"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189</xdr:row>
      <xdr:rowOff>44824</xdr:rowOff>
    </xdr:from>
    <xdr:to>
      <xdr:col>3</xdr:col>
      <xdr:colOff>67235</xdr:colOff>
      <xdr:row>191</xdr:row>
      <xdr:rowOff>156883</xdr:rowOff>
    </xdr:to>
    <xdr:cxnSp macro="">
      <xdr:nvCxnSpPr>
        <xdr:cNvPr id="184" name="Straight Connector 183"/>
        <xdr:cNvCxnSpPr/>
      </xdr:nvCxnSpPr>
      <xdr:spPr>
        <a:xfrm>
          <a:off x="2848535"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191</xdr:row>
      <xdr:rowOff>166690</xdr:rowOff>
    </xdr:from>
    <xdr:to>
      <xdr:col>4</xdr:col>
      <xdr:colOff>29308</xdr:colOff>
      <xdr:row>191</xdr:row>
      <xdr:rowOff>168519</xdr:rowOff>
    </xdr:to>
    <xdr:cxnSp macro="">
      <xdr:nvCxnSpPr>
        <xdr:cNvPr id="185" name="Straight Connector 184"/>
        <xdr:cNvCxnSpPr/>
      </xdr:nvCxnSpPr>
      <xdr:spPr>
        <a:xfrm>
          <a:off x="2840831" y="367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189</xdr:row>
      <xdr:rowOff>41673</xdr:rowOff>
    </xdr:from>
    <xdr:to>
      <xdr:col>4</xdr:col>
      <xdr:colOff>12211</xdr:colOff>
      <xdr:row>192</xdr:row>
      <xdr:rowOff>0</xdr:rowOff>
    </xdr:to>
    <xdr:cxnSp macro="">
      <xdr:nvCxnSpPr>
        <xdr:cNvPr id="186" name="Straight Connector 185"/>
        <xdr:cNvCxnSpPr/>
      </xdr:nvCxnSpPr>
      <xdr:spPr>
        <a:xfrm flipH="1" flipV="1">
          <a:off x="3495675"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32918</xdr:rowOff>
    </xdr:from>
    <xdr:to>
      <xdr:col>4</xdr:col>
      <xdr:colOff>17861</xdr:colOff>
      <xdr:row>189</xdr:row>
      <xdr:rowOff>35719</xdr:rowOff>
    </xdr:to>
    <xdr:cxnSp macro="">
      <xdr:nvCxnSpPr>
        <xdr:cNvPr id="187" name="Straight Connector 186"/>
        <xdr:cNvCxnSpPr/>
      </xdr:nvCxnSpPr>
      <xdr:spPr>
        <a:xfrm flipH="1">
          <a:off x="2840831" y="362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203</xdr:row>
      <xdr:rowOff>124558</xdr:rowOff>
    </xdr:from>
    <xdr:to>
      <xdr:col>3</xdr:col>
      <xdr:colOff>381000</xdr:colOff>
      <xdr:row>206</xdr:row>
      <xdr:rowOff>124558</xdr:rowOff>
    </xdr:to>
    <xdr:cxnSp macro="">
      <xdr:nvCxnSpPr>
        <xdr:cNvPr id="188" name="Straight Connector 187"/>
        <xdr:cNvCxnSpPr/>
      </xdr:nvCxnSpPr>
      <xdr:spPr>
        <a:xfrm flipH="1">
          <a:off x="2713986" y="38986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203</xdr:row>
      <xdr:rowOff>139212</xdr:rowOff>
    </xdr:from>
    <xdr:to>
      <xdr:col>4</xdr:col>
      <xdr:colOff>116773</xdr:colOff>
      <xdr:row>206</xdr:row>
      <xdr:rowOff>117231</xdr:rowOff>
    </xdr:to>
    <xdr:cxnSp macro="">
      <xdr:nvCxnSpPr>
        <xdr:cNvPr id="189" name="Straight Connector 188"/>
        <xdr:cNvCxnSpPr/>
      </xdr:nvCxnSpPr>
      <xdr:spPr>
        <a:xfrm>
          <a:off x="3162300" y="39001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206</xdr:row>
      <xdr:rowOff>118956</xdr:rowOff>
    </xdr:from>
    <xdr:to>
      <xdr:col>4</xdr:col>
      <xdr:colOff>134902</xdr:colOff>
      <xdr:row>206</xdr:row>
      <xdr:rowOff>118956</xdr:rowOff>
    </xdr:to>
    <xdr:cxnSp macro="">
      <xdr:nvCxnSpPr>
        <xdr:cNvPr id="190" name="Straight Connector 189"/>
        <xdr:cNvCxnSpPr/>
      </xdr:nvCxnSpPr>
      <xdr:spPr>
        <a:xfrm>
          <a:off x="2706955" y="39552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204</xdr:row>
      <xdr:rowOff>36635</xdr:rowOff>
    </xdr:from>
    <xdr:to>
      <xdr:col>3</xdr:col>
      <xdr:colOff>300404</xdr:colOff>
      <xdr:row>205</xdr:row>
      <xdr:rowOff>45337</xdr:rowOff>
    </xdr:to>
    <xdr:cxnSp macro="">
      <xdr:nvCxnSpPr>
        <xdr:cNvPr id="191" name="Straight Connector 190"/>
        <xdr:cNvCxnSpPr/>
      </xdr:nvCxnSpPr>
      <xdr:spPr>
        <a:xfrm flipH="1">
          <a:off x="3076209"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204</xdr:row>
      <xdr:rowOff>25749</xdr:rowOff>
    </xdr:from>
    <xdr:to>
      <xdr:col>3</xdr:col>
      <xdr:colOff>472128</xdr:colOff>
      <xdr:row>205</xdr:row>
      <xdr:rowOff>36635</xdr:rowOff>
    </xdr:to>
    <xdr:cxnSp macro="">
      <xdr:nvCxnSpPr>
        <xdr:cNvPr id="192" name="Straight Connector 191"/>
        <xdr:cNvCxnSpPr/>
      </xdr:nvCxnSpPr>
      <xdr:spPr>
        <a:xfrm>
          <a:off x="3235569"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89297</xdr:rowOff>
    </xdr:from>
    <xdr:to>
      <xdr:col>3</xdr:col>
      <xdr:colOff>178594</xdr:colOff>
      <xdr:row>195</xdr:row>
      <xdr:rowOff>59531</xdr:rowOff>
    </xdr:to>
    <xdr:cxnSp macro="">
      <xdr:nvCxnSpPr>
        <xdr:cNvPr id="193" name="Straight Connector 192"/>
        <xdr:cNvCxnSpPr/>
      </xdr:nvCxnSpPr>
      <xdr:spPr>
        <a:xfrm>
          <a:off x="2840831"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194</xdr:row>
      <xdr:rowOff>35719</xdr:rowOff>
    </xdr:from>
    <xdr:to>
      <xdr:col>3</xdr:col>
      <xdr:colOff>285750</xdr:colOff>
      <xdr:row>194</xdr:row>
      <xdr:rowOff>154781</xdr:rowOff>
    </xdr:to>
    <xdr:cxnSp macro="">
      <xdr:nvCxnSpPr>
        <xdr:cNvPr id="194" name="Straight Connector 193"/>
        <xdr:cNvCxnSpPr/>
      </xdr:nvCxnSpPr>
      <xdr:spPr>
        <a:xfrm>
          <a:off x="2876550"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194</xdr:row>
      <xdr:rowOff>44824</xdr:rowOff>
    </xdr:from>
    <xdr:to>
      <xdr:col>3</xdr:col>
      <xdr:colOff>67235</xdr:colOff>
      <xdr:row>196</xdr:row>
      <xdr:rowOff>156883</xdr:rowOff>
    </xdr:to>
    <xdr:cxnSp macro="">
      <xdr:nvCxnSpPr>
        <xdr:cNvPr id="195" name="Straight Connector 194"/>
        <xdr:cNvCxnSpPr/>
      </xdr:nvCxnSpPr>
      <xdr:spPr>
        <a:xfrm>
          <a:off x="2848535"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196</xdr:row>
      <xdr:rowOff>166690</xdr:rowOff>
    </xdr:from>
    <xdr:to>
      <xdr:col>4</xdr:col>
      <xdr:colOff>29308</xdr:colOff>
      <xdr:row>196</xdr:row>
      <xdr:rowOff>168519</xdr:rowOff>
    </xdr:to>
    <xdr:cxnSp macro="">
      <xdr:nvCxnSpPr>
        <xdr:cNvPr id="196" name="Straight Connector 195"/>
        <xdr:cNvCxnSpPr/>
      </xdr:nvCxnSpPr>
      <xdr:spPr>
        <a:xfrm>
          <a:off x="2840831" y="376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194</xdr:row>
      <xdr:rowOff>41673</xdr:rowOff>
    </xdr:from>
    <xdr:to>
      <xdr:col>4</xdr:col>
      <xdr:colOff>12211</xdr:colOff>
      <xdr:row>197</xdr:row>
      <xdr:rowOff>0</xdr:rowOff>
    </xdr:to>
    <xdr:cxnSp macro="">
      <xdr:nvCxnSpPr>
        <xdr:cNvPr id="197" name="Straight Connector 196"/>
        <xdr:cNvCxnSpPr/>
      </xdr:nvCxnSpPr>
      <xdr:spPr>
        <a:xfrm flipH="1" flipV="1">
          <a:off x="3495675"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32918</xdr:rowOff>
    </xdr:from>
    <xdr:to>
      <xdr:col>4</xdr:col>
      <xdr:colOff>17861</xdr:colOff>
      <xdr:row>194</xdr:row>
      <xdr:rowOff>35719</xdr:rowOff>
    </xdr:to>
    <xdr:cxnSp macro="">
      <xdr:nvCxnSpPr>
        <xdr:cNvPr id="198" name="Straight Connector 197"/>
        <xdr:cNvCxnSpPr/>
      </xdr:nvCxnSpPr>
      <xdr:spPr>
        <a:xfrm flipH="1">
          <a:off x="2840831" y="371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208</xdr:row>
      <xdr:rowOff>297027</xdr:rowOff>
    </xdr:from>
    <xdr:to>
      <xdr:col>3</xdr:col>
      <xdr:colOff>392907</xdr:colOff>
      <xdr:row>212</xdr:row>
      <xdr:rowOff>154781</xdr:rowOff>
    </xdr:to>
    <xdr:cxnSp macro="">
      <xdr:nvCxnSpPr>
        <xdr:cNvPr id="199" name="Straight Connector 198"/>
        <xdr:cNvCxnSpPr/>
      </xdr:nvCxnSpPr>
      <xdr:spPr>
        <a:xfrm>
          <a:off x="3166381"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212</xdr:row>
      <xdr:rowOff>142875</xdr:rowOff>
    </xdr:from>
    <xdr:to>
      <xdr:col>4</xdr:col>
      <xdr:colOff>11908</xdr:colOff>
      <xdr:row>212</xdr:row>
      <xdr:rowOff>154782</xdr:rowOff>
    </xdr:to>
    <xdr:cxnSp macro="">
      <xdr:nvCxnSpPr>
        <xdr:cNvPr id="200" name="Straight Connector 199"/>
        <xdr:cNvCxnSpPr/>
      </xdr:nvCxnSpPr>
      <xdr:spPr>
        <a:xfrm flipH="1" flipV="1">
          <a:off x="3150395" y="40719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208</xdr:row>
      <xdr:rowOff>305147</xdr:rowOff>
    </xdr:from>
    <xdr:to>
      <xdr:col>3</xdr:col>
      <xdr:colOff>130969</xdr:colOff>
      <xdr:row>210</xdr:row>
      <xdr:rowOff>11906</xdr:rowOff>
    </xdr:to>
    <xdr:cxnSp macro="">
      <xdr:nvCxnSpPr>
        <xdr:cNvPr id="201" name="Straight Arrow Connector 200"/>
        <xdr:cNvCxnSpPr/>
      </xdr:nvCxnSpPr>
      <xdr:spPr>
        <a:xfrm flipH="1" flipV="1">
          <a:off x="2904995"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211</xdr:row>
      <xdr:rowOff>11907</xdr:rowOff>
    </xdr:from>
    <xdr:to>
      <xdr:col>3</xdr:col>
      <xdr:colOff>130969</xdr:colOff>
      <xdr:row>212</xdr:row>
      <xdr:rowOff>154782</xdr:rowOff>
    </xdr:to>
    <xdr:cxnSp macro="">
      <xdr:nvCxnSpPr>
        <xdr:cNvPr id="202" name="Straight Arrow Connector 201"/>
        <xdr:cNvCxnSpPr/>
      </xdr:nvCxnSpPr>
      <xdr:spPr>
        <a:xfrm>
          <a:off x="2912269"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215</xdr:row>
      <xdr:rowOff>89297</xdr:rowOff>
    </xdr:from>
    <xdr:to>
      <xdr:col>3</xdr:col>
      <xdr:colOff>178594</xdr:colOff>
      <xdr:row>216</xdr:row>
      <xdr:rowOff>59531</xdr:rowOff>
    </xdr:to>
    <xdr:cxnSp macro="">
      <xdr:nvCxnSpPr>
        <xdr:cNvPr id="203" name="Straight Connector 202"/>
        <xdr:cNvCxnSpPr/>
      </xdr:nvCxnSpPr>
      <xdr:spPr>
        <a:xfrm>
          <a:off x="2840831"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215</xdr:row>
      <xdr:rowOff>35719</xdr:rowOff>
    </xdr:from>
    <xdr:to>
      <xdr:col>3</xdr:col>
      <xdr:colOff>285750</xdr:colOff>
      <xdr:row>215</xdr:row>
      <xdr:rowOff>154781</xdr:rowOff>
    </xdr:to>
    <xdr:cxnSp macro="">
      <xdr:nvCxnSpPr>
        <xdr:cNvPr id="204" name="Straight Connector 203"/>
        <xdr:cNvCxnSpPr/>
      </xdr:nvCxnSpPr>
      <xdr:spPr>
        <a:xfrm>
          <a:off x="2876550"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224</xdr:row>
      <xdr:rowOff>124558</xdr:rowOff>
    </xdr:from>
    <xdr:to>
      <xdr:col>3</xdr:col>
      <xdr:colOff>381000</xdr:colOff>
      <xdr:row>227</xdr:row>
      <xdr:rowOff>124558</xdr:rowOff>
    </xdr:to>
    <xdr:cxnSp macro="">
      <xdr:nvCxnSpPr>
        <xdr:cNvPr id="205" name="Straight Connector 204"/>
        <xdr:cNvCxnSpPr/>
      </xdr:nvCxnSpPr>
      <xdr:spPr>
        <a:xfrm flipH="1">
          <a:off x="2713986" y="4298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224</xdr:row>
      <xdr:rowOff>139212</xdr:rowOff>
    </xdr:from>
    <xdr:to>
      <xdr:col>4</xdr:col>
      <xdr:colOff>116773</xdr:colOff>
      <xdr:row>227</xdr:row>
      <xdr:rowOff>117231</xdr:rowOff>
    </xdr:to>
    <xdr:cxnSp macro="">
      <xdr:nvCxnSpPr>
        <xdr:cNvPr id="206" name="Straight Connector 205"/>
        <xdr:cNvCxnSpPr/>
      </xdr:nvCxnSpPr>
      <xdr:spPr>
        <a:xfrm>
          <a:off x="3162300" y="4300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227</xdr:row>
      <xdr:rowOff>118956</xdr:rowOff>
    </xdr:from>
    <xdr:to>
      <xdr:col>4</xdr:col>
      <xdr:colOff>134902</xdr:colOff>
      <xdr:row>227</xdr:row>
      <xdr:rowOff>118956</xdr:rowOff>
    </xdr:to>
    <xdr:cxnSp macro="">
      <xdr:nvCxnSpPr>
        <xdr:cNvPr id="207" name="Straight Connector 206"/>
        <xdr:cNvCxnSpPr/>
      </xdr:nvCxnSpPr>
      <xdr:spPr>
        <a:xfrm>
          <a:off x="2706955" y="4355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225</xdr:row>
      <xdr:rowOff>36635</xdr:rowOff>
    </xdr:from>
    <xdr:to>
      <xdr:col>3</xdr:col>
      <xdr:colOff>300404</xdr:colOff>
      <xdr:row>226</xdr:row>
      <xdr:rowOff>45337</xdr:rowOff>
    </xdr:to>
    <xdr:cxnSp macro="">
      <xdr:nvCxnSpPr>
        <xdr:cNvPr id="208" name="Straight Connector 207"/>
        <xdr:cNvCxnSpPr/>
      </xdr:nvCxnSpPr>
      <xdr:spPr>
        <a:xfrm flipH="1">
          <a:off x="3076209"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225</xdr:row>
      <xdr:rowOff>25749</xdr:rowOff>
    </xdr:from>
    <xdr:to>
      <xdr:col>3</xdr:col>
      <xdr:colOff>472128</xdr:colOff>
      <xdr:row>226</xdr:row>
      <xdr:rowOff>36635</xdr:rowOff>
    </xdr:to>
    <xdr:cxnSp macro="">
      <xdr:nvCxnSpPr>
        <xdr:cNvPr id="209" name="Straight Connector 208"/>
        <xdr:cNvCxnSpPr/>
      </xdr:nvCxnSpPr>
      <xdr:spPr>
        <a:xfrm>
          <a:off x="3235569"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215</xdr:row>
      <xdr:rowOff>44824</xdr:rowOff>
    </xdr:from>
    <xdr:to>
      <xdr:col>3</xdr:col>
      <xdr:colOff>67235</xdr:colOff>
      <xdr:row>217</xdr:row>
      <xdr:rowOff>156883</xdr:rowOff>
    </xdr:to>
    <xdr:cxnSp macro="">
      <xdr:nvCxnSpPr>
        <xdr:cNvPr id="210" name="Straight Connector 209"/>
        <xdr:cNvCxnSpPr/>
      </xdr:nvCxnSpPr>
      <xdr:spPr>
        <a:xfrm>
          <a:off x="2848535"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217</xdr:row>
      <xdr:rowOff>166690</xdr:rowOff>
    </xdr:from>
    <xdr:to>
      <xdr:col>4</xdr:col>
      <xdr:colOff>29308</xdr:colOff>
      <xdr:row>217</xdr:row>
      <xdr:rowOff>168519</xdr:rowOff>
    </xdr:to>
    <xdr:cxnSp macro="">
      <xdr:nvCxnSpPr>
        <xdr:cNvPr id="211" name="Straight Connector 210"/>
        <xdr:cNvCxnSpPr/>
      </xdr:nvCxnSpPr>
      <xdr:spPr>
        <a:xfrm>
          <a:off x="2840831" y="4169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215</xdr:row>
      <xdr:rowOff>41673</xdr:rowOff>
    </xdr:from>
    <xdr:to>
      <xdr:col>4</xdr:col>
      <xdr:colOff>12211</xdr:colOff>
      <xdr:row>218</xdr:row>
      <xdr:rowOff>0</xdr:rowOff>
    </xdr:to>
    <xdr:cxnSp macro="">
      <xdr:nvCxnSpPr>
        <xdr:cNvPr id="212" name="Straight Connector 211"/>
        <xdr:cNvCxnSpPr/>
      </xdr:nvCxnSpPr>
      <xdr:spPr>
        <a:xfrm flipH="1" flipV="1">
          <a:off x="3495675"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215</xdr:row>
      <xdr:rowOff>32918</xdr:rowOff>
    </xdr:from>
    <xdr:to>
      <xdr:col>4</xdr:col>
      <xdr:colOff>17861</xdr:colOff>
      <xdr:row>215</xdr:row>
      <xdr:rowOff>35719</xdr:rowOff>
    </xdr:to>
    <xdr:cxnSp macro="">
      <xdr:nvCxnSpPr>
        <xdr:cNvPr id="213" name="Straight Connector 212"/>
        <xdr:cNvCxnSpPr/>
      </xdr:nvCxnSpPr>
      <xdr:spPr>
        <a:xfrm flipH="1">
          <a:off x="2840831" y="4118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89297</xdr:rowOff>
    </xdr:from>
    <xdr:to>
      <xdr:col>3</xdr:col>
      <xdr:colOff>178594</xdr:colOff>
      <xdr:row>221</xdr:row>
      <xdr:rowOff>59531</xdr:rowOff>
    </xdr:to>
    <xdr:cxnSp macro="">
      <xdr:nvCxnSpPr>
        <xdr:cNvPr id="214" name="Straight Connector 213"/>
        <xdr:cNvCxnSpPr/>
      </xdr:nvCxnSpPr>
      <xdr:spPr>
        <a:xfrm>
          <a:off x="2840831"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220</xdr:row>
      <xdr:rowOff>35719</xdr:rowOff>
    </xdr:from>
    <xdr:to>
      <xdr:col>3</xdr:col>
      <xdr:colOff>285750</xdr:colOff>
      <xdr:row>220</xdr:row>
      <xdr:rowOff>154781</xdr:rowOff>
    </xdr:to>
    <xdr:cxnSp macro="">
      <xdr:nvCxnSpPr>
        <xdr:cNvPr id="215" name="Straight Connector 214"/>
        <xdr:cNvCxnSpPr/>
      </xdr:nvCxnSpPr>
      <xdr:spPr>
        <a:xfrm>
          <a:off x="2876550"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220</xdr:row>
      <xdr:rowOff>44824</xdr:rowOff>
    </xdr:from>
    <xdr:to>
      <xdr:col>3</xdr:col>
      <xdr:colOff>67235</xdr:colOff>
      <xdr:row>222</xdr:row>
      <xdr:rowOff>156883</xdr:rowOff>
    </xdr:to>
    <xdr:cxnSp macro="">
      <xdr:nvCxnSpPr>
        <xdr:cNvPr id="216" name="Straight Connector 215"/>
        <xdr:cNvCxnSpPr/>
      </xdr:nvCxnSpPr>
      <xdr:spPr>
        <a:xfrm>
          <a:off x="2848535"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222</xdr:row>
      <xdr:rowOff>166690</xdr:rowOff>
    </xdr:from>
    <xdr:to>
      <xdr:col>4</xdr:col>
      <xdr:colOff>29308</xdr:colOff>
      <xdr:row>222</xdr:row>
      <xdr:rowOff>168519</xdr:rowOff>
    </xdr:to>
    <xdr:cxnSp macro="">
      <xdr:nvCxnSpPr>
        <xdr:cNvPr id="217" name="Straight Connector 216"/>
        <xdr:cNvCxnSpPr/>
      </xdr:nvCxnSpPr>
      <xdr:spPr>
        <a:xfrm>
          <a:off x="2840831" y="4264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220</xdr:row>
      <xdr:rowOff>41673</xdr:rowOff>
    </xdr:from>
    <xdr:to>
      <xdr:col>4</xdr:col>
      <xdr:colOff>12211</xdr:colOff>
      <xdr:row>223</xdr:row>
      <xdr:rowOff>0</xdr:rowOff>
    </xdr:to>
    <xdr:cxnSp macro="">
      <xdr:nvCxnSpPr>
        <xdr:cNvPr id="218" name="Straight Connector 217"/>
        <xdr:cNvCxnSpPr/>
      </xdr:nvCxnSpPr>
      <xdr:spPr>
        <a:xfrm flipH="1" flipV="1">
          <a:off x="3495675"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32918</xdr:rowOff>
    </xdr:from>
    <xdr:to>
      <xdr:col>4</xdr:col>
      <xdr:colOff>17861</xdr:colOff>
      <xdr:row>220</xdr:row>
      <xdr:rowOff>35719</xdr:rowOff>
    </xdr:to>
    <xdr:cxnSp macro="">
      <xdr:nvCxnSpPr>
        <xdr:cNvPr id="219" name="Straight Connector 218"/>
        <xdr:cNvCxnSpPr/>
      </xdr:nvCxnSpPr>
      <xdr:spPr>
        <a:xfrm flipH="1">
          <a:off x="2840831" y="4213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229</xdr:row>
      <xdr:rowOff>124558</xdr:rowOff>
    </xdr:from>
    <xdr:to>
      <xdr:col>3</xdr:col>
      <xdr:colOff>381000</xdr:colOff>
      <xdr:row>232</xdr:row>
      <xdr:rowOff>124558</xdr:rowOff>
    </xdr:to>
    <xdr:cxnSp macro="">
      <xdr:nvCxnSpPr>
        <xdr:cNvPr id="220" name="Straight Connector 219"/>
        <xdr:cNvCxnSpPr/>
      </xdr:nvCxnSpPr>
      <xdr:spPr>
        <a:xfrm flipH="1">
          <a:off x="2713986" y="43939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229</xdr:row>
      <xdr:rowOff>139212</xdr:rowOff>
    </xdr:from>
    <xdr:to>
      <xdr:col>4</xdr:col>
      <xdr:colOff>116773</xdr:colOff>
      <xdr:row>232</xdr:row>
      <xdr:rowOff>117231</xdr:rowOff>
    </xdr:to>
    <xdr:cxnSp macro="">
      <xdr:nvCxnSpPr>
        <xdr:cNvPr id="221" name="Straight Connector 220"/>
        <xdr:cNvCxnSpPr/>
      </xdr:nvCxnSpPr>
      <xdr:spPr>
        <a:xfrm>
          <a:off x="3162300" y="43954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232</xdr:row>
      <xdr:rowOff>118956</xdr:rowOff>
    </xdr:from>
    <xdr:to>
      <xdr:col>4</xdr:col>
      <xdr:colOff>134902</xdr:colOff>
      <xdr:row>232</xdr:row>
      <xdr:rowOff>118956</xdr:rowOff>
    </xdr:to>
    <xdr:cxnSp macro="">
      <xdr:nvCxnSpPr>
        <xdr:cNvPr id="222" name="Straight Connector 221"/>
        <xdr:cNvCxnSpPr/>
      </xdr:nvCxnSpPr>
      <xdr:spPr>
        <a:xfrm>
          <a:off x="2706955" y="44505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230</xdr:row>
      <xdr:rowOff>36635</xdr:rowOff>
    </xdr:from>
    <xdr:to>
      <xdr:col>3</xdr:col>
      <xdr:colOff>300404</xdr:colOff>
      <xdr:row>231</xdr:row>
      <xdr:rowOff>45337</xdr:rowOff>
    </xdr:to>
    <xdr:cxnSp macro="">
      <xdr:nvCxnSpPr>
        <xdr:cNvPr id="223" name="Straight Connector 222"/>
        <xdr:cNvCxnSpPr/>
      </xdr:nvCxnSpPr>
      <xdr:spPr>
        <a:xfrm flipH="1">
          <a:off x="3076209"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230</xdr:row>
      <xdr:rowOff>25749</xdr:rowOff>
    </xdr:from>
    <xdr:to>
      <xdr:col>3</xdr:col>
      <xdr:colOff>472128</xdr:colOff>
      <xdr:row>231</xdr:row>
      <xdr:rowOff>36635</xdr:rowOff>
    </xdr:to>
    <xdr:cxnSp macro="">
      <xdr:nvCxnSpPr>
        <xdr:cNvPr id="224" name="Straight Connector 223"/>
        <xdr:cNvCxnSpPr/>
      </xdr:nvCxnSpPr>
      <xdr:spPr>
        <a:xfrm>
          <a:off x="3235569"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225" name="Straight Arrow Connector 224"/>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226" name="Straight Arrow Connector 225"/>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227" name="Straight Arrow Connector 226"/>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8" name="Straight Arrow Connector 227"/>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9" name="Straight Arrow Connector 228"/>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230" name="Straight Arrow Connector 2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231" name="Straight Arrow Connector 230"/>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232" name="Straight Arrow Connector 23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234</xdr:row>
      <xdr:rowOff>297027</xdr:rowOff>
    </xdr:from>
    <xdr:to>
      <xdr:col>3</xdr:col>
      <xdr:colOff>392907</xdr:colOff>
      <xdr:row>238</xdr:row>
      <xdr:rowOff>154781</xdr:rowOff>
    </xdr:to>
    <xdr:cxnSp macro="">
      <xdr:nvCxnSpPr>
        <xdr:cNvPr id="233" name="Straight Connector 232"/>
        <xdr:cNvCxnSpPr/>
      </xdr:nvCxnSpPr>
      <xdr:spPr>
        <a:xfrm>
          <a:off x="3166381"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238</xdr:row>
      <xdr:rowOff>142875</xdr:rowOff>
    </xdr:from>
    <xdr:to>
      <xdr:col>4</xdr:col>
      <xdr:colOff>11908</xdr:colOff>
      <xdr:row>238</xdr:row>
      <xdr:rowOff>154782</xdr:rowOff>
    </xdr:to>
    <xdr:cxnSp macro="">
      <xdr:nvCxnSpPr>
        <xdr:cNvPr id="234" name="Straight Connector 233"/>
        <xdr:cNvCxnSpPr/>
      </xdr:nvCxnSpPr>
      <xdr:spPr>
        <a:xfrm flipH="1" flipV="1">
          <a:off x="3150395" y="4567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234</xdr:row>
      <xdr:rowOff>305147</xdr:rowOff>
    </xdr:from>
    <xdr:to>
      <xdr:col>3</xdr:col>
      <xdr:colOff>130969</xdr:colOff>
      <xdr:row>236</xdr:row>
      <xdr:rowOff>11906</xdr:rowOff>
    </xdr:to>
    <xdr:cxnSp macro="">
      <xdr:nvCxnSpPr>
        <xdr:cNvPr id="235" name="Straight Arrow Connector 234"/>
        <xdr:cNvCxnSpPr/>
      </xdr:nvCxnSpPr>
      <xdr:spPr>
        <a:xfrm flipH="1" flipV="1">
          <a:off x="2904995"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237</xdr:row>
      <xdr:rowOff>11907</xdr:rowOff>
    </xdr:from>
    <xdr:to>
      <xdr:col>3</xdr:col>
      <xdr:colOff>130969</xdr:colOff>
      <xdr:row>238</xdr:row>
      <xdr:rowOff>154782</xdr:rowOff>
    </xdr:to>
    <xdr:cxnSp macro="">
      <xdr:nvCxnSpPr>
        <xdr:cNvPr id="236" name="Straight Arrow Connector 235"/>
        <xdr:cNvCxnSpPr/>
      </xdr:nvCxnSpPr>
      <xdr:spPr>
        <a:xfrm>
          <a:off x="2912269"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241</xdr:row>
      <xdr:rowOff>89297</xdr:rowOff>
    </xdr:from>
    <xdr:to>
      <xdr:col>3</xdr:col>
      <xdr:colOff>178594</xdr:colOff>
      <xdr:row>242</xdr:row>
      <xdr:rowOff>59531</xdr:rowOff>
    </xdr:to>
    <xdr:cxnSp macro="">
      <xdr:nvCxnSpPr>
        <xdr:cNvPr id="237" name="Straight Connector 236"/>
        <xdr:cNvCxnSpPr/>
      </xdr:nvCxnSpPr>
      <xdr:spPr>
        <a:xfrm>
          <a:off x="2840831"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241</xdr:row>
      <xdr:rowOff>35719</xdr:rowOff>
    </xdr:from>
    <xdr:to>
      <xdr:col>3</xdr:col>
      <xdr:colOff>285750</xdr:colOff>
      <xdr:row>241</xdr:row>
      <xdr:rowOff>154781</xdr:rowOff>
    </xdr:to>
    <xdr:cxnSp macro="">
      <xdr:nvCxnSpPr>
        <xdr:cNvPr id="238" name="Straight Connector 237"/>
        <xdr:cNvCxnSpPr/>
      </xdr:nvCxnSpPr>
      <xdr:spPr>
        <a:xfrm>
          <a:off x="2876550"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241</xdr:row>
      <xdr:rowOff>44824</xdr:rowOff>
    </xdr:from>
    <xdr:to>
      <xdr:col>3</xdr:col>
      <xdr:colOff>67235</xdr:colOff>
      <xdr:row>243</xdr:row>
      <xdr:rowOff>156883</xdr:rowOff>
    </xdr:to>
    <xdr:cxnSp macro="">
      <xdr:nvCxnSpPr>
        <xdr:cNvPr id="239" name="Straight Connector 238"/>
        <xdr:cNvCxnSpPr/>
      </xdr:nvCxnSpPr>
      <xdr:spPr>
        <a:xfrm>
          <a:off x="2848535"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243</xdr:row>
      <xdr:rowOff>166690</xdr:rowOff>
    </xdr:from>
    <xdr:to>
      <xdr:col>4</xdr:col>
      <xdr:colOff>29308</xdr:colOff>
      <xdr:row>243</xdr:row>
      <xdr:rowOff>168519</xdr:rowOff>
    </xdr:to>
    <xdr:cxnSp macro="">
      <xdr:nvCxnSpPr>
        <xdr:cNvPr id="240" name="Straight Connector 239"/>
        <xdr:cNvCxnSpPr/>
      </xdr:nvCxnSpPr>
      <xdr:spPr>
        <a:xfrm>
          <a:off x="2840831" y="4664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241</xdr:row>
      <xdr:rowOff>41673</xdr:rowOff>
    </xdr:from>
    <xdr:to>
      <xdr:col>4</xdr:col>
      <xdr:colOff>12211</xdr:colOff>
      <xdr:row>244</xdr:row>
      <xdr:rowOff>0</xdr:rowOff>
    </xdr:to>
    <xdr:cxnSp macro="">
      <xdr:nvCxnSpPr>
        <xdr:cNvPr id="241" name="Straight Connector 240"/>
        <xdr:cNvCxnSpPr/>
      </xdr:nvCxnSpPr>
      <xdr:spPr>
        <a:xfrm flipH="1" flipV="1">
          <a:off x="3495675"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241</xdr:row>
      <xdr:rowOff>32918</xdr:rowOff>
    </xdr:from>
    <xdr:to>
      <xdr:col>4</xdr:col>
      <xdr:colOff>17861</xdr:colOff>
      <xdr:row>241</xdr:row>
      <xdr:rowOff>35719</xdr:rowOff>
    </xdr:to>
    <xdr:cxnSp macro="">
      <xdr:nvCxnSpPr>
        <xdr:cNvPr id="242" name="Straight Connector 241"/>
        <xdr:cNvCxnSpPr/>
      </xdr:nvCxnSpPr>
      <xdr:spPr>
        <a:xfrm flipH="1">
          <a:off x="2840831" y="4613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89297</xdr:rowOff>
    </xdr:from>
    <xdr:to>
      <xdr:col>3</xdr:col>
      <xdr:colOff>178594</xdr:colOff>
      <xdr:row>252</xdr:row>
      <xdr:rowOff>59531</xdr:rowOff>
    </xdr:to>
    <xdr:cxnSp macro="">
      <xdr:nvCxnSpPr>
        <xdr:cNvPr id="243" name="Straight Connector 242"/>
        <xdr:cNvCxnSpPr/>
      </xdr:nvCxnSpPr>
      <xdr:spPr>
        <a:xfrm>
          <a:off x="2840831"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251</xdr:row>
      <xdr:rowOff>35719</xdr:rowOff>
    </xdr:from>
    <xdr:to>
      <xdr:col>3</xdr:col>
      <xdr:colOff>285750</xdr:colOff>
      <xdr:row>251</xdr:row>
      <xdr:rowOff>154781</xdr:rowOff>
    </xdr:to>
    <xdr:cxnSp macro="">
      <xdr:nvCxnSpPr>
        <xdr:cNvPr id="244" name="Straight Connector 243"/>
        <xdr:cNvCxnSpPr/>
      </xdr:nvCxnSpPr>
      <xdr:spPr>
        <a:xfrm>
          <a:off x="2876550"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251</xdr:row>
      <xdr:rowOff>44824</xdr:rowOff>
    </xdr:from>
    <xdr:to>
      <xdr:col>3</xdr:col>
      <xdr:colOff>67235</xdr:colOff>
      <xdr:row>253</xdr:row>
      <xdr:rowOff>156883</xdr:rowOff>
    </xdr:to>
    <xdr:cxnSp macro="">
      <xdr:nvCxnSpPr>
        <xdr:cNvPr id="245" name="Straight Connector 244"/>
        <xdr:cNvCxnSpPr/>
      </xdr:nvCxnSpPr>
      <xdr:spPr>
        <a:xfrm>
          <a:off x="2848535"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253</xdr:row>
      <xdr:rowOff>166690</xdr:rowOff>
    </xdr:from>
    <xdr:to>
      <xdr:col>4</xdr:col>
      <xdr:colOff>29308</xdr:colOff>
      <xdr:row>253</xdr:row>
      <xdr:rowOff>168519</xdr:rowOff>
    </xdr:to>
    <xdr:cxnSp macro="">
      <xdr:nvCxnSpPr>
        <xdr:cNvPr id="246" name="Straight Connector 245"/>
        <xdr:cNvCxnSpPr/>
      </xdr:nvCxnSpPr>
      <xdr:spPr>
        <a:xfrm>
          <a:off x="2840831" y="4855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251</xdr:row>
      <xdr:rowOff>41673</xdr:rowOff>
    </xdr:from>
    <xdr:to>
      <xdr:col>4</xdr:col>
      <xdr:colOff>12211</xdr:colOff>
      <xdr:row>254</xdr:row>
      <xdr:rowOff>0</xdr:rowOff>
    </xdr:to>
    <xdr:cxnSp macro="">
      <xdr:nvCxnSpPr>
        <xdr:cNvPr id="247" name="Straight Connector 246"/>
        <xdr:cNvCxnSpPr/>
      </xdr:nvCxnSpPr>
      <xdr:spPr>
        <a:xfrm flipH="1" flipV="1">
          <a:off x="3495675"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32918</xdr:rowOff>
    </xdr:from>
    <xdr:to>
      <xdr:col>4</xdr:col>
      <xdr:colOff>17861</xdr:colOff>
      <xdr:row>251</xdr:row>
      <xdr:rowOff>35719</xdr:rowOff>
    </xdr:to>
    <xdr:cxnSp macro="">
      <xdr:nvCxnSpPr>
        <xdr:cNvPr id="248" name="Straight Connector 247"/>
        <xdr:cNvCxnSpPr/>
      </xdr:nvCxnSpPr>
      <xdr:spPr>
        <a:xfrm flipH="1">
          <a:off x="2840831" y="4803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234</xdr:row>
      <xdr:rowOff>171450</xdr:rowOff>
    </xdr:from>
    <xdr:to>
      <xdr:col>3</xdr:col>
      <xdr:colOff>504825</xdr:colOff>
      <xdr:row>239</xdr:row>
      <xdr:rowOff>47625</xdr:rowOff>
    </xdr:to>
    <xdr:pic>
      <xdr:nvPicPr>
        <xdr:cNvPr id="24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208</xdr:row>
      <xdr:rowOff>171450</xdr:rowOff>
    </xdr:from>
    <xdr:to>
      <xdr:col>3</xdr:col>
      <xdr:colOff>495300</xdr:colOff>
      <xdr:row>213</xdr:row>
      <xdr:rowOff>47625</xdr:rowOff>
    </xdr:to>
    <xdr:pic>
      <xdr:nvPicPr>
        <xdr:cNvPr id="25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39985950"/>
          <a:ext cx="15240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246</xdr:row>
      <xdr:rowOff>89297</xdr:rowOff>
    </xdr:from>
    <xdr:to>
      <xdr:col>3</xdr:col>
      <xdr:colOff>178594</xdr:colOff>
      <xdr:row>247</xdr:row>
      <xdr:rowOff>59531</xdr:rowOff>
    </xdr:to>
    <xdr:cxnSp macro="">
      <xdr:nvCxnSpPr>
        <xdr:cNvPr id="251" name="Straight Connector 250"/>
        <xdr:cNvCxnSpPr/>
      </xdr:nvCxnSpPr>
      <xdr:spPr>
        <a:xfrm>
          <a:off x="2840831"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246</xdr:row>
      <xdr:rowOff>35719</xdr:rowOff>
    </xdr:from>
    <xdr:to>
      <xdr:col>3</xdr:col>
      <xdr:colOff>285750</xdr:colOff>
      <xdr:row>246</xdr:row>
      <xdr:rowOff>154781</xdr:rowOff>
    </xdr:to>
    <xdr:cxnSp macro="">
      <xdr:nvCxnSpPr>
        <xdr:cNvPr id="252" name="Straight Connector 251"/>
        <xdr:cNvCxnSpPr/>
      </xdr:nvCxnSpPr>
      <xdr:spPr>
        <a:xfrm>
          <a:off x="2876550"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246</xdr:row>
      <xdr:rowOff>44824</xdr:rowOff>
    </xdr:from>
    <xdr:to>
      <xdr:col>3</xdr:col>
      <xdr:colOff>67235</xdr:colOff>
      <xdr:row>248</xdr:row>
      <xdr:rowOff>156883</xdr:rowOff>
    </xdr:to>
    <xdr:cxnSp macro="">
      <xdr:nvCxnSpPr>
        <xdr:cNvPr id="253" name="Straight Connector 252"/>
        <xdr:cNvCxnSpPr/>
      </xdr:nvCxnSpPr>
      <xdr:spPr>
        <a:xfrm>
          <a:off x="2848535"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248</xdr:row>
      <xdr:rowOff>166690</xdr:rowOff>
    </xdr:from>
    <xdr:to>
      <xdr:col>4</xdr:col>
      <xdr:colOff>29308</xdr:colOff>
      <xdr:row>248</xdr:row>
      <xdr:rowOff>168519</xdr:rowOff>
    </xdr:to>
    <xdr:cxnSp macro="">
      <xdr:nvCxnSpPr>
        <xdr:cNvPr id="254" name="Straight Connector 253"/>
        <xdr:cNvCxnSpPr/>
      </xdr:nvCxnSpPr>
      <xdr:spPr>
        <a:xfrm>
          <a:off x="2840831" y="4760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246</xdr:row>
      <xdr:rowOff>41673</xdr:rowOff>
    </xdr:from>
    <xdr:to>
      <xdr:col>4</xdr:col>
      <xdr:colOff>12211</xdr:colOff>
      <xdr:row>249</xdr:row>
      <xdr:rowOff>0</xdr:rowOff>
    </xdr:to>
    <xdr:cxnSp macro="">
      <xdr:nvCxnSpPr>
        <xdr:cNvPr id="255" name="Straight Connector 254"/>
        <xdr:cNvCxnSpPr/>
      </xdr:nvCxnSpPr>
      <xdr:spPr>
        <a:xfrm flipH="1" flipV="1">
          <a:off x="3495675"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246</xdr:row>
      <xdr:rowOff>32918</xdr:rowOff>
    </xdr:from>
    <xdr:to>
      <xdr:col>4</xdr:col>
      <xdr:colOff>17861</xdr:colOff>
      <xdr:row>246</xdr:row>
      <xdr:rowOff>35719</xdr:rowOff>
    </xdr:to>
    <xdr:cxnSp macro="">
      <xdr:nvCxnSpPr>
        <xdr:cNvPr id="256" name="Straight Connector 255"/>
        <xdr:cNvCxnSpPr/>
      </xdr:nvCxnSpPr>
      <xdr:spPr>
        <a:xfrm flipH="1">
          <a:off x="2840831" y="4708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89297</xdr:rowOff>
    </xdr:from>
    <xdr:to>
      <xdr:col>3</xdr:col>
      <xdr:colOff>178594</xdr:colOff>
      <xdr:row>257</xdr:row>
      <xdr:rowOff>59531</xdr:rowOff>
    </xdr:to>
    <xdr:cxnSp macro="">
      <xdr:nvCxnSpPr>
        <xdr:cNvPr id="257" name="Straight Connector 256"/>
        <xdr:cNvCxnSpPr/>
      </xdr:nvCxnSpPr>
      <xdr:spPr>
        <a:xfrm>
          <a:off x="2840831"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256</xdr:row>
      <xdr:rowOff>35719</xdr:rowOff>
    </xdr:from>
    <xdr:to>
      <xdr:col>3</xdr:col>
      <xdr:colOff>285750</xdr:colOff>
      <xdr:row>256</xdr:row>
      <xdr:rowOff>154781</xdr:rowOff>
    </xdr:to>
    <xdr:cxnSp macro="">
      <xdr:nvCxnSpPr>
        <xdr:cNvPr id="258" name="Straight Connector 257"/>
        <xdr:cNvCxnSpPr/>
      </xdr:nvCxnSpPr>
      <xdr:spPr>
        <a:xfrm>
          <a:off x="2876550"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256</xdr:row>
      <xdr:rowOff>44824</xdr:rowOff>
    </xdr:from>
    <xdr:to>
      <xdr:col>3</xdr:col>
      <xdr:colOff>67235</xdr:colOff>
      <xdr:row>258</xdr:row>
      <xdr:rowOff>156883</xdr:rowOff>
    </xdr:to>
    <xdr:cxnSp macro="">
      <xdr:nvCxnSpPr>
        <xdr:cNvPr id="259" name="Straight Connector 258"/>
        <xdr:cNvCxnSpPr/>
      </xdr:nvCxnSpPr>
      <xdr:spPr>
        <a:xfrm>
          <a:off x="2848535"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258</xdr:row>
      <xdr:rowOff>166690</xdr:rowOff>
    </xdr:from>
    <xdr:to>
      <xdr:col>4</xdr:col>
      <xdr:colOff>29308</xdr:colOff>
      <xdr:row>258</xdr:row>
      <xdr:rowOff>168519</xdr:rowOff>
    </xdr:to>
    <xdr:cxnSp macro="">
      <xdr:nvCxnSpPr>
        <xdr:cNvPr id="260" name="Straight Connector 259"/>
        <xdr:cNvCxnSpPr/>
      </xdr:nvCxnSpPr>
      <xdr:spPr>
        <a:xfrm>
          <a:off x="2840831" y="4950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256</xdr:row>
      <xdr:rowOff>41673</xdr:rowOff>
    </xdr:from>
    <xdr:to>
      <xdr:col>4</xdr:col>
      <xdr:colOff>12211</xdr:colOff>
      <xdr:row>259</xdr:row>
      <xdr:rowOff>0</xdr:rowOff>
    </xdr:to>
    <xdr:cxnSp macro="">
      <xdr:nvCxnSpPr>
        <xdr:cNvPr id="261" name="Straight Connector 260"/>
        <xdr:cNvCxnSpPr/>
      </xdr:nvCxnSpPr>
      <xdr:spPr>
        <a:xfrm flipH="1" flipV="1">
          <a:off x="3495675"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32918</xdr:rowOff>
    </xdr:from>
    <xdr:to>
      <xdr:col>4</xdr:col>
      <xdr:colOff>17861</xdr:colOff>
      <xdr:row>256</xdr:row>
      <xdr:rowOff>35719</xdr:rowOff>
    </xdr:to>
    <xdr:cxnSp macro="">
      <xdr:nvCxnSpPr>
        <xdr:cNvPr id="262" name="Straight Connector 261"/>
        <xdr:cNvCxnSpPr/>
      </xdr:nvCxnSpPr>
      <xdr:spPr>
        <a:xfrm flipH="1">
          <a:off x="2840831" y="4899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89297</xdr:rowOff>
    </xdr:from>
    <xdr:to>
      <xdr:col>3</xdr:col>
      <xdr:colOff>178594</xdr:colOff>
      <xdr:row>262</xdr:row>
      <xdr:rowOff>59531</xdr:rowOff>
    </xdr:to>
    <xdr:cxnSp macro="">
      <xdr:nvCxnSpPr>
        <xdr:cNvPr id="263" name="Straight Connector 262"/>
        <xdr:cNvCxnSpPr/>
      </xdr:nvCxnSpPr>
      <xdr:spPr>
        <a:xfrm>
          <a:off x="2840831" y="5000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261</xdr:row>
      <xdr:rowOff>35719</xdr:rowOff>
    </xdr:from>
    <xdr:to>
      <xdr:col>3</xdr:col>
      <xdr:colOff>285750</xdr:colOff>
      <xdr:row>261</xdr:row>
      <xdr:rowOff>154781</xdr:rowOff>
    </xdr:to>
    <xdr:cxnSp macro="">
      <xdr:nvCxnSpPr>
        <xdr:cNvPr id="264" name="Straight Connector 263"/>
        <xdr:cNvCxnSpPr/>
      </xdr:nvCxnSpPr>
      <xdr:spPr>
        <a:xfrm>
          <a:off x="2876550" y="4994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261</xdr:row>
      <xdr:rowOff>44824</xdr:rowOff>
    </xdr:from>
    <xdr:to>
      <xdr:col>3</xdr:col>
      <xdr:colOff>67235</xdr:colOff>
      <xdr:row>263</xdr:row>
      <xdr:rowOff>156883</xdr:rowOff>
    </xdr:to>
    <xdr:cxnSp macro="">
      <xdr:nvCxnSpPr>
        <xdr:cNvPr id="265" name="Straight Connector 264"/>
        <xdr:cNvCxnSpPr/>
      </xdr:nvCxnSpPr>
      <xdr:spPr>
        <a:xfrm>
          <a:off x="2848535" y="4995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263</xdr:row>
      <xdr:rowOff>166690</xdr:rowOff>
    </xdr:from>
    <xdr:to>
      <xdr:col>4</xdr:col>
      <xdr:colOff>29308</xdr:colOff>
      <xdr:row>263</xdr:row>
      <xdr:rowOff>168519</xdr:rowOff>
    </xdr:to>
    <xdr:cxnSp macro="">
      <xdr:nvCxnSpPr>
        <xdr:cNvPr id="266" name="Straight Connector 265"/>
        <xdr:cNvCxnSpPr/>
      </xdr:nvCxnSpPr>
      <xdr:spPr>
        <a:xfrm>
          <a:off x="2840831" y="5045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261</xdr:row>
      <xdr:rowOff>41673</xdr:rowOff>
    </xdr:from>
    <xdr:to>
      <xdr:col>4</xdr:col>
      <xdr:colOff>12211</xdr:colOff>
      <xdr:row>264</xdr:row>
      <xdr:rowOff>0</xdr:rowOff>
    </xdr:to>
    <xdr:cxnSp macro="">
      <xdr:nvCxnSpPr>
        <xdr:cNvPr id="267" name="Straight Connector 266"/>
        <xdr:cNvCxnSpPr/>
      </xdr:nvCxnSpPr>
      <xdr:spPr>
        <a:xfrm flipH="1" flipV="1">
          <a:off x="3495675" y="4995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32918</xdr:rowOff>
    </xdr:from>
    <xdr:to>
      <xdr:col>4</xdr:col>
      <xdr:colOff>17861</xdr:colOff>
      <xdr:row>261</xdr:row>
      <xdr:rowOff>35719</xdr:rowOff>
    </xdr:to>
    <xdr:cxnSp macro="">
      <xdr:nvCxnSpPr>
        <xdr:cNvPr id="268" name="Straight Connector 267"/>
        <xdr:cNvCxnSpPr/>
      </xdr:nvCxnSpPr>
      <xdr:spPr>
        <a:xfrm flipH="1">
          <a:off x="2840831" y="4994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89297</xdr:rowOff>
    </xdr:from>
    <xdr:to>
      <xdr:col>3</xdr:col>
      <xdr:colOff>178594</xdr:colOff>
      <xdr:row>267</xdr:row>
      <xdr:rowOff>59531</xdr:rowOff>
    </xdr:to>
    <xdr:cxnSp macro="">
      <xdr:nvCxnSpPr>
        <xdr:cNvPr id="269" name="Straight Connector 268"/>
        <xdr:cNvCxnSpPr/>
      </xdr:nvCxnSpPr>
      <xdr:spPr>
        <a:xfrm>
          <a:off x="2840831" y="509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266</xdr:row>
      <xdr:rowOff>35719</xdr:rowOff>
    </xdr:from>
    <xdr:to>
      <xdr:col>3</xdr:col>
      <xdr:colOff>285750</xdr:colOff>
      <xdr:row>266</xdr:row>
      <xdr:rowOff>154781</xdr:rowOff>
    </xdr:to>
    <xdr:cxnSp macro="">
      <xdr:nvCxnSpPr>
        <xdr:cNvPr id="270" name="Straight Connector 269"/>
        <xdr:cNvCxnSpPr/>
      </xdr:nvCxnSpPr>
      <xdr:spPr>
        <a:xfrm>
          <a:off x="2876550" y="508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266</xdr:row>
      <xdr:rowOff>44824</xdr:rowOff>
    </xdr:from>
    <xdr:to>
      <xdr:col>3</xdr:col>
      <xdr:colOff>67235</xdr:colOff>
      <xdr:row>268</xdr:row>
      <xdr:rowOff>156883</xdr:rowOff>
    </xdr:to>
    <xdr:cxnSp macro="">
      <xdr:nvCxnSpPr>
        <xdr:cNvPr id="271" name="Straight Connector 270"/>
        <xdr:cNvCxnSpPr/>
      </xdr:nvCxnSpPr>
      <xdr:spPr>
        <a:xfrm>
          <a:off x="2848535" y="509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268</xdr:row>
      <xdr:rowOff>166690</xdr:rowOff>
    </xdr:from>
    <xdr:to>
      <xdr:col>4</xdr:col>
      <xdr:colOff>29308</xdr:colOff>
      <xdr:row>268</xdr:row>
      <xdr:rowOff>168519</xdr:rowOff>
    </xdr:to>
    <xdr:cxnSp macro="">
      <xdr:nvCxnSpPr>
        <xdr:cNvPr id="272" name="Straight Connector 271"/>
        <xdr:cNvCxnSpPr/>
      </xdr:nvCxnSpPr>
      <xdr:spPr>
        <a:xfrm>
          <a:off x="2840831" y="514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266</xdr:row>
      <xdr:rowOff>41673</xdr:rowOff>
    </xdr:from>
    <xdr:to>
      <xdr:col>4</xdr:col>
      <xdr:colOff>12211</xdr:colOff>
      <xdr:row>269</xdr:row>
      <xdr:rowOff>0</xdr:rowOff>
    </xdr:to>
    <xdr:cxnSp macro="">
      <xdr:nvCxnSpPr>
        <xdr:cNvPr id="273" name="Straight Connector 272"/>
        <xdr:cNvCxnSpPr/>
      </xdr:nvCxnSpPr>
      <xdr:spPr>
        <a:xfrm flipH="1" flipV="1">
          <a:off x="3495675" y="509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32918</xdr:rowOff>
    </xdr:from>
    <xdr:to>
      <xdr:col>4</xdr:col>
      <xdr:colOff>17861</xdr:colOff>
      <xdr:row>266</xdr:row>
      <xdr:rowOff>35719</xdr:rowOff>
    </xdr:to>
    <xdr:cxnSp macro="">
      <xdr:nvCxnSpPr>
        <xdr:cNvPr id="274" name="Straight Connector 273"/>
        <xdr:cNvCxnSpPr/>
      </xdr:nvCxnSpPr>
      <xdr:spPr>
        <a:xfrm flipH="1">
          <a:off x="2840831" y="508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35719</xdr:rowOff>
    </xdr:from>
    <xdr:to>
      <xdr:col>3</xdr:col>
      <xdr:colOff>428625</xdr:colOff>
      <xdr:row>273</xdr:row>
      <xdr:rowOff>178594</xdr:rowOff>
    </xdr:to>
    <xdr:cxnSp macro="">
      <xdr:nvCxnSpPr>
        <xdr:cNvPr id="275" name="Straight Connector 274"/>
        <xdr:cNvCxnSpPr/>
      </xdr:nvCxnSpPr>
      <xdr:spPr>
        <a:xfrm>
          <a:off x="3209925"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273</xdr:row>
      <xdr:rowOff>95249</xdr:rowOff>
    </xdr:from>
    <xdr:to>
      <xdr:col>3</xdr:col>
      <xdr:colOff>571500</xdr:colOff>
      <xdr:row>273</xdr:row>
      <xdr:rowOff>154780</xdr:rowOff>
    </xdr:to>
    <xdr:cxnSp macro="">
      <xdr:nvCxnSpPr>
        <xdr:cNvPr id="276" name="Straight Connector 275"/>
        <xdr:cNvCxnSpPr/>
      </xdr:nvCxnSpPr>
      <xdr:spPr>
        <a:xfrm flipH="1">
          <a:off x="3209925"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47625</xdr:rowOff>
    </xdr:from>
    <xdr:to>
      <xdr:col>3</xdr:col>
      <xdr:colOff>595313</xdr:colOff>
      <xdr:row>271</xdr:row>
      <xdr:rowOff>119062</xdr:rowOff>
    </xdr:to>
    <xdr:cxnSp macro="">
      <xdr:nvCxnSpPr>
        <xdr:cNvPr id="277" name="Straight Connector 276"/>
        <xdr:cNvCxnSpPr/>
      </xdr:nvCxnSpPr>
      <xdr:spPr>
        <a:xfrm>
          <a:off x="3209925"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274</xdr:row>
      <xdr:rowOff>297027</xdr:rowOff>
    </xdr:from>
    <xdr:to>
      <xdr:col>3</xdr:col>
      <xdr:colOff>392907</xdr:colOff>
      <xdr:row>278</xdr:row>
      <xdr:rowOff>154781</xdr:rowOff>
    </xdr:to>
    <xdr:cxnSp macro="">
      <xdr:nvCxnSpPr>
        <xdr:cNvPr id="278" name="Straight Connector 277"/>
        <xdr:cNvCxnSpPr/>
      </xdr:nvCxnSpPr>
      <xdr:spPr>
        <a:xfrm>
          <a:off x="3166381"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278</xdr:row>
      <xdr:rowOff>142875</xdr:rowOff>
    </xdr:from>
    <xdr:to>
      <xdr:col>4</xdr:col>
      <xdr:colOff>11908</xdr:colOff>
      <xdr:row>278</xdr:row>
      <xdr:rowOff>154782</xdr:rowOff>
    </xdr:to>
    <xdr:cxnSp macro="">
      <xdr:nvCxnSpPr>
        <xdr:cNvPr id="279" name="Straight Connector 278"/>
        <xdr:cNvCxnSpPr/>
      </xdr:nvCxnSpPr>
      <xdr:spPr>
        <a:xfrm flipH="1" flipV="1">
          <a:off x="3150395" y="5329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274</xdr:row>
      <xdr:rowOff>305147</xdr:rowOff>
    </xdr:from>
    <xdr:to>
      <xdr:col>3</xdr:col>
      <xdr:colOff>130969</xdr:colOff>
      <xdr:row>276</xdr:row>
      <xdr:rowOff>11906</xdr:rowOff>
    </xdr:to>
    <xdr:cxnSp macro="">
      <xdr:nvCxnSpPr>
        <xdr:cNvPr id="280" name="Straight Arrow Connector 279"/>
        <xdr:cNvCxnSpPr/>
      </xdr:nvCxnSpPr>
      <xdr:spPr>
        <a:xfrm flipH="1" flipV="1">
          <a:off x="2904995"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277</xdr:row>
      <xdr:rowOff>11907</xdr:rowOff>
    </xdr:from>
    <xdr:to>
      <xdr:col>3</xdr:col>
      <xdr:colOff>130969</xdr:colOff>
      <xdr:row>278</xdr:row>
      <xdr:rowOff>154782</xdr:rowOff>
    </xdr:to>
    <xdr:cxnSp macro="">
      <xdr:nvCxnSpPr>
        <xdr:cNvPr id="281" name="Straight Arrow Connector 280"/>
        <xdr:cNvCxnSpPr/>
      </xdr:nvCxnSpPr>
      <xdr:spPr>
        <a:xfrm>
          <a:off x="2912269"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281</xdr:row>
      <xdr:rowOff>89297</xdr:rowOff>
    </xdr:from>
    <xdr:to>
      <xdr:col>3</xdr:col>
      <xdr:colOff>178594</xdr:colOff>
      <xdr:row>282</xdr:row>
      <xdr:rowOff>59531</xdr:rowOff>
    </xdr:to>
    <xdr:cxnSp macro="">
      <xdr:nvCxnSpPr>
        <xdr:cNvPr id="282" name="Straight Connector 281"/>
        <xdr:cNvCxnSpPr/>
      </xdr:nvCxnSpPr>
      <xdr:spPr>
        <a:xfrm>
          <a:off x="2840831" y="5381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281</xdr:row>
      <xdr:rowOff>35719</xdr:rowOff>
    </xdr:from>
    <xdr:to>
      <xdr:col>3</xdr:col>
      <xdr:colOff>285750</xdr:colOff>
      <xdr:row>281</xdr:row>
      <xdr:rowOff>154781</xdr:rowOff>
    </xdr:to>
    <xdr:cxnSp macro="">
      <xdr:nvCxnSpPr>
        <xdr:cNvPr id="283" name="Straight Connector 282"/>
        <xdr:cNvCxnSpPr/>
      </xdr:nvCxnSpPr>
      <xdr:spPr>
        <a:xfrm>
          <a:off x="2876550" y="5375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281</xdr:row>
      <xdr:rowOff>44824</xdr:rowOff>
    </xdr:from>
    <xdr:to>
      <xdr:col>3</xdr:col>
      <xdr:colOff>67235</xdr:colOff>
      <xdr:row>283</xdr:row>
      <xdr:rowOff>156883</xdr:rowOff>
    </xdr:to>
    <xdr:cxnSp macro="">
      <xdr:nvCxnSpPr>
        <xdr:cNvPr id="284" name="Straight Connector 283"/>
        <xdr:cNvCxnSpPr/>
      </xdr:nvCxnSpPr>
      <xdr:spPr>
        <a:xfrm>
          <a:off x="2848535" y="5376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283</xdr:row>
      <xdr:rowOff>166690</xdr:rowOff>
    </xdr:from>
    <xdr:to>
      <xdr:col>4</xdr:col>
      <xdr:colOff>29308</xdr:colOff>
      <xdr:row>283</xdr:row>
      <xdr:rowOff>168519</xdr:rowOff>
    </xdr:to>
    <xdr:cxnSp macro="">
      <xdr:nvCxnSpPr>
        <xdr:cNvPr id="285" name="Straight Connector 284"/>
        <xdr:cNvCxnSpPr/>
      </xdr:nvCxnSpPr>
      <xdr:spPr>
        <a:xfrm>
          <a:off x="2840831" y="5426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281</xdr:row>
      <xdr:rowOff>41673</xdr:rowOff>
    </xdr:from>
    <xdr:to>
      <xdr:col>4</xdr:col>
      <xdr:colOff>12211</xdr:colOff>
      <xdr:row>284</xdr:row>
      <xdr:rowOff>0</xdr:rowOff>
    </xdr:to>
    <xdr:cxnSp macro="">
      <xdr:nvCxnSpPr>
        <xdr:cNvPr id="286" name="Straight Connector 285"/>
        <xdr:cNvCxnSpPr/>
      </xdr:nvCxnSpPr>
      <xdr:spPr>
        <a:xfrm flipH="1" flipV="1">
          <a:off x="3495675" y="5376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281</xdr:row>
      <xdr:rowOff>32918</xdr:rowOff>
    </xdr:from>
    <xdr:to>
      <xdr:col>4</xdr:col>
      <xdr:colOff>17861</xdr:colOff>
      <xdr:row>281</xdr:row>
      <xdr:rowOff>35719</xdr:rowOff>
    </xdr:to>
    <xdr:cxnSp macro="">
      <xdr:nvCxnSpPr>
        <xdr:cNvPr id="287" name="Straight Connector 286"/>
        <xdr:cNvCxnSpPr/>
      </xdr:nvCxnSpPr>
      <xdr:spPr>
        <a:xfrm flipH="1">
          <a:off x="2840831" y="5375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89297</xdr:rowOff>
    </xdr:from>
    <xdr:to>
      <xdr:col>3</xdr:col>
      <xdr:colOff>178594</xdr:colOff>
      <xdr:row>292</xdr:row>
      <xdr:rowOff>59531</xdr:rowOff>
    </xdr:to>
    <xdr:cxnSp macro="">
      <xdr:nvCxnSpPr>
        <xdr:cNvPr id="288" name="Straight Connector 287"/>
        <xdr:cNvCxnSpPr/>
      </xdr:nvCxnSpPr>
      <xdr:spPr>
        <a:xfrm>
          <a:off x="2840831" y="5571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291</xdr:row>
      <xdr:rowOff>35719</xdr:rowOff>
    </xdr:from>
    <xdr:to>
      <xdr:col>3</xdr:col>
      <xdr:colOff>285750</xdr:colOff>
      <xdr:row>291</xdr:row>
      <xdr:rowOff>154781</xdr:rowOff>
    </xdr:to>
    <xdr:cxnSp macro="">
      <xdr:nvCxnSpPr>
        <xdr:cNvPr id="289" name="Straight Connector 288"/>
        <xdr:cNvCxnSpPr/>
      </xdr:nvCxnSpPr>
      <xdr:spPr>
        <a:xfrm>
          <a:off x="2876550" y="5566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291</xdr:row>
      <xdr:rowOff>44824</xdr:rowOff>
    </xdr:from>
    <xdr:to>
      <xdr:col>3</xdr:col>
      <xdr:colOff>67235</xdr:colOff>
      <xdr:row>293</xdr:row>
      <xdr:rowOff>156883</xdr:rowOff>
    </xdr:to>
    <xdr:cxnSp macro="">
      <xdr:nvCxnSpPr>
        <xdr:cNvPr id="290" name="Straight Connector 289"/>
        <xdr:cNvCxnSpPr/>
      </xdr:nvCxnSpPr>
      <xdr:spPr>
        <a:xfrm>
          <a:off x="2848535" y="5567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293</xdr:row>
      <xdr:rowOff>166690</xdr:rowOff>
    </xdr:from>
    <xdr:to>
      <xdr:col>4</xdr:col>
      <xdr:colOff>29308</xdr:colOff>
      <xdr:row>293</xdr:row>
      <xdr:rowOff>168519</xdr:rowOff>
    </xdr:to>
    <xdr:cxnSp macro="">
      <xdr:nvCxnSpPr>
        <xdr:cNvPr id="291" name="Straight Connector 290"/>
        <xdr:cNvCxnSpPr/>
      </xdr:nvCxnSpPr>
      <xdr:spPr>
        <a:xfrm>
          <a:off x="2840831" y="5617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291</xdr:row>
      <xdr:rowOff>41673</xdr:rowOff>
    </xdr:from>
    <xdr:to>
      <xdr:col>4</xdr:col>
      <xdr:colOff>12211</xdr:colOff>
      <xdr:row>294</xdr:row>
      <xdr:rowOff>0</xdr:rowOff>
    </xdr:to>
    <xdr:cxnSp macro="">
      <xdr:nvCxnSpPr>
        <xdr:cNvPr id="292" name="Straight Connector 291"/>
        <xdr:cNvCxnSpPr/>
      </xdr:nvCxnSpPr>
      <xdr:spPr>
        <a:xfrm flipH="1" flipV="1">
          <a:off x="3495675" y="5566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32918</xdr:rowOff>
    </xdr:from>
    <xdr:to>
      <xdr:col>4</xdr:col>
      <xdr:colOff>17861</xdr:colOff>
      <xdr:row>291</xdr:row>
      <xdr:rowOff>35719</xdr:rowOff>
    </xdr:to>
    <xdr:cxnSp macro="">
      <xdr:nvCxnSpPr>
        <xdr:cNvPr id="293" name="Straight Connector 292"/>
        <xdr:cNvCxnSpPr/>
      </xdr:nvCxnSpPr>
      <xdr:spPr>
        <a:xfrm flipH="1">
          <a:off x="2840831" y="5565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274</xdr:row>
      <xdr:rowOff>171450</xdr:rowOff>
    </xdr:from>
    <xdr:to>
      <xdr:col>3</xdr:col>
      <xdr:colOff>504825</xdr:colOff>
      <xdr:row>279</xdr:row>
      <xdr:rowOff>47625</xdr:rowOff>
    </xdr:to>
    <xdr:pic>
      <xdr:nvPicPr>
        <xdr:cNvPr id="29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286</xdr:row>
      <xdr:rowOff>89297</xdr:rowOff>
    </xdr:from>
    <xdr:to>
      <xdr:col>3</xdr:col>
      <xdr:colOff>178594</xdr:colOff>
      <xdr:row>287</xdr:row>
      <xdr:rowOff>59531</xdr:rowOff>
    </xdr:to>
    <xdr:cxnSp macro="">
      <xdr:nvCxnSpPr>
        <xdr:cNvPr id="295" name="Straight Connector 294"/>
        <xdr:cNvCxnSpPr/>
      </xdr:nvCxnSpPr>
      <xdr:spPr>
        <a:xfrm>
          <a:off x="2840831" y="5476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286</xdr:row>
      <xdr:rowOff>35719</xdr:rowOff>
    </xdr:from>
    <xdr:to>
      <xdr:col>3</xdr:col>
      <xdr:colOff>285750</xdr:colOff>
      <xdr:row>286</xdr:row>
      <xdr:rowOff>154781</xdr:rowOff>
    </xdr:to>
    <xdr:cxnSp macro="">
      <xdr:nvCxnSpPr>
        <xdr:cNvPr id="296" name="Straight Connector 295"/>
        <xdr:cNvCxnSpPr/>
      </xdr:nvCxnSpPr>
      <xdr:spPr>
        <a:xfrm>
          <a:off x="2876550" y="5470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286</xdr:row>
      <xdr:rowOff>44824</xdr:rowOff>
    </xdr:from>
    <xdr:to>
      <xdr:col>3</xdr:col>
      <xdr:colOff>67235</xdr:colOff>
      <xdr:row>288</xdr:row>
      <xdr:rowOff>156883</xdr:rowOff>
    </xdr:to>
    <xdr:cxnSp macro="">
      <xdr:nvCxnSpPr>
        <xdr:cNvPr id="297" name="Straight Connector 296"/>
        <xdr:cNvCxnSpPr/>
      </xdr:nvCxnSpPr>
      <xdr:spPr>
        <a:xfrm>
          <a:off x="2848535" y="5471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288</xdr:row>
      <xdr:rowOff>166690</xdr:rowOff>
    </xdr:from>
    <xdr:to>
      <xdr:col>4</xdr:col>
      <xdr:colOff>29308</xdr:colOff>
      <xdr:row>288</xdr:row>
      <xdr:rowOff>168519</xdr:rowOff>
    </xdr:to>
    <xdr:cxnSp macro="">
      <xdr:nvCxnSpPr>
        <xdr:cNvPr id="298" name="Straight Connector 297"/>
        <xdr:cNvCxnSpPr/>
      </xdr:nvCxnSpPr>
      <xdr:spPr>
        <a:xfrm>
          <a:off x="2840831" y="5522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286</xdr:row>
      <xdr:rowOff>41673</xdr:rowOff>
    </xdr:from>
    <xdr:to>
      <xdr:col>4</xdr:col>
      <xdr:colOff>12211</xdr:colOff>
      <xdr:row>289</xdr:row>
      <xdr:rowOff>0</xdr:rowOff>
    </xdr:to>
    <xdr:cxnSp macro="">
      <xdr:nvCxnSpPr>
        <xdr:cNvPr id="299" name="Straight Connector 298"/>
        <xdr:cNvCxnSpPr/>
      </xdr:nvCxnSpPr>
      <xdr:spPr>
        <a:xfrm flipH="1" flipV="1">
          <a:off x="3495675" y="5471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286</xdr:row>
      <xdr:rowOff>32918</xdr:rowOff>
    </xdr:from>
    <xdr:to>
      <xdr:col>4</xdr:col>
      <xdr:colOff>17861</xdr:colOff>
      <xdr:row>286</xdr:row>
      <xdr:rowOff>35719</xdr:rowOff>
    </xdr:to>
    <xdr:cxnSp macro="">
      <xdr:nvCxnSpPr>
        <xdr:cNvPr id="300" name="Straight Connector 299"/>
        <xdr:cNvCxnSpPr/>
      </xdr:nvCxnSpPr>
      <xdr:spPr>
        <a:xfrm flipH="1">
          <a:off x="2840831" y="5470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89297</xdr:rowOff>
    </xdr:from>
    <xdr:to>
      <xdr:col>3</xdr:col>
      <xdr:colOff>178594</xdr:colOff>
      <xdr:row>297</xdr:row>
      <xdr:rowOff>59531</xdr:rowOff>
    </xdr:to>
    <xdr:cxnSp macro="">
      <xdr:nvCxnSpPr>
        <xdr:cNvPr id="301" name="Straight Connector 300"/>
        <xdr:cNvCxnSpPr/>
      </xdr:nvCxnSpPr>
      <xdr:spPr>
        <a:xfrm>
          <a:off x="2840831" y="5666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296</xdr:row>
      <xdr:rowOff>35719</xdr:rowOff>
    </xdr:from>
    <xdr:to>
      <xdr:col>3</xdr:col>
      <xdr:colOff>285750</xdr:colOff>
      <xdr:row>296</xdr:row>
      <xdr:rowOff>154781</xdr:rowOff>
    </xdr:to>
    <xdr:cxnSp macro="">
      <xdr:nvCxnSpPr>
        <xdr:cNvPr id="302" name="Straight Connector 301"/>
        <xdr:cNvCxnSpPr/>
      </xdr:nvCxnSpPr>
      <xdr:spPr>
        <a:xfrm>
          <a:off x="2876550" y="5661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296</xdr:row>
      <xdr:rowOff>44824</xdr:rowOff>
    </xdr:from>
    <xdr:to>
      <xdr:col>3</xdr:col>
      <xdr:colOff>67235</xdr:colOff>
      <xdr:row>298</xdr:row>
      <xdr:rowOff>156883</xdr:rowOff>
    </xdr:to>
    <xdr:cxnSp macro="">
      <xdr:nvCxnSpPr>
        <xdr:cNvPr id="303" name="Straight Connector 302"/>
        <xdr:cNvCxnSpPr/>
      </xdr:nvCxnSpPr>
      <xdr:spPr>
        <a:xfrm>
          <a:off x="2848535" y="5662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298</xdr:row>
      <xdr:rowOff>166690</xdr:rowOff>
    </xdr:from>
    <xdr:to>
      <xdr:col>4</xdr:col>
      <xdr:colOff>29308</xdr:colOff>
      <xdr:row>298</xdr:row>
      <xdr:rowOff>168519</xdr:rowOff>
    </xdr:to>
    <xdr:cxnSp macro="">
      <xdr:nvCxnSpPr>
        <xdr:cNvPr id="304" name="Straight Connector 303"/>
        <xdr:cNvCxnSpPr/>
      </xdr:nvCxnSpPr>
      <xdr:spPr>
        <a:xfrm>
          <a:off x="2840831" y="5712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296</xdr:row>
      <xdr:rowOff>41673</xdr:rowOff>
    </xdr:from>
    <xdr:to>
      <xdr:col>4</xdr:col>
      <xdr:colOff>12211</xdr:colOff>
      <xdr:row>299</xdr:row>
      <xdr:rowOff>0</xdr:rowOff>
    </xdr:to>
    <xdr:cxnSp macro="">
      <xdr:nvCxnSpPr>
        <xdr:cNvPr id="305" name="Straight Connector 304"/>
        <xdr:cNvCxnSpPr/>
      </xdr:nvCxnSpPr>
      <xdr:spPr>
        <a:xfrm flipH="1" flipV="1">
          <a:off x="3495675" y="5662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32918</xdr:rowOff>
    </xdr:from>
    <xdr:to>
      <xdr:col>4</xdr:col>
      <xdr:colOff>17861</xdr:colOff>
      <xdr:row>296</xdr:row>
      <xdr:rowOff>35719</xdr:rowOff>
    </xdr:to>
    <xdr:cxnSp macro="">
      <xdr:nvCxnSpPr>
        <xdr:cNvPr id="306" name="Straight Connector 305"/>
        <xdr:cNvCxnSpPr/>
      </xdr:nvCxnSpPr>
      <xdr:spPr>
        <a:xfrm flipH="1">
          <a:off x="2840831" y="5661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89297</xdr:rowOff>
    </xdr:from>
    <xdr:to>
      <xdr:col>3</xdr:col>
      <xdr:colOff>178594</xdr:colOff>
      <xdr:row>302</xdr:row>
      <xdr:rowOff>59531</xdr:rowOff>
    </xdr:to>
    <xdr:cxnSp macro="">
      <xdr:nvCxnSpPr>
        <xdr:cNvPr id="307" name="Straight Connector 306"/>
        <xdr:cNvCxnSpPr/>
      </xdr:nvCxnSpPr>
      <xdr:spPr>
        <a:xfrm>
          <a:off x="2840831" y="5762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301</xdr:row>
      <xdr:rowOff>35719</xdr:rowOff>
    </xdr:from>
    <xdr:to>
      <xdr:col>3</xdr:col>
      <xdr:colOff>285750</xdr:colOff>
      <xdr:row>301</xdr:row>
      <xdr:rowOff>154781</xdr:rowOff>
    </xdr:to>
    <xdr:cxnSp macro="">
      <xdr:nvCxnSpPr>
        <xdr:cNvPr id="308" name="Straight Connector 307"/>
        <xdr:cNvCxnSpPr/>
      </xdr:nvCxnSpPr>
      <xdr:spPr>
        <a:xfrm>
          <a:off x="2876550" y="5756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301</xdr:row>
      <xdr:rowOff>44824</xdr:rowOff>
    </xdr:from>
    <xdr:to>
      <xdr:col>3</xdr:col>
      <xdr:colOff>67235</xdr:colOff>
      <xdr:row>303</xdr:row>
      <xdr:rowOff>156883</xdr:rowOff>
    </xdr:to>
    <xdr:cxnSp macro="">
      <xdr:nvCxnSpPr>
        <xdr:cNvPr id="309" name="Straight Connector 308"/>
        <xdr:cNvCxnSpPr/>
      </xdr:nvCxnSpPr>
      <xdr:spPr>
        <a:xfrm>
          <a:off x="2848535" y="5757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303</xdr:row>
      <xdr:rowOff>166690</xdr:rowOff>
    </xdr:from>
    <xdr:to>
      <xdr:col>4</xdr:col>
      <xdr:colOff>29308</xdr:colOff>
      <xdr:row>303</xdr:row>
      <xdr:rowOff>168519</xdr:rowOff>
    </xdr:to>
    <xdr:cxnSp macro="">
      <xdr:nvCxnSpPr>
        <xdr:cNvPr id="310" name="Straight Connector 309"/>
        <xdr:cNvCxnSpPr/>
      </xdr:nvCxnSpPr>
      <xdr:spPr>
        <a:xfrm>
          <a:off x="2840831" y="5807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301</xdr:row>
      <xdr:rowOff>41673</xdr:rowOff>
    </xdr:from>
    <xdr:to>
      <xdr:col>4</xdr:col>
      <xdr:colOff>12211</xdr:colOff>
      <xdr:row>304</xdr:row>
      <xdr:rowOff>0</xdr:rowOff>
    </xdr:to>
    <xdr:cxnSp macro="">
      <xdr:nvCxnSpPr>
        <xdr:cNvPr id="311" name="Straight Connector 310"/>
        <xdr:cNvCxnSpPr/>
      </xdr:nvCxnSpPr>
      <xdr:spPr>
        <a:xfrm flipH="1" flipV="1">
          <a:off x="3495675" y="5757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32918</xdr:rowOff>
    </xdr:from>
    <xdr:to>
      <xdr:col>4</xdr:col>
      <xdr:colOff>17861</xdr:colOff>
      <xdr:row>301</xdr:row>
      <xdr:rowOff>35719</xdr:rowOff>
    </xdr:to>
    <xdr:cxnSp macro="">
      <xdr:nvCxnSpPr>
        <xdr:cNvPr id="312" name="Straight Connector 311"/>
        <xdr:cNvCxnSpPr/>
      </xdr:nvCxnSpPr>
      <xdr:spPr>
        <a:xfrm flipH="1">
          <a:off x="2840831" y="5756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89297</xdr:rowOff>
    </xdr:from>
    <xdr:to>
      <xdr:col>3</xdr:col>
      <xdr:colOff>178594</xdr:colOff>
      <xdr:row>307</xdr:row>
      <xdr:rowOff>59531</xdr:rowOff>
    </xdr:to>
    <xdr:cxnSp macro="">
      <xdr:nvCxnSpPr>
        <xdr:cNvPr id="313" name="Straight Connector 312"/>
        <xdr:cNvCxnSpPr/>
      </xdr:nvCxnSpPr>
      <xdr:spPr>
        <a:xfrm>
          <a:off x="2840831" y="5857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306</xdr:row>
      <xdr:rowOff>35719</xdr:rowOff>
    </xdr:from>
    <xdr:to>
      <xdr:col>3</xdr:col>
      <xdr:colOff>285750</xdr:colOff>
      <xdr:row>306</xdr:row>
      <xdr:rowOff>154781</xdr:rowOff>
    </xdr:to>
    <xdr:cxnSp macro="">
      <xdr:nvCxnSpPr>
        <xdr:cNvPr id="314" name="Straight Connector 313"/>
        <xdr:cNvCxnSpPr/>
      </xdr:nvCxnSpPr>
      <xdr:spPr>
        <a:xfrm>
          <a:off x="2876550" y="5851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306</xdr:row>
      <xdr:rowOff>44824</xdr:rowOff>
    </xdr:from>
    <xdr:to>
      <xdr:col>3</xdr:col>
      <xdr:colOff>67235</xdr:colOff>
      <xdr:row>308</xdr:row>
      <xdr:rowOff>156883</xdr:rowOff>
    </xdr:to>
    <xdr:cxnSp macro="">
      <xdr:nvCxnSpPr>
        <xdr:cNvPr id="315" name="Straight Connector 314"/>
        <xdr:cNvCxnSpPr/>
      </xdr:nvCxnSpPr>
      <xdr:spPr>
        <a:xfrm>
          <a:off x="2848535" y="5852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308</xdr:row>
      <xdr:rowOff>166690</xdr:rowOff>
    </xdr:from>
    <xdr:to>
      <xdr:col>4</xdr:col>
      <xdr:colOff>29308</xdr:colOff>
      <xdr:row>308</xdr:row>
      <xdr:rowOff>168519</xdr:rowOff>
    </xdr:to>
    <xdr:cxnSp macro="">
      <xdr:nvCxnSpPr>
        <xdr:cNvPr id="316" name="Straight Connector 315"/>
        <xdr:cNvCxnSpPr/>
      </xdr:nvCxnSpPr>
      <xdr:spPr>
        <a:xfrm>
          <a:off x="2840831" y="5903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306</xdr:row>
      <xdr:rowOff>41673</xdr:rowOff>
    </xdr:from>
    <xdr:to>
      <xdr:col>4</xdr:col>
      <xdr:colOff>12211</xdr:colOff>
      <xdr:row>309</xdr:row>
      <xdr:rowOff>0</xdr:rowOff>
    </xdr:to>
    <xdr:cxnSp macro="">
      <xdr:nvCxnSpPr>
        <xdr:cNvPr id="317" name="Straight Connector 316"/>
        <xdr:cNvCxnSpPr/>
      </xdr:nvCxnSpPr>
      <xdr:spPr>
        <a:xfrm flipH="1" flipV="1">
          <a:off x="3495675" y="5852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32918</xdr:rowOff>
    </xdr:from>
    <xdr:to>
      <xdr:col>4</xdr:col>
      <xdr:colOff>17861</xdr:colOff>
      <xdr:row>306</xdr:row>
      <xdr:rowOff>35719</xdr:rowOff>
    </xdr:to>
    <xdr:cxnSp macro="">
      <xdr:nvCxnSpPr>
        <xdr:cNvPr id="318" name="Straight Connector 317"/>
        <xdr:cNvCxnSpPr/>
      </xdr:nvCxnSpPr>
      <xdr:spPr>
        <a:xfrm flipH="1">
          <a:off x="2840831" y="5851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35719</xdr:rowOff>
    </xdr:from>
    <xdr:to>
      <xdr:col>3</xdr:col>
      <xdr:colOff>428625</xdr:colOff>
      <xdr:row>313</xdr:row>
      <xdr:rowOff>178594</xdr:rowOff>
    </xdr:to>
    <xdr:cxnSp macro="">
      <xdr:nvCxnSpPr>
        <xdr:cNvPr id="319" name="Straight Connector 318"/>
        <xdr:cNvCxnSpPr/>
      </xdr:nvCxnSpPr>
      <xdr:spPr>
        <a:xfrm>
          <a:off x="3209925" y="5947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313</xdr:row>
      <xdr:rowOff>95249</xdr:rowOff>
    </xdr:from>
    <xdr:to>
      <xdr:col>3</xdr:col>
      <xdr:colOff>571500</xdr:colOff>
      <xdr:row>313</xdr:row>
      <xdr:rowOff>154780</xdr:rowOff>
    </xdr:to>
    <xdr:cxnSp macro="">
      <xdr:nvCxnSpPr>
        <xdr:cNvPr id="320" name="Straight Connector 319"/>
        <xdr:cNvCxnSpPr/>
      </xdr:nvCxnSpPr>
      <xdr:spPr>
        <a:xfrm flipH="1">
          <a:off x="3209925" y="5991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47625</xdr:rowOff>
    </xdr:from>
    <xdr:to>
      <xdr:col>3</xdr:col>
      <xdr:colOff>595313</xdr:colOff>
      <xdr:row>311</xdr:row>
      <xdr:rowOff>119062</xdr:rowOff>
    </xdr:to>
    <xdr:cxnSp macro="">
      <xdr:nvCxnSpPr>
        <xdr:cNvPr id="321" name="Straight Connector 320"/>
        <xdr:cNvCxnSpPr/>
      </xdr:nvCxnSpPr>
      <xdr:spPr>
        <a:xfrm>
          <a:off x="3209925" y="5948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314</xdr:row>
      <xdr:rowOff>297027</xdr:rowOff>
    </xdr:from>
    <xdr:to>
      <xdr:col>3</xdr:col>
      <xdr:colOff>392907</xdr:colOff>
      <xdr:row>318</xdr:row>
      <xdr:rowOff>154781</xdr:rowOff>
    </xdr:to>
    <xdr:cxnSp macro="">
      <xdr:nvCxnSpPr>
        <xdr:cNvPr id="322" name="Straight Connector 321"/>
        <xdr:cNvCxnSpPr/>
      </xdr:nvCxnSpPr>
      <xdr:spPr>
        <a:xfrm>
          <a:off x="3166381"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318</xdr:row>
      <xdr:rowOff>142875</xdr:rowOff>
    </xdr:from>
    <xdr:to>
      <xdr:col>4</xdr:col>
      <xdr:colOff>11908</xdr:colOff>
      <xdr:row>318</xdr:row>
      <xdr:rowOff>154782</xdr:rowOff>
    </xdr:to>
    <xdr:cxnSp macro="">
      <xdr:nvCxnSpPr>
        <xdr:cNvPr id="323" name="Straight Connector 322"/>
        <xdr:cNvCxnSpPr/>
      </xdr:nvCxnSpPr>
      <xdr:spPr>
        <a:xfrm flipH="1" flipV="1">
          <a:off x="3150395" y="609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314</xdr:row>
      <xdr:rowOff>305147</xdr:rowOff>
    </xdr:from>
    <xdr:to>
      <xdr:col>3</xdr:col>
      <xdr:colOff>130969</xdr:colOff>
      <xdr:row>316</xdr:row>
      <xdr:rowOff>11906</xdr:rowOff>
    </xdr:to>
    <xdr:cxnSp macro="">
      <xdr:nvCxnSpPr>
        <xdr:cNvPr id="324" name="Straight Arrow Connector 323"/>
        <xdr:cNvCxnSpPr/>
      </xdr:nvCxnSpPr>
      <xdr:spPr>
        <a:xfrm flipH="1" flipV="1">
          <a:off x="2904995"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317</xdr:row>
      <xdr:rowOff>11907</xdr:rowOff>
    </xdr:from>
    <xdr:to>
      <xdr:col>3</xdr:col>
      <xdr:colOff>130969</xdr:colOff>
      <xdr:row>318</xdr:row>
      <xdr:rowOff>154782</xdr:rowOff>
    </xdr:to>
    <xdr:cxnSp macro="">
      <xdr:nvCxnSpPr>
        <xdr:cNvPr id="325" name="Straight Arrow Connector 324"/>
        <xdr:cNvCxnSpPr/>
      </xdr:nvCxnSpPr>
      <xdr:spPr>
        <a:xfrm>
          <a:off x="2912269"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321</xdr:row>
      <xdr:rowOff>89297</xdr:rowOff>
    </xdr:from>
    <xdr:to>
      <xdr:col>3</xdr:col>
      <xdr:colOff>178594</xdr:colOff>
      <xdr:row>322</xdr:row>
      <xdr:rowOff>59531</xdr:rowOff>
    </xdr:to>
    <xdr:cxnSp macro="">
      <xdr:nvCxnSpPr>
        <xdr:cNvPr id="326" name="Straight Connector 325"/>
        <xdr:cNvCxnSpPr/>
      </xdr:nvCxnSpPr>
      <xdr:spPr>
        <a:xfrm>
          <a:off x="2840831"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321</xdr:row>
      <xdr:rowOff>35719</xdr:rowOff>
    </xdr:from>
    <xdr:to>
      <xdr:col>3</xdr:col>
      <xdr:colOff>285750</xdr:colOff>
      <xdr:row>321</xdr:row>
      <xdr:rowOff>154781</xdr:rowOff>
    </xdr:to>
    <xdr:cxnSp macro="">
      <xdr:nvCxnSpPr>
        <xdr:cNvPr id="327" name="Straight Connector 326"/>
        <xdr:cNvCxnSpPr/>
      </xdr:nvCxnSpPr>
      <xdr:spPr>
        <a:xfrm>
          <a:off x="2876550"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321</xdr:row>
      <xdr:rowOff>44824</xdr:rowOff>
    </xdr:from>
    <xdr:to>
      <xdr:col>3</xdr:col>
      <xdr:colOff>67235</xdr:colOff>
      <xdr:row>323</xdr:row>
      <xdr:rowOff>156883</xdr:rowOff>
    </xdr:to>
    <xdr:cxnSp macro="">
      <xdr:nvCxnSpPr>
        <xdr:cNvPr id="328" name="Straight Connector 327"/>
        <xdr:cNvCxnSpPr/>
      </xdr:nvCxnSpPr>
      <xdr:spPr>
        <a:xfrm>
          <a:off x="2848535"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323</xdr:row>
      <xdr:rowOff>166690</xdr:rowOff>
    </xdr:from>
    <xdr:to>
      <xdr:col>4</xdr:col>
      <xdr:colOff>29308</xdr:colOff>
      <xdr:row>323</xdr:row>
      <xdr:rowOff>168519</xdr:rowOff>
    </xdr:to>
    <xdr:cxnSp macro="">
      <xdr:nvCxnSpPr>
        <xdr:cNvPr id="329" name="Straight Connector 328"/>
        <xdr:cNvCxnSpPr/>
      </xdr:nvCxnSpPr>
      <xdr:spPr>
        <a:xfrm>
          <a:off x="2840831" y="6188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321</xdr:row>
      <xdr:rowOff>41673</xdr:rowOff>
    </xdr:from>
    <xdr:to>
      <xdr:col>4</xdr:col>
      <xdr:colOff>12211</xdr:colOff>
      <xdr:row>324</xdr:row>
      <xdr:rowOff>0</xdr:rowOff>
    </xdr:to>
    <xdr:cxnSp macro="">
      <xdr:nvCxnSpPr>
        <xdr:cNvPr id="330" name="Straight Connector 329"/>
        <xdr:cNvCxnSpPr/>
      </xdr:nvCxnSpPr>
      <xdr:spPr>
        <a:xfrm flipH="1" flipV="1">
          <a:off x="3495675"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321</xdr:row>
      <xdr:rowOff>32918</xdr:rowOff>
    </xdr:from>
    <xdr:to>
      <xdr:col>4</xdr:col>
      <xdr:colOff>17861</xdr:colOff>
      <xdr:row>321</xdr:row>
      <xdr:rowOff>35719</xdr:rowOff>
    </xdr:to>
    <xdr:cxnSp macro="">
      <xdr:nvCxnSpPr>
        <xdr:cNvPr id="331" name="Straight Connector 330"/>
        <xdr:cNvCxnSpPr/>
      </xdr:nvCxnSpPr>
      <xdr:spPr>
        <a:xfrm flipH="1">
          <a:off x="2840831" y="6137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89297</xdr:rowOff>
    </xdr:from>
    <xdr:to>
      <xdr:col>3</xdr:col>
      <xdr:colOff>178594</xdr:colOff>
      <xdr:row>327</xdr:row>
      <xdr:rowOff>59531</xdr:rowOff>
    </xdr:to>
    <xdr:cxnSp macro="">
      <xdr:nvCxnSpPr>
        <xdr:cNvPr id="332" name="Straight Connector 331"/>
        <xdr:cNvCxnSpPr/>
      </xdr:nvCxnSpPr>
      <xdr:spPr>
        <a:xfrm>
          <a:off x="2840831"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326</xdr:row>
      <xdr:rowOff>35719</xdr:rowOff>
    </xdr:from>
    <xdr:to>
      <xdr:col>3</xdr:col>
      <xdr:colOff>285750</xdr:colOff>
      <xdr:row>326</xdr:row>
      <xdr:rowOff>154781</xdr:rowOff>
    </xdr:to>
    <xdr:cxnSp macro="">
      <xdr:nvCxnSpPr>
        <xdr:cNvPr id="333" name="Straight Connector 332"/>
        <xdr:cNvCxnSpPr/>
      </xdr:nvCxnSpPr>
      <xdr:spPr>
        <a:xfrm>
          <a:off x="2876550"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326</xdr:row>
      <xdr:rowOff>44824</xdr:rowOff>
    </xdr:from>
    <xdr:to>
      <xdr:col>3</xdr:col>
      <xdr:colOff>67235</xdr:colOff>
      <xdr:row>328</xdr:row>
      <xdr:rowOff>156883</xdr:rowOff>
    </xdr:to>
    <xdr:cxnSp macro="">
      <xdr:nvCxnSpPr>
        <xdr:cNvPr id="334" name="Straight Connector 333"/>
        <xdr:cNvCxnSpPr/>
      </xdr:nvCxnSpPr>
      <xdr:spPr>
        <a:xfrm>
          <a:off x="2848535"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328</xdr:row>
      <xdr:rowOff>166690</xdr:rowOff>
    </xdr:from>
    <xdr:to>
      <xdr:col>4</xdr:col>
      <xdr:colOff>29308</xdr:colOff>
      <xdr:row>328</xdr:row>
      <xdr:rowOff>168519</xdr:rowOff>
    </xdr:to>
    <xdr:cxnSp macro="">
      <xdr:nvCxnSpPr>
        <xdr:cNvPr id="335" name="Straight Connector 334"/>
        <xdr:cNvCxnSpPr/>
      </xdr:nvCxnSpPr>
      <xdr:spPr>
        <a:xfrm>
          <a:off x="2840831" y="6284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326</xdr:row>
      <xdr:rowOff>41673</xdr:rowOff>
    </xdr:from>
    <xdr:to>
      <xdr:col>4</xdr:col>
      <xdr:colOff>12211</xdr:colOff>
      <xdr:row>329</xdr:row>
      <xdr:rowOff>0</xdr:rowOff>
    </xdr:to>
    <xdr:cxnSp macro="">
      <xdr:nvCxnSpPr>
        <xdr:cNvPr id="336" name="Straight Connector 335"/>
        <xdr:cNvCxnSpPr/>
      </xdr:nvCxnSpPr>
      <xdr:spPr>
        <a:xfrm flipH="1" flipV="1">
          <a:off x="3495675"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32918</xdr:rowOff>
    </xdr:from>
    <xdr:to>
      <xdr:col>4</xdr:col>
      <xdr:colOff>17861</xdr:colOff>
      <xdr:row>326</xdr:row>
      <xdr:rowOff>35719</xdr:rowOff>
    </xdr:to>
    <xdr:cxnSp macro="">
      <xdr:nvCxnSpPr>
        <xdr:cNvPr id="337" name="Straight Connector 336"/>
        <xdr:cNvCxnSpPr/>
      </xdr:nvCxnSpPr>
      <xdr:spPr>
        <a:xfrm flipH="1">
          <a:off x="2840831" y="6232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314</xdr:row>
      <xdr:rowOff>171450</xdr:rowOff>
    </xdr:from>
    <xdr:to>
      <xdr:col>3</xdr:col>
      <xdr:colOff>504825</xdr:colOff>
      <xdr:row>319</xdr:row>
      <xdr:rowOff>47625</xdr:rowOff>
    </xdr:to>
    <xdr:pic>
      <xdr:nvPicPr>
        <xdr:cNvPr id="33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330</xdr:row>
      <xdr:rowOff>297027</xdr:rowOff>
    </xdr:from>
    <xdr:to>
      <xdr:col>3</xdr:col>
      <xdr:colOff>392907</xdr:colOff>
      <xdr:row>334</xdr:row>
      <xdr:rowOff>154781</xdr:rowOff>
    </xdr:to>
    <xdr:cxnSp macro="">
      <xdr:nvCxnSpPr>
        <xdr:cNvPr id="339" name="Straight Connector 338"/>
        <xdr:cNvCxnSpPr/>
      </xdr:nvCxnSpPr>
      <xdr:spPr>
        <a:xfrm>
          <a:off x="3166381"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334</xdr:row>
      <xdr:rowOff>142875</xdr:rowOff>
    </xdr:from>
    <xdr:to>
      <xdr:col>4</xdr:col>
      <xdr:colOff>11908</xdr:colOff>
      <xdr:row>334</xdr:row>
      <xdr:rowOff>154782</xdr:rowOff>
    </xdr:to>
    <xdr:cxnSp macro="">
      <xdr:nvCxnSpPr>
        <xdr:cNvPr id="340" name="Straight Connector 339"/>
        <xdr:cNvCxnSpPr/>
      </xdr:nvCxnSpPr>
      <xdr:spPr>
        <a:xfrm flipH="1" flipV="1">
          <a:off x="3150395" y="6396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330</xdr:row>
      <xdr:rowOff>305147</xdr:rowOff>
    </xdr:from>
    <xdr:to>
      <xdr:col>3</xdr:col>
      <xdr:colOff>130969</xdr:colOff>
      <xdr:row>332</xdr:row>
      <xdr:rowOff>11906</xdr:rowOff>
    </xdr:to>
    <xdr:cxnSp macro="">
      <xdr:nvCxnSpPr>
        <xdr:cNvPr id="341" name="Straight Arrow Connector 340"/>
        <xdr:cNvCxnSpPr/>
      </xdr:nvCxnSpPr>
      <xdr:spPr>
        <a:xfrm flipH="1" flipV="1">
          <a:off x="2904995"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333</xdr:row>
      <xdr:rowOff>11907</xdr:rowOff>
    </xdr:from>
    <xdr:to>
      <xdr:col>3</xdr:col>
      <xdr:colOff>130969</xdr:colOff>
      <xdr:row>334</xdr:row>
      <xdr:rowOff>154782</xdr:rowOff>
    </xdr:to>
    <xdr:cxnSp macro="">
      <xdr:nvCxnSpPr>
        <xdr:cNvPr id="342" name="Straight Arrow Connector 341"/>
        <xdr:cNvCxnSpPr/>
      </xdr:nvCxnSpPr>
      <xdr:spPr>
        <a:xfrm>
          <a:off x="2912269"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339</xdr:row>
      <xdr:rowOff>89297</xdr:rowOff>
    </xdr:from>
    <xdr:to>
      <xdr:col>3</xdr:col>
      <xdr:colOff>178594</xdr:colOff>
      <xdr:row>340</xdr:row>
      <xdr:rowOff>59531</xdr:rowOff>
    </xdr:to>
    <xdr:cxnSp macro="">
      <xdr:nvCxnSpPr>
        <xdr:cNvPr id="343" name="Straight Connector 342"/>
        <xdr:cNvCxnSpPr/>
      </xdr:nvCxnSpPr>
      <xdr:spPr>
        <a:xfrm>
          <a:off x="2840831"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339</xdr:row>
      <xdr:rowOff>35719</xdr:rowOff>
    </xdr:from>
    <xdr:to>
      <xdr:col>3</xdr:col>
      <xdr:colOff>285750</xdr:colOff>
      <xdr:row>339</xdr:row>
      <xdr:rowOff>154781</xdr:rowOff>
    </xdr:to>
    <xdr:cxnSp macro="">
      <xdr:nvCxnSpPr>
        <xdr:cNvPr id="344" name="Straight Connector 343"/>
        <xdr:cNvCxnSpPr/>
      </xdr:nvCxnSpPr>
      <xdr:spPr>
        <a:xfrm>
          <a:off x="2876550"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339</xdr:row>
      <xdr:rowOff>44824</xdr:rowOff>
    </xdr:from>
    <xdr:to>
      <xdr:col>3</xdr:col>
      <xdr:colOff>67235</xdr:colOff>
      <xdr:row>341</xdr:row>
      <xdr:rowOff>156883</xdr:rowOff>
    </xdr:to>
    <xdr:cxnSp macro="">
      <xdr:nvCxnSpPr>
        <xdr:cNvPr id="345" name="Straight Connector 344"/>
        <xdr:cNvCxnSpPr/>
      </xdr:nvCxnSpPr>
      <xdr:spPr>
        <a:xfrm>
          <a:off x="2848535"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341</xdr:row>
      <xdr:rowOff>166690</xdr:rowOff>
    </xdr:from>
    <xdr:to>
      <xdr:col>4</xdr:col>
      <xdr:colOff>29308</xdr:colOff>
      <xdr:row>341</xdr:row>
      <xdr:rowOff>168519</xdr:rowOff>
    </xdr:to>
    <xdr:cxnSp macro="">
      <xdr:nvCxnSpPr>
        <xdr:cNvPr id="346" name="Straight Connector 345"/>
        <xdr:cNvCxnSpPr/>
      </xdr:nvCxnSpPr>
      <xdr:spPr>
        <a:xfrm>
          <a:off x="2840831" y="65317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339</xdr:row>
      <xdr:rowOff>41673</xdr:rowOff>
    </xdr:from>
    <xdr:to>
      <xdr:col>4</xdr:col>
      <xdr:colOff>12211</xdr:colOff>
      <xdr:row>342</xdr:row>
      <xdr:rowOff>0</xdr:rowOff>
    </xdr:to>
    <xdr:cxnSp macro="">
      <xdr:nvCxnSpPr>
        <xdr:cNvPr id="347" name="Straight Connector 346"/>
        <xdr:cNvCxnSpPr/>
      </xdr:nvCxnSpPr>
      <xdr:spPr>
        <a:xfrm flipH="1" flipV="1">
          <a:off x="3495675"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339</xdr:row>
      <xdr:rowOff>32918</xdr:rowOff>
    </xdr:from>
    <xdr:to>
      <xdr:col>4</xdr:col>
      <xdr:colOff>17861</xdr:colOff>
      <xdr:row>339</xdr:row>
      <xdr:rowOff>35719</xdr:rowOff>
    </xdr:to>
    <xdr:cxnSp macro="">
      <xdr:nvCxnSpPr>
        <xdr:cNvPr id="348" name="Straight Connector 347"/>
        <xdr:cNvCxnSpPr/>
      </xdr:nvCxnSpPr>
      <xdr:spPr>
        <a:xfrm flipH="1">
          <a:off x="2840831" y="64802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89297</xdr:rowOff>
    </xdr:from>
    <xdr:to>
      <xdr:col>3</xdr:col>
      <xdr:colOff>178594</xdr:colOff>
      <xdr:row>345</xdr:row>
      <xdr:rowOff>59531</xdr:rowOff>
    </xdr:to>
    <xdr:cxnSp macro="">
      <xdr:nvCxnSpPr>
        <xdr:cNvPr id="349" name="Straight Connector 348"/>
        <xdr:cNvCxnSpPr/>
      </xdr:nvCxnSpPr>
      <xdr:spPr>
        <a:xfrm>
          <a:off x="2840831"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344</xdr:row>
      <xdr:rowOff>35719</xdr:rowOff>
    </xdr:from>
    <xdr:to>
      <xdr:col>3</xdr:col>
      <xdr:colOff>285750</xdr:colOff>
      <xdr:row>344</xdr:row>
      <xdr:rowOff>154781</xdr:rowOff>
    </xdr:to>
    <xdr:cxnSp macro="">
      <xdr:nvCxnSpPr>
        <xdr:cNvPr id="350" name="Straight Connector 349"/>
        <xdr:cNvCxnSpPr/>
      </xdr:nvCxnSpPr>
      <xdr:spPr>
        <a:xfrm>
          <a:off x="2876550"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344</xdr:row>
      <xdr:rowOff>44824</xdr:rowOff>
    </xdr:from>
    <xdr:to>
      <xdr:col>3</xdr:col>
      <xdr:colOff>67235</xdr:colOff>
      <xdr:row>346</xdr:row>
      <xdr:rowOff>156883</xdr:rowOff>
    </xdr:to>
    <xdr:cxnSp macro="">
      <xdr:nvCxnSpPr>
        <xdr:cNvPr id="351" name="Straight Connector 350"/>
        <xdr:cNvCxnSpPr/>
      </xdr:nvCxnSpPr>
      <xdr:spPr>
        <a:xfrm>
          <a:off x="2848535"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346</xdr:row>
      <xdr:rowOff>166690</xdr:rowOff>
    </xdr:from>
    <xdr:to>
      <xdr:col>4</xdr:col>
      <xdr:colOff>29308</xdr:colOff>
      <xdr:row>346</xdr:row>
      <xdr:rowOff>168519</xdr:rowOff>
    </xdr:to>
    <xdr:cxnSp macro="">
      <xdr:nvCxnSpPr>
        <xdr:cNvPr id="352" name="Straight Connector 351"/>
        <xdr:cNvCxnSpPr/>
      </xdr:nvCxnSpPr>
      <xdr:spPr>
        <a:xfrm>
          <a:off x="2840831" y="6627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344</xdr:row>
      <xdr:rowOff>41673</xdr:rowOff>
    </xdr:from>
    <xdr:to>
      <xdr:col>4</xdr:col>
      <xdr:colOff>12211</xdr:colOff>
      <xdr:row>347</xdr:row>
      <xdr:rowOff>0</xdr:rowOff>
    </xdr:to>
    <xdr:cxnSp macro="">
      <xdr:nvCxnSpPr>
        <xdr:cNvPr id="353" name="Straight Connector 352"/>
        <xdr:cNvCxnSpPr/>
      </xdr:nvCxnSpPr>
      <xdr:spPr>
        <a:xfrm flipH="1" flipV="1">
          <a:off x="3495675"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32918</xdr:rowOff>
    </xdr:from>
    <xdr:to>
      <xdr:col>4</xdr:col>
      <xdr:colOff>17861</xdr:colOff>
      <xdr:row>344</xdr:row>
      <xdr:rowOff>35719</xdr:rowOff>
    </xdr:to>
    <xdr:cxnSp macro="">
      <xdr:nvCxnSpPr>
        <xdr:cNvPr id="354" name="Straight Connector 353"/>
        <xdr:cNvCxnSpPr/>
      </xdr:nvCxnSpPr>
      <xdr:spPr>
        <a:xfrm flipH="1">
          <a:off x="2840831" y="6575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330</xdr:row>
      <xdr:rowOff>171450</xdr:rowOff>
    </xdr:from>
    <xdr:to>
      <xdr:col>3</xdr:col>
      <xdr:colOff>504825</xdr:colOff>
      <xdr:row>335</xdr:row>
      <xdr:rowOff>47625</xdr:rowOff>
    </xdr:to>
    <xdr:pic>
      <xdr:nvPicPr>
        <xdr:cNvPr id="3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349</xdr:row>
      <xdr:rowOff>35719</xdr:rowOff>
    </xdr:from>
    <xdr:to>
      <xdr:col>3</xdr:col>
      <xdr:colOff>428625</xdr:colOff>
      <xdr:row>351</xdr:row>
      <xdr:rowOff>178594</xdr:rowOff>
    </xdr:to>
    <xdr:cxnSp macro="">
      <xdr:nvCxnSpPr>
        <xdr:cNvPr id="356" name="Straight Connector 355"/>
        <xdr:cNvCxnSpPr/>
      </xdr:nvCxnSpPr>
      <xdr:spPr>
        <a:xfrm>
          <a:off x="3209925"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351</xdr:row>
      <xdr:rowOff>95249</xdr:rowOff>
    </xdr:from>
    <xdr:to>
      <xdr:col>3</xdr:col>
      <xdr:colOff>571500</xdr:colOff>
      <xdr:row>351</xdr:row>
      <xdr:rowOff>154780</xdr:rowOff>
    </xdr:to>
    <xdr:cxnSp macro="">
      <xdr:nvCxnSpPr>
        <xdr:cNvPr id="357" name="Straight Connector 356"/>
        <xdr:cNvCxnSpPr/>
      </xdr:nvCxnSpPr>
      <xdr:spPr>
        <a:xfrm flipH="1">
          <a:off x="3209925"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349</xdr:row>
      <xdr:rowOff>47625</xdr:rowOff>
    </xdr:from>
    <xdr:to>
      <xdr:col>3</xdr:col>
      <xdr:colOff>595313</xdr:colOff>
      <xdr:row>349</xdr:row>
      <xdr:rowOff>119062</xdr:rowOff>
    </xdr:to>
    <xdr:cxnSp macro="">
      <xdr:nvCxnSpPr>
        <xdr:cNvPr id="358" name="Straight Connector 357"/>
        <xdr:cNvCxnSpPr/>
      </xdr:nvCxnSpPr>
      <xdr:spPr>
        <a:xfrm>
          <a:off x="3209925"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352</xdr:row>
      <xdr:rowOff>297027</xdr:rowOff>
    </xdr:from>
    <xdr:to>
      <xdr:col>3</xdr:col>
      <xdr:colOff>392907</xdr:colOff>
      <xdr:row>356</xdr:row>
      <xdr:rowOff>154781</xdr:rowOff>
    </xdr:to>
    <xdr:cxnSp macro="">
      <xdr:nvCxnSpPr>
        <xdr:cNvPr id="359" name="Straight Connector 358"/>
        <xdr:cNvCxnSpPr/>
      </xdr:nvCxnSpPr>
      <xdr:spPr>
        <a:xfrm>
          <a:off x="3166381"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356</xdr:row>
      <xdr:rowOff>142875</xdr:rowOff>
    </xdr:from>
    <xdr:to>
      <xdr:col>4</xdr:col>
      <xdr:colOff>11908</xdr:colOff>
      <xdr:row>356</xdr:row>
      <xdr:rowOff>154782</xdr:rowOff>
    </xdr:to>
    <xdr:cxnSp macro="">
      <xdr:nvCxnSpPr>
        <xdr:cNvPr id="360" name="Straight Connector 359"/>
        <xdr:cNvCxnSpPr/>
      </xdr:nvCxnSpPr>
      <xdr:spPr>
        <a:xfrm flipH="1" flipV="1">
          <a:off x="3150395" y="68151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352</xdr:row>
      <xdr:rowOff>305147</xdr:rowOff>
    </xdr:from>
    <xdr:to>
      <xdr:col>3</xdr:col>
      <xdr:colOff>130969</xdr:colOff>
      <xdr:row>354</xdr:row>
      <xdr:rowOff>11906</xdr:rowOff>
    </xdr:to>
    <xdr:cxnSp macro="">
      <xdr:nvCxnSpPr>
        <xdr:cNvPr id="361" name="Straight Arrow Connector 360"/>
        <xdr:cNvCxnSpPr/>
      </xdr:nvCxnSpPr>
      <xdr:spPr>
        <a:xfrm flipH="1" flipV="1">
          <a:off x="2904995"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355</xdr:row>
      <xdr:rowOff>11907</xdr:rowOff>
    </xdr:from>
    <xdr:to>
      <xdr:col>3</xdr:col>
      <xdr:colOff>130969</xdr:colOff>
      <xdr:row>356</xdr:row>
      <xdr:rowOff>154782</xdr:rowOff>
    </xdr:to>
    <xdr:cxnSp macro="">
      <xdr:nvCxnSpPr>
        <xdr:cNvPr id="362" name="Straight Arrow Connector 361"/>
        <xdr:cNvCxnSpPr/>
      </xdr:nvCxnSpPr>
      <xdr:spPr>
        <a:xfrm>
          <a:off x="2912269"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362</xdr:row>
      <xdr:rowOff>89297</xdr:rowOff>
    </xdr:from>
    <xdr:to>
      <xdr:col>3</xdr:col>
      <xdr:colOff>178594</xdr:colOff>
      <xdr:row>363</xdr:row>
      <xdr:rowOff>59531</xdr:rowOff>
    </xdr:to>
    <xdr:cxnSp macro="">
      <xdr:nvCxnSpPr>
        <xdr:cNvPr id="363" name="Straight Connector 362"/>
        <xdr:cNvCxnSpPr/>
      </xdr:nvCxnSpPr>
      <xdr:spPr>
        <a:xfrm>
          <a:off x="2840831"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362</xdr:row>
      <xdr:rowOff>35719</xdr:rowOff>
    </xdr:from>
    <xdr:to>
      <xdr:col>3</xdr:col>
      <xdr:colOff>285750</xdr:colOff>
      <xdr:row>362</xdr:row>
      <xdr:rowOff>154781</xdr:rowOff>
    </xdr:to>
    <xdr:cxnSp macro="">
      <xdr:nvCxnSpPr>
        <xdr:cNvPr id="364" name="Straight Connector 363"/>
        <xdr:cNvCxnSpPr/>
      </xdr:nvCxnSpPr>
      <xdr:spPr>
        <a:xfrm>
          <a:off x="2876550"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362</xdr:row>
      <xdr:rowOff>44824</xdr:rowOff>
    </xdr:from>
    <xdr:to>
      <xdr:col>3</xdr:col>
      <xdr:colOff>67235</xdr:colOff>
      <xdr:row>364</xdr:row>
      <xdr:rowOff>156883</xdr:rowOff>
    </xdr:to>
    <xdr:cxnSp macro="">
      <xdr:nvCxnSpPr>
        <xdr:cNvPr id="365" name="Straight Connector 364"/>
        <xdr:cNvCxnSpPr/>
      </xdr:nvCxnSpPr>
      <xdr:spPr>
        <a:xfrm>
          <a:off x="2848535"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364</xdr:row>
      <xdr:rowOff>166690</xdr:rowOff>
    </xdr:from>
    <xdr:to>
      <xdr:col>4</xdr:col>
      <xdr:colOff>29308</xdr:colOff>
      <xdr:row>364</xdr:row>
      <xdr:rowOff>168519</xdr:rowOff>
    </xdr:to>
    <xdr:cxnSp macro="">
      <xdr:nvCxnSpPr>
        <xdr:cNvPr id="366" name="Straight Connector 365"/>
        <xdr:cNvCxnSpPr/>
      </xdr:nvCxnSpPr>
      <xdr:spPr>
        <a:xfrm>
          <a:off x="2840831" y="6969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362</xdr:row>
      <xdr:rowOff>41673</xdr:rowOff>
    </xdr:from>
    <xdr:to>
      <xdr:col>4</xdr:col>
      <xdr:colOff>12211</xdr:colOff>
      <xdr:row>365</xdr:row>
      <xdr:rowOff>0</xdr:rowOff>
    </xdr:to>
    <xdr:cxnSp macro="">
      <xdr:nvCxnSpPr>
        <xdr:cNvPr id="367" name="Straight Connector 366"/>
        <xdr:cNvCxnSpPr/>
      </xdr:nvCxnSpPr>
      <xdr:spPr>
        <a:xfrm flipH="1" flipV="1">
          <a:off x="3495675"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362</xdr:row>
      <xdr:rowOff>32918</xdr:rowOff>
    </xdr:from>
    <xdr:to>
      <xdr:col>4</xdr:col>
      <xdr:colOff>17861</xdr:colOff>
      <xdr:row>362</xdr:row>
      <xdr:rowOff>35719</xdr:rowOff>
    </xdr:to>
    <xdr:cxnSp macro="">
      <xdr:nvCxnSpPr>
        <xdr:cNvPr id="368" name="Straight Connector 367"/>
        <xdr:cNvCxnSpPr/>
      </xdr:nvCxnSpPr>
      <xdr:spPr>
        <a:xfrm flipH="1">
          <a:off x="2840831" y="6918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89297</xdr:rowOff>
    </xdr:from>
    <xdr:to>
      <xdr:col>3</xdr:col>
      <xdr:colOff>178594</xdr:colOff>
      <xdr:row>368</xdr:row>
      <xdr:rowOff>59531</xdr:rowOff>
    </xdr:to>
    <xdr:cxnSp macro="">
      <xdr:nvCxnSpPr>
        <xdr:cNvPr id="369" name="Straight Connector 368"/>
        <xdr:cNvCxnSpPr/>
      </xdr:nvCxnSpPr>
      <xdr:spPr>
        <a:xfrm>
          <a:off x="2840831"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367</xdr:row>
      <xdr:rowOff>35719</xdr:rowOff>
    </xdr:from>
    <xdr:to>
      <xdr:col>3</xdr:col>
      <xdr:colOff>285750</xdr:colOff>
      <xdr:row>367</xdr:row>
      <xdr:rowOff>154781</xdr:rowOff>
    </xdr:to>
    <xdr:cxnSp macro="">
      <xdr:nvCxnSpPr>
        <xdr:cNvPr id="370" name="Straight Connector 369"/>
        <xdr:cNvCxnSpPr/>
      </xdr:nvCxnSpPr>
      <xdr:spPr>
        <a:xfrm>
          <a:off x="2876550"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367</xdr:row>
      <xdr:rowOff>44824</xdr:rowOff>
    </xdr:from>
    <xdr:to>
      <xdr:col>3</xdr:col>
      <xdr:colOff>67235</xdr:colOff>
      <xdr:row>369</xdr:row>
      <xdr:rowOff>156883</xdr:rowOff>
    </xdr:to>
    <xdr:cxnSp macro="">
      <xdr:nvCxnSpPr>
        <xdr:cNvPr id="371" name="Straight Connector 370"/>
        <xdr:cNvCxnSpPr/>
      </xdr:nvCxnSpPr>
      <xdr:spPr>
        <a:xfrm>
          <a:off x="2848535"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369</xdr:row>
      <xdr:rowOff>166690</xdr:rowOff>
    </xdr:from>
    <xdr:to>
      <xdr:col>4</xdr:col>
      <xdr:colOff>29308</xdr:colOff>
      <xdr:row>369</xdr:row>
      <xdr:rowOff>168519</xdr:rowOff>
    </xdr:to>
    <xdr:cxnSp macro="">
      <xdr:nvCxnSpPr>
        <xdr:cNvPr id="372" name="Straight Connector 371"/>
        <xdr:cNvCxnSpPr/>
      </xdr:nvCxnSpPr>
      <xdr:spPr>
        <a:xfrm>
          <a:off x="2840831" y="7065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367</xdr:row>
      <xdr:rowOff>41673</xdr:rowOff>
    </xdr:from>
    <xdr:to>
      <xdr:col>4</xdr:col>
      <xdr:colOff>12211</xdr:colOff>
      <xdr:row>370</xdr:row>
      <xdr:rowOff>0</xdr:rowOff>
    </xdr:to>
    <xdr:cxnSp macro="">
      <xdr:nvCxnSpPr>
        <xdr:cNvPr id="373" name="Straight Connector 372"/>
        <xdr:cNvCxnSpPr/>
      </xdr:nvCxnSpPr>
      <xdr:spPr>
        <a:xfrm flipH="1" flipV="1">
          <a:off x="3495675"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32918</xdr:rowOff>
    </xdr:from>
    <xdr:to>
      <xdr:col>4</xdr:col>
      <xdr:colOff>17861</xdr:colOff>
      <xdr:row>367</xdr:row>
      <xdr:rowOff>35719</xdr:rowOff>
    </xdr:to>
    <xdr:cxnSp macro="">
      <xdr:nvCxnSpPr>
        <xdr:cNvPr id="374" name="Straight Connector 373"/>
        <xdr:cNvCxnSpPr/>
      </xdr:nvCxnSpPr>
      <xdr:spPr>
        <a:xfrm flipH="1">
          <a:off x="2840831" y="7013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352</xdr:row>
      <xdr:rowOff>171450</xdr:rowOff>
    </xdr:from>
    <xdr:to>
      <xdr:col>3</xdr:col>
      <xdr:colOff>504825</xdr:colOff>
      <xdr:row>357</xdr:row>
      <xdr:rowOff>47625</xdr:rowOff>
    </xdr:to>
    <xdr:pic>
      <xdr:nvPicPr>
        <xdr:cNvPr id="3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377</xdr:row>
      <xdr:rowOff>35719</xdr:rowOff>
    </xdr:from>
    <xdr:to>
      <xdr:col>3</xdr:col>
      <xdr:colOff>428625</xdr:colOff>
      <xdr:row>379</xdr:row>
      <xdr:rowOff>178594</xdr:rowOff>
    </xdr:to>
    <xdr:cxnSp macro="">
      <xdr:nvCxnSpPr>
        <xdr:cNvPr id="376" name="Straight Connector 375"/>
        <xdr:cNvCxnSpPr/>
      </xdr:nvCxnSpPr>
      <xdr:spPr>
        <a:xfrm>
          <a:off x="3209925"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379</xdr:row>
      <xdr:rowOff>95249</xdr:rowOff>
    </xdr:from>
    <xdr:to>
      <xdr:col>3</xdr:col>
      <xdr:colOff>571500</xdr:colOff>
      <xdr:row>379</xdr:row>
      <xdr:rowOff>154780</xdr:rowOff>
    </xdr:to>
    <xdr:cxnSp macro="">
      <xdr:nvCxnSpPr>
        <xdr:cNvPr id="377" name="Straight Connector 376"/>
        <xdr:cNvCxnSpPr/>
      </xdr:nvCxnSpPr>
      <xdr:spPr>
        <a:xfrm flipH="1">
          <a:off x="3209925"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377</xdr:row>
      <xdr:rowOff>47625</xdr:rowOff>
    </xdr:from>
    <xdr:to>
      <xdr:col>3</xdr:col>
      <xdr:colOff>595313</xdr:colOff>
      <xdr:row>377</xdr:row>
      <xdr:rowOff>119062</xdr:rowOff>
    </xdr:to>
    <xdr:cxnSp macro="">
      <xdr:nvCxnSpPr>
        <xdr:cNvPr id="378" name="Straight Connector 377"/>
        <xdr:cNvCxnSpPr/>
      </xdr:nvCxnSpPr>
      <xdr:spPr>
        <a:xfrm>
          <a:off x="3209925"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89297</xdr:rowOff>
    </xdr:from>
    <xdr:to>
      <xdr:col>3</xdr:col>
      <xdr:colOff>178594</xdr:colOff>
      <xdr:row>373</xdr:row>
      <xdr:rowOff>59531</xdr:rowOff>
    </xdr:to>
    <xdr:cxnSp macro="">
      <xdr:nvCxnSpPr>
        <xdr:cNvPr id="379" name="Straight Connector 378"/>
        <xdr:cNvCxnSpPr/>
      </xdr:nvCxnSpPr>
      <xdr:spPr>
        <a:xfrm>
          <a:off x="2840831"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372</xdr:row>
      <xdr:rowOff>35719</xdr:rowOff>
    </xdr:from>
    <xdr:to>
      <xdr:col>3</xdr:col>
      <xdr:colOff>285750</xdr:colOff>
      <xdr:row>372</xdr:row>
      <xdr:rowOff>154781</xdr:rowOff>
    </xdr:to>
    <xdr:cxnSp macro="">
      <xdr:nvCxnSpPr>
        <xdr:cNvPr id="380" name="Straight Connector 379"/>
        <xdr:cNvCxnSpPr/>
      </xdr:nvCxnSpPr>
      <xdr:spPr>
        <a:xfrm>
          <a:off x="2876550"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372</xdr:row>
      <xdr:rowOff>44824</xdr:rowOff>
    </xdr:from>
    <xdr:to>
      <xdr:col>3</xdr:col>
      <xdr:colOff>67235</xdr:colOff>
      <xdr:row>374</xdr:row>
      <xdr:rowOff>156883</xdr:rowOff>
    </xdr:to>
    <xdr:cxnSp macro="">
      <xdr:nvCxnSpPr>
        <xdr:cNvPr id="381" name="Straight Connector 380"/>
        <xdr:cNvCxnSpPr/>
      </xdr:nvCxnSpPr>
      <xdr:spPr>
        <a:xfrm>
          <a:off x="2848535"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374</xdr:row>
      <xdr:rowOff>166690</xdr:rowOff>
    </xdr:from>
    <xdr:to>
      <xdr:col>4</xdr:col>
      <xdr:colOff>29308</xdr:colOff>
      <xdr:row>374</xdr:row>
      <xdr:rowOff>168519</xdr:rowOff>
    </xdr:to>
    <xdr:cxnSp macro="">
      <xdr:nvCxnSpPr>
        <xdr:cNvPr id="382" name="Straight Connector 381"/>
        <xdr:cNvCxnSpPr/>
      </xdr:nvCxnSpPr>
      <xdr:spPr>
        <a:xfrm>
          <a:off x="2840831" y="71604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372</xdr:row>
      <xdr:rowOff>41673</xdr:rowOff>
    </xdr:from>
    <xdr:to>
      <xdr:col>4</xdr:col>
      <xdr:colOff>12211</xdr:colOff>
      <xdr:row>375</xdr:row>
      <xdr:rowOff>0</xdr:rowOff>
    </xdr:to>
    <xdr:cxnSp macro="">
      <xdr:nvCxnSpPr>
        <xdr:cNvPr id="383" name="Straight Connector 382"/>
        <xdr:cNvCxnSpPr/>
      </xdr:nvCxnSpPr>
      <xdr:spPr>
        <a:xfrm flipH="1" flipV="1">
          <a:off x="3495675"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32918</xdr:rowOff>
    </xdr:from>
    <xdr:to>
      <xdr:col>4</xdr:col>
      <xdr:colOff>17861</xdr:colOff>
      <xdr:row>372</xdr:row>
      <xdr:rowOff>35719</xdr:rowOff>
    </xdr:to>
    <xdr:cxnSp macro="">
      <xdr:nvCxnSpPr>
        <xdr:cNvPr id="384" name="Straight Connector 383"/>
        <xdr:cNvCxnSpPr/>
      </xdr:nvCxnSpPr>
      <xdr:spPr>
        <a:xfrm flipH="1">
          <a:off x="2840831" y="71089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380</xdr:row>
      <xdr:rowOff>297027</xdr:rowOff>
    </xdr:from>
    <xdr:to>
      <xdr:col>3</xdr:col>
      <xdr:colOff>392907</xdr:colOff>
      <xdr:row>384</xdr:row>
      <xdr:rowOff>154781</xdr:rowOff>
    </xdr:to>
    <xdr:cxnSp macro="">
      <xdr:nvCxnSpPr>
        <xdr:cNvPr id="385" name="Straight Connector 384"/>
        <xdr:cNvCxnSpPr/>
      </xdr:nvCxnSpPr>
      <xdr:spPr>
        <a:xfrm>
          <a:off x="3166381"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384</xdr:row>
      <xdr:rowOff>142875</xdr:rowOff>
    </xdr:from>
    <xdr:to>
      <xdr:col>4</xdr:col>
      <xdr:colOff>11908</xdr:colOff>
      <xdr:row>384</xdr:row>
      <xdr:rowOff>154782</xdr:rowOff>
    </xdr:to>
    <xdr:cxnSp macro="">
      <xdr:nvCxnSpPr>
        <xdr:cNvPr id="386" name="Straight Connector 385"/>
        <xdr:cNvCxnSpPr/>
      </xdr:nvCxnSpPr>
      <xdr:spPr>
        <a:xfrm flipH="1" flipV="1">
          <a:off x="3150395" y="73485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380</xdr:row>
      <xdr:rowOff>305147</xdr:rowOff>
    </xdr:from>
    <xdr:to>
      <xdr:col>3</xdr:col>
      <xdr:colOff>130969</xdr:colOff>
      <xdr:row>382</xdr:row>
      <xdr:rowOff>11906</xdr:rowOff>
    </xdr:to>
    <xdr:cxnSp macro="">
      <xdr:nvCxnSpPr>
        <xdr:cNvPr id="387" name="Straight Arrow Connector 386"/>
        <xdr:cNvCxnSpPr/>
      </xdr:nvCxnSpPr>
      <xdr:spPr>
        <a:xfrm flipH="1" flipV="1">
          <a:off x="2904995"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383</xdr:row>
      <xdr:rowOff>11907</xdr:rowOff>
    </xdr:from>
    <xdr:to>
      <xdr:col>3</xdr:col>
      <xdr:colOff>130969</xdr:colOff>
      <xdr:row>384</xdr:row>
      <xdr:rowOff>154782</xdr:rowOff>
    </xdr:to>
    <xdr:cxnSp macro="">
      <xdr:nvCxnSpPr>
        <xdr:cNvPr id="388" name="Straight Arrow Connector 387"/>
        <xdr:cNvCxnSpPr/>
      </xdr:nvCxnSpPr>
      <xdr:spPr>
        <a:xfrm>
          <a:off x="2912269"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389</xdr:row>
      <xdr:rowOff>89297</xdr:rowOff>
    </xdr:from>
    <xdr:to>
      <xdr:col>3</xdr:col>
      <xdr:colOff>178594</xdr:colOff>
      <xdr:row>390</xdr:row>
      <xdr:rowOff>59531</xdr:rowOff>
    </xdr:to>
    <xdr:cxnSp macro="">
      <xdr:nvCxnSpPr>
        <xdr:cNvPr id="389" name="Straight Connector 388"/>
        <xdr:cNvCxnSpPr/>
      </xdr:nvCxnSpPr>
      <xdr:spPr>
        <a:xfrm>
          <a:off x="2840831"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389</xdr:row>
      <xdr:rowOff>35719</xdr:rowOff>
    </xdr:from>
    <xdr:to>
      <xdr:col>3</xdr:col>
      <xdr:colOff>285750</xdr:colOff>
      <xdr:row>389</xdr:row>
      <xdr:rowOff>154781</xdr:rowOff>
    </xdr:to>
    <xdr:cxnSp macro="">
      <xdr:nvCxnSpPr>
        <xdr:cNvPr id="390" name="Straight Connector 389"/>
        <xdr:cNvCxnSpPr/>
      </xdr:nvCxnSpPr>
      <xdr:spPr>
        <a:xfrm>
          <a:off x="2876550"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389</xdr:row>
      <xdr:rowOff>44824</xdr:rowOff>
    </xdr:from>
    <xdr:to>
      <xdr:col>3</xdr:col>
      <xdr:colOff>67235</xdr:colOff>
      <xdr:row>391</xdr:row>
      <xdr:rowOff>156883</xdr:rowOff>
    </xdr:to>
    <xdr:cxnSp macro="">
      <xdr:nvCxnSpPr>
        <xdr:cNvPr id="391" name="Straight Connector 390"/>
        <xdr:cNvCxnSpPr/>
      </xdr:nvCxnSpPr>
      <xdr:spPr>
        <a:xfrm>
          <a:off x="2848535"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391</xdr:row>
      <xdr:rowOff>166690</xdr:rowOff>
    </xdr:from>
    <xdr:to>
      <xdr:col>4</xdr:col>
      <xdr:colOff>29308</xdr:colOff>
      <xdr:row>391</xdr:row>
      <xdr:rowOff>168519</xdr:rowOff>
    </xdr:to>
    <xdr:cxnSp macro="">
      <xdr:nvCxnSpPr>
        <xdr:cNvPr id="392" name="Straight Connector 391"/>
        <xdr:cNvCxnSpPr/>
      </xdr:nvCxnSpPr>
      <xdr:spPr>
        <a:xfrm>
          <a:off x="2840831" y="748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389</xdr:row>
      <xdr:rowOff>41673</xdr:rowOff>
    </xdr:from>
    <xdr:to>
      <xdr:col>4</xdr:col>
      <xdr:colOff>12211</xdr:colOff>
      <xdr:row>392</xdr:row>
      <xdr:rowOff>0</xdr:rowOff>
    </xdr:to>
    <xdr:cxnSp macro="">
      <xdr:nvCxnSpPr>
        <xdr:cNvPr id="393" name="Straight Connector 392"/>
        <xdr:cNvCxnSpPr/>
      </xdr:nvCxnSpPr>
      <xdr:spPr>
        <a:xfrm flipH="1" flipV="1">
          <a:off x="3495675"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389</xdr:row>
      <xdr:rowOff>32918</xdr:rowOff>
    </xdr:from>
    <xdr:to>
      <xdr:col>4</xdr:col>
      <xdr:colOff>17861</xdr:colOff>
      <xdr:row>389</xdr:row>
      <xdr:rowOff>35719</xdr:rowOff>
    </xdr:to>
    <xdr:cxnSp macro="">
      <xdr:nvCxnSpPr>
        <xdr:cNvPr id="394" name="Straight Connector 393"/>
        <xdr:cNvCxnSpPr/>
      </xdr:nvCxnSpPr>
      <xdr:spPr>
        <a:xfrm flipH="1">
          <a:off x="2840831" y="743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89297</xdr:rowOff>
    </xdr:from>
    <xdr:to>
      <xdr:col>3</xdr:col>
      <xdr:colOff>178594</xdr:colOff>
      <xdr:row>395</xdr:row>
      <xdr:rowOff>59531</xdr:rowOff>
    </xdr:to>
    <xdr:cxnSp macro="">
      <xdr:nvCxnSpPr>
        <xdr:cNvPr id="395" name="Straight Connector 394"/>
        <xdr:cNvCxnSpPr/>
      </xdr:nvCxnSpPr>
      <xdr:spPr>
        <a:xfrm>
          <a:off x="2840831"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394</xdr:row>
      <xdr:rowOff>35719</xdr:rowOff>
    </xdr:from>
    <xdr:to>
      <xdr:col>3</xdr:col>
      <xdr:colOff>285750</xdr:colOff>
      <xdr:row>394</xdr:row>
      <xdr:rowOff>154781</xdr:rowOff>
    </xdr:to>
    <xdr:cxnSp macro="">
      <xdr:nvCxnSpPr>
        <xdr:cNvPr id="396" name="Straight Connector 395"/>
        <xdr:cNvCxnSpPr/>
      </xdr:nvCxnSpPr>
      <xdr:spPr>
        <a:xfrm>
          <a:off x="2876550"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394</xdr:row>
      <xdr:rowOff>44824</xdr:rowOff>
    </xdr:from>
    <xdr:to>
      <xdr:col>3</xdr:col>
      <xdr:colOff>67235</xdr:colOff>
      <xdr:row>396</xdr:row>
      <xdr:rowOff>156883</xdr:rowOff>
    </xdr:to>
    <xdr:cxnSp macro="">
      <xdr:nvCxnSpPr>
        <xdr:cNvPr id="397" name="Straight Connector 396"/>
        <xdr:cNvCxnSpPr/>
      </xdr:nvCxnSpPr>
      <xdr:spPr>
        <a:xfrm>
          <a:off x="2848535"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396</xdr:row>
      <xdr:rowOff>166690</xdr:rowOff>
    </xdr:from>
    <xdr:to>
      <xdr:col>4</xdr:col>
      <xdr:colOff>29308</xdr:colOff>
      <xdr:row>396</xdr:row>
      <xdr:rowOff>168519</xdr:rowOff>
    </xdr:to>
    <xdr:cxnSp macro="">
      <xdr:nvCxnSpPr>
        <xdr:cNvPr id="398" name="Straight Connector 397"/>
        <xdr:cNvCxnSpPr/>
      </xdr:nvCxnSpPr>
      <xdr:spPr>
        <a:xfrm>
          <a:off x="2840831" y="757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394</xdr:row>
      <xdr:rowOff>41673</xdr:rowOff>
    </xdr:from>
    <xdr:to>
      <xdr:col>4</xdr:col>
      <xdr:colOff>12211</xdr:colOff>
      <xdr:row>397</xdr:row>
      <xdr:rowOff>0</xdr:rowOff>
    </xdr:to>
    <xdr:cxnSp macro="">
      <xdr:nvCxnSpPr>
        <xdr:cNvPr id="399" name="Straight Connector 398"/>
        <xdr:cNvCxnSpPr/>
      </xdr:nvCxnSpPr>
      <xdr:spPr>
        <a:xfrm flipH="1" flipV="1">
          <a:off x="3495675"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32918</xdr:rowOff>
    </xdr:from>
    <xdr:to>
      <xdr:col>4</xdr:col>
      <xdr:colOff>17861</xdr:colOff>
      <xdr:row>394</xdr:row>
      <xdr:rowOff>35719</xdr:rowOff>
    </xdr:to>
    <xdr:cxnSp macro="">
      <xdr:nvCxnSpPr>
        <xdr:cNvPr id="400" name="Straight Connector 399"/>
        <xdr:cNvCxnSpPr/>
      </xdr:nvCxnSpPr>
      <xdr:spPr>
        <a:xfrm flipH="1">
          <a:off x="2840831" y="752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380</xdr:row>
      <xdr:rowOff>171450</xdr:rowOff>
    </xdr:from>
    <xdr:to>
      <xdr:col>3</xdr:col>
      <xdr:colOff>504825</xdr:colOff>
      <xdr:row>385</xdr:row>
      <xdr:rowOff>47625</xdr:rowOff>
    </xdr:to>
    <xdr:pic>
      <xdr:nvPicPr>
        <xdr:cNvPr id="40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398</xdr:row>
      <xdr:rowOff>297027</xdr:rowOff>
    </xdr:from>
    <xdr:to>
      <xdr:col>3</xdr:col>
      <xdr:colOff>392907</xdr:colOff>
      <xdr:row>402</xdr:row>
      <xdr:rowOff>154781</xdr:rowOff>
    </xdr:to>
    <xdr:cxnSp macro="">
      <xdr:nvCxnSpPr>
        <xdr:cNvPr id="402" name="Straight Connector 401"/>
        <xdr:cNvCxnSpPr/>
      </xdr:nvCxnSpPr>
      <xdr:spPr>
        <a:xfrm>
          <a:off x="3166381"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402</xdr:row>
      <xdr:rowOff>142875</xdr:rowOff>
    </xdr:from>
    <xdr:to>
      <xdr:col>4</xdr:col>
      <xdr:colOff>11908</xdr:colOff>
      <xdr:row>402</xdr:row>
      <xdr:rowOff>154782</xdr:rowOff>
    </xdr:to>
    <xdr:cxnSp macro="">
      <xdr:nvCxnSpPr>
        <xdr:cNvPr id="403" name="Straight Connector 402"/>
        <xdr:cNvCxnSpPr/>
      </xdr:nvCxnSpPr>
      <xdr:spPr>
        <a:xfrm flipH="1" flipV="1">
          <a:off x="3150395" y="7691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398</xdr:row>
      <xdr:rowOff>305147</xdr:rowOff>
    </xdr:from>
    <xdr:to>
      <xdr:col>3</xdr:col>
      <xdr:colOff>130969</xdr:colOff>
      <xdr:row>400</xdr:row>
      <xdr:rowOff>11906</xdr:rowOff>
    </xdr:to>
    <xdr:cxnSp macro="">
      <xdr:nvCxnSpPr>
        <xdr:cNvPr id="404" name="Straight Arrow Connector 403"/>
        <xdr:cNvCxnSpPr/>
      </xdr:nvCxnSpPr>
      <xdr:spPr>
        <a:xfrm flipH="1" flipV="1">
          <a:off x="2904995"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401</xdr:row>
      <xdr:rowOff>11907</xdr:rowOff>
    </xdr:from>
    <xdr:to>
      <xdr:col>3</xdr:col>
      <xdr:colOff>130969</xdr:colOff>
      <xdr:row>402</xdr:row>
      <xdr:rowOff>154782</xdr:rowOff>
    </xdr:to>
    <xdr:cxnSp macro="">
      <xdr:nvCxnSpPr>
        <xdr:cNvPr id="405" name="Straight Arrow Connector 404"/>
        <xdr:cNvCxnSpPr/>
      </xdr:nvCxnSpPr>
      <xdr:spPr>
        <a:xfrm>
          <a:off x="2912269"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409</xdr:row>
      <xdr:rowOff>89297</xdr:rowOff>
    </xdr:from>
    <xdr:to>
      <xdr:col>3</xdr:col>
      <xdr:colOff>178594</xdr:colOff>
      <xdr:row>410</xdr:row>
      <xdr:rowOff>59531</xdr:rowOff>
    </xdr:to>
    <xdr:cxnSp macro="">
      <xdr:nvCxnSpPr>
        <xdr:cNvPr id="406" name="Straight Connector 405"/>
        <xdr:cNvCxnSpPr/>
      </xdr:nvCxnSpPr>
      <xdr:spPr>
        <a:xfrm>
          <a:off x="2840831"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409</xdr:row>
      <xdr:rowOff>35719</xdr:rowOff>
    </xdr:from>
    <xdr:to>
      <xdr:col>3</xdr:col>
      <xdr:colOff>285750</xdr:colOff>
      <xdr:row>409</xdr:row>
      <xdr:rowOff>154781</xdr:rowOff>
    </xdr:to>
    <xdr:cxnSp macro="">
      <xdr:nvCxnSpPr>
        <xdr:cNvPr id="407" name="Straight Connector 406"/>
        <xdr:cNvCxnSpPr/>
      </xdr:nvCxnSpPr>
      <xdr:spPr>
        <a:xfrm>
          <a:off x="2876550"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409</xdr:row>
      <xdr:rowOff>44824</xdr:rowOff>
    </xdr:from>
    <xdr:to>
      <xdr:col>3</xdr:col>
      <xdr:colOff>67235</xdr:colOff>
      <xdr:row>411</xdr:row>
      <xdr:rowOff>156883</xdr:rowOff>
    </xdr:to>
    <xdr:cxnSp macro="">
      <xdr:nvCxnSpPr>
        <xdr:cNvPr id="408" name="Straight Connector 407"/>
        <xdr:cNvCxnSpPr/>
      </xdr:nvCxnSpPr>
      <xdr:spPr>
        <a:xfrm>
          <a:off x="2848535"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411</xdr:row>
      <xdr:rowOff>166690</xdr:rowOff>
    </xdr:from>
    <xdr:to>
      <xdr:col>4</xdr:col>
      <xdr:colOff>29308</xdr:colOff>
      <xdr:row>411</xdr:row>
      <xdr:rowOff>168519</xdr:rowOff>
    </xdr:to>
    <xdr:cxnSp macro="">
      <xdr:nvCxnSpPr>
        <xdr:cNvPr id="409" name="Straight Connector 408"/>
        <xdr:cNvCxnSpPr/>
      </xdr:nvCxnSpPr>
      <xdr:spPr>
        <a:xfrm>
          <a:off x="2840831" y="7865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409</xdr:row>
      <xdr:rowOff>41673</xdr:rowOff>
    </xdr:from>
    <xdr:to>
      <xdr:col>4</xdr:col>
      <xdr:colOff>12211</xdr:colOff>
      <xdr:row>412</xdr:row>
      <xdr:rowOff>0</xdr:rowOff>
    </xdr:to>
    <xdr:cxnSp macro="">
      <xdr:nvCxnSpPr>
        <xdr:cNvPr id="410" name="Straight Connector 409"/>
        <xdr:cNvCxnSpPr/>
      </xdr:nvCxnSpPr>
      <xdr:spPr>
        <a:xfrm flipH="1" flipV="1">
          <a:off x="3495675"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409</xdr:row>
      <xdr:rowOff>32918</xdr:rowOff>
    </xdr:from>
    <xdr:to>
      <xdr:col>4</xdr:col>
      <xdr:colOff>17861</xdr:colOff>
      <xdr:row>409</xdr:row>
      <xdr:rowOff>35719</xdr:rowOff>
    </xdr:to>
    <xdr:cxnSp macro="">
      <xdr:nvCxnSpPr>
        <xdr:cNvPr id="411" name="Straight Connector 410"/>
        <xdr:cNvCxnSpPr/>
      </xdr:nvCxnSpPr>
      <xdr:spPr>
        <a:xfrm flipH="1">
          <a:off x="2840831" y="7813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89297</xdr:rowOff>
    </xdr:from>
    <xdr:to>
      <xdr:col>3</xdr:col>
      <xdr:colOff>178594</xdr:colOff>
      <xdr:row>415</xdr:row>
      <xdr:rowOff>59531</xdr:rowOff>
    </xdr:to>
    <xdr:cxnSp macro="">
      <xdr:nvCxnSpPr>
        <xdr:cNvPr id="412" name="Straight Connector 411"/>
        <xdr:cNvCxnSpPr/>
      </xdr:nvCxnSpPr>
      <xdr:spPr>
        <a:xfrm>
          <a:off x="2840831"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414</xdr:row>
      <xdr:rowOff>35719</xdr:rowOff>
    </xdr:from>
    <xdr:to>
      <xdr:col>3</xdr:col>
      <xdr:colOff>285750</xdr:colOff>
      <xdr:row>414</xdr:row>
      <xdr:rowOff>154781</xdr:rowOff>
    </xdr:to>
    <xdr:cxnSp macro="">
      <xdr:nvCxnSpPr>
        <xdr:cNvPr id="413" name="Straight Connector 412"/>
        <xdr:cNvCxnSpPr/>
      </xdr:nvCxnSpPr>
      <xdr:spPr>
        <a:xfrm>
          <a:off x="2876550"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414</xdr:row>
      <xdr:rowOff>44824</xdr:rowOff>
    </xdr:from>
    <xdr:to>
      <xdr:col>3</xdr:col>
      <xdr:colOff>67235</xdr:colOff>
      <xdr:row>416</xdr:row>
      <xdr:rowOff>156883</xdr:rowOff>
    </xdr:to>
    <xdr:cxnSp macro="">
      <xdr:nvCxnSpPr>
        <xdr:cNvPr id="414" name="Straight Connector 413"/>
        <xdr:cNvCxnSpPr/>
      </xdr:nvCxnSpPr>
      <xdr:spPr>
        <a:xfrm>
          <a:off x="2848535"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416</xdr:row>
      <xdr:rowOff>166690</xdr:rowOff>
    </xdr:from>
    <xdr:to>
      <xdr:col>4</xdr:col>
      <xdr:colOff>29308</xdr:colOff>
      <xdr:row>416</xdr:row>
      <xdr:rowOff>168519</xdr:rowOff>
    </xdr:to>
    <xdr:cxnSp macro="">
      <xdr:nvCxnSpPr>
        <xdr:cNvPr id="415" name="Straight Connector 414"/>
        <xdr:cNvCxnSpPr/>
      </xdr:nvCxnSpPr>
      <xdr:spPr>
        <a:xfrm>
          <a:off x="2840831" y="7960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414</xdr:row>
      <xdr:rowOff>41673</xdr:rowOff>
    </xdr:from>
    <xdr:to>
      <xdr:col>4</xdr:col>
      <xdr:colOff>12211</xdr:colOff>
      <xdr:row>417</xdr:row>
      <xdr:rowOff>0</xdr:rowOff>
    </xdr:to>
    <xdr:cxnSp macro="">
      <xdr:nvCxnSpPr>
        <xdr:cNvPr id="416" name="Straight Connector 415"/>
        <xdr:cNvCxnSpPr/>
      </xdr:nvCxnSpPr>
      <xdr:spPr>
        <a:xfrm flipH="1" flipV="1">
          <a:off x="3495675"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32918</xdr:rowOff>
    </xdr:from>
    <xdr:to>
      <xdr:col>4</xdr:col>
      <xdr:colOff>17861</xdr:colOff>
      <xdr:row>414</xdr:row>
      <xdr:rowOff>35719</xdr:rowOff>
    </xdr:to>
    <xdr:cxnSp macro="">
      <xdr:nvCxnSpPr>
        <xdr:cNvPr id="417" name="Straight Connector 416"/>
        <xdr:cNvCxnSpPr/>
      </xdr:nvCxnSpPr>
      <xdr:spPr>
        <a:xfrm flipH="1">
          <a:off x="2840831" y="7909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398</xdr:row>
      <xdr:rowOff>171450</xdr:rowOff>
    </xdr:from>
    <xdr:to>
      <xdr:col>3</xdr:col>
      <xdr:colOff>504825</xdr:colOff>
      <xdr:row>403</xdr:row>
      <xdr:rowOff>47625</xdr:rowOff>
    </xdr:to>
    <xdr:pic>
      <xdr:nvPicPr>
        <xdr:cNvPr id="4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418</xdr:row>
      <xdr:rowOff>297027</xdr:rowOff>
    </xdr:from>
    <xdr:to>
      <xdr:col>3</xdr:col>
      <xdr:colOff>392907</xdr:colOff>
      <xdr:row>422</xdr:row>
      <xdr:rowOff>154781</xdr:rowOff>
    </xdr:to>
    <xdr:cxnSp macro="">
      <xdr:nvCxnSpPr>
        <xdr:cNvPr id="419" name="Straight Connector 418"/>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20" name="Straight Connector 419"/>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21" name="Straight Arrow Connector 420"/>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22" name="Straight Arrow Connector 421"/>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23" name="Straight Connector 422"/>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24" name="Straight Connector 423"/>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25" name="Straight Connector 424"/>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26" name="Straight Connector 425"/>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27" name="Straight Connector 426"/>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28" name="Straight Connector 427"/>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29" name="Straight Connector 428"/>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30" name="Straight Connector 429"/>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31" name="Straight Connector 430"/>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32" name="Straight Connector 431"/>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33" name="Straight Connector 432"/>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34" name="Straight Connector 433"/>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3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36" name="Straight Connector 435"/>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37" name="Straight Connector 436"/>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38" name="Straight Connector 437"/>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39" name="Straight Connector 438"/>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40" name="Straight Connector 439"/>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41" name="Straight Connector 440"/>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42" name="Straight Connector 441"/>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43" name="Straight Connector 442"/>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44" name="Straight Connector 443"/>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45" name="Straight Connector 444"/>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46" name="Straight Connector 445"/>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47" name="Straight Connector 446"/>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48" name="Straight Connector 447"/>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49" name="Straight Connector 448"/>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50" name="Straight Connector 449"/>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51" name="Straight Connector 450"/>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52" name="Straight Connector 451"/>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53" name="Straight Connector 452"/>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54" name="Straight Connector 453"/>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55" name="Straight Connector 454"/>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456" name="Straight Connector 455"/>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457" name="Straight Connector 456"/>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458" name="Straight Connector 457"/>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459" name="Straight Connector 458"/>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460" name="Straight Connector 459"/>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461" name="Straight Connector 460"/>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462" name="Straight Connector 461"/>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418</xdr:row>
      <xdr:rowOff>297027</xdr:rowOff>
    </xdr:from>
    <xdr:to>
      <xdr:col>3</xdr:col>
      <xdr:colOff>392907</xdr:colOff>
      <xdr:row>422</xdr:row>
      <xdr:rowOff>154781</xdr:rowOff>
    </xdr:to>
    <xdr:cxnSp macro="">
      <xdr:nvCxnSpPr>
        <xdr:cNvPr id="463" name="Straight Connector 462"/>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64" name="Straight Connector 463"/>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65" name="Straight Arrow Connector 464"/>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66" name="Straight Arrow Connector 465"/>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67" name="Straight Connector 466"/>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68" name="Straight Connector 467"/>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69" name="Straight Connector 468"/>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70" name="Straight Connector 469"/>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71" name="Straight Connector 470"/>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72" name="Straight Connector 471"/>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73" name="Straight Connector 472"/>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74" name="Straight Connector 473"/>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75" name="Straight Connector 474"/>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76" name="Straight Connector 475"/>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77" name="Straight Connector 476"/>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78" name="Straight Connector 477"/>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7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80" name="Straight Connector 479"/>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81" name="Straight Connector 480"/>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82" name="Straight Connector 481"/>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83" name="Straight Connector 482"/>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84" name="Straight Connector 483"/>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85" name="Straight Connector 484"/>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86" name="Straight Connector 485"/>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87" name="Straight Connector 486"/>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88" name="Straight Connector 487"/>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89" name="Straight Connector 488"/>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90" name="Straight Connector 489"/>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91" name="Straight Connector 490"/>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92" name="Straight Connector 491"/>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93" name="Straight Connector 492"/>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94" name="Straight Connector 493"/>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95" name="Straight Connector 494"/>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96" name="Straight Connector 495"/>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97" name="Straight Connector 496"/>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98" name="Straight Connector 497"/>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99" name="Straight Connector 498"/>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500" name="Straight Connector 499"/>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501" name="Straight Connector 500"/>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502" name="Straight Connector 501"/>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503" name="Straight Connector 502"/>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504" name="Straight Connector 503"/>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505" name="Straight Connector 504"/>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506" name="Straight Connector 505"/>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458</xdr:row>
      <xdr:rowOff>297027</xdr:rowOff>
    </xdr:from>
    <xdr:to>
      <xdr:col>3</xdr:col>
      <xdr:colOff>392907</xdr:colOff>
      <xdr:row>462</xdr:row>
      <xdr:rowOff>154781</xdr:rowOff>
    </xdr:to>
    <xdr:cxnSp macro="">
      <xdr:nvCxnSpPr>
        <xdr:cNvPr id="507" name="Straight Connector 506"/>
        <xdr:cNvCxnSpPr/>
      </xdr:nvCxnSpPr>
      <xdr:spPr>
        <a:xfrm>
          <a:off x="3166381"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462</xdr:row>
      <xdr:rowOff>142875</xdr:rowOff>
    </xdr:from>
    <xdr:to>
      <xdr:col>4</xdr:col>
      <xdr:colOff>11908</xdr:colOff>
      <xdr:row>462</xdr:row>
      <xdr:rowOff>154782</xdr:rowOff>
    </xdr:to>
    <xdr:cxnSp macro="">
      <xdr:nvCxnSpPr>
        <xdr:cNvPr id="508" name="Straight Connector 507"/>
        <xdr:cNvCxnSpPr/>
      </xdr:nvCxnSpPr>
      <xdr:spPr>
        <a:xfrm flipH="1" flipV="1">
          <a:off x="3150395" y="8834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458</xdr:row>
      <xdr:rowOff>305147</xdr:rowOff>
    </xdr:from>
    <xdr:to>
      <xdr:col>3</xdr:col>
      <xdr:colOff>130969</xdr:colOff>
      <xdr:row>460</xdr:row>
      <xdr:rowOff>11906</xdr:rowOff>
    </xdr:to>
    <xdr:cxnSp macro="">
      <xdr:nvCxnSpPr>
        <xdr:cNvPr id="509" name="Straight Arrow Connector 508"/>
        <xdr:cNvCxnSpPr/>
      </xdr:nvCxnSpPr>
      <xdr:spPr>
        <a:xfrm flipH="1" flipV="1">
          <a:off x="2904995"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461</xdr:row>
      <xdr:rowOff>11907</xdr:rowOff>
    </xdr:from>
    <xdr:to>
      <xdr:col>3</xdr:col>
      <xdr:colOff>130969</xdr:colOff>
      <xdr:row>462</xdr:row>
      <xdr:rowOff>154782</xdr:rowOff>
    </xdr:to>
    <xdr:cxnSp macro="">
      <xdr:nvCxnSpPr>
        <xdr:cNvPr id="510" name="Straight Arrow Connector 509"/>
        <xdr:cNvCxnSpPr/>
      </xdr:nvCxnSpPr>
      <xdr:spPr>
        <a:xfrm>
          <a:off x="2912269"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466</xdr:row>
      <xdr:rowOff>89297</xdr:rowOff>
    </xdr:from>
    <xdr:to>
      <xdr:col>3</xdr:col>
      <xdr:colOff>178594</xdr:colOff>
      <xdr:row>467</xdr:row>
      <xdr:rowOff>59531</xdr:rowOff>
    </xdr:to>
    <xdr:cxnSp macro="">
      <xdr:nvCxnSpPr>
        <xdr:cNvPr id="511" name="Straight Connector 510"/>
        <xdr:cNvCxnSpPr/>
      </xdr:nvCxnSpPr>
      <xdr:spPr>
        <a:xfrm>
          <a:off x="2840831"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466</xdr:row>
      <xdr:rowOff>35719</xdr:rowOff>
    </xdr:from>
    <xdr:to>
      <xdr:col>3</xdr:col>
      <xdr:colOff>285750</xdr:colOff>
      <xdr:row>466</xdr:row>
      <xdr:rowOff>154781</xdr:rowOff>
    </xdr:to>
    <xdr:cxnSp macro="">
      <xdr:nvCxnSpPr>
        <xdr:cNvPr id="512" name="Straight Connector 511"/>
        <xdr:cNvCxnSpPr/>
      </xdr:nvCxnSpPr>
      <xdr:spPr>
        <a:xfrm>
          <a:off x="2876550"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466</xdr:row>
      <xdr:rowOff>44824</xdr:rowOff>
    </xdr:from>
    <xdr:to>
      <xdr:col>3</xdr:col>
      <xdr:colOff>67235</xdr:colOff>
      <xdr:row>468</xdr:row>
      <xdr:rowOff>156883</xdr:rowOff>
    </xdr:to>
    <xdr:cxnSp macro="">
      <xdr:nvCxnSpPr>
        <xdr:cNvPr id="513" name="Straight Connector 512"/>
        <xdr:cNvCxnSpPr/>
      </xdr:nvCxnSpPr>
      <xdr:spPr>
        <a:xfrm>
          <a:off x="2848535"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468</xdr:row>
      <xdr:rowOff>166690</xdr:rowOff>
    </xdr:from>
    <xdr:to>
      <xdr:col>4</xdr:col>
      <xdr:colOff>29308</xdr:colOff>
      <xdr:row>468</xdr:row>
      <xdr:rowOff>168519</xdr:rowOff>
    </xdr:to>
    <xdr:cxnSp macro="">
      <xdr:nvCxnSpPr>
        <xdr:cNvPr id="514" name="Straight Connector 513"/>
        <xdr:cNvCxnSpPr/>
      </xdr:nvCxnSpPr>
      <xdr:spPr>
        <a:xfrm>
          <a:off x="2840831" y="895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466</xdr:row>
      <xdr:rowOff>41673</xdr:rowOff>
    </xdr:from>
    <xdr:to>
      <xdr:col>4</xdr:col>
      <xdr:colOff>12211</xdr:colOff>
      <xdr:row>469</xdr:row>
      <xdr:rowOff>0</xdr:rowOff>
    </xdr:to>
    <xdr:cxnSp macro="">
      <xdr:nvCxnSpPr>
        <xdr:cNvPr id="515" name="Straight Connector 514"/>
        <xdr:cNvCxnSpPr/>
      </xdr:nvCxnSpPr>
      <xdr:spPr>
        <a:xfrm flipH="1" flipV="1">
          <a:off x="3495675"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466</xdr:row>
      <xdr:rowOff>32918</xdr:rowOff>
    </xdr:from>
    <xdr:to>
      <xdr:col>4</xdr:col>
      <xdr:colOff>17861</xdr:colOff>
      <xdr:row>466</xdr:row>
      <xdr:rowOff>35719</xdr:rowOff>
    </xdr:to>
    <xdr:cxnSp macro="">
      <xdr:nvCxnSpPr>
        <xdr:cNvPr id="516" name="Straight Connector 515"/>
        <xdr:cNvCxnSpPr/>
      </xdr:nvCxnSpPr>
      <xdr:spPr>
        <a:xfrm flipH="1">
          <a:off x="2840831" y="889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458</xdr:row>
      <xdr:rowOff>171450</xdr:rowOff>
    </xdr:from>
    <xdr:to>
      <xdr:col>3</xdr:col>
      <xdr:colOff>504825</xdr:colOff>
      <xdr:row>463</xdr:row>
      <xdr:rowOff>47625</xdr:rowOff>
    </xdr:to>
    <xdr:pic>
      <xdr:nvPicPr>
        <xdr:cNvPr id="51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471</xdr:row>
      <xdr:rowOff>89297</xdr:rowOff>
    </xdr:from>
    <xdr:to>
      <xdr:col>3</xdr:col>
      <xdr:colOff>178594</xdr:colOff>
      <xdr:row>472</xdr:row>
      <xdr:rowOff>59531</xdr:rowOff>
    </xdr:to>
    <xdr:cxnSp macro="">
      <xdr:nvCxnSpPr>
        <xdr:cNvPr id="518" name="Straight Connector 517"/>
        <xdr:cNvCxnSpPr/>
      </xdr:nvCxnSpPr>
      <xdr:spPr>
        <a:xfrm>
          <a:off x="2840831"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471</xdr:row>
      <xdr:rowOff>35719</xdr:rowOff>
    </xdr:from>
    <xdr:to>
      <xdr:col>3</xdr:col>
      <xdr:colOff>285750</xdr:colOff>
      <xdr:row>471</xdr:row>
      <xdr:rowOff>154781</xdr:rowOff>
    </xdr:to>
    <xdr:cxnSp macro="">
      <xdr:nvCxnSpPr>
        <xdr:cNvPr id="519" name="Straight Connector 518"/>
        <xdr:cNvCxnSpPr/>
      </xdr:nvCxnSpPr>
      <xdr:spPr>
        <a:xfrm>
          <a:off x="2876550"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471</xdr:row>
      <xdr:rowOff>44824</xdr:rowOff>
    </xdr:from>
    <xdr:to>
      <xdr:col>3</xdr:col>
      <xdr:colOff>67235</xdr:colOff>
      <xdr:row>473</xdr:row>
      <xdr:rowOff>156883</xdr:rowOff>
    </xdr:to>
    <xdr:cxnSp macro="">
      <xdr:nvCxnSpPr>
        <xdr:cNvPr id="520" name="Straight Connector 519"/>
        <xdr:cNvCxnSpPr/>
      </xdr:nvCxnSpPr>
      <xdr:spPr>
        <a:xfrm>
          <a:off x="2848535"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473</xdr:row>
      <xdr:rowOff>166690</xdr:rowOff>
    </xdr:from>
    <xdr:to>
      <xdr:col>4</xdr:col>
      <xdr:colOff>29308</xdr:colOff>
      <xdr:row>473</xdr:row>
      <xdr:rowOff>168519</xdr:rowOff>
    </xdr:to>
    <xdr:cxnSp macro="">
      <xdr:nvCxnSpPr>
        <xdr:cNvPr id="521" name="Straight Connector 520"/>
        <xdr:cNvCxnSpPr/>
      </xdr:nvCxnSpPr>
      <xdr:spPr>
        <a:xfrm>
          <a:off x="2840831" y="9046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471</xdr:row>
      <xdr:rowOff>41673</xdr:rowOff>
    </xdr:from>
    <xdr:to>
      <xdr:col>4</xdr:col>
      <xdr:colOff>12211</xdr:colOff>
      <xdr:row>474</xdr:row>
      <xdr:rowOff>0</xdr:rowOff>
    </xdr:to>
    <xdr:cxnSp macro="">
      <xdr:nvCxnSpPr>
        <xdr:cNvPr id="522" name="Straight Connector 521"/>
        <xdr:cNvCxnSpPr/>
      </xdr:nvCxnSpPr>
      <xdr:spPr>
        <a:xfrm flipH="1" flipV="1">
          <a:off x="3495675"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471</xdr:row>
      <xdr:rowOff>32918</xdr:rowOff>
    </xdr:from>
    <xdr:to>
      <xdr:col>4</xdr:col>
      <xdr:colOff>17861</xdr:colOff>
      <xdr:row>471</xdr:row>
      <xdr:rowOff>35719</xdr:rowOff>
    </xdr:to>
    <xdr:cxnSp macro="">
      <xdr:nvCxnSpPr>
        <xdr:cNvPr id="523" name="Straight Connector 522"/>
        <xdr:cNvCxnSpPr/>
      </xdr:nvCxnSpPr>
      <xdr:spPr>
        <a:xfrm flipH="1">
          <a:off x="2840831" y="8994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89297</xdr:rowOff>
    </xdr:from>
    <xdr:to>
      <xdr:col>3</xdr:col>
      <xdr:colOff>178594</xdr:colOff>
      <xdr:row>477</xdr:row>
      <xdr:rowOff>59531</xdr:rowOff>
    </xdr:to>
    <xdr:cxnSp macro="">
      <xdr:nvCxnSpPr>
        <xdr:cNvPr id="524" name="Straight Connector 523"/>
        <xdr:cNvCxnSpPr/>
      </xdr:nvCxnSpPr>
      <xdr:spPr>
        <a:xfrm>
          <a:off x="2840831"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476</xdr:row>
      <xdr:rowOff>35719</xdr:rowOff>
    </xdr:from>
    <xdr:to>
      <xdr:col>3</xdr:col>
      <xdr:colOff>285750</xdr:colOff>
      <xdr:row>476</xdr:row>
      <xdr:rowOff>154781</xdr:rowOff>
    </xdr:to>
    <xdr:cxnSp macro="">
      <xdr:nvCxnSpPr>
        <xdr:cNvPr id="525" name="Straight Connector 524"/>
        <xdr:cNvCxnSpPr/>
      </xdr:nvCxnSpPr>
      <xdr:spPr>
        <a:xfrm>
          <a:off x="2876550"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476</xdr:row>
      <xdr:rowOff>44824</xdr:rowOff>
    </xdr:from>
    <xdr:to>
      <xdr:col>3</xdr:col>
      <xdr:colOff>67235</xdr:colOff>
      <xdr:row>478</xdr:row>
      <xdr:rowOff>156883</xdr:rowOff>
    </xdr:to>
    <xdr:cxnSp macro="">
      <xdr:nvCxnSpPr>
        <xdr:cNvPr id="526" name="Straight Connector 525"/>
        <xdr:cNvCxnSpPr/>
      </xdr:nvCxnSpPr>
      <xdr:spPr>
        <a:xfrm>
          <a:off x="2848535"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478</xdr:row>
      <xdr:rowOff>166690</xdr:rowOff>
    </xdr:from>
    <xdr:to>
      <xdr:col>4</xdr:col>
      <xdr:colOff>29308</xdr:colOff>
      <xdr:row>478</xdr:row>
      <xdr:rowOff>168519</xdr:rowOff>
    </xdr:to>
    <xdr:cxnSp macro="">
      <xdr:nvCxnSpPr>
        <xdr:cNvPr id="527" name="Straight Connector 526"/>
        <xdr:cNvCxnSpPr/>
      </xdr:nvCxnSpPr>
      <xdr:spPr>
        <a:xfrm>
          <a:off x="2840831" y="9141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476</xdr:row>
      <xdr:rowOff>41673</xdr:rowOff>
    </xdr:from>
    <xdr:to>
      <xdr:col>4</xdr:col>
      <xdr:colOff>12211</xdr:colOff>
      <xdr:row>479</xdr:row>
      <xdr:rowOff>0</xdr:rowOff>
    </xdr:to>
    <xdr:cxnSp macro="">
      <xdr:nvCxnSpPr>
        <xdr:cNvPr id="528" name="Straight Connector 527"/>
        <xdr:cNvCxnSpPr/>
      </xdr:nvCxnSpPr>
      <xdr:spPr>
        <a:xfrm flipH="1" flipV="1">
          <a:off x="3495675"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32918</xdr:rowOff>
    </xdr:from>
    <xdr:to>
      <xdr:col>4</xdr:col>
      <xdr:colOff>17861</xdr:colOff>
      <xdr:row>476</xdr:row>
      <xdr:rowOff>35719</xdr:rowOff>
    </xdr:to>
    <xdr:cxnSp macro="">
      <xdr:nvCxnSpPr>
        <xdr:cNvPr id="529" name="Straight Connector 528"/>
        <xdr:cNvCxnSpPr/>
      </xdr:nvCxnSpPr>
      <xdr:spPr>
        <a:xfrm flipH="1">
          <a:off x="2840831" y="9090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0" name="Straight Connector 529"/>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1" name="Straight Connector 530"/>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2" name="Straight Connector 531"/>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3" name="Straight Connector 532"/>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4" name="Straight Connector 533"/>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5" name="Straight Connector 534"/>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484</xdr:row>
      <xdr:rowOff>297027</xdr:rowOff>
    </xdr:from>
    <xdr:to>
      <xdr:col>3</xdr:col>
      <xdr:colOff>392907</xdr:colOff>
      <xdr:row>488</xdr:row>
      <xdr:rowOff>154781</xdr:rowOff>
    </xdr:to>
    <xdr:cxnSp macro="">
      <xdr:nvCxnSpPr>
        <xdr:cNvPr id="536" name="Straight Connector 535"/>
        <xdr:cNvCxnSpPr/>
      </xdr:nvCxnSpPr>
      <xdr:spPr>
        <a:xfrm>
          <a:off x="3166381"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488</xdr:row>
      <xdr:rowOff>142875</xdr:rowOff>
    </xdr:from>
    <xdr:to>
      <xdr:col>4</xdr:col>
      <xdr:colOff>11908</xdr:colOff>
      <xdr:row>488</xdr:row>
      <xdr:rowOff>154782</xdr:rowOff>
    </xdr:to>
    <xdr:cxnSp macro="">
      <xdr:nvCxnSpPr>
        <xdr:cNvPr id="537" name="Straight Connector 536"/>
        <xdr:cNvCxnSpPr/>
      </xdr:nvCxnSpPr>
      <xdr:spPr>
        <a:xfrm flipH="1" flipV="1">
          <a:off x="3150395" y="9329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484</xdr:row>
      <xdr:rowOff>305147</xdr:rowOff>
    </xdr:from>
    <xdr:to>
      <xdr:col>3</xdr:col>
      <xdr:colOff>130969</xdr:colOff>
      <xdr:row>486</xdr:row>
      <xdr:rowOff>11906</xdr:rowOff>
    </xdr:to>
    <xdr:cxnSp macro="">
      <xdr:nvCxnSpPr>
        <xdr:cNvPr id="538" name="Straight Arrow Connector 537"/>
        <xdr:cNvCxnSpPr/>
      </xdr:nvCxnSpPr>
      <xdr:spPr>
        <a:xfrm flipH="1" flipV="1">
          <a:off x="2904995"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487</xdr:row>
      <xdr:rowOff>11907</xdr:rowOff>
    </xdr:from>
    <xdr:to>
      <xdr:col>3</xdr:col>
      <xdr:colOff>130969</xdr:colOff>
      <xdr:row>488</xdr:row>
      <xdr:rowOff>154782</xdr:rowOff>
    </xdr:to>
    <xdr:cxnSp macro="">
      <xdr:nvCxnSpPr>
        <xdr:cNvPr id="539" name="Straight Arrow Connector 538"/>
        <xdr:cNvCxnSpPr/>
      </xdr:nvCxnSpPr>
      <xdr:spPr>
        <a:xfrm>
          <a:off x="2912269"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493</xdr:row>
      <xdr:rowOff>89297</xdr:rowOff>
    </xdr:from>
    <xdr:to>
      <xdr:col>3</xdr:col>
      <xdr:colOff>178594</xdr:colOff>
      <xdr:row>494</xdr:row>
      <xdr:rowOff>59531</xdr:rowOff>
    </xdr:to>
    <xdr:cxnSp macro="">
      <xdr:nvCxnSpPr>
        <xdr:cNvPr id="540" name="Straight Connector 539"/>
        <xdr:cNvCxnSpPr/>
      </xdr:nvCxnSpPr>
      <xdr:spPr>
        <a:xfrm>
          <a:off x="2840831" y="9419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493</xdr:row>
      <xdr:rowOff>35719</xdr:rowOff>
    </xdr:from>
    <xdr:to>
      <xdr:col>3</xdr:col>
      <xdr:colOff>285750</xdr:colOff>
      <xdr:row>493</xdr:row>
      <xdr:rowOff>154781</xdr:rowOff>
    </xdr:to>
    <xdr:cxnSp macro="">
      <xdr:nvCxnSpPr>
        <xdr:cNvPr id="541" name="Straight Connector 540"/>
        <xdr:cNvCxnSpPr/>
      </xdr:nvCxnSpPr>
      <xdr:spPr>
        <a:xfrm>
          <a:off x="2876550" y="9414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493</xdr:row>
      <xdr:rowOff>44824</xdr:rowOff>
    </xdr:from>
    <xdr:to>
      <xdr:col>3</xdr:col>
      <xdr:colOff>67235</xdr:colOff>
      <xdr:row>495</xdr:row>
      <xdr:rowOff>156883</xdr:rowOff>
    </xdr:to>
    <xdr:cxnSp macro="">
      <xdr:nvCxnSpPr>
        <xdr:cNvPr id="542" name="Straight Connector 541"/>
        <xdr:cNvCxnSpPr/>
      </xdr:nvCxnSpPr>
      <xdr:spPr>
        <a:xfrm>
          <a:off x="2848535" y="9415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495</xdr:row>
      <xdr:rowOff>166690</xdr:rowOff>
    </xdr:from>
    <xdr:to>
      <xdr:col>4</xdr:col>
      <xdr:colOff>29308</xdr:colOff>
      <xdr:row>495</xdr:row>
      <xdr:rowOff>168519</xdr:rowOff>
    </xdr:to>
    <xdr:cxnSp macro="">
      <xdr:nvCxnSpPr>
        <xdr:cNvPr id="543" name="Straight Connector 542"/>
        <xdr:cNvCxnSpPr/>
      </xdr:nvCxnSpPr>
      <xdr:spPr>
        <a:xfrm>
          <a:off x="2840831" y="9465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493</xdr:row>
      <xdr:rowOff>41673</xdr:rowOff>
    </xdr:from>
    <xdr:to>
      <xdr:col>4</xdr:col>
      <xdr:colOff>12211</xdr:colOff>
      <xdr:row>496</xdr:row>
      <xdr:rowOff>0</xdr:rowOff>
    </xdr:to>
    <xdr:cxnSp macro="">
      <xdr:nvCxnSpPr>
        <xdr:cNvPr id="544" name="Straight Connector 543"/>
        <xdr:cNvCxnSpPr/>
      </xdr:nvCxnSpPr>
      <xdr:spPr>
        <a:xfrm flipH="1" flipV="1">
          <a:off x="3495675" y="9414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493</xdr:row>
      <xdr:rowOff>32918</xdr:rowOff>
    </xdr:from>
    <xdr:to>
      <xdr:col>4</xdr:col>
      <xdr:colOff>17861</xdr:colOff>
      <xdr:row>493</xdr:row>
      <xdr:rowOff>35719</xdr:rowOff>
    </xdr:to>
    <xdr:cxnSp macro="">
      <xdr:nvCxnSpPr>
        <xdr:cNvPr id="545" name="Straight Connector 544"/>
        <xdr:cNvCxnSpPr/>
      </xdr:nvCxnSpPr>
      <xdr:spPr>
        <a:xfrm flipH="1">
          <a:off x="2840831" y="9413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484</xdr:row>
      <xdr:rowOff>171450</xdr:rowOff>
    </xdr:from>
    <xdr:to>
      <xdr:col>3</xdr:col>
      <xdr:colOff>504825</xdr:colOff>
      <xdr:row>489</xdr:row>
      <xdr:rowOff>47625</xdr:rowOff>
    </xdr:to>
    <xdr:pic>
      <xdr:nvPicPr>
        <xdr:cNvPr id="54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498</xdr:row>
      <xdr:rowOff>89297</xdr:rowOff>
    </xdr:from>
    <xdr:to>
      <xdr:col>3</xdr:col>
      <xdr:colOff>178594</xdr:colOff>
      <xdr:row>499</xdr:row>
      <xdr:rowOff>59531</xdr:rowOff>
    </xdr:to>
    <xdr:cxnSp macro="">
      <xdr:nvCxnSpPr>
        <xdr:cNvPr id="547" name="Straight Connector 546"/>
        <xdr:cNvCxnSpPr/>
      </xdr:nvCxnSpPr>
      <xdr:spPr>
        <a:xfrm>
          <a:off x="2840831" y="9514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498</xdr:row>
      <xdr:rowOff>35719</xdr:rowOff>
    </xdr:from>
    <xdr:to>
      <xdr:col>3</xdr:col>
      <xdr:colOff>285750</xdr:colOff>
      <xdr:row>498</xdr:row>
      <xdr:rowOff>154781</xdr:rowOff>
    </xdr:to>
    <xdr:cxnSp macro="">
      <xdr:nvCxnSpPr>
        <xdr:cNvPr id="548" name="Straight Connector 547"/>
        <xdr:cNvCxnSpPr/>
      </xdr:nvCxnSpPr>
      <xdr:spPr>
        <a:xfrm>
          <a:off x="2876550" y="9509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498</xdr:row>
      <xdr:rowOff>44824</xdr:rowOff>
    </xdr:from>
    <xdr:to>
      <xdr:col>3</xdr:col>
      <xdr:colOff>67235</xdr:colOff>
      <xdr:row>500</xdr:row>
      <xdr:rowOff>156883</xdr:rowOff>
    </xdr:to>
    <xdr:cxnSp macro="">
      <xdr:nvCxnSpPr>
        <xdr:cNvPr id="549" name="Straight Connector 548"/>
        <xdr:cNvCxnSpPr/>
      </xdr:nvCxnSpPr>
      <xdr:spPr>
        <a:xfrm>
          <a:off x="2848535" y="9510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500</xdr:row>
      <xdr:rowOff>166690</xdr:rowOff>
    </xdr:from>
    <xdr:to>
      <xdr:col>4</xdr:col>
      <xdr:colOff>29308</xdr:colOff>
      <xdr:row>500</xdr:row>
      <xdr:rowOff>168519</xdr:rowOff>
    </xdr:to>
    <xdr:cxnSp macro="">
      <xdr:nvCxnSpPr>
        <xdr:cNvPr id="550" name="Straight Connector 549"/>
        <xdr:cNvCxnSpPr/>
      </xdr:nvCxnSpPr>
      <xdr:spPr>
        <a:xfrm>
          <a:off x="2840831" y="9560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498</xdr:row>
      <xdr:rowOff>41673</xdr:rowOff>
    </xdr:from>
    <xdr:to>
      <xdr:col>4</xdr:col>
      <xdr:colOff>12211</xdr:colOff>
      <xdr:row>501</xdr:row>
      <xdr:rowOff>0</xdr:rowOff>
    </xdr:to>
    <xdr:cxnSp macro="">
      <xdr:nvCxnSpPr>
        <xdr:cNvPr id="551" name="Straight Connector 550"/>
        <xdr:cNvCxnSpPr/>
      </xdr:nvCxnSpPr>
      <xdr:spPr>
        <a:xfrm flipH="1" flipV="1">
          <a:off x="3495675" y="9510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498</xdr:row>
      <xdr:rowOff>32918</xdr:rowOff>
    </xdr:from>
    <xdr:to>
      <xdr:col>4</xdr:col>
      <xdr:colOff>17861</xdr:colOff>
      <xdr:row>498</xdr:row>
      <xdr:rowOff>35719</xdr:rowOff>
    </xdr:to>
    <xdr:cxnSp macro="">
      <xdr:nvCxnSpPr>
        <xdr:cNvPr id="552" name="Straight Connector 551"/>
        <xdr:cNvCxnSpPr/>
      </xdr:nvCxnSpPr>
      <xdr:spPr>
        <a:xfrm flipH="1">
          <a:off x="2840831" y="9509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89297</xdr:rowOff>
    </xdr:from>
    <xdr:to>
      <xdr:col>3</xdr:col>
      <xdr:colOff>178594</xdr:colOff>
      <xdr:row>504</xdr:row>
      <xdr:rowOff>59531</xdr:rowOff>
    </xdr:to>
    <xdr:cxnSp macro="">
      <xdr:nvCxnSpPr>
        <xdr:cNvPr id="553" name="Straight Connector 552"/>
        <xdr:cNvCxnSpPr/>
      </xdr:nvCxnSpPr>
      <xdr:spPr>
        <a:xfrm>
          <a:off x="2840831" y="9610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503</xdr:row>
      <xdr:rowOff>35719</xdr:rowOff>
    </xdr:from>
    <xdr:to>
      <xdr:col>3</xdr:col>
      <xdr:colOff>285750</xdr:colOff>
      <xdr:row>503</xdr:row>
      <xdr:rowOff>154781</xdr:rowOff>
    </xdr:to>
    <xdr:cxnSp macro="">
      <xdr:nvCxnSpPr>
        <xdr:cNvPr id="554" name="Straight Connector 553"/>
        <xdr:cNvCxnSpPr/>
      </xdr:nvCxnSpPr>
      <xdr:spPr>
        <a:xfrm>
          <a:off x="2876550" y="9604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503</xdr:row>
      <xdr:rowOff>44824</xdr:rowOff>
    </xdr:from>
    <xdr:to>
      <xdr:col>3</xdr:col>
      <xdr:colOff>67235</xdr:colOff>
      <xdr:row>505</xdr:row>
      <xdr:rowOff>156883</xdr:rowOff>
    </xdr:to>
    <xdr:cxnSp macro="">
      <xdr:nvCxnSpPr>
        <xdr:cNvPr id="555" name="Straight Connector 554"/>
        <xdr:cNvCxnSpPr/>
      </xdr:nvCxnSpPr>
      <xdr:spPr>
        <a:xfrm>
          <a:off x="2848535" y="9605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505</xdr:row>
      <xdr:rowOff>166690</xdr:rowOff>
    </xdr:from>
    <xdr:to>
      <xdr:col>4</xdr:col>
      <xdr:colOff>29308</xdr:colOff>
      <xdr:row>505</xdr:row>
      <xdr:rowOff>168519</xdr:rowOff>
    </xdr:to>
    <xdr:cxnSp macro="">
      <xdr:nvCxnSpPr>
        <xdr:cNvPr id="556" name="Straight Connector 555"/>
        <xdr:cNvCxnSpPr/>
      </xdr:nvCxnSpPr>
      <xdr:spPr>
        <a:xfrm>
          <a:off x="2840831" y="9655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503</xdr:row>
      <xdr:rowOff>41673</xdr:rowOff>
    </xdr:from>
    <xdr:to>
      <xdr:col>4</xdr:col>
      <xdr:colOff>12211</xdr:colOff>
      <xdr:row>506</xdr:row>
      <xdr:rowOff>0</xdr:rowOff>
    </xdr:to>
    <xdr:cxnSp macro="">
      <xdr:nvCxnSpPr>
        <xdr:cNvPr id="557" name="Straight Connector 556"/>
        <xdr:cNvCxnSpPr/>
      </xdr:nvCxnSpPr>
      <xdr:spPr>
        <a:xfrm flipH="1" flipV="1">
          <a:off x="3495675" y="9605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32918</xdr:rowOff>
    </xdr:from>
    <xdr:to>
      <xdr:col>4</xdr:col>
      <xdr:colOff>17861</xdr:colOff>
      <xdr:row>503</xdr:row>
      <xdr:rowOff>35719</xdr:rowOff>
    </xdr:to>
    <xdr:cxnSp macro="">
      <xdr:nvCxnSpPr>
        <xdr:cNvPr id="558" name="Straight Connector 557"/>
        <xdr:cNvCxnSpPr/>
      </xdr:nvCxnSpPr>
      <xdr:spPr>
        <a:xfrm flipH="1">
          <a:off x="2840831" y="9604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59" name="Straight Connector 558"/>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0" name="Straight Connector 559"/>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1" name="Straight Connector 560"/>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62" name="Straight Connector 561"/>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3" name="Straight Connector 562"/>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4" name="Straight Connector 563"/>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551</xdr:row>
      <xdr:rowOff>297027</xdr:rowOff>
    </xdr:from>
    <xdr:to>
      <xdr:col>3</xdr:col>
      <xdr:colOff>392907</xdr:colOff>
      <xdr:row>555</xdr:row>
      <xdr:rowOff>154781</xdr:rowOff>
    </xdr:to>
    <xdr:cxnSp macro="">
      <xdr:nvCxnSpPr>
        <xdr:cNvPr id="565" name="Straight Connector 564"/>
        <xdr:cNvCxnSpPr/>
      </xdr:nvCxnSpPr>
      <xdr:spPr>
        <a:xfrm>
          <a:off x="3166381"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555</xdr:row>
      <xdr:rowOff>142875</xdr:rowOff>
    </xdr:from>
    <xdr:to>
      <xdr:col>4</xdr:col>
      <xdr:colOff>11908</xdr:colOff>
      <xdr:row>555</xdr:row>
      <xdr:rowOff>154782</xdr:rowOff>
    </xdr:to>
    <xdr:cxnSp macro="">
      <xdr:nvCxnSpPr>
        <xdr:cNvPr id="566" name="Straight Connector 565"/>
        <xdr:cNvCxnSpPr/>
      </xdr:nvCxnSpPr>
      <xdr:spPr>
        <a:xfrm flipH="1" flipV="1">
          <a:off x="3150395" y="10606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551</xdr:row>
      <xdr:rowOff>305147</xdr:rowOff>
    </xdr:from>
    <xdr:to>
      <xdr:col>3</xdr:col>
      <xdr:colOff>130969</xdr:colOff>
      <xdr:row>553</xdr:row>
      <xdr:rowOff>11906</xdr:rowOff>
    </xdr:to>
    <xdr:cxnSp macro="">
      <xdr:nvCxnSpPr>
        <xdr:cNvPr id="567" name="Straight Arrow Connector 566"/>
        <xdr:cNvCxnSpPr/>
      </xdr:nvCxnSpPr>
      <xdr:spPr>
        <a:xfrm flipH="1" flipV="1">
          <a:off x="2904995"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554</xdr:row>
      <xdr:rowOff>11907</xdr:rowOff>
    </xdr:from>
    <xdr:to>
      <xdr:col>3</xdr:col>
      <xdr:colOff>130969</xdr:colOff>
      <xdr:row>555</xdr:row>
      <xdr:rowOff>154782</xdr:rowOff>
    </xdr:to>
    <xdr:cxnSp macro="">
      <xdr:nvCxnSpPr>
        <xdr:cNvPr id="568" name="Straight Arrow Connector 567"/>
        <xdr:cNvCxnSpPr/>
      </xdr:nvCxnSpPr>
      <xdr:spPr>
        <a:xfrm>
          <a:off x="2912269"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558</xdr:row>
      <xdr:rowOff>89297</xdr:rowOff>
    </xdr:from>
    <xdr:to>
      <xdr:col>3</xdr:col>
      <xdr:colOff>178594</xdr:colOff>
      <xdr:row>559</xdr:row>
      <xdr:rowOff>59531</xdr:rowOff>
    </xdr:to>
    <xdr:cxnSp macro="">
      <xdr:nvCxnSpPr>
        <xdr:cNvPr id="569" name="Straight Connector 568"/>
        <xdr:cNvCxnSpPr/>
      </xdr:nvCxnSpPr>
      <xdr:spPr>
        <a:xfrm>
          <a:off x="2840831" y="1065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558</xdr:row>
      <xdr:rowOff>35719</xdr:rowOff>
    </xdr:from>
    <xdr:to>
      <xdr:col>3</xdr:col>
      <xdr:colOff>285750</xdr:colOff>
      <xdr:row>558</xdr:row>
      <xdr:rowOff>154781</xdr:rowOff>
    </xdr:to>
    <xdr:cxnSp macro="">
      <xdr:nvCxnSpPr>
        <xdr:cNvPr id="570" name="Straight Connector 569"/>
        <xdr:cNvCxnSpPr/>
      </xdr:nvCxnSpPr>
      <xdr:spPr>
        <a:xfrm>
          <a:off x="2876550" y="1065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558</xdr:row>
      <xdr:rowOff>44824</xdr:rowOff>
    </xdr:from>
    <xdr:to>
      <xdr:col>3</xdr:col>
      <xdr:colOff>67235</xdr:colOff>
      <xdr:row>560</xdr:row>
      <xdr:rowOff>156883</xdr:rowOff>
    </xdr:to>
    <xdr:cxnSp macro="">
      <xdr:nvCxnSpPr>
        <xdr:cNvPr id="571" name="Straight Connector 570"/>
        <xdr:cNvCxnSpPr/>
      </xdr:nvCxnSpPr>
      <xdr:spPr>
        <a:xfrm>
          <a:off x="2848535" y="1065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560</xdr:row>
      <xdr:rowOff>166690</xdr:rowOff>
    </xdr:from>
    <xdr:to>
      <xdr:col>4</xdr:col>
      <xdr:colOff>29308</xdr:colOff>
      <xdr:row>560</xdr:row>
      <xdr:rowOff>168519</xdr:rowOff>
    </xdr:to>
    <xdr:cxnSp macro="">
      <xdr:nvCxnSpPr>
        <xdr:cNvPr id="572" name="Straight Connector 571"/>
        <xdr:cNvCxnSpPr/>
      </xdr:nvCxnSpPr>
      <xdr:spPr>
        <a:xfrm>
          <a:off x="2840831" y="1070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558</xdr:row>
      <xdr:rowOff>41673</xdr:rowOff>
    </xdr:from>
    <xdr:to>
      <xdr:col>4</xdr:col>
      <xdr:colOff>12211</xdr:colOff>
      <xdr:row>561</xdr:row>
      <xdr:rowOff>0</xdr:rowOff>
    </xdr:to>
    <xdr:cxnSp macro="">
      <xdr:nvCxnSpPr>
        <xdr:cNvPr id="573" name="Straight Connector 572"/>
        <xdr:cNvCxnSpPr/>
      </xdr:nvCxnSpPr>
      <xdr:spPr>
        <a:xfrm flipH="1" flipV="1">
          <a:off x="3495675" y="1065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558</xdr:row>
      <xdr:rowOff>32918</xdr:rowOff>
    </xdr:from>
    <xdr:to>
      <xdr:col>4</xdr:col>
      <xdr:colOff>17861</xdr:colOff>
      <xdr:row>558</xdr:row>
      <xdr:rowOff>35719</xdr:rowOff>
    </xdr:to>
    <xdr:cxnSp macro="">
      <xdr:nvCxnSpPr>
        <xdr:cNvPr id="574" name="Straight Connector 573"/>
        <xdr:cNvCxnSpPr/>
      </xdr:nvCxnSpPr>
      <xdr:spPr>
        <a:xfrm flipH="1">
          <a:off x="2840831" y="1065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551</xdr:row>
      <xdr:rowOff>171450</xdr:rowOff>
    </xdr:from>
    <xdr:to>
      <xdr:col>3</xdr:col>
      <xdr:colOff>504825</xdr:colOff>
      <xdr:row>556</xdr:row>
      <xdr:rowOff>47625</xdr:rowOff>
    </xdr:to>
    <xdr:pic>
      <xdr:nvPicPr>
        <xdr:cNvPr id="5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563</xdr:row>
      <xdr:rowOff>89297</xdr:rowOff>
    </xdr:from>
    <xdr:to>
      <xdr:col>3</xdr:col>
      <xdr:colOff>178594</xdr:colOff>
      <xdr:row>564</xdr:row>
      <xdr:rowOff>59531</xdr:rowOff>
    </xdr:to>
    <xdr:cxnSp macro="">
      <xdr:nvCxnSpPr>
        <xdr:cNvPr id="576" name="Straight Connector 575"/>
        <xdr:cNvCxnSpPr/>
      </xdr:nvCxnSpPr>
      <xdr:spPr>
        <a:xfrm>
          <a:off x="2840831" y="10753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563</xdr:row>
      <xdr:rowOff>35719</xdr:rowOff>
    </xdr:from>
    <xdr:to>
      <xdr:col>3</xdr:col>
      <xdr:colOff>285750</xdr:colOff>
      <xdr:row>563</xdr:row>
      <xdr:rowOff>154781</xdr:rowOff>
    </xdr:to>
    <xdr:cxnSp macro="">
      <xdr:nvCxnSpPr>
        <xdr:cNvPr id="577" name="Straight Connector 576"/>
        <xdr:cNvCxnSpPr/>
      </xdr:nvCxnSpPr>
      <xdr:spPr>
        <a:xfrm>
          <a:off x="2876550" y="10747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563</xdr:row>
      <xdr:rowOff>44824</xdr:rowOff>
    </xdr:from>
    <xdr:to>
      <xdr:col>3</xdr:col>
      <xdr:colOff>67235</xdr:colOff>
      <xdr:row>565</xdr:row>
      <xdr:rowOff>156883</xdr:rowOff>
    </xdr:to>
    <xdr:cxnSp macro="">
      <xdr:nvCxnSpPr>
        <xdr:cNvPr id="578" name="Straight Connector 577"/>
        <xdr:cNvCxnSpPr/>
      </xdr:nvCxnSpPr>
      <xdr:spPr>
        <a:xfrm>
          <a:off x="2848535" y="10748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565</xdr:row>
      <xdr:rowOff>166690</xdr:rowOff>
    </xdr:from>
    <xdr:to>
      <xdr:col>4</xdr:col>
      <xdr:colOff>29308</xdr:colOff>
      <xdr:row>565</xdr:row>
      <xdr:rowOff>168519</xdr:rowOff>
    </xdr:to>
    <xdr:cxnSp macro="">
      <xdr:nvCxnSpPr>
        <xdr:cNvPr id="579" name="Straight Connector 578"/>
        <xdr:cNvCxnSpPr/>
      </xdr:nvCxnSpPr>
      <xdr:spPr>
        <a:xfrm>
          <a:off x="2840831" y="10798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563</xdr:row>
      <xdr:rowOff>41673</xdr:rowOff>
    </xdr:from>
    <xdr:to>
      <xdr:col>4</xdr:col>
      <xdr:colOff>12211</xdr:colOff>
      <xdr:row>566</xdr:row>
      <xdr:rowOff>0</xdr:rowOff>
    </xdr:to>
    <xdr:cxnSp macro="">
      <xdr:nvCxnSpPr>
        <xdr:cNvPr id="580" name="Straight Connector 579"/>
        <xdr:cNvCxnSpPr/>
      </xdr:nvCxnSpPr>
      <xdr:spPr>
        <a:xfrm flipH="1" flipV="1">
          <a:off x="3495675" y="10748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563</xdr:row>
      <xdr:rowOff>32918</xdr:rowOff>
    </xdr:from>
    <xdr:to>
      <xdr:col>4</xdr:col>
      <xdr:colOff>17861</xdr:colOff>
      <xdr:row>563</xdr:row>
      <xdr:rowOff>35719</xdr:rowOff>
    </xdr:to>
    <xdr:cxnSp macro="">
      <xdr:nvCxnSpPr>
        <xdr:cNvPr id="581" name="Straight Connector 580"/>
        <xdr:cNvCxnSpPr/>
      </xdr:nvCxnSpPr>
      <xdr:spPr>
        <a:xfrm flipH="1">
          <a:off x="2840831" y="10747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89297</xdr:rowOff>
    </xdr:from>
    <xdr:to>
      <xdr:col>3</xdr:col>
      <xdr:colOff>178594</xdr:colOff>
      <xdr:row>569</xdr:row>
      <xdr:rowOff>59531</xdr:rowOff>
    </xdr:to>
    <xdr:cxnSp macro="">
      <xdr:nvCxnSpPr>
        <xdr:cNvPr id="582" name="Straight Connector 581"/>
        <xdr:cNvCxnSpPr/>
      </xdr:nvCxnSpPr>
      <xdr:spPr>
        <a:xfrm>
          <a:off x="2840831" y="10848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568</xdr:row>
      <xdr:rowOff>35719</xdr:rowOff>
    </xdr:from>
    <xdr:to>
      <xdr:col>3</xdr:col>
      <xdr:colOff>285750</xdr:colOff>
      <xdr:row>568</xdr:row>
      <xdr:rowOff>154781</xdr:rowOff>
    </xdr:to>
    <xdr:cxnSp macro="">
      <xdr:nvCxnSpPr>
        <xdr:cNvPr id="583" name="Straight Connector 582"/>
        <xdr:cNvCxnSpPr/>
      </xdr:nvCxnSpPr>
      <xdr:spPr>
        <a:xfrm>
          <a:off x="2876550" y="10843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568</xdr:row>
      <xdr:rowOff>44824</xdr:rowOff>
    </xdr:from>
    <xdr:to>
      <xdr:col>3</xdr:col>
      <xdr:colOff>67235</xdr:colOff>
      <xdr:row>570</xdr:row>
      <xdr:rowOff>156883</xdr:rowOff>
    </xdr:to>
    <xdr:cxnSp macro="">
      <xdr:nvCxnSpPr>
        <xdr:cNvPr id="584" name="Straight Connector 583"/>
        <xdr:cNvCxnSpPr/>
      </xdr:nvCxnSpPr>
      <xdr:spPr>
        <a:xfrm>
          <a:off x="2848535" y="10843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570</xdr:row>
      <xdr:rowOff>166690</xdr:rowOff>
    </xdr:from>
    <xdr:to>
      <xdr:col>4</xdr:col>
      <xdr:colOff>29308</xdr:colOff>
      <xdr:row>570</xdr:row>
      <xdr:rowOff>168519</xdr:rowOff>
    </xdr:to>
    <xdr:cxnSp macro="">
      <xdr:nvCxnSpPr>
        <xdr:cNvPr id="585" name="Straight Connector 584"/>
        <xdr:cNvCxnSpPr/>
      </xdr:nvCxnSpPr>
      <xdr:spPr>
        <a:xfrm>
          <a:off x="2840831" y="10894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568</xdr:row>
      <xdr:rowOff>41673</xdr:rowOff>
    </xdr:from>
    <xdr:to>
      <xdr:col>4</xdr:col>
      <xdr:colOff>12211</xdr:colOff>
      <xdr:row>571</xdr:row>
      <xdr:rowOff>0</xdr:rowOff>
    </xdr:to>
    <xdr:cxnSp macro="">
      <xdr:nvCxnSpPr>
        <xdr:cNvPr id="586" name="Straight Connector 585"/>
        <xdr:cNvCxnSpPr/>
      </xdr:nvCxnSpPr>
      <xdr:spPr>
        <a:xfrm flipH="1" flipV="1">
          <a:off x="3495675" y="10843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32918</xdr:rowOff>
    </xdr:from>
    <xdr:to>
      <xdr:col>4</xdr:col>
      <xdr:colOff>17861</xdr:colOff>
      <xdr:row>568</xdr:row>
      <xdr:rowOff>35719</xdr:rowOff>
    </xdr:to>
    <xdr:cxnSp macro="">
      <xdr:nvCxnSpPr>
        <xdr:cNvPr id="587" name="Straight Connector 586"/>
        <xdr:cNvCxnSpPr/>
      </xdr:nvCxnSpPr>
      <xdr:spPr>
        <a:xfrm flipH="1">
          <a:off x="2840831" y="10842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88" name="Straight Connector 587"/>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89" name="Straight Connector 588"/>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0" name="Straight Connector 589"/>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91" name="Straight Connector 590"/>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92" name="Straight Connector 591"/>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3" name="Straight Connector 592"/>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511</xdr:row>
      <xdr:rowOff>297027</xdr:rowOff>
    </xdr:from>
    <xdr:to>
      <xdr:col>3</xdr:col>
      <xdr:colOff>392907</xdr:colOff>
      <xdr:row>515</xdr:row>
      <xdr:rowOff>154781</xdr:rowOff>
    </xdr:to>
    <xdr:cxnSp macro="">
      <xdr:nvCxnSpPr>
        <xdr:cNvPr id="594" name="Straight Connector 593"/>
        <xdr:cNvCxnSpPr/>
      </xdr:nvCxnSpPr>
      <xdr:spPr>
        <a:xfrm>
          <a:off x="3166381"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515</xdr:row>
      <xdr:rowOff>142875</xdr:rowOff>
    </xdr:from>
    <xdr:to>
      <xdr:col>4</xdr:col>
      <xdr:colOff>11908</xdr:colOff>
      <xdr:row>515</xdr:row>
      <xdr:rowOff>154782</xdr:rowOff>
    </xdr:to>
    <xdr:cxnSp macro="">
      <xdr:nvCxnSpPr>
        <xdr:cNvPr id="595" name="Straight Connector 594"/>
        <xdr:cNvCxnSpPr/>
      </xdr:nvCxnSpPr>
      <xdr:spPr>
        <a:xfrm flipH="1" flipV="1">
          <a:off x="3150395" y="9844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511</xdr:row>
      <xdr:rowOff>305147</xdr:rowOff>
    </xdr:from>
    <xdr:to>
      <xdr:col>3</xdr:col>
      <xdr:colOff>130969</xdr:colOff>
      <xdr:row>513</xdr:row>
      <xdr:rowOff>11906</xdr:rowOff>
    </xdr:to>
    <xdr:cxnSp macro="">
      <xdr:nvCxnSpPr>
        <xdr:cNvPr id="596" name="Straight Arrow Connector 595"/>
        <xdr:cNvCxnSpPr/>
      </xdr:nvCxnSpPr>
      <xdr:spPr>
        <a:xfrm flipH="1" flipV="1">
          <a:off x="2904995"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514</xdr:row>
      <xdr:rowOff>11907</xdr:rowOff>
    </xdr:from>
    <xdr:to>
      <xdr:col>3</xdr:col>
      <xdr:colOff>130969</xdr:colOff>
      <xdr:row>515</xdr:row>
      <xdr:rowOff>154782</xdr:rowOff>
    </xdr:to>
    <xdr:cxnSp macro="">
      <xdr:nvCxnSpPr>
        <xdr:cNvPr id="597" name="Straight Arrow Connector 596"/>
        <xdr:cNvCxnSpPr/>
      </xdr:nvCxnSpPr>
      <xdr:spPr>
        <a:xfrm>
          <a:off x="2912269"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518</xdr:row>
      <xdr:rowOff>89297</xdr:rowOff>
    </xdr:from>
    <xdr:to>
      <xdr:col>3</xdr:col>
      <xdr:colOff>178594</xdr:colOff>
      <xdr:row>519</xdr:row>
      <xdr:rowOff>59531</xdr:rowOff>
    </xdr:to>
    <xdr:cxnSp macro="">
      <xdr:nvCxnSpPr>
        <xdr:cNvPr id="598" name="Straight Connector 597"/>
        <xdr:cNvCxnSpPr/>
      </xdr:nvCxnSpPr>
      <xdr:spPr>
        <a:xfrm>
          <a:off x="2840831" y="9895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518</xdr:row>
      <xdr:rowOff>35719</xdr:rowOff>
    </xdr:from>
    <xdr:to>
      <xdr:col>3</xdr:col>
      <xdr:colOff>285750</xdr:colOff>
      <xdr:row>518</xdr:row>
      <xdr:rowOff>154781</xdr:rowOff>
    </xdr:to>
    <xdr:cxnSp macro="">
      <xdr:nvCxnSpPr>
        <xdr:cNvPr id="599" name="Straight Connector 598"/>
        <xdr:cNvCxnSpPr/>
      </xdr:nvCxnSpPr>
      <xdr:spPr>
        <a:xfrm>
          <a:off x="2876550" y="9890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518</xdr:row>
      <xdr:rowOff>44824</xdr:rowOff>
    </xdr:from>
    <xdr:to>
      <xdr:col>3</xdr:col>
      <xdr:colOff>67235</xdr:colOff>
      <xdr:row>520</xdr:row>
      <xdr:rowOff>156883</xdr:rowOff>
    </xdr:to>
    <xdr:cxnSp macro="">
      <xdr:nvCxnSpPr>
        <xdr:cNvPr id="600" name="Straight Connector 599"/>
        <xdr:cNvCxnSpPr/>
      </xdr:nvCxnSpPr>
      <xdr:spPr>
        <a:xfrm>
          <a:off x="2848535" y="9891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520</xdr:row>
      <xdr:rowOff>166690</xdr:rowOff>
    </xdr:from>
    <xdr:to>
      <xdr:col>4</xdr:col>
      <xdr:colOff>29308</xdr:colOff>
      <xdr:row>520</xdr:row>
      <xdr:rowOff>168519</xdr:rowOff>
    </xdr:to>
    <xdr:cxnSp macro="">
      <xdr:nvCxnSpPr>
        <xdr:cNvPr id="601" name="Straight Connector 600"/>
        <xdr:cNvCxnSpPr/>
      </xdr:nvCxnSpPr>
      <xdr:spPr>
        <a:xfrm>
          <a:off x="2840831" y="9941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518</xdr:row>
      <xdr:rowOff>41673</xdr:rowOff>
    </xdr:from>
    <xdr:to>
      <xdr:col>4</xdr:col>
      <xdr:colOff>12211</xdr:colOff>
      <xdr:row>521</xdr:row>
      <xdr:rowOff>0</xdr:rowOff>
    </xdr:to>
    <xdr:cxnSp macro="">
      <xdr:nvCxnSpPr>
        <xdr:cNvPr id="602" name="Straight Connector 601"/>
        <xdr:cNvCxnSpPr/>
      </xdr:nvCxnSpPr>
      <xdr:spPr>
        <a:xfrm flipH="1" flipV="1">
          <a:off x="3495675" y="9891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518</xdr:row>
      <xdr:rowOff>32918</xdr:rowOff>
    </xdr:from>
    <xdr:to>
      <xdr:col>4</xdr:col>
      <xdr:colOff>17861</xdr:colOff>
      <xdr:row>518</xdr:row>
      <xdr:rowOff>35719</xdr:rowOff>
    </xdr:to>
    <xdr:cxnSp macro="">
      <xdr:nvCxnSpPr>
        <xdr:cNvPr id="603" name="Straight Connector 602"/>
        <xdr:cNvCxnSpPr/>
      </xdr:nvCxnSpPr>
      <xdr:spPr>
        <a:xfrm flipH="1">
          <a:off x="2840831" y="9890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89297</xdr:rowOff>
    </xdr:from>
    <xdr:to>
      <xdr:col>3</xdr:col>
      <xdr:colOff>178594</xdr:colOff>
      <xdr:row>529</xdr:row>
      <xdr:rowOff>59531</xdr:rowOff>
    </xdr:to>
    <xdr:cxnSp macro="">
      <xdr:nvCxnSpPr>
        <xdr:cNvPr id="604" name="Straight Connector 603"/>
        <xdr:cNvCxnSpPr/>
      </xdr:nvCxnSpPr>
      <xdr:spPr>
        <a:xfrm>
          <a:off x="2840831" y="10086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528</xdr:row>
      <xdr:rowOff>35719</xdr:rowOff>
    </xdr:from>
    <xdr:to>
      <xdr:col>3</xdr:col>
      <xdr:colOff>285750</xdr:colOff>
      <xdr:row>528</xdr:row>
      <xdr:rowOff>154781</xdr:rowOff>
    </xdr:to>
    <xdr:cxnSp macro="">
      <xdr:nvCxnSpPr>
        <xdr:cNvPr id="605" name="Straight Connector 604"/>
        <xdr:cNvCxnSpPr/>
      </xdr:nvCxnSpPr>
      <xdr:spPr>
        <a:xfrm>
          <a:off x="2876550" y="10081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528</xdr:row>
      <xdr:rowOff>44824</xdr:rowOff>
    </xdr:from>
    <xdr:to>
      <xdr:col>3</xdr:col>
      <xdr:colOff>67235</xdr:colOff>
      <xdr:row>530</xdr:row>
      <xdr:rowOff>156883</xdr:rowOff>
    </xdr:to>
    <xdr:cxnSp macro="">
      <xdr:nvCxnSpPr>
        <xdr:cNvPr id="606" name="Straight Connector 605"/>
        <xdr:cNvCxnSpPr/>
      </xdr:nvCxnSpPr>
      <xdr:spPr>
        <a:xfrm>
          <a:off x="2848535" y="10081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530</xdr:row>
      <xdr:rowOff>166690</xdr:rowOff>
    </xdr:from>
    <xdr:to>
      <xdr:col>4</xdr:col>
      <xdr:colOff>29308</xdr:colOff>
      <xdr:row>530</xdr:row>
      <xdr:rowOff>168519</xdr:rowOff>
    </xdr:to>
    <xdr:cxnSp macro="">
      <xdr:nvCxnSpPr>
        <xdr:cNvPr id="607" name="Straight Connector 606"/>
        <xdr:cNvCxnSpPr/>
      </xdr:nvCxnSpPr>
      <xdr:spPr>
        <a:xfrm>
          <a:off x="2840831" y="10132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528</xdr:row>
      <xdr:rowOff>41673</xdr:rowOff>
    </xdr:from>
    <xdr:to>
      <xdr:col>4</xdr:col>
      <xdr:colOff>12211</xdr:colOff>
      <xdr:row>531</xdr:row>
      <xdr:rowOff>0</xdr:rowOff>
    </xdr:to>
    <xdr:cxnSp macro="">
      <xdr:nvCxnSpPr>
        <xdr:cNvPr id="608" name="Straight Connector 607"/>
        <xdr:cNvCxnSpPr/>
      </xdr:nvCxnSpPr>
      <xdr:spPr>
        <a:xfrm flipH="1" flipV="1">
          <a:off x="3495675" y="10081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32918</xdr:rowOff>
    </xdr:from>
    <xdr:to>
      <xdr:col>4</xdr:col>
      <xdr:colOff>17861</xdr:colOff>
      <xdr:row>528</xdr:row>
      <xdr:rowOff>35719</xdr:rowOff>
    </xdr:to>
    <xdr:cxnSp macro="">
      <xdr:nvCxnSpPr>
        <xdr:cNvPr id="609" name="Straight Connector 608"/>
        <xdr:cNvCxnSpPr/>
      </xdr:nvCxnSpPr>
      <xdr:spPr>
        <a:xfrm flipH="1">
          <a:off x="2840831" y="10080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511</xdr:row>
      <xdr:rowOff>171450</xdr:rowOff>
    </xdr:from>
    <xdr:to>
      <xdr:col>3</xdr:col>
      <xdr:colOff>504825</xdr:colOff>
      <xdr:row>516</xdr:row>
      <xdr:rowOff>47625</xdr:rowOff>
    </xdr:to>
    <xdr:pic>
      <xdr:nvPicPr>
        <xdr:cNvPr id="6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523</xdr:row>
      <xdr:rowOff>89297</xdr:rowOff>
    </xdr:from>
    <xdr:to>
      <xdr:col>3</xdr:col>
      <xdr:colOff>178594</xdr:colOff>
      <xdr:row>524</xdr:row>
      <xdr:rowOff>59531</xdr:rowOff>
    </xdr:to>
    <xdr:cxnSp macro="">
      <xdr:nvCxnSpPr>
        <xdr:cNvPr id="611" name="Straight Connector 610"/>
        <xdr:cNvCxnSpPr/>
      </xdr:nvCxnSpPr>
      <xdr:spPr>
        <a:xfrm>
          <a:off x="2840831" y="9991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523</xdr:row>
      <xdr:rowOff>35719</xdr:rowOff>
    </xdr:from>
    <xdr:to>
      <xdr:col>3</xdr:col>
      <xdr:colOff>285750</xdr:colOff>
      <xdr:row>523</xdr:row>
      <xdr:rowOff>154781</xdr:rowOff>
    </xdr:to>
    <xdr:cxnSp macro="">
      <xdr:nvCxnSpPr>
        <xdr:cNvPr id="612" name="Straight Connector 611"/>
        <xdr:cNvCxnSpPr/>
      </xdr:nvCxnSpPr>
      <xdr:spPr>
        <a:xfrm>
          <a:off x="2876550" y="9985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523</xdr:row>
      <xdr:rowOff>44824</xdr:rowOff>
    </xdr:from>
    <xdr:to>
      <xdr:col>3</xdr:col>
      <xdr:colOff>67235</xdr:colOff>
      <xdr:row>525</xdr:row>
      <xdr:rowOff>156883</xdr:rowOff>
    </xdr:to>
    <xdr:cxnSp macro="">
      <xdr:nvCxnSpPr>
        <xdr:cNvPr id="613" name="Straight Connector 612"/>
        <xdr:cNvCxnSpPr/>
      </xdr:nvCxnSpPr>
      <xdr:spPr>
        <a:xfrm>
          <a:off x="2848535" y="9986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525</xdr:row>
      <xdr:rowOff>166690</xdr:rowOff>
    </xdr:from>
    <xdr:to>
      <xdr:col>4</xdr:col>
      <xdr:colOff>29308</xdr:colOff>
      <xdr:row>525</xdr:row>
      <xdr:rowOff>168519</xdr:rowOff>
    </xdr:to>
    <xdr:cxnSp macro="">
      <xdr:nvCxnSpPr>
        <xdr:cNvPr id="614" name="Straight Connector 613"/>
        <xdr:cNvCxnSpPr/>
      </xdr:nvCxnSpPr>
      <xdr:spPr>
        <a:xfrm>
          <a:off x="2840831" y="10036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523</xdr:row>
      <xdr:rowOff>41673</xdr:rowOff>
    </xdr:from>
    <xdr:to>
      <xdr:col>4</xdr:col>
      <xdr:colOff>12211</xdr:colOff>
      <xdr:row>526</xdr:row>
      <xdr:rowOff>0</xdr:rowOff>
    </xdr:to>
    <xdr:cxnSp macro="">
      <xdr:nvCxnSpPr>
        <xdr:cNvPr id="615" name="Straight Connector 614"/>
        <xdr:cNvCxnSpPr/>
      </xdr:nvCxnSpPr>
      <xdr:spPr>
        <a:xfrm flipH="1" flipV="1">
          <a:off x="3495675" y="9986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523</xdr:row>
      <xdr:rowOff>32918</xdr:rowOff>
    </xdr:from>
    <xdr:to>
      <xdr:col>4</xdr:col>
      <xdr:colOff>17861</xdr:colOff>
      <xdr:row>523</xdr:row>
      <xdr:rowOff>35719</xdr:rowOff>
    </xdr:to>
    <xdr:cxnSp macro="">
      <xdr:nvCxnSpPr>
        <xdr:cNvPr id="616" name="Straight Connector 615"/>
        <xdr:cNvCxnSpPr/>
      </xdr:nvCxnSpPr>
      <xdr:spPr>
        <a:xfrm flipH="1">
          <a:off x="2840831" y="9985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89297</xdr:rowOff>
    </xdr:from>
    <xdr:to>
      <xdr:col>3</xdr:col>
      <xdr:colOff>178594</xdr:colOff>
      <xdr:row>534</xdr:row>
      <xdr:rowOff>59531</xdr:rowOff>
    </xdr:to>
    <xdr:cxnSp macro="">
      <xdr:nvCxnSpPr>
        <xdr:cNvPr id="617" name="Straight Connector 616"/>
        <xdr:cNvCxnSpPr/>
      </xdr:nvCxnSpPr>
      <xdr:spPr>
        <a:xfrm>
          <a:off x="2840831" y="10181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533</xdr:row>
      <xdr:rowOff>35719</xdr:rowOff>
    </xdr:from>
    <xdr:to>
      <xdr:col>3</xdr:col>
      <xdr:colOff>285750</xdr:colOff>
      <xdr:row>533</xdr:row>
      <xdr:rowOff>154781</xdr:rowOff>
    </xdr:to>
    <xdr:cxnSp macro="">
      <xdr:nvCxnSpPr>
        <xdr:cNvPr id="618" name="Straight Connector 617"/>
        <xdr:cNvCxnSpPr/>
      </xdr:nvCxnSpPr>
      <xdr:spPr>
        <a:xfrm>
          <a:off x="2876550" y="10176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533</xdr:row>
      <xdr:rowOff>44824</xdr:rowOff>
    </xdr:from>
    <xdr:to>
      <xdr:col>3</xdr:col>
      <xdr:colOff>67235</xdr:colOff>
      <xdr:row>535</xdr:row>
      <xdr:rowOff>156883</xdr:rowOff>
    </xdr:to>
    <xdr:cxnSp macro="">
      <xdr:nvCxnSpPr>
        <xdr:cNvPr id="619" name="Straight Connector 618"/>
        <xdr:cNvCxnSpPr/>
      </xdr:nvCxnSpPr>
      <xdr:spPr>
        <a:xfrm>
          <a:off x="2848535" y="10177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535</xdr:row>
      <xdr:rowOff>166690</xdr:rowOff>
    </xdr:from>
    <xdr:to>
      <xdr:col>4</xdr:col>
      <xdr:colOff>29308</xdr:colOff>
      <xdr:row>535</xdr:row>
      <xdr:rowOff>168519</xdr:rowOff>
    </xdr:to>
    <xdr:cxnSp macro="">
      <xdr:nvCxnSpPr>
        <xdr:cNvPr id="620" name="Straight Connector 619"/>
        <xdr:cNvCxnSpPr/>
      </xdr:nvCxnSpPr>
      <xdr:spPr>
        <a:xfrm>
          <a:off x="2840831" y="10227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533</xdr:row>
      <xdr:rowOff>41673</xdr:rowOff>
    </xdr:from>
    <xdr:to>
      <xdr:col>4</xdr:col>
      <xdr:colOff>12211</xdr:colOff>
      <xdr:row>536</xdr:row>
      <xdr:rowOff>0</xdr:rowOff>
    </xdr:to>
    <xdr:cxnSp macro="">
      <xdr:nvCxnSpPr>
        <xdr:cNvPr id="621" name="Straight Connector 620"/>
        <xdr:cNvCxnSpPr/>
      </xdr:nvCxnSpPr>
      <xdr:spPr>
        <a:xfrm flipH="1" flipV="1">
          <a:off x="3495675" y="10176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32918</xdr:rowOff>
    </xdr:from>
    <xdr:to>
      <xdr:col>4</xdr:col>
      <xdr:colOff>17861</xdr:colOff>
      <xdr:row>533</xdr:row>
      <xdr:rowOff>35719</xdr:rowOff>
    </xdr:to>
    <xdr:cxnSp macro="">
      <xdr:nvCxnSpPr>
        <xdr:cNvPr id="622" name="Straight Connector 621"/>
        <xdr:cNvCxnSpPr/>
      </xdr:nvCxnSpPr>
      <xdr:spPr>
        <a:xfrm flipH="1">
          <a:off x="2840831" y="10175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89297</xdr:rowOff>
    </xdr:from>
    <xdr:to>
      <xdr:col>3</xdr:col>
      <xdr:colOff>178594</xdr:colOff>
      <xdr:row>539</xdr:row>
      <xdr:rowOff>59531</xdr:rowOff>
    </xdr:to>
    <xdr:cxnSp macro="">
      <xdr:nvCxnSpPr>
        <xdr:cNvPr id="623" name="Straight Connector 622"/>
        <xdr:cNvCxnSpPr/>
      </xdr:nvCxnSpPr>
      <xdr:spPr>
        <a:xfrm>
          <a:off x="2840831" y="10276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538</xdr:row>
      <xdr:rowOff>35719</xdr:rowOff>
    </xdr:from>
    <xdr:to>
      <xdr:col>3</xdr:col>
      <xdr:colOff>285750</xdr:colOff>
      <xdr:row>538</xdr:row>
      <xdr:rowOff>154781</xdr:rowOff>
    </xdr:to>
    <xdr:cxnSp macro="">
      <xdr:nvCxnSpPr>
        <xdr:cNvPr id="624" name="Straight Connector 623"/>
        <xdr:cNvCxnSpPr/>
      </xdr:nvCxnSpPr>
      <xdr:spPr>
        <a:xfrm>
          <a:off x="2876550" y="10271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538</xdr:row>
      <xdr:rowOff>44824</xdr:rowOff>
    </xdr:from>
    <xdr:to>
      <xdr:col>3</xdr:col>
      <xdr:colOff>67235</xdr:colOff>
      <xdr:row>540</xdr:row>
      <xdr:rowOff>156883</xdr:rowOff>
    </xdr:to>
    <xdr:cxnSp macro="">
      <xdr:nvCxnSpPr>
        <xdr:cNvPr id="625" name="Straight Connector 624"/>
        <xdr:cNvCxnSpPr/>
      </xdr:nvCxnSpPr>
      <xdr:spPr>
        <a:xfrm>
          <a:off x="2848535" y="10272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540</xdr:row>
      <xdr:rowOff>166690</xdr:rowOff>
    </xdr:from>
    <xdr:to>
      <xdr:col>4</xdr:col>
      <xdr:colOff>29308</xdr:colOff>
      <xdr:row>540</xdr:row>
      <xdr:rowOff>168519</xdr:rowOff>
    </xdr:to>
    <xdr:cxnSp macro="">
      <xdr:nvCxnSpPr>
        <xdr:cNvPr id="626" name="Straight Connector 625"/>
        <xdr:cNvCxnSpPr/>
      </xdr:nvCxnSpPr>
      <xdr:spPr>
        <a:xfrm>
          <a:off x="2840831" y="10322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538</xdr:row>
      <xdr:rowOff>41673</xdr:rowOff>
    </xdr:from>
    <xdr:to>
      <xdr:col>4</xdr:col>
      <xdr:colOff>12211</xdr:colOff>
      <xdr:row>541</xdr:row>
      <xdr:rowOff>0</xdr:rowOff>
    </xdr:to>
    <xdr:cxnSp macro="">
      <xdr:nvCxnSpPr>
        <xdr:cNvPr id="627" name="Straight Connector 626"/>
        <xdr:cNvCxnSpPr/>
      </xdr:nvCxnSpPr>
      <xdr:spPr>
        <a:xfrm flipH="1" flipV="1">
          <a:off x="3495675" y="10272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32918</xdr:rowOff>
    </xdr:from>
    <xdr:to>
      <xdr:col>4</xdr:col>
      <xdr:colOff>17861</xdr:colOff>
      <xdr:row>538</xdr:row>
      <xdr:rowOff>35719</xdr:rowOff>
    </xdr:to>
    <xdr:cxnSp macro="">
      <xdr:nvCxnSpPr>
        <xdr:cNvPr id="628" name="Straight Connector 627"/>
        <xdr:cNvCxnSpPr/>
      </xdr:nvCxnSpPr>
      <xdr:spPr>
        <a:xfrm flipH="1">
          <a:off x="2840831" y="10271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89297</xdr:rowOff>
    </xdr:from>
    <xdr:to>
      <xdr:col>3</xdr:col>
      <xdr:colOff>178594</xdr:colOff>
      <xdr:row>544</xdr:row>
      <xdr:rowOff>59531</xdr:rowOff>
    </xdr:to>
    <xdr:cxnSp macro="">
      <xdr:nvCxnSpPr>
        <xdr:cNvPr id="629" name="Straight Connector 628"/>
        <xdr:cNvCxnSpPr/>
      </xdr:nvCxnSpPr>
      <xdr:spPr>
        <a:xfrm>
          <a:off x="2840831" y="10372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543</xdr:row>
      <xdr:rowOff>35719</xdr:rowOff>
    </xdr:from>
    <xdr:to>
      <xdr:col>3</xdr:col>
      <xdr:colOff>285750</xdr:colOff>
      <xdr:row>543</xdr:row>
      <xdr:rowOff>154781</xdr:rowOff>
    </xdr:to>
    <xdr:cxnSp macro="">
      <xdr:nvCxnSpPr>
        <xdr:cNvPr id="630" name="Straight Connector 629"/>
        <xdr:cNvCxnSpPr/>
      </xdr:nvCxnSpPr>
      <xdr:spPr>
        <a:xfrm>
          <a:off x="2876550" y="10366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543</xdr:row>
      <xdr:rowOff>44824</xdr:rowOff>
    </xdr:from>
    <xdr:to>
      <xdr:col>3</xdr:col>
      <xdr:colOff>67235</xdr:colOff>
      <xdr:row>545</xdr:row>
      <xdr:rowOff>156883</xdr:rowOff>
    </xdr:to>
    <xdr:cxnSp macro="">
      <xdr:nvCxnSpPr>
        <xdr:cNvPr id="631" name="Straight Connector 630"/>
        <xdr:cNvCxnSpPr/>
      </xdr:nvCxnSpPr>
      <xdr:spPr>
        <a:xfrm>
          <a:off x="2848535" y="10367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545</xdr:row>
      <xdr:rowOff>166690</xdr:rowOff>
    </xdr:from>
    <xdr:to>
      <xdr:col>4</xdr:col>
      <xdr:colOff>29308</xdr:colOff>
      <xdr:row>545</xdr:row>
      <xdr:rowOff>168519</xdr:rowOff>
    </xdr:to>
    <xdr:cxnSp macro="">
      <xdr:nvCxnSpPr>
        <xdr:cNvPr id="632" name="Straight Connector 631"/>
        <xdr:cNvCxnSpPr/>
      </xdr:nvCxnSpPr>
      <xdr:spPr>
        <a:xfrm>
          <a:off x="2840831" y="10417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543</xdr:row>
      <xdr:rowOff>41673</xdr:rowOff>
    </xdr:from>
    <xdr:to>
      <xdr:col>4</xdr:col>
      <xdr:colOff>12211</xdr:colOff>
      <xdr:row>546</xdr:row>
      <xdr:rowOff>0</xdr:rowOff>
    </xdr:to>
    <xdr:cxnSp macro="">
      <xdr:nvCxnSpPr>
        <xdr:cNvPr id="633" name="Straight Connector 632"/>
        <xdr:cNvCxnSpPr/>
      </xdr:nvCxnSpPr>
      <xdr:spPr>
        <a:xfrm flipH="1" flipV="1">
          <a:off x="3495675" y="10367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32918</xdr:rowOff>
    </xdr:from>
    <xdr:to>
      <xdr:col>4</xdr:col>
      <xdr:colOff>17861</xdr:colOff>
      <xdr:row>543</xdr:row>
      <xdr:rowOff>35719</xdr:rowOff>
    </xdr:to>
    <xdr:cxnSp macro="">
      <xdr:nvCxnSpPr>
        <xdr:cNvPr id="634" name="Straight Connector 633"/>
        <xdr:cNvCxnSpPr/>
      </xdr:nvCxnSpPr>
      <xdr:spPr>
        <a:xfrm flipH="1">
          <a:off x="2840831" y="10366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35719</xdr:rowOff>
    </xdr:from>
    <xdr:to>
      <xdr:col>3</xdr:col>
      <xdr:colOff>428625</xdr:colOff>
      <xdr:row>550</xdr:row>
      <xdr:rowOff>178594</xdr:rowOff>
    </xdr:to>
    <xdr:cxnSp macro="">
      <xdr:nvCxnSpPr>
        <xdr:cNvPr id="635" name="Straight Connector 634"/>
        <xdr:cNvCxnSpPr/>
      </xdr:nvCxnSpPr>
      <xdr:spPr>
        <a:xfrm>
          <a:off x="3209925" y="10462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550</xdr:row>
      <xdr:rowOff>95249</xdr:rowOff>
    </xdr:from>
    <xdr:to>
      <xdr:col>3</xdr:col>
      <xdr:colOff>571500</xdr:colOff>
      <xdr:row>550</xdr:row>
      <xdr:rowOff>154780</xdr:rowOff>
    </xdr:to>
    <xdr:cxnSp macro="">
      <xdr:nvCxnSpPr>
        <xdr:cNvPr id="636" name="Straight Connector 635"/>
        <xdr:cNvCxnSpPr/>
      </xdr:nvCxnSpPr>
      <xdr:spPr>
        <a:xfrm flipH="1">
          <a:off x="3209925" y="10506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47625</xdr:rowOff>
    </xdr:from>
    <xdr:to>
      <xdr:col>3</xdr:col>
      <xdr:colOff>595313</xdr:colOff>
      <xdr:row>548</xdr:row>
      <xdr:rowOff>119062</xdr:rowOff>
    </xdr:to>
    <xdr:cxnSp macro="">
      <xdr:nvCxnSpPr>
        <xdr:cNvPr id="637" name="Straight Connector 636"/>
        <xdr:cNvCxnSpPr/>
      </xdr:nvCxnSpPr>
      <xdr:spPr>
        <a:xfrm>
          <a:off x="3209925" y="10463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576</xdr:row>
      <xdr:rowOff>297027</xdr:rowOff>
    </xdr:from>
    <xdr:to>
      <xdr:col>3</xdr:col>
      <xdr:colOff>392907</xdr:colOff>
      <xdr:row>580</xdr:row>
      <xdr:rowOff>154781</xdr:rowOff>
    </xdr:to>
    <xdr:cxnSp macro="">
      <xdr:nvCxnSpPr>
        <xdr:cNvPr id="638" name="Straight Connector 637"/>
        <xdr:cNvCxnSpPr/>
      </xdr:nvCxnSpPr>
      <xdr:spPr>
        <a:xfrm>
          <a:off x="3253787" y="104100253"/>
          <a:ext cx="7826" cy="71746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576</xdr:row>
      <xdr:rowOff>305147</xdr:rowOff>
    </xdr:from>
    <xdr:to>
      <xdr:col>3</xdr:col>
      <xdr:colOff>130969</xdr:colOff>
      <xdr:row>578</xdr:row>
      <xdr:rowOff>11906</xdr:rowOff>
    </xdr:to>
    <xdr:cxnSp macro="">
      <xdr:nvCxnSpPr>
        <xdr:cNvPr id="640" name="Straight Arrow Connector 639"/>
        <xdr:cNvCxnSpPr/>
      </xdr:nvCxnSpPr>
      <xdr:spPr>
        <a:xfrm flipH="1" flipV="1">
          <a:off x="2992401" y="104100753"/>
          <a:ext cx="7274" cy="19757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579</xdr:row>
      <xdr:rowOff>11907</xdr:rowOff>
    </xdr:from>
    <xdr:to>
      <xdr:col>3</xdr:col>
      <xdr:colOff>130969</xdr:colOff>
      <xdr:row>580</xdr:row>
      <xdr:rowOff>154782</xdr:rowOff>
    </xdr:to>
    <xdr:cxnSp macro="">
      <xdr:nvCxnSpPr>
        <xdr:cNvPr id="641" name="Straight Arrow Connector 640"/>
        <xdr:cNvCxnSpPr/>
      </xdr:nvCxnSpPr>
      <xdr:spPr>
        <a:xfrm>
          <a:off x="2999675" y="104486589"/>
          <a:ext cx="0" cy="33113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576</xdr:row>
      <xdr:rowOff>171450</xdr:rowOff>
    </xdr:from>
    <xdr:ext cx="161925" cy="817469"/>
    <xdr:pic>
      <xdr:nvPicPr>
        <xdr:cNvPr id="64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11606" y="104081356"/>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385483</xdr:colOff>
      <xdr:row>577</xdr:row>
      <xdr:rowOff>17930</xdr:rowOff>
    </xdr:from>
    <xdr:to>
      <xdr:col>3</xdr:col>
      <xdr:colOff>636494</xdr:colOff>
      <xdr:row>577</xdr:row>
      <xdr:rowOff>17930</xdr:rowOff>
    </xdr:to>
    <xdr:cxnSp macro="">
      <xdr:nvCxnSpPr>
        <xdr:cNvPr id="644" name="Straight Connector 643"/>
        <xdr:cNvCxnSpPr/>
      </xdr:nvCxnSpPr>
      <xdr:spPr>
        <a:xfrm>
          <a:off x="3254189" y="108822565"/>
          <a:ext cx="251011"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560</xdr:row>
      <xdr:rowOff>41673</xdr:rowOff>
    </xdr:from>
    <xdr:to>
      <xdr:col>4</xdr:col>
      <xdr:colOff>12211</xdr:colOff>
      <xdr:row>563</xdr:row>
      <xdr:rowOff>0</xdr:rowOff>
    </xdr:to>
    <xdr:cxnSp macro="">
      <xdr:nvCxnSpPr>
        <xdr:cNvPr id="643" name="Straight Connector 642"/>
        <xdr:cNvCxnSpPr/>
      </xdr:nvCxnSpPr>
      <xdr:spPr>
        <a:xfrm flipH="1" flipV="1">
          <a:off x="3507441" y="1065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7"/>
  <sheetViews>
    <sheetView view="pageBreakPreview" topLeftCell="A4" zoomScale="60" zoomScaleNormal="70" workbookViewId="0">
      <selection activeCell="F11" sqref="F11"/>
    </sheetView>
  </sheetViews>
  <sheetFormatPr defaultColWidth="16.28515625" defaultRowHeight="15"/>
  <cols>
    <col min="1" max="1" width="13.5703125" customWidth="1"/>
    <col min="2" max="2" width="60" customWidth="1"/>
    <col min="3" max="3" width="25.140625" customWidth="1"/>
    <col min="4" max="4" width="23.28515625" customWidth="1"/>
    <col min="5" max="5" width="22.85546875" customWidth="1"/>
    <col min="6" max="6" width="21.140625" customWidth="1"/>
    <col min="7" max="7" width="33.85546875" customWidth="1"/>
    <col min="9" max="9" width="17.140625" bestFit="1" customWidth="1"/>
    <col min="10" max="10" width="18.42578125" bestFit="1" customWidth="1"/>
  </cols>
  <sheetData>
    <row r="1" spans="1:10" s="2" customFormat="1" ht="54" customHeight="1">
      <c r="A1" s="462" t="s">
        <v>53</v>
      </c>
      <c r="B1" s="462"/>
      <c r="C1" s="462"/>
      <c r="D1" s="462"/>
      <c r="E1" s="462"/>
      <c r="F1" s="1" t="s">
        <v>10</v>
      </c>
      <c r="G1" s="1" t="s">
        <v>11</v>
      </c>
    </row>
    <row r="2" spans="1:10" s="6" customFormat="1" ht="32.25" customHeight="1">
      <c r="A2" s="457" t="s">
        <v>184</v>
      </c>
      <c r="B2" s="457"/>
      <c r="C2" s="457"/>
      <c r="D2" s="457"/>
      <c r="E2" s="3" t="s">
        <v>12</v>
      </c>
      <c r="F2" s="4"/>
      <c r="G2" s="5">
        <f>+ABSTRACT!F108</f>
        <v>162074375</v>
      </c>
    </row>
    <row r="3" spans="1:10" s="6" customFormat="1" ht="36" customHeight="1">
      <c r="A3" s="457" t="s">
        <v>178</v>
      </c>
      <c r="B3" s="457"/>
      <c r="C3" s="457"/>
      <c r="D3" s="457"/>
      <c r="E3" s="3" t="s">
        <v>13</v>
      </c>
      <c r="F3" s="4"/>
      <c r="G3" s="7">
        <f>D11/G2</f>
        <v>3.5935252020598205E-2</v>
      </c>
    </row>
    <row r="4" spans="1:10" s="6" customFormat="1" ht="23.25">
      <c r="A4" s="456" t="s">
        <v>179</v>
      </c>
      <c r="B4" s="456"/>
      <c r="C4" s="456"/>
      <c r="D4" s="456"/>
      <c r="E4" s="457" t="s">
        <v>185</v>
      </c>
      <c r="F4" s="457"/>
      <c r="G4" s="457"/>
    </row>
    <row r="5" spans="1:10" s="6" customFormat="1" ht="23.25">
      <c r="A5" s="456" t="s">
        <v>180</v>
      </c>
      <c r="B5" s="456"/>
      <c r="C5" s="456"/>
      <c r="D5" s="456"/>
      <c r="E5" s="456" t="s">
        <v>186</v>
      </c>
      <c r="F5" s="456"/>
      <c r="G5" s="456"/>
    </row>
    <row r="6" spans="1:10" s="6" customFormat="1" ht="32.25" customHeight="1">
      <c r="A6" s="456" t="s">
        <v>568</v>
      </c>
      <c r="B6" s="456"/>
      <c r="C6" s="456"/>
      <c r="D6" s="456"/>
      <c r="E6" s="457" t="s">
        <v>181</v>
      </c>
      <c r="F6" s="457"/>
      <c r="G6" s="457"/>
    </row>
    <row r="7" spans="1:10" s="6" customFormat="1" ht="32.25" customHeight="1">
      <c r="A7" s="456" t="s">
        <v>502</v>
      </c>
      <c r="B7" s="456"/>
      <c r="C7" s="456"/>
      <c r="D7" s="456"/>
      <c r="E7" s="458" t="s">
        <v>182</v>
      </c>
      <c r="F7" s="459"/>
      <c r="G7" s="460"/>
    </row>
    <row r="8" spans="1:10" s="6" customFormat="1" ht="32.25" customHeight="1">
      <c r="A8" s="456" t="s">
        <v>567</v>
      </c>
      <c r="B8" s="456"/>
      <c r="C8" s="456"/>
      <c r="D8" s="456"/>
      <c r="E8" s="461" t="s">
        <v>183</v>
      </c>
      <c r="F8" s="461"/>
      <c r="G8" s="461"/>
    </row>
    <row r="9" spans="1:10" s="6" customFormat="1" ht="37.5" customHeight="1">
      <c r="A9" s="453" t="s">
        <v>55</v>
      </c>
      <c r="B9" s="454"/>
      <c r="C9" s="64" t="s">
        <v>14</v>
      </c>
      <c r="D9" s="26"/>
      <c r="E9" s="453" t="s">
        <v>15</v>
      </c>
      <c r="F9" s="454"/>
      <c r="G9" s="455"/>
    </row>
    <row r="10" spans="1:10" s="6" customFormat="1" ht="45" customHeight="1">
      <c r="A10" s="8" t="s">
        <v>1</v>
      </c>
      <c r="B10" s="9" t="s">
        <v>16</v>
      </c>
      <c r="C10" s="9" t="s">
        <v>17</v>
      </c>
      <c r="D10" s="9" t="s">
        <v>18</v>
      </c>
      <c r="E10" s="9" t="s">
        <v>19</v>
      </c>
      <c r="F10" s="9" t="s">
        <v>20</v>
      </c>
      <c r="G10" s="8" t="s">
        <v>21</v>
      </c>
    </row>
    <row r="11" spans="1:10" s="15" customFormat="1" ht="37.5" customHeight="1">
      <c r="A11" s="10">
        <v>1</v>
      </c>
      <c r="B11" s="11" t="s">
        <v>22</v>
      </c>
      <c r="C11" s="12"/>
      <c r="D11" s="13">
        <f>ABSTRACT!M108</f>
        <v>5824183.5117059415</v>
      </c>
      <c r="E11" s="13">
        <f>ABSTRACT!K108</f>
        <v>0</v>
      </c>
      <c r="F11" s="13">
        <f>+D11-E11</f>
        <v>5824183.5117059415</v>
      </c>
      <c r="G11" s="14"/>
      <c r="I11" s="16">
        <v>5824183.5117059415</v>
      </c>
    </row>
    <row r="12" spans="1:10" s="15" customFormat="1" ht="37.5" customHeight="1">
      <c r="A12" s="10">
        <v>2</v>
      </c>
      <c r="B12" s="11" t="s">
        <v>23</v>
      </c>
      <c r="C12" s="10"/>
      <c r="D12" s="13"/>
      <c r="E12" s="13"/>
      <c r="F12" s="13"/>
      <c r="G12" s="17"/>
    </row>
    <row r="13" spans="1:10" s="15" customFormat="1" ht="37.5" customHeight="1">
      <c r="A13" s="10">
        <v>3</v>
      </c>
      <c r="B13" s="11" t="s">
        <v>24</v>
      </c>
      <c r="C13" s="10"/>
      <c r="D13" s="13"/>
      <c r="E13" s="13"/>
      <c r="F13" s="13"/>
      <c r="G13" s="17"/>
    </row>
    <row r="14" spans="1:10" s="15" customFormat="1" ht="48.75" customHeight="1">
      <c r="A14" s="10">
        <v>4</v>
      </c>
      <c r="B14" s="11" t="s">
        <v>25</v>
      </c>
      <c r="C14" s="10"/>
      <c r="D14" s="13"/>
      <c r="E14" s="13"/>
      <c r="F14" s="13"/>
      <c r="G14" s="11"/>
      <c r="J14" s="18"/>
    </row>
    <row r="15" spans="1:10" s="15" customFormat="1" ht="37.5" customHeight="1">
      <c r="A15" s="10"/>
      <c r="B15" s="11" t="s">
        <v>26</v>
      </c>
      <c r="C15" s="10"/>
      <c r="D15" s="13">
        <f>SUM(D11:D14)</f>
        <v>5824183.5117059415</v>
      </c>
      <c r="E15" s="13">
        <f t="shared" ref="E15:F15" si="0">SUM(E11:E14)</f>
        <v>0</v>
      </c>
      <c r="F15" s="13">
        <f t="shared" si="0"/>
        <v>5824183.5117059415</v>
      </c>
      <c r="G15" s="17"/>
    </row>
    <row r="16" spans="1:10" s="15" customFormat="1" ht="37.5" customHeight="1">
      <c r="A16" s="10">
        <v>5</v>
      </c>
      <c r="B16" s="19" t="s">
        <v>27</v>
      </c>
      <c r="C16" s="10"/>
      <c r="D16" s="20">
        <f>D15*18%</f>
        <v>1048353.0321070694</v>
      </c>
      <c r="E16" s="20">
        <f t="shared" ref="E16" si="1">E15*18%</f>
        <v>0</v>
      </c>
      <c r="F16" s="20">
        <f>F15*18%</f>
        <v>1048353.0321070694</v>
      </c>
      <c r="G16" s="17"/>
    </row>
    <row r="17" spans="1:9" s="15" customFormat="1" ht="37.5" customHeight="1">
      <c r="A17" s="10"/>
      <c r="B17" s="11" t="s">
        <v>28</v>
      </c>
      <c r="C17" s="10"/>
      <c r="D17" s="13">
        <f>D16+D15</f>
        <v>6872536.5438130107</v>
      </c>
      <c r="E17" s="13">
        <f>E16+E15</f>
        <v>0</v>
      </c>
      <c r="F17" s="13">
        <f>F16+F15</f>
        <v>6872536.5438130107</v>
      </c>
      <c r="G17" s="17"/>
    </row>
    <row r="18" spans="1:9" s="15" customFormat="1" ht="37.5" customHeight="1">
      <c r="A18" s="10"/>
      <c r="B18" s="11" t="s">
        <v>29</v>
      </c>
      <c r="C18" s="10"/>
      <c r="D18" s="13"/>
      <c r="E18" s="13"/>
      <c r="F18" s="13"/>
      <c r="G18" s="17"/>
    </row>
    <row r="19" spans="1:9" s="15" customFormat="1" ht="42.75" customHeight="1">
      <c r="A19" s="10"/>
      <c r="B19" s="11"/>
      <c r="C19" s="12"/>
      <c r="D19" s="13"/>
      <c r="E19" s="13"/>
      <c r="F19" s="13"/>
      <c r="G19" s="11"/>
    </row>
    <row r="20" spans="1:9" s="15" customFormat="1" ht="39.75" customHeight="1">
      <c r="A20" s="10"/>
      <c r="B20" s="11"/>
      <c r="C20" s="12"/>
      <c r="D20" s="13"/>
      <c r="E20" s="13"/>
      <c r="F20" s="13"/>
      <c r="G20" s="21"/>
      <c r="I20" s="16"/>
    </row>
    <row r="21" spans="1:9" s="15" customFormat="1" ht="40.5" customHeight="1">
      <c r="A21" s="10">
        <v>7.1</v>
      </c>
      <c r="B21" s="11" t="s">
        <v>30</v>
      </c>
      <c r="C21" s="12"/>
      <c r="D21" s="13">
        <f>+F21+E21</f>
        <v>400000</v>
      </c>
      <c r="E21" s="13">
        <v>400000</v>
      </c>
      <c r="F21" s="13">
        <v>0</v>
      </c>
      <c r="G21" s="21"/>
    </row>
    <row r="22" spans="1:9" s="15" customFormat="1" ht="40.5" customHeight="1">
      <c r="A22" s="10">
        <v>7.2</v>
      </c>
      <c r="B22" s="11" t="s">
        <v>54</v>
      </c>
      <c r="C22" s="12"/>
      <c r="D22" s="13"/>
      <c r="E22" s="13"/>
      <c r="F22" s="13">
        <f>+D22-E22</f>
        <v>0</v>
      </c>
      <c r="G22" s="21"/>
    </row>
    <row r="23" spans="1:9" s="15" customFormat="1" ht="37.5" customHeight="1">
      <c r="A23" s="10"/>
      <c r="B23" s="11" t="s">
        <v>31</v>
      </c>
      <c r="C23" s="12"/>
      <c r="D23" s="13">
        <f t="shared" ref="D23:E23" si="2">SUM(D17:D22)</f>
        <v>7272536.5438130107</v>
      </c>
      <c r="E23" s="13">
        <f t="shared" si="2"/>
        <v>400000</v>
      </c>
      <c r="F23" s="13">
        <f>SUM(F17:F22)</f>
        <v>6872536.5438130107</v>
      </c>
      <c r="G23" s="17"/>
    </row>
    <row r="24" spans="1:9" s="15" customFormat="1" ht="37.5" customHeight="1">
      <c r="A24" s="10"/>
      <c r="B24" s="11" t="s">
        <v>32</v>
      </c>
      <c r="C24" s="12"/>
      <c r="D24" s="13"/>
      <c r="E24" s="13"/>
      <c r="F24" s="13"/>
      <c r="G24" s="17"/>
    </row>
    <row r="25" spans="1:9" s="15" customFormat="1" ht="37.5" customHeight="1">
      <c r="A25" s="10">
        <v>8</v>
      </c>
      <c r="B25" s="11" t="s">
        <v>33</v>
      </c>
      <c r="C25" s="17"/>
      <c r="D25" s="13">
        <f>ROUND(D15*5%,0)</f>
        <v>291209</v>
      </c>
      <c r="E25" s="13">
        <f>ROUND(E15*5%,0)</f>
        <v>0</v>
      </c>
      <c r="F25" s="13">
        <f>ROUND(F15*5%,0)</f>
        <v>291209</v>
      </c>
      <c r="G25" s="17"/>
    </row>
    <row r="26" spans="1:9" s="15" customFormat="1" ht="37.5" customHeight="1">
      <c r="A26" s="10">
        <v>9</v>
      </c>
      <c r="B26" s="11" t="s">
        <v>34</v>
      </c>
      <c r="C26" s="12"/>
      <c r="D26" s="20">
        <f>ROUND((D15+D19+D20+D21)*1%,0)</f>
        <v>62242</v>
      </c>
      <c r="E26" s="20">
        <f>ROUND((E15+E19+E20+E21)*1%,0)</f>
        <v>4000</v>
      </c>
      <c r="F26" s="20">
        <f>ROUND((F15+F19+F20+F21)*1%,0)</f>
        <v>58242</v>
      </c>
      <c r="G26" s="17"/>
    </row>
    <row r="27" spans="1:9" s="15" customFormat="1" ht="37.5" customHeight="1">
      <c r="A27" s="10"/>
      <c r="B27" s="11"/>
      <c r="C27" s="12"/>
      <c r="D27" s="13"/>
      <c r="E27" s="13"/>
      <c r="F27" s="13"/>
      <c r="G27" s="17"/>
    </row>
    <row r="28" spans="1:9" s="15" customFormat="1" ht="37.5" customHeight="1">
      <c r="A28" s="10"/>
      <c r="B28" s="11" t="s">
        <v>35</v>
      </c>
      <c r="C28" s="12"/>
      <c r="D28" s="13">
        <f>SUM(D25:D27)</f>
        <v>353451</v>
      </c>
      <c r="E28" s="13">
        <f>SUM(E25:E27)</f>
        <v>4000</v>
      </c>
      <c r="F28" s="13">
        <f>SUM(F25:F27)</f>
        <v>349451</v>
      </c>
      <c r="G28" s="17"/>
    </row>
    <row r="29" spans="1:9" s="15" customFormat="1" ht="37.5" customHeight="1">
      <c r="A29" s="10">
        <v>11</v>
      </c>
      <c r="B29" s="11" t="s">
        <v>36</v>
      </c>
      <c r="C29" s="12"/>
      <c r="D29" s="13">
        <f>D23-D28</f>
        <v>6919085.5438130107</v>
      </c>
      <c r="E29" s="13">
        <f>E23-E28</f>
        <v>396000</v>
      </c>
      <c r="F29" s="13">
        <f>F23-F28</f>
        <v>6523085.5438130107</v>
      </c>
      <c r="G29" s="22">
        <f>+G30*0.7</f>
        <v>3832312.7581941588</v>
      </c>
    </row>
    <row r="30" spans="1:9" s="15" customFormat="1" ht="37.5" customHeight="1">
      <c r="B30" s="11" t="s">
        <v>37</v>
      </c>
      <c r="C30" s="10"/>
      <c r="D30" s="13"/>
      <c r="E30" s="23"/>
      <c r="F30" s="13">
        <f>F29</f>
        <v>6523085.5438130107</v>
      </c>
      <c r="G30" s="420">
        <f>+F30-F16</f>
        <v>5474732.5117059415</v>
      </c>
      <c r="I30" s="28"/>
    </row>
    <row r="31" spans="1:9" s="6" customFormat="1" ht="39.75" customHeight="1">
      <c r="A31" s="427"/>
      <c r="B31" s="433" t="s">
        <v>38</v>
      </c>
      <c r="C31" s="424"/>
      <c r="D31" s="425"/>
      <c r="E31" s="436"/>
      <c r="F31" s="437"/>
      <c r="G31" s="427"/>
    </row>
    <row r="32" spans="1:9" s="6" customFormat="1" ht="21">
      <c r="A32" s="428"/>
      <c r="B32" s="434"/>
      <c r="C32" s="424" t="s">
        <v>48</v>
      </c>
      <c r="D32" s="425"/>
      <c r="E32" s="426"/>
      <c r="F32" s="426"/>
      <c r="G32" s="428"/>
    </row>
    <row r="33" spans="1:7" s="6" customFormat="1" ht="21">
      <c r="A33" s="428"/>
      <c r="B33" s="434"/>
      <c r="C33" s="426" t="s">
        <v>49</v>
      </c>
      <c r="D33" s="426"/>
      <c r="E33" s="426"/>
      <c r="F33" s="426"/>
      <c r="G33" s="428"/>
    </row>
    <row r="34" spans="1:7" s="6" customFormat="1" ht="21">
      <c r="A34" s="429"/>
      <c r="B34" s="435"/>
      <c r="C34" s="424">
        <v>9988294677</v>
      </c>
      <c r="D34" s="425"/>
      <c r="E34" s="426"/>
      <c r="F34" s="426"/>
      <c r="G34" s="429"/>
    </row>
    <row r="35" spans="1:7" s="6" customFormat="1" ht="41.25" customHeight="1">
      <c r="A35" s="427"/>
      <c r="B35" s="433" t="s">
        <v>39</v>
      </c>
      <c r="C35" s="424"/>
      <c r="D35" s="425"/>
      <c r="E35" s="441" t="s">
        <v>40</v>
      </c>
      <c r="F35" s="442"/>
      <c r="G35" s="443"/>
    </row>
    <row r="36" spans="1:7" s="6" customFormat="1" ht="21">
      <c r="A36" s="428"/>
      <c r="B36" s="434"/>
      <c r="C36" s="426" t="s">
        <v>41</v>
      </c>
      <c r="D36" s="426"/>
      <c r="E36" s="444" t="s">
        <v>42</v>
      </c>
      <c r="F36" s="445"/>
      <c r="G36" s="446"/>
    </row>
    <row r="37" spans="1:7" s="6" customFormat="1" ht="21">
      <c r="A37" s="428"/>
      <c r="B37" s="434"/>
      <c r="C37" s="426" t="s">
        <v>43</v>
      </c>
      <c r="D37" s="426"/>
      <c r="E37" s="447"/>
      <c r="F37" s="448"/>
      <c r="G37" s="449"/>
    </row>
    <row r="38" spans="1:7" s="6" customFormat="1" ht="21">
      <c r="A38" s="429"/>
      <c r="B38" s="435"/>
      <c r="C38" s="426">
        <v>9315403180</v>
      </c>
      <c r="D38" s="426"/>
      <c r="E38" s="450"/>
      <c r="F38" s="451"/>
      <c r="G38" s="452"/>
    </row>
    <row r="39" spans="1:7" s="6" customFormat="1" ht="39" customHeight="1">
      <c r="A39" s="430"/>
      <c r="B39" s="438" t="s">
        <v>44</v>
      </c>
      <c r="C39" s="424"/>
      <c r="D39" s="425"/>
      <c r="E39" s="436"/>
      <c r="F39" s="437"/>
      <c r="G39" s="427"/>
    </row>
    <row r="40" spans="1:7" s="6" customFormat="1" ht="21">
      <c r="A40" s="431"/>
      <c r="B40" s="439"/>
      <c r="C40" s="424"/>
      <c r="D40" s="425"/>
      <c r="E40" s="426" t="s">
        <v>45</v>
      </c>
      <c r="F40" s="426"/>
      <c r="G40" s="428"/>
    </row>
    <row r="41" spans="1:7" s="6" customFormat="1" ht="21">
      <c r="A41" s="431"/>
      <c r="B41" s="439"/>
      <c r="C41" s="424"/>
      <c r="D41" s="425"/>
      <c r="E41" s="426" t="s">
        <v>46</v>
      </c>
      <c r="F41" s="426"/>
      <c r="G41" s="428"/>
    </row>
    <row r="42" spans="1:7" s="6" customFormat="1" ht="21">
      <c r="A42" s="432"/>
      <c r="B42" s="440"/>
      <c r="C42" s="424"/>
      <c r="D42" s="425"/>
      <c r="E42" s="426">
        <v>9711800470</v>
      </c>
      <c r="F42" s="426"/>
      <c r="G42" s="429"/>
    </row>
    <row r="43" spans="1:7" s="6" customFormat="1" ht="42.75" customHeight="1">
      <c r="A43" s="430"/>
      <c r="B43" s="433" t="s">
        <v>47</v>
      </c>
      <c r="C43" s="424"/>
      <c r="D43" s="425"/>
      <c r="E43" s="436"/>
      <c r="F43" s="437"/>
      <c r="G43" s="24"/>
    </row>
    <row r="44" spans="1:7" s="6" customFormat="1" ht="21">
      <c r="A44" s="431"/>
      <c r="B44" s="434"/>
      <c r="C44" s="424" t="s">
        <v>65</v>
      </c>
      <c r="D44" s="425"/>
      <c r="E44" s="424" t="s">
        <v>66</v>
      </c>
      <c r="F44" s="425"/>
      <c r="G44" s="25"/>
    </row>
    <row r="45" spans="1:7" s="6" customFormat="1" ht="21">
      <c r="A45" s="431"/>
      <c r="B45" s="434"/>
      <c r="C45" s="424" t="s">
        <v>68</v>
      </c>
      <c r="D45" s="425"/>
      <c r="E45" s="424" t="s">
        <v>67</v>
      </c>
      <c r="F45" s="425"/>
      <c r="G45" s="423"/>
    </row>
    <row r="46" spans="1:7" s="6" customFormat="1" ht="18" customHeight="1">
      <c r="A46" s="432"/>
      <c r="B46" s="435"/>
      <c r="C46" s="424"/>
      <c r="D46" s="425"/>
      <c r="E46" s="424">
        <v>8700437240</v>
      </c>
      <c r="F46" s="425"/>
      <c r="G46" s="423"/>
    </row>
    <row r="47" spans="1:7" s="2" customFormat="1" ht="32.25" customHeight="1"/>
  </sheetData>
  <mergeCells count="56">
    <mergeCell ref="A5:D5"/>
    <mergeCell ref="E5:G5"/>
    <mergeCell ref="A1:E1"/>
    <mergeCell ref="A2:D2"/>
    <mergeCell ref="A3:D3"/>
    <mergeCell ref="A4:D4"/>
    <mergeCell ref="E4:G4"/>
    <mergeCell ref="A6:D6"/>
    <mergeCell ref="E6:G6"/>
    <mergeCell ref="A7:D7"/>
    <mergeCell ref="E7:G7"/>
    <mergeCell ref="A8:D8"/>
    <mergeCell ref="E8:G8"/>
    <mergeCell ref="E9:G9"/>
    <mergeCell ref="A31:A34"/>
    <mergeCell ref="B31:B34"/>
    <mergeCell ref="C31:D31"/>
    <mergeCell ref="E31:F31"/>
    <mergeCell ref="G31:G34"/>
    <mergeCell ref="C32:D32"/>
    <mergeCell ref="E32:F32"/>
    <mergeCell ref="C33:D33"/>
    <mergeCell ref="E33:F33"/>
    <mergeCell ref="C34:D34"/>
    <mergeCell ref="E34:F34"/>
    <mergeCell ref="A9:B9"/>
    <mergeCell ref="A35:A38"/>
    <mergeCell ref="B35:B38"/>
    <mergeCell ref="C35:D35"/>
    <mergeCell ref="E35:G35"/>
    <mergeCell ref="C36:D36"/>
    <mergeCell ref="E36:G38"/>
    <mergeCell ref="C37:D37"/>
    <mergeCell ref="C38:D38"/>
    <mergeCell ref="A39:A42"/>
    <mergeCell ref="B39:B42"/>
    <mergeCell ref="C39:D39"/>
    <mergeCell ref="E39:F39"/>
    <mergeCell ref="C40:D40"/>
    <mergeCell ref="E40:F40"/>
    <mergeCell ref="C41:D41"/>
    <mergeCell ref="E41:F41"/>
    <mergeCell ref="A43:A46"/>
    <mergeCell ref="B43:B46"/>
    <mergeCell ref="C43:D43"/>
    <mergeCell ref="E43:F43"/>
    <mergeCell ref="C44:D44"/>
    <mergeCell ref="E44:F44"/>
    <mergeCell ref="C45:D45"/>
    <mergeCell ref="E45:F45"/>
    <mergeCell ref="G45:G46"/>
    <mergeCell ref="C46:D46"/>
    <mergeCell ref="E46:F46"/>
    <mergeCell ref="C42:D42"/>
    <mergeCell ref="E42:F42"/>
    <mergeCell ref="G39:G42"/>
  </mergeCells>
  <pageMargins left="0.7" right="0.7" top="0.75" bottom="0.75" header="0.3" footer="0.3"/>
  <pageSetup scale="4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0"/>
  <sheetViews>
    <sheetView tabSelected="1" workbookViewId="0">
      <pane ySplit="7" topLeftCell="A41" activePane="bottomLeft" state="frozen"/>
      <selection pane="bottomLeft" activeCell="G39" sqref="G39"/>
    </sheetView>
  </sheetViews>
  <sheetFormatPr defaultColWidth="8.7109375" defaultRowHeight="15"/>
  <cols>
    <col min="1" max="1" width="7.42578125" style="30" bestFit="1" customWidth="1"/>
    <col min="2" max="2" width="54.28515625" style="30" customWidth="1"/>
    <col min="3" max="3" width="5.85546875" style="47" bestFit="1" customWidth="1"/>
    <col min="4" max="4" width="8.5703125" style="47" bestFit="1" customWidth="1"/>
    <col min="5" max="5" width="7.28515625" style="47" bestFit="1" customWidth="1"/>
    <col min="6" max="6" width="11.85546875" style="47" bestFit="1" customWidth="1"/>
    <col min="7" max="7" width="11.85546875" style="47" customWidth="1"/>
    <col min="8" max="8" width="8.7109375" style="47" bestFit="1" customWidth="1"/>
    <col min="9" max="9" width="12.7109375" style="47" bestFit="1" customWidth="1"/>
    <col min="10" max="11" width="8.7109375" style="47" bestFit="1" customWidth="1"/>
    <col min="12" max="13" width="10.5703125" style="47" bestFit="1" customWidth="1"/>
    <col min="14" max="14" width="12.7109375" style="72" customWidth="1"/>
    <col min="15" max="15" width="12.85546875" style="30" customWidth="1"/>
    <col min="16" max="16384" width="8.7109375" style="30"/>
  </cols>
  <sheetData>
    <row r="1" spans="1:15" s="65" customFormat="1" ht="12.75">
      <c r="A1" s="466" t="s">
        <v>563</v>
      </c>
      <c r="B1" s="466"/>
      <c r="C1" s="466"/>
      <c r="D1" s="466"/>
      <c r="E1" s="466"/>
      <c r="F1" s="466"/>
      <c r="G1" s="466"/>
      <c r="H1" s="466"/>
      <c r="I1" s="466"/>
      <c r="J1" s="466"/>
      <c r="K1" s="466"/>
      <c r="L1" s="466"/>
      <c r="M1" s="466"/>
      <c r="N1" s="466"/>
      <c r="O1" s="466"/>
    </row>
    <row r="2" spans="1:15" s="67" customFormat="1" ht="12.75">
      <c r="A2" s="66"/>
      <c r="B2" s="467" t="str">
        <f>+'TOP SHEET'!A5</f>
        <v>WORK ORDER NO. &amp; DATE : OPRL/ATE/11094106758 (14 FEB, 2025)</v>
      </c>
      <c r="C2" s="468"/>
      <c r="D2" s="468"/>
      <c r="E2" s="468"/>
      <c r="F2" s="468"/>
      <c r="G2" s="468"/>
      <c r="H2" s="468"/>
      <c r="I2" s="468"/>
      <c r="J2" s="469" t="str">
        <f>+'TOP SHEET'!A8</f>
        <v>ERP PROJECT CODE : 127018</v>
      </c>
      <c r="K2" s="469"/>
      <c r="L2" s="469"/>
      <c r="M2" s="469"/>
      <c r="N2" s="469"/>
    </row>
    <row r="3" spans="1:15" s="67" customFormat="1" ht="12.75">
      <c r="A3" s="68"/>
      <c r="B3" s="69" t="str">
        <f>+'TOP SHEET'!A6</f>
        <v>THIS R/A BILL NO. &amp; DATE : 3RD RA BILL, DATE 07-06-2025</v>
      </c>
      <c r="C3" s="68"/>
      <c r="D3" s="68"/>
      <c r="E3" s="68"/>
      <c r="F3" s="68"/>
      <c r="G3" s="68"/>
      <c r="H3" s="68"/>
      <c r="I3" s="68"/>
      <c r="J3" s="467" t="str">
        <f>+'TOP SHEET'!A9</f>
        <v xml:space="preserve">DATE OF BILL REC. AT SITE :- </v>
      </c>
      <c r="K3" s="467"/>
      <c r="L3" s="467"/>
      <c r="M3" s="467"/>
      <c r="N3" s="467"/>
    </row>
    <row r="4" spans="1:15" s="67" customFormat="1" ht="12.75">
      <c r="A4" s="68"/>
      <c r="B4" s="69" t="str">
        <f>+'TOP SHEET'!A3</f>
        <v xml:space="preserve">NATURE OF WORK : CIVIL STRUCTURE WORK </v>
      </c>
      <c r="C4" s="68"/>
      <c r="D4" s="68"/>
      <c r="E4" s="68"/>
      <c r="F4" s="68"/>
      <c r="G4" s="68"/>
      <c r="H4" s="68"/>
      <c r="I4" s="70"/>
      <c r="J4" s="469" t="str">
        <f>+'TOP SHEET'!A7</f>
        <v>PERIOD OF BILL :- FROM 01-05-2025 TO 31-05-2025</v>
      </c>
      <c r="K4" s="469"/>
      <c r="L4" s="469"/>
      <c r="M4" s="469"/>
      <c r="N4" s="469"/>
    </row>
    <row r="5" spans="1:15" s="67" customFormat="1">
      <c r="A5" s="470" t="s">
        <v>0</v>
      </c>
      <c r="B5" s="470"/>
      <c r="C5" s="470"/>
      <c r="D5" s="470"/>
      <c r="E5" s="470"/>
      <c r="F5" s="470"/>
      <c r="G5" s="470"/>
      <c r="H5" s="470"/>
      <c r="I5" s="470"/>
      <c r="J5" s="470"/>
      <c r="K5" s="470"/>
      <c r="L5" s="470"/>
      <c r="M5" s="470"/>
      <c r="N5" s="470"/>
    </row>
    <row r="6" spans="1:15">
      <c r="A6" s="463" t="s">
        <v>50</v>
      </c>
      <c r="B6" s="463" t="s">
        <v>2</v>
      </c>
      <c r="C6" s="463" t="s">
        <v>60</v>
      </c>
      <c r="D6" s="463" t="s">
        <v>154</v>
      </c>
      <c r="E6" s="463"/>
      <c r="F6" s="463"/>
      <c r="G6" s="418"/>
      <c r="H6" s="471" t="s">
        <v>4</v>
      </c>
      <c r="I6" s="471"/>
      <c r="J6" s="471"/>
      <c r="K6" s="471" t="s">
        <v>5</v>
      </c>
      <c r="L6" s="471"/>
      <c r="M6" s="471"/>
      <c r="N6" s="472" t="s">
        <v>6</v>
      </c>
    </row>
    <row r="7" spans="1:15">
      <c r="A7" s="463"/>
      <c r="B7" s="463"/>
      <c r="C7" s="463"/>
      <c r="D7" s="48" t="s">
        <v>4</v>
      </c>
      <c r="E7" s="48" t="s">
        <v>56</v>
      </c>
      <c r="F7" s="48" t="s">
        <v>5</v>
      </c>
      <c r="G7" s="418" t="s">
        <v>569</v>
      </c>
      <c r="H7" s="46" t="s">
        <v>7</v>
      </c>
      <c r="I7" s="46" t="s">
        <v>8</v>
      </c>
      <c r="J7" s="46" t="s">
        <v>177</v>
      </c>
      <c r="K7" s="46" t="s">
        <v>7</v>
      </c>
      <c r="L7" s="46" t="s">
        <v>8</v>
      </c>
      <c r="M7" s="46" t="s">
        <v>177</v>
      </c>
      <c r="N7" s="472"/>
    </row>
    <row r="8" spans="1:15">
      <c r="A8" s="36">
        <v>1</v>
      </c>
      <c r="B8" s="45" t="s">
        <v>70</v>
      </c>
      <c r="C8" s="49"/>
      <c r="D8" s="49"/>
      <c r="E8" s="49"/>
      <c r="F8" s="49"/>
      <c r="G8" s="49"/>
      <c r="H8" s="50"/>
      <c r="I8" s="50"/>
      <c r="J8" s="50"/>
      <c r="K8" s="50"/>
      <c r="L8" s="50"/>
      <c r="M8" s="50"/>
      <c r="N8" s="71"/>
    </row>
    <row r="9" spans="1:15" ht="102" customHeight="1">
      <c r="A9" s="34" t="s">
        <v>71</v>
      </c>
      <c r="B9" s="35" t="s">
        <v>69</v>
      </c>
      <c r="C9" s="48" t="s">
        <v>72</v>
      </c>
      <c r="D9" s="51">
        <v>1000</v>
      </c>
      <c r="E9" s="48">
        <v>120</v>
      </c>
      <c r="F9" s="52">
        <f>$D9*E9</f>
        <v>120000</v>
      </c>
      <c r="G9" s="419"/>
      <c r="H9" s="50"/>
      <c r="I9" s="50">
        <f>J9-H9</f>
        <v>0</v>
      </c>
      <c r="J9" s="50"/>
      <c r="K9" s="50"/>
      <c r="L9" s="50">
        <f>M9-K9</f>
        <v>0</v>
      </c>
      <c r="M9" s="50">
        <f>E9*J9</f>
        <v>0</v>
      </c>
      <c r="N9" s="71">
        <f>J9/D9</f>
        <v>0</v>
      </c>
    </row>
    <row r="10" spans="1:15" ht="77.25" customHeight="1">
      <c r="A10" s="36"/>
      <c r="B10" s="37" t="s">
        <v>155</v>
      </c>
      <c r="C10" s="48"/>
      <c r="D10" s="51"/>
      <c r="E10" s="48"/>
      <c r="F10" s="53"/>
      <c r="G10" s="53"/>
      <c r="H10" s="50"/>
      <c r="I10" s="50"/>
      <c r="J10" s="50"/>
      <c r="K10" s="50"/>
      <c r="L10" s="50">
        <f t="shared" ref="L10:L73" si="0">M10-K10</f>
        <v>0</v>
      </c>
      <c r="M10" s="50">
        <f t="shared" ref="M10:M73" si="1">E10*J10</f>
        <v>0</v>
      </c>
      <c r="N10" s="71"/>
    </row>
    <row r="11" spans="1:15" ht="77.25" customHeight="1">
      <c r="A11" s="32" t="s">
        <v>73</v>
      </c>
      <c r="B11" s="38" t="s">
        <v>156</v>
      </c>
      <c r="C11" s="48" t="s">
        <v>9</v>
      </c>
      <c r="D11" s="51">
        <v>1500</v>
      </c>
      <c r="E11" s="48">
        <v>65</v>
      </c>
      <c r="F11" s="52">
        <f>$D11*E11</f>
        <v>97500</v>
      </c>
      <c r="G11" s="421">
        <f>+E11</f>
        <v>65</v>
      </c>
      <c r="H11" s="50"/>
      <c r="I11" s="356">
        <f t="shared" ref="I11:I74" si="2">J11-H11</f>
        <v>906.8529250000006</v>
      </c>
      <c r="J11" s="356">
        <f>'EARTH WORK MB'!I18</f>
        <v>906.8529250000006</v>
      </c>
      <c r="K11" s="50"/>
      <c r="L11" s="356">
        <f t="shared" si="0"/>
        <v>58945.440125000037</v>
      </c>
      <c r="M11" s="356">
        <f>G11*J11</f>
        <v>58945.440125000037</v>
      </c>
      <c r="N11" s="71">
        <f t="shared" ref="N11:N73" si="3">J11/D11</f>
        <v>0.60456861666666706</v>
      </c>
    </row>
    <row r="12" spans="1:15" ht="76.5">
      <c r="A12" s="32" t="s">
        <v>74</v>
      </c>
      <c r="B12" s="39" t="s">
        <v>157</v>
      </c>
      <c r="C12" s="48" t="s">
        <v>72</v>
      </c>
      <c r="D12" s="51">
        <v>2400</v>
      </c>
      <c r="E12" s="48">
        <v>100</v>
      </c>
      <c r="F12" s="52">
        <f>$D12*E12</f>
        <v>240000</v>
      </c>
      <c r="G12" s="419"/>
      <c r="H12" s="50"/>
      <c r="I12" s="50">
        <f t="shared" si="2"/>
        <v>0</v>
      </c>
      <c r="J12" s="50"/>
      <c r="K12" s="50"/>
      <c r="L12" s="50">
        <f t="shared" si="0"/>
        <v>0</v>
      </c>
      <c r="M12" s="50">
        <f t="shared" si="1"/>
        <v>0</v>
      </c>
      <c r="N12" s="71">
        <f t="shared" si="3"/>
        <v>0</v>
      </c>
    </row>
    <row r="13" spans="1:15">
      <c r="A13" s="32"/>
      <c r="B13" s="33" t="s">
        <v>75</v>
      </c>
      <c r="C13" s="48"/>
      <c r="D13" s="51"/>
      <c r="E13" s="48"/>
      <c r="F13" s="52">
        <f>SUBTOTAL(9,F9:F12)</f>
        <v>457500</v>
      </c>
      <c r="G13" s="419"/>
      <c r="H13" s="50"/>
      <c r="I13" s="50"/>
      <c r="J13" s="50"/>
      <c r="K13" s="50"/>
      <c r="L13" s="50"/>
      <c r="M13" s="50"/>
      <c r="N13" s="71"/>
    </row>
    <row r="14" spans="1:15">
      <c r="A14" s="32"/>
      <c r="B14" s="39"/>
      <c r="C14" s="48"/>
      <c r="D14" s="51"/>
      <c r="E14" s="48"/>
      <c r="F14" s="53"/>
      <c r="G14" s="53"/>
      <c r="H14" s="50"/>
      <c r="I14" s="50"/>
      <c r="J14" s="50"/>
      <c r="K14" s="50"/>
      <c r="L14" s="50"/>
      <c r="M14" s="50"/>
      <c r="N14" s="71"/>
    </row>
    <row r="15" spans="1:15">
      <c r="A15" s="32">
        <v>2</v>
      </c>
      <c r="B15" s="33" t="s">
        <v>76</v>
      </c>
      <c r="C15" s="48"/>
      <c r="D15" s="51"/>
      <c r="E15" s="48"/>
      <c r="F15" s="53"/>
      <c r="G15" s="53"/>
      <c r="H15" s="50"/>
      <c r="I15" s="50"/>
      <c r="J15" s="50"/>
      <c r="K15" s="50"/>
      <c r="L15" s="50"/>
      <c r="M15" s="50"/>
      <c r="N15" s="71"/>
    </row>
    <row r="16" spans="1:15" ht="111.75" customHeight="1">
      <c r="A16" s="32"/>
      <c r="B16" s="39" t="s">
        <v>158</v>
      </c>
      <c r="C16" s="48"/>
      <c r="D16" s="51"/>
      <c r="E16" s="48"/>
      <c r="F16" s="53"/>
      <c r="G16" s="53"/>
      <c r="H16" s="50"/>
      <c r="I16" s="50"/>
      <c r="J16" s="50"/>
      <c r="K16" s="50"/>
      <c r="L16" s="50"/>
      <c r="M16" s="50"/>
      <c r="N16" s="71"/>
    </row>
    <row r="17" spans="1:14" ht="127.5">
      <c r="A17" s="32">
        <v>2.1</v>
      </c>
      <c r="B17" s="38" t="s">
        <v>159</v>
      </c>
      <c r="C17" s="48" t="s">
        <v>72</v>
      </c>
      <c r="D17" s="51">
        <v>100</v>
      </c>
      <c r="E17" s="52">
        <v>5550</v>
      </c>
      <c r="F17" s="52">
        <f>$D17*E17</f>
        <v>555000</v>
      </c>
      <c r="G17" s="421">
        <v>5550</v>
      </c>
      <c r="H17" s="50"/>
      <c r="I17" s="356">
        <f t="shared" si="2"/>
        <v>56.798192500000027</v>
      </c>
      <c r="J17" s="356">
        <f>'CONCRETE SUMMARY'!J6</f>
        <v>56.798192500000027</v>
      </c>
      <c r="K17" s="50"/>
      <c r="L17" s="356">
        <f t="shared" si="0"/>
        <v>315229.96837500017</v>
      </c>
      <c r="M17" s="356">
        <f>G17*J17</f>
        <v>315229.96837500017</v>
      </c>
      <c r="N17" s="71">
        <f t="shared" si="3"/>
        <v>0.56798192500000022</v>
      </c>
    </row>
    <row r="18" spans="1:14" ht="63.75">
      <c r="A18" s="32" t="s">
        <v>77</v>
      </c>
      <c r="B18" s="39" t="s">
        <v>160</v>
      </c>
      <c r="C18" s="48" t="s">
        <v>72</v>
      </c>
      <c r="D18" s="51">
        <v>50</v>
      </c>
      <c r="E18" s="52">
        <v>5750</v>
      </c>
      <c r="F18" s="52">
        <f>$D18*E18</f>
        <v>287500</v>
      </c>
      <c r="G18" s="419"/>
      <c r="H18" s="50"/>
      <c r="I18" s="50">
        <f t="shared" si="2"/>
        <v>0</v>
      </c>
      <c r="J18" s="356">
        <f>'CONCRETE SUMMARY'!J7</f>
        <v>0</v>
      </c>
      <c r="K18" s="50"/>
      <c r="L18" s="50">
        <f t="shared" si="0"/>
        <v>0</v>
      </c>
      <c r="M18" s="50">
        <f t="shared" si="1"/>
        <v>0</v>
      </c>
      <c r="N18" s="71">
        <f t="shared" si="3"/>
        <v>0</v>
      </c>
    </row>
    <row r="19" spans="1:14" ht="76.5">
      <c r="A19" s="32" t="s">
        <v>78</v>
      </c>
      <c r="B19" s="39" t="s">
        <v>161</v>
      </c>
      <c r="C19" s="48" t="s">
        <v>9</v>
      </c>
      <c r="D19" s="51">
        <v>200</v>
      </c>
      <c r="E19" s="52">
        <v>480</v>
      </c>
      <c r="F19" s="52">
        <f>$D19*E19</f>
        <v>96000</v>
      </c>
      <c r="G19" s="419"/>
      <c r="H19" s="50"/>
      <c r="I19" s="50">
        <f t="shared" si="2"/>
        <v>0</v>
      </c>
      <c r="J19" s="356">
        <f>'CONCRETE SUMMARY'!J8</f>
        <v>0</v>
      </c>
      <c r="K19" s="50"/>
      <c r="L19" s="50">
        <f t="shared" si="0"/>
        <v>0</v>
      </c>
      <c r="M19" s="50">
        <f t="shared" si="1"/>
        <v>0</v>
      </c>
      <c r="N19" s="71">
        <f t="shared" si="3"/>
        <v>0</v>
      </c>
    </row>
    <row r="20" spans="1:14">
      <c r="A20" s="32"/>
      <c r="B20" s="39"/>
      <c r="C20" s="48"/>
      <c r="D20" s="51"/>
      <c r="E20" s="52"/>
      <c r="F20" s="52"/>
      <c r="G20" s="419"/>
      <c r="H20" s="50"/>
      <c r="I20" s="50"/>
      <c r="J20" s="356"/>
      <c r="K20" s="50"/>
      <c r="L20" s="50"/>
      <c r="M20" s="50"/>
      <c r="N20" s="71"/>
    </row>
    <row r="21" spans="1:14">
      <c r="A21" s="32" t="s">
        <v>79</v>
      </c>
      <c r="B21" s="33" t="s">
        <v>80</v>
      </c>
      <c r="C21" s="48"/>
      <c r="D21" s="51"/>
      <c r="E21" s="52"/>
      <c r="F21" s="52"/>
      <c r="G21" s="419"/>
      <c r="H21" s="50"/>
      <c r="I21" s="50"/>
      <c r="J21" s="356"/>
      <c r="K21" s="50"/>
      <c r="L21" s="50"/>
      <c r="M21" s="50"/>
      <c r="N21" s="71"/>
    </row>
    <row r="22" spans="1:14" ht="138" customHeight="1">
      <c r="A22" s="32"/>
      <c r="B22" s="38" t="s">
        <v>162</v>
      </c>
      <c r="C22" s="48"/>
      <c r="D22" s="51"/>
      <c r="E22" s="52"/>
      <c r="F22" s="52"/>
      <c r="G22" s="419"/>
      <c r="H22" s="50"/>
      <c r="I22" s="50"/>
      <c r="J22" s="356"/>
      <c r="K22" s="50"/>
      <c r="L22" s="50"/>
      <c r="M22" s="50"/>
      <c r="N22" s="71"/>
    </row>
    <row r="23" spans="1:14" ht="51">
      <c r="A23" s="32" t="s">
        <v>81</v>
      </c>
      <c r="B23" s="39" t="s">
        <v>82</v>
      </c>
      <c r="C23" s="48" t="s">
        <v>72</v>
      </c>
      <c r="D23" s="51">
        <v>2080</v>
      </c>
      <c r="E23" s="52">
        <v>6600</v>
      </c>
      <c r="F23" s="52">
        <f>$D23*E23</f>
        <v>13728000</v>
      </c>
      <c r="G23" s="421">
        <v>6600</v>
      </c>
      <c r="H23" s="50"/>
      <c r="I23" s="356">
        <f t="shared" si="2"/>
        <v>748.20967374999998</v>
      </c>
      <c r="J23" s="356">
        <f>'CONCRETE SUMMARY'!J12</f>
        <v>748.20967374999998</v>
      </c>
      <c r="K23" s="50"/>
      <c r="L23" s="356">
        <f t="shared" si="0"/>
        <v>4938183.8467499996</v>
      </c>
      <c r="M23" s="356">
        <f>G23*J23</f>
        <v>4938183.8467499996</v>
      </c>
      <c r="N23" s="71">
        <f t="shared" si="3"/>
        <v>0.35971618930288463</v>
      </c>
    </row>
    <row r="24" spans="1:14" ht="63.75">
      <c r="A24" s="32" t="s">
        <v>83</v>
      </c>
      <c r="B24" s="39" t="s">
        <v>84</v>
      </c>
      <c r="C24" s="48"/>
      <c r="D24" s="51"/>
      <c r="E24" s="52"/>
      <c r="F24" s="52"/>
      <c r="G24" s="419"/>
      <c r="H24" s="50"/>
      <c r="I24" s="50"/>
      <c r="J24" s="356"/>
      <c r="K24" s="50"/>
      <c r="L24" s="50"/>
      <c r="M24" s="50"/>
      <c r="N24" s="71"/>
    </row>
    <row r="25" spans="1:14">
      <c r="A25" s="32" t="s">
        <v>85</v>
      </c>
      <c r="B25" s="39" t="s">
        <v>86</v>
      </c>
      <c r="C25" s="48" t="s">
        <v>72</v>
      </c>
      <c r="D25" s="51">
        <v>2200</v>
      </c>
      <c r="E25" s="52">
        <v>6550</v>
      </c>
      <c r="F25" s="52">
        <f t="shared" ref="F25:F27" si="4">$D25*E25</f>
        <v>14410000</v>
      </c>
      <c r="G25" s="419"/>
      <c r="H25" s="50"/>
      <c r="I25" s="50">
        <f t="shared" si="2"/>
        <v>0</v>
      </c>
      <c r="J25" s="356">
        <f>'CONCRETE SUMMARY'!J14</f>
        <v>0</v>
      </c>
      <c r="K25" s="50"/>
      <c r="L25" s="50">
        <f t="shared" si="0"/>
        <v>0</v>
      </c>
      <c r="M25" s="50">
        <f t="shared" si="1"/>
        <v>0</v>
      </c>
      <c r="N25" s="71">
        <f t="shared" si="3"/>
        <v>0</v>
      </c>
    </row>
    <row r="26" spans="1:14" ht="25.5">
      <c r="A26" s="32" t="s">
        <v>87</v>
      </c>
      <c r="B26" s="39" t="s">
        <v>88</v>
      </c>
      <c r="C26" s="48" t="s">
        <v>72</v>
      </c>
      <c r="D26" s="51">
        <v>2440</v>
      </c>
      <c r="E26" s="52">
        <v>6750</v>
      </c>
      <c r="F26" s="52">
        <f t="shared" si="4"/>
        <v>16470000</v>
      </c>
      <c r="G26" s="419"/>
      <c r="H26" s="50"/>
      <c r="I26" s="50">
        <f t="shared" si="2"/>
        <v>0</v>
      </c>
      <c r="J26" s="356">
        <f>'CONCRETE SUMMARY'!J15</f>
        <v>0</v>
      </c>
      <c r="K26" s="50"/>
      <c r="L26" s="50">
        <f t="shared" si="0"/>
        <v>0</v>
      </c>
      <c r="M26" s="50">
        <f t="shared" si="1"/>
        <v>0</v>
      </c>
      <c r="N26" s="71">
        <f t="shared" si="3"/>
        <v>0</v>
      </c>
    </row>
    <row r="27" spans="1:14" ht="25.5">
      <c r="A27" s="32" t="s">
        <v>89</v>
      </c>
      <c r="B27" s="39" t="s">
        <v>90</v>
      </c>
      <c r="C27" s="48" t="s">
        <v>72</v>
      </c>
      <c r="D27" s="51">
        <v>70</v>
      </c>
      <c r="E27" s="52">
        <v>7300</v>
      </c>
      <c r="F27" s="52">
        <f t="shared" si="4"/>
        <v>511000</v>
      </c>
      <c r="G27" s="419"/>
      <c r="H27" s="50"/>
      <c r="I27" s="50">
        <f t="shared" si="2"/>
        <v>0</v>
      </c>
      <c r="J27" s="356">
        <f>'CONCRETE SUMMARY'!J16</f>
        <v>0</v>
      </c>
      <c r="K27" s="50"/>
      <c r="L27" s="50">
        <f t="shared" si="0"/>
        <v>0</v>
      </c>
      <c r="M27" s="50">
        <f t="shared" si="1"/>
        <v>0</v>
      </c>
      <c r="N27" s="71">
        <f t="shared" si="3"/>
        <v>0</v>
      </c>
    </row>
    <row r="28" spans="1:14">
      <c r="A28" s="32"/>
      <c r="B28" s="39"/>
      <c r="C28" s="48"/>
      <c r="D28" s="51"/>
      <c r="E28" s="52"/>
      <c r="F28" s="52"/>
      <c r="G28" s="419"/>
      <c r="H28" s="50"/>
      <c r="I28" s="50"/>
      <c r="J28" s="356"/>
      <c r="K28" s="50"/>
      <c r="L28" s="50"/>
      <c r="M28" s="50"/>
      <c r="N28" s="71"/>
    </row>
    <row r="29" spans="1:14" ht="51">
      <c r="A29" s="32" t="s">
        <v>91</v>
      </c>
      <c r="B29" s="39" t="s">
        <v>92</v>
      </c>
      <c r="C29" s="48"/>
      <c r="D29" s="51"/>
      <c r="E29" s="52"/>
      <c r="F29" s="52"/>
      <c r="G29" s="419"/>
      <c r="H29" s="50"/>
      <c r="I29" s="50"/>
      <c r="J29" s="356"/>
      <c r="K29" s="50"/>
      <c r="L29" s="50"/>
      <c r="M29" s="50"/>
      <c r="N29" s="71"/>
    </row>
    <row r="30" spans="1:14">
      <c r="A30" s="32" t="s">
        <v>93</v>
      </c>
      <c r="B30" s="39" t="s">
        <v>86</v>
      </c>
      <c r="C30" s="48" t="s">
        <v>72</v>
      </c>
      <c r="D30" s="51">
        <v>860</v>
      </c>
      <c r="E30" s="52">
        <v>6850</v>
      </c>
      <c r="F30" s="52">
        <f t="shared" ref="F30:F33" si="5">$D30*E30</f>
        <v>5891000</v>
      </c>
      <c r="G30" s="419"/>
      <c r="H30" s="50"/>
      <c r="I30" s="50">
        <f t="shared" si="2"/>
        <v>0</v>
      </c>
      <c r="J30" s="356">
        <f>'CONCRETE SUMMARY'!J19</f>
        <v>0</v>
      </c>
      <c r="K30" s="50"/>
      <c r="L30" s="50">
        <f t="shared" si="0"/>
        <v>0</v>
      </c>
      <c r="M30" s="50">
        <f t="shared" si="1"/>
        <v>0</v>
      </c>
      <c r="N30" s="71">
        <f t="shared" si="3"/>
        <v>0</v>
      </c>
    </row>
    <row r="31" spans="1:14" ht="25.5">
      <c r="A31" s="32" t="s">
        <v>94</v>
      </c>
      <c r="B31" s="39" t="s">
        <v>88</v>
      </c>
      <c r="C31" s="48" t="s">
        <v>72</v>
      </c>
      <c r="D31" s="51">
        <v>950</v>
      </c>
      <c r="E31" s="52">
        <v>7050</v>
      </c>
      <c r="F31" s="52">
        <f t="shared" si="5"/>
        <v>6697500</v>
      </c>
      <c r="G31" s="419"/>
      <c r="H31" s="50"/>
      <c r="I31" s="50">
        <f t="shared" si="2"/>
        <v>0</v>
      </c>
      <c r="J31" s="356">
        <f>'CONCRETE SUMMARY'!J20</f>
        <v>0</v>
      </c>
      <c r="K31" s="50"/>
      <c r="L31" s="50">
        <f t="shared" si="0"/>
        <v>0</v>
      </c>
      <c r="M31" s="50">
        <f t="shared" si="1"/>
        <v>0</v>
      </c>
      <c r="N31" s="71">
        <f t="shared" si="3"/>
        <v>0</v>
      </c>
    </row>
    <row r="32" spans="1:14" ht="25.5">
      <c r="A32" s="32" t="s">
        <v>95</v>
      </c>
      <c r="B32" s="39" t="s">
        <v>90</v>
      </c>
      <c r="C32" s="48" t="s">
        <v>72</v>
      </c>
      <c r="D32" s="51">
        <v>30</v>
      </c>
      <c r="E32" s="52">
        <v>7650</v>
      </c>
      <c r="F32" s="52">
        <f t="shared" si="5"/>
        <v>229500</v>
      </c>
      <c r="G32" s="419"/>
      <c r="H32" s="50"/>
      <c r="I32" s="50">
        <f t="shared" si="2"/>
        <v>0</v>
      </c>
      <c r="J32" s="356">
        <f>'CONCRETE SUMMARY'!J21</f>
        <v>0</v>
      </c>
      <c r="K32" s="50"/>
      <c r="L32" s="50">
        <f t="shared" si="0"/>
        <v>0</v>
      </c>
      <c r="M32" s="50">
        <f t="shared" si="1"/>
        <v>0</v>
      </c>
      <c r="N32" s="71">
        <f t="shared" si="3"/>
        <v>0</v>
      </c>
    </row>
    <row r="33" spans="1:14" ht="75" customHeight="1">
      <c r="A33" s="32" t="s">
        <v>96</v>
      </c>
      <c r="B33" s="39" t="s">
        <v>163</v>
      </c>
      <c r="C33" s="48" t="s">
        <v>9</v>
      </c>
      <c r="D33" s="51">
        <v>1625</v>
      </c>
      <c r="E33" s="52">
        <v>100</v>
      </c>
      <c r="F33" s="52">
        <f t="shared" si="5"/>
        <v>162500</v>
      </c>
      <c r="G33" s="419"/>
      <c r="H33" s="50"/>
      <c r="I33" s="50"/>
      <c r="J33" s="356">
        <f>'CONCRETE SUMMARY'!J22</f>
        <v>0</v>
      </c>
      <c r="K33" s="50"/>
      <c r="L33" s="50"/>
      <c r="M33" s="50"/>
      <c r="N33" s="71"/>
    </row>
    <row r="34" spans="1:14">
      <c r="A34" s="32"/>
      <c r="B34" s="33"/>
      <c r="C34" s="48"/>
      <c r="D34" s="51"/>
      <c r="E34" s="52"/>
      <c r="F34" s="52"/>
      <c r="G34" s="419"/>
      <c r="H34" s="50"/>
      <c r="I34" s="50"/>
      <c r="J34" s="50"/>
      <c r="K34" s="50"/>
      <c r="L34" s="50"/>
      <c r="M34" s="50"/>
      <c r="N34" s="71"/>
    </row>
    <row r="35" spans="1:14">
      <c r="A35" s="32"/>
      <c r="B35" s="33" t="s">
        <v>97</v>
      </c>
      <c r="C35" s="48"/>
      <c r="D35" s="51"/>
      <c r="E35" s="52"/>
      <c r="F35" s="52">
        <f>SUBTOTAL(9,F17:F34)</f>
        <v>59038000</v>
      </c>
      <c r="G35" s="419"/>
      <c r="H35" s="50"/>
      <c r="I35" s="50"/>
      <c r="J35" s="50"/>
      <c r="K35" s="50"/>
      <c r="L35" s="50"/>
      <c r="M35" s="50"/>
      <c r="N35" s="71"/>
    </row>
    <row r="36" spans="1:14">
      <c r="A36" s="32"/>
      <c r="B36" s="39"/>
      <c r="C36" s="48"/>
      <c r="D36" s="51"/>
      <c r="E36" s="52"/>
      <c r="F36" s="52"/>
      <c r="G36" s="419"/>
      <c r="H36" s="50"/>
      <c r="I36" s="50"/>
      <c r="J36" s="50"/>
      <c r="K36" s="50"/>
      <c r="L36" s="50"/>
      <c r="M36" s="50"/>
      <c r="N36" s="71"/>
    </row>
    <row r="37" spans="1:14">
      <c r="A37" s="32">
        <v>3</v>
      </c>
      <c r="B37" s="33" t="s">
        <v>98</v>
      </c>
      <c r="C37" s="48"/>
      <c r="D37" s="51"/>
      <c r="E37" s="52"/>
      <c r="F37" s="52"/>
      <c r="G37" s="419"/>
      <c r="H37" s="50"/>
      <c r="I37" s="50"/>
      <c r="J37" s="50"/>
      <c r="K37" s="50"/>
      <c r="L37" s="50"/>
      <c r="M37" s="50"/>
      <c r="N37" s="71"/>
    </row>
    <row r="38" spans="1:14" ht="90" customHeight="1">
      <c r="A38" s="34"/>
      <c r="B38" s="35" t="s">
        <v>164</v>
      </c>
      <c r="C38" s="54"/>
      <c r="D38" s="55"/>
      <c r="E38" s="56"/>
      <c r="F38" s="56"/>
      <c r="G38" s="56"/>
      <c r="H38" s="50"/>
      <c r="I38" s="50"/>
      <c r="J38" s="50"/>
      <c r="K38" s="50"/>
      <c r="L38" s="50"/>
      <c r="M38" s="50"/>
      <c r="N38" s="71"/>
    </row>
    <row r="39" spans="1:14" ht="51">
      <c r="A39" s="32" t="s">
        <v>99</v>
      </c>
      <c r="B39" s="39" t="s">
        <v>100</v>
      </c>
      <c r="C39" s="48" t="s">
        <v>9</v>
      </c>
      <c r="D39" s="51">
        <v>2150</v>
      </c>
      <c r="E39" s="52">
        <v>360</v>
      </c>
      <c r="F39" s="52">
        <f>$D39*E39</f>
        <v>774000</v>
      </c>
      <c r="G39" s="421">
        <f>+E39</f>
        <v>360</v>
      </c>
      <c r="H39" s="50"/>
      <c r="I39" s="356">
        <f t="shared" si="2"/>
        <v>90.136500000000012</v>
      </c>
      <c r="J39" s="356">
        <f>'SHUTT. WORK SUMMARY'!J5</f>
        <v>90.136500000000012</v>
      </c>
      <c r="K39" s="50"/>
      <c r="L39" s="50">
        <f t="shared" si="0"/>
        <v>32449.140000000003</v>
      </c>
      <c r="M39" s="356">
        <f>G39*J39</f>
        <v>32449.140000000003</v>
      </c>
      <c r="N39" s="71">
        <f t="shared" si="3"/>
        <v>4.19239534883721E-2</v>
      </c>
    </row>
    <row r="40" spans="1:14" ht="63.75">
      <c r="A40" s="32" t="s">
        <v>101</v>
      </c>
      <c r="B40" s="39" t="s">
        <v>84</v>
      </c>
      <c r="C40" s="48"/>
      <c r="D40" s="51"/>
      <c r="E40" s="52"/>
      <c r="F40" s="52"/>
      <c r="G40" s="419"/>
      <c r="H40" s="50"/>
      <c r="I40" s="50"/>
      <c r="J40" s="356"/>
      <c r="K40" s="50"/>
      <c r="L40" s="50"/>
      <c r="M40" s="50"/>
      <c r="N40" s="71"/>
    </row>
    <row r="41" spans="1:14">
      <c r="A41" s="32" t="s">
        <v>102</v>
      </c>
      <c r="B41" s="39" t="s">
        <v>86</v>
      </c>
      <c r="C41" s="48" t="s">
        <v>9</v>
      </c>
      <c r="D41" s="51">
        <v>17600</v>
      </c>
      <c r="E41" s="52">
        <v>465</v>
      </c>
      <c r="F41" s="52">
        <f t="shared" ref="F41:F43" si="6">$D41*E41</f>
        <v>8184000</v>
      </c>
      <c r="G41" s="419"/>
      <c r="H41" s="50"/>
      <c r="I41" s="50">
        <f t="shared" si="2"/>
        <v>0</v>
      </c>
      <c r="J41" s="356">
        <f>'SHUTT. WORK SUMMARY'!J7</f>
        <v>0</v>
      </c>
      <c r="K41" s="50"/>
      <c r="L41" s="50">
        <f t="shared" si="0"/>
        <v>0</v>
      </c>
      <c r="M41" s="50">
        <f t="shared" si="1"/>
        <v>0</v>
      </c>
      <c r="N41" s="71">
        <f t="shared" si="3"/>
        <v>0</v>
      </c>
    </row>
    <row r="42" spans="1:14" ht="25.5">
      <c r="A42" s="32" t="s">
        <v>103</v>
      </c>
      <c r="B42" s="39" t="s">
        <v>88</v>
      </c>
      <c r="C42" s="48" t="s">
        <v>9</v>
      </c>
      <c r="D42" s="51">
        <v>18800</v>
      </c>
      <c r="E42" s="52">
        <v>485</v>
      </c>
      <c r="F42" s="52">
        <f t="shared" si="6"/>
        <v>9118000</v>
      </c>
      <c r="G42" s="419"/>
      <c r="H42" s="50"/>
      <c r="I42" s="50">
        <f t="shared" si="2"/>
        <v>0</v>
      </c>
      <c r="J42" s="356">
        <f>'SHUTT. WORK SUMMARY'!J8</f>
        <v>0</v>
      </c>
      <c r="K42" s="50"/>
      <c r="L42" s="50">
        <f t="shared" si="0"/>
        <v>0</v>
      </c>
      <c r="M42" s="50">
        <f t="shared" si="1"/>
        <v>0</v>
      </c>
      <c r="N42" s="71">
        <f t="shared" si="3"/>
        <v>0</v>
      </c>
    </row>
    <row r="43" spans="1:14" ht="25.5">
      <c r="A43" s="32" t="s">
        <v>104</v>
      </c>
      <c r="B43" s="39" t="s">
        <v>90</v>
      </c>
      <c r="C43" s="48" t="s">
        <v>9</v>
      </c>
      <c r="D43" s="51">
        <v>400</v>
      </c>
      <c r="E43" s="52">
        <v>550</v>
      </c>
      <c r="F43" s="52">
        <f t="shared" si="6"/>
        <v>220000</v>
      </c>
      <c r="G43" s="419"/>
      <c r="H43" s="50"/>
      <c r="I43" s="50">
        <f t="shared" si="2"/>
        <v>0</v>
      </c>
      <c r="J43" s="356">
        <f>'SHUTT. WORK SUMMARY'!J9</f>
        <v>0</v>
      </c>
      <c r="K43" s="50"/>
      <c r="L43" s="50">
        <f t="shared" si="0"/>
        <v>0</v>
      </c>
      <c r="M43" s="50">
        <f t="shared" si="1"/>
        <v>0</v>
      </c>
      <c r="N43" s="71">
        <f t="shared" si="3"/>
        <v>0</v>
      </c>
    </row>
    <row r="44" spans="1:14">
      <c r="A44" s="32"/>
      <c r="B44" s="40"/>
      <c r="C44" s="48"/>
      <c r="D44" s="51"/>
      <c r="E44" s="52"/>
      <c r="F44" s="52"/>
      <c r="G44" s="419"/>
      <c r="H44" s="50"/>
      <c r="I44" s="50"/>
      <c r="J44" s="356"/>
      <c r="K44" s="50"/>
      <c r="L44" s="50">
        <f t="shared" si="0"/>
        <v>0</v>
      </c>
      <c r="M44" s="50">
        <f t="shared" si="1"/>
        <v>0</v>
      </c>
      <c r="N44" s="71"/>
    </row>
    <row r="45" spans="1:14" ht="51">
      <c r="A45" s="32" t="s">
        <v>105</v>
      </c>
      <c r="B45" s="39" t="s">
        <v>92</v>
      </c>
      <c r="C45" s="48"/>
      <c r="D45" s="51"/>
      <c r="E45" s="52"/>
      <c r="F45" s="52"/>
      <c r="G45" s="419"/>
      <c r="H45" s="50"/>
      <c r="I45" s="50"/>
      <c r="J45" s="356"/>
      <c r="K45" s="50"/>
      <c r="L45" s="50"/>
      <c r="M45" s="50"/>
      <c r="N45" s="71"/>
    </row>
    <row r="46" spans="1:14">
      <c r="A46" s="32" t="s">
        <v>106</v>
      </c>
      <c r="B46" s="39" t="s">
        <v>86</v>
      </c>
      <c r="C46" s="48" t="s">
        <v>9</v>
      </c>
      <c r="D46" s="51">
        <v>7825</v>
      </c>
      <c r="E46" s="52">
        <v>465</v>
      </c>
      <c r="F46" s="52">
        <f t="shared" ref="F46:F48" si="7">$D46*E46</f>
        <v>3638625</v>
      </c>
      <c r="G46" s="419"/>
      <c r="H46" s="50"/>
      <c r="I46" s="50">
        <f t="shared" si="2"/>
        <v>0</v>
      </c>
      <c r="J46" s="356">
        <f>'SHUTT. WORK SUMMARY'!J12</f>
        <v>0</v>
      </c>
      <c r="K46" s="50"/>
      <c r="L46" s="50">
        <f t="shared" si="0"/>
        <v>0</v>
      </c>
      <c r="M46" s="50">
        <f t="shared" si="1"/>
        <v>0</v>
      </c>
      <c r="N46" s="71">
        <f t="shared" si="3"/>
        <v>0</v>
      </c>
    </row>
    <row r="47" spans="1:14" ht="25.5">
      <c r="A47" s="32" t="s">
        <v>107</v>
      </c>
      <c r="B47" s="39" t="s">
        <v>88</v>
      </c>
      <c r="C47" s="48" t="s">
        <v>9</v>
      </c>
      <c r="D47" s="51">
        <v>8200</v>
      </c>
      <c r="E47" s="52">
        <v>485</v>
      </c>
      <c r="F47" s="52">
        <f t="shared" si="7"/>
        <v>3977000</v>
      </c>
      <c r="G47" s="419"/>
      <c r="H47" s="50"/>
      <c r="I47" s="50">
        <f t="shared" si="2"/>
        <v>0</v>
      </c>
      <c r="J47" s="356">
        <f>'SHUTT. WORK SUMMARY'!J13</f>
        <v>0</v>
      </c>
      <c r="K47" s="50"/>
      <c r="L47" s="50">
        <f t="shared" si="0"/>
        <v>0</v>
      </c>
      <c r="M47" s="50">
        <f t="shared" si="1"/>
        <v>0</v>
      </c>
      <c r="N47" s="71">
        <f t="shared" si="3"/>
        <v>0</v>
      </c>
    </row>
    <row r="48" spans="1:14" ht="25.5">
      <c r="A48" s="32" t="s">
        <v>108</v>
      </c>
      <c r="B48" s="39" t="s">
        <v>90</v>
      </c>
      <c r="C48" s="48" t="s">
        <v>9</v>
      </c>
      <c r="D48" s="51">
        <v>150</v>
      </c>
      <c r="E48" s="52">
        <v>550</v>
      </c>
      <c r="F48" s="52">
        <f t="shared" si="7"/>
        <v>82500</v>
      </c>
      <c r="G48" s="419"/>
      <c r="H48" s="50"/>
      <c r="I48" s="50">
        <f t="shared" si="2"/>
        <v>0</v>
      </c>
      <c r="J48" s="356">
        <f>'SHUTT. WORK SUMMARY'!J14</f>
        <v>0</v>
      </c>
      <c r="K48" s="50"/>
      <c r="L48" s="50">
        <f t="shared" si="0"/>
        <v>0</v>
      </c>
      <c r="M48" s="50">
        <f t="shared" si="1"/>
        <v>0</v>
      </c>
      <c r="N48" s="71">
        <f t="shared" si="3"/>
        <v>0</v>
      </c>
    </row>
    <row r="49" spans="1:14">
      <c r="A49" s="32"/>
      <c r="B49" s="39"/>
      <c r="C49" s="48"/>
      <c r="D49" s="51"/>
      <c r="E49" s="52"/>
      <c r="F49" s="52"/>
      <c r="G49" s="419"/>
      <c r="H49" s="50"/>
      <c r="I49" s="50"/>
      <c r="J49" s="356"/>
      <c r="K49" s="50"/>
      <c r="L49" s="50"/>
      <c r="M49" s="50"/>
      <c r="N49" s="71"/>
    </row>
    <row r="50" spans="1:14" ht="63.75">
      <c r="A50" s="32" t="s">
        <v>109</v>
      </c>
      <c r="B50" s="39" t="s">
        <v>165</v>
      </c>
      <c r="C50" s="48" t="s">
        <v>9</v>
      </c>
      <c r="D50" s="51">
        <v>1000</v>
      </c>
      <c r="E50" s="52">
        <v>115</v>
      </c>
      <c r="F50" s="52">
        <f>$D50*E50</f>
        <v>115000</v>
      </c>
      <c r="G50" s="419"/>
      <c r="H50" s="50"/>
      <c r="I50" s="50">
        <f t="shared" si="2"/>
        <v>0</v>
      </c>
      <c r="J50" s="356">
        <f>'SHUTT. WORK SUMMARY'!J16</f>
        <v>0</v>
      </c>
      <c r="K50" s="50"/>
      <c r="L50" s="50">
        <f t="shared" si="0"/>
        <v>0</v>
      </c>
      <c r="M50" s="50">
        <f t="shared" si="1"/>
        <v>0</v>
      </c>
      <c r="N50" s="71">
        <f t="shared" si="3"/>
        <v>0</v>
      </c>
    </row>
    <row r="51" spans="1:14">
      <c r="A51" s="32"/>
      <c r="B51" s="33" t="s">
        <v>110</v>
      </c>
      <c r="C51" s="48"/>
      <c r="D51" s="51"/>
      <c r="E51" s="52"/>
      <c r="F51" s="52">
        <f>SUBTOTAL(9,F39:F50)</f>
        <v>26109125</v>
      </c>
      <c r="G51" s="419"/>
      <c r="H51" s="50"/>
      <c r="I51" s="50"/>
      <c r="J51" s="50"/>
      <c r="K51" s="50"/>
      <c r="L51" s="50"/>
      <c r="M51" s="50"/>
      <c r="N51" s="71"/>
    </row>
    <row r="52" spans="1:14">
      <c r="A52" s="32"/>
      <c r="B52" s="40"/>
      <c r="C52" s="48"/>
      <c r="D52" s="51"/>
      <c r="E52" s="52"/>
      <c r="F52" s="52"/>
      <c r="G52" s="419"/>
      <c r="H52" s="50"/>
      <c r="I52" s="50"/>
      <c r="J52" s="50"/>
      <c r="K52" s="50"/>
      <c r="L52" s="50"/>
      <c r="M52" s="50"/>
      <c r="N52" s="71"/>
    </row>
    <row r="53" spans="1:14">
      <c r="A53" s="31">
        <v>4</v>
      </c>
      <c r="B53" s="41" t="s">
        <v>111</v>
      </c>
      <c r="C53" s="54"/>
      <c r="D53" s="55"/>
      <c r="E53" s="56"/>
      <c r="F53" s="56"/>
      <c r="G53" s="56"/>
      <c r="H53" s="50"/>
      <c r="I53" s="50"/>
      <c r="J53" s="50"/>
      <c r="K53" s="50"/>
      <c r="L53" s="50"/>
      <c r="M53" s="50"/>
      <c r="N53" s="71"/>
    </row>
    <row r="54" spans="1:14" ht="70.5" customHeight="1">
      <c r="A54" s="36"/>
      <c r="B54" s="42" t="s">
        <v>166</v>
      </c>
      <c r="C54" s="57"/>
      <c r="D54" s="58"/>
      <c r="E54" s="59"/>
      <c r="F54" s="59"/>
      <c r="G54" s="59"/>
      <c r="H54" s="50"/>
      <c r="I54" s="50"/>
      <c r="J54" s="50"/>
      <c r="K54" s="50"/>
      <c r="L54" s="50"/>
      <c r="M54" s="50"/>
      <c r="N54" s="71"/>
    </row>
    <row r="55" spans="1:14" ht="25.5">
      <c r="A55" s="32" t="s">
        <v>112</v>
      </c>
      <c r="B55" s="39" t="s">
        <v>113</v>
      </c>
      <c r="C55" s="48"/>
      <c r="D55" s="51"/>
      <c r="E55" s="52"/>
      <c r="F55" s="52"/>
      <c r="G55" s="419"/>
      <c r="H55" s="50"/>
      <c r="I55" s="50"/>
      <c r="J55" s="50"/>
      <c r="K55" s="50"/>
      <c r="L55" s="50"/>
      <c r="M55" s="50"/>
      <c r="N55" s="71"/>
    </row>
    <row r="56" spans="1:14">
      <c r="A56" s="32" t="s">
        <v>114</v>
      </c>
      <c r="B56" s="39" t="s">
        <v>115</v>
      </c>
      <c r="C56" s="48" t="s">
        <v>116</v>
      </c>
      <c r="D56" s="51">
        <v>150</v>
      </c>
      <c r="E56" s="52">
        <v>8500</v>
      </c>
      <c r="F56" s="52">
        <f t="shared" ref="F56:F58" si="8">$D56*E56</f>
        <v>1275000</v>
      </c>
      <c r="G56" s="421">
        <f>+E56</f>
        <v>8500</v>
      </c>
      <c r="H56" s="50"/>
      <c r="I56" s="284">
        <f t="shared" si="2"/>
        <v>52.927237230110933</v>
      </c>
      <c r="J56" s="422">
        <f>'TMT SUMMARY'!M9/1000</f>
        <v>52.927237230110933</v>
      </c>
      <c r="K56" s="50"/>
      <c r="L56" s="50">
        <f t="shared" si="0"/>
        <v>449881.51645594294</v>
      </c>
      <c r="M56" s="356">
        <f>G56*J56</f>
        <v>449881.51645594294</v>
      </c>
      <c r="N56" s="71">
        <f t="shared" si="3"/>
        <v>0.35284824820073957</v>
      </c>
    </row>
    <row r="57" spans="1:14" ht="25.5">
      <c r="A57" s="32" t="s">
        <v>117</v>
      </c>
      <c r="B57" s="39" t="s">
        <v>118</v>
      </c>
      <c r="C57" s="48" t="s">
        <v>116</v>
      </c>
      <c r="D57" s="51">
        <v>805</v>
      </c>
      <c r="E57" s="52">
        <v>9400</v>
      </c>
      <c r="F57" s="52">
        <f t="shared" si="8"/>
        <v>7567000</v>
      </c>
      <c r="G57" s="419"/>
      <c r="H57" s="50"/>
      <c r="I57" s="50">
        <f t="shared" si="2"/>
        <v>0</v>
      </c>
      <c r="J57" s="285">
        <f>'TMT SUMMARY'!M14</f>
        <v>0</v>
      </c>
      <c r="K57" s="50"/>
      <c r="L57" s="50">
        <f t="shared" si="0"/>
        <v>0</v>
      </c>
      <c r="M57" s="50">
        <f t="shared" si="1"/>
        <v>0</v>
      </c>
      <c r="N57" s="71">
        <f t="shared" si="3"/>
        <v>0</v>
      </c>
    </row>
    <row r="58" spans="1:14" ht="25.5">
      <c r="A58" s="32" t="s">
        <v>119</v>
      </c>
      <c r="B58" s="39" t="s">
        <v>90</v>
      </c>
      <c r="C58" s="48" t="s">
        <v>116</v>
      </c>
      <c r="D58" s="51">
        <v>10</v>
      </c>
      <c r="E58" s="52">
        <v>11000</v>
      </c>
      <c r="F58" s="52">
        <f t="shared" si="8"/>
        <v>110000</v>
      </c>
      <c r="G58" s="419"/>
      <c r="H58" s="50"/>
      <c r="I58" s="50">
        <f t="shared" si="2"/>
        <v>0</v>
      </c>
      <c r="J58" s="50">
        <f>'TMT SUMMARY'!M19</f>
        <v>0</v>
      </c>
      <c r="K58" s="50"/>
      <c r="L58" s="50">
        <f t="shared" si="0"/>
        <v>0</v>
      </c>
      <c r="M58" s="50">
        <f t="shared" si="1"/>
        <v>0</v>
      </c>
      <c r="N58" s="71">
        <f t="shared" si="3"/>
        <v>0</v>
      </c>
    </row>
    <row r="59" spans="1:14">
      <c r="A59" s="32"/>
      <c r="B59" s="33" t="s">
        <v>120</v>
      </c>
      <c r="C59" s="48"/>
      <c r="D59" s="51"/>
      <c r="E59" s="52"/>
      <c r="F59" s="52">
        <f>SUBTOTAL(9,F55:F58)</f>
        <v>8952000</v>
      </c>
      <c r="G59" s="419"/>
      <c r="H59" s="50"/>
      <c r="I59" s="50"/>
      <c r="J59" s="50"/>
      <c r="K59" s="50"/>
      <c r="L59" s="50"/>
      <c r="M59" s="50"/>
      <c r="N59" s="71"/>
    </row>
    <row r="60" spans="1:14">
      <c r="A60" s="32"/>
      <c r="B60" s="39"/>
      <c r="C60" s="48"/>
      <c r="D60" s="51"/>
      <c r="E60" s="52"/>
      <c r="F60" s="52"/>
      <c r="G60" s="419"/>
      <c r="H60" s="50"/>
      <c r="I60" s="50"/>
      <c r="J60" s="50"/>
      <c r="K60" s="50"/>
      <c r="L60" s="50"/>
      <c r="M60" s="50"/>
      <c r="N60" s="71"/>
    </row>
    <row r="61" spans="1:14">
      <c r="A61" s="32">
        <v>5</v>
      </c>
      <c r="B61" s="33" t="s">
        <v>121</v>
      </c>
      <c r="C61" s="48"/>
      <c r="D61" s="51"/>
      <c r="E61" s="52"/>
      <c r="F61" s="52"/>
      <c r="G61" s="419"/>
      <c r="H61" s="50"/>
      <c r="I61" s="50"/>
      <c r="J61" s="50"/>
      <c r="K61" s="50"/>
      <c r="L61" s="50"/>
      <c r="M61" s="50"/>
      <c r="N61" s="71"/>
    </row>
    <row r="62" spans="1:14" ht="51">
      <c r="A62" s="32"/>
      <c r="B62" s="39" t="s">
        <v>122</v>
      </c>
      <c r="C62" s="48"/>
      <c r="D62" s="51"/>
      <c r="E62" s="52"/>
      <c r="F62" s="52"/>
      <c r="G62" s="419"/>
      <c r="H62" s="50"/>
      <c r="I62" s="50"/>
      <c r="J62" s="50"/>
      <c r="K62" s="50"/>
      <c r="L62" s="50"/>
      <c r="M62" s="50"/>
      <c r="N62" s="71"/>
    </row>
    <row r="63" spans="1:14">
      <c r="A63" s="32" t="s">
        <v>123</v>
      </c>
      <c r="B63" s="33" t="s">
        <v>124</v>
      </c>
      <c r="C63" s="48"/>
      <c r="D63" s="51"/>
      <c r="E63" s="52"/>
      <c r="F63" s="52"/>
      <c r="G63" s="419"/>
      <c r="H63" s="50"/>
      <c r="I63" s="50"/>
      <c r="J63" s="50"/>
      <c r="K63" s="50"/>
      <c r="L63" s="50"/>
      <c r="M63" s="50"/>
      <c r="N63" s="71"/>
    </row>
    <row r="64" spans="1:14" ht="63.75">
      <c r="A64" s="32"/>
      <c r="B64" s="39" t="s">
        <v>125</v>
      </c>
      <c r="C64" s="48" t="s">
        <v>72</v>
      </c>
      <c r="D64" s="51">
        <v>100</v>
      </c>
      <c r="E64" s="52">
        <v>6000</v>
      </c>
      <c r="F64" s="52">
        <f>$D64*E64</f>
        <v>600000</v>
      </c>
      <c r="G64" s="419"/>
      <c r="H64" s="50"/>
      <c r="I64" s="50">
        <f t="shared" si="2"/>
        <v>0</v>
      </c>
      <c r="J64" s="356">
        <f>'BRICK WORK SUMMARY'!J7</f>
        <v>0</v>
      </c>
      <c r="K64" s="50"/>
      <c r="L64" s="50">
        <f t="shared" si="0"/>
        <v>0</v>
      </c>
      <c r="M64" s="50">
        <f t="shared" si="1"/>
        <v>0</v>
      </c>
      <c r="N64" s="71">
        <f t="shared" si="3"/>
        <v>0</v>
      </c>
    </row>
    <row r="65" spans="1:14">
      <c r="A65" s="32" t="s">
        <v>126</v>
      </c>
      <c r="B65" s="33" t="s">
        <v>124</v>
      </c>
      <c r="C65" s="48"/>
      <c r="D65" s="51"/>
      <c r="E65" s="52"/>
      <c r="F65" s="52"/>
      <c r="G65" s="419"/>
      <c r="H65" s="50"/>
      <c r="I65" s="50"/>
      <c r="J65" s="356"/>
      <c r="K65" s="50"/>
      <c r="L65" s="50"/>
      <c r="M65" s="50"/>
      <c r="N65" s="71"/>
    </row>
    <row r="66" spans="1:14" ht="82.5" customHeight="1">
      <c r="A66" s="32"/>
      <c r="B66" s="39" t="s">
        <v>167</v>
      </c>
      <c r="C66" s="48" t="s">
        <v>9</v>
      </c>
      <c r="D66" s="51">
        <v>1000</v>
      </c>
      <c r="E66" s="52">
        <v>800</v>
      </c>
      <c r="F66" s="52">
        <f>$D66*E66</f>
        <v>800000</v>
      </c>
      <c r="G66" s="421">
        <f>+E66</f>
        <v>800</v>
      </c>
      <c r="H66" s="50"/>
      <c r="I66" s="356">
        <f t="shared" si="2"/>
        <v>36.867000000000004</v>
      </c>
      <c r="J66" s="356">
        <f>'BRICK WORK SUMMARY'!J9</f>
        <v>36.867000000000004</v>
      </c>
      <c r="K66" s="50"/>
      <c r="L66" s="50">
        <f t="shared" si="0"/>
        <v>29493.600000000002</v>
      </c>
      <c r="M66" s="356">
        <f>G66*J66</f>
        <v>29493.600000000002</v>
      </c>
      <c r="N66" s="71">
        <f t="shared" si="3"/>
        <v>3.6867000000000004E-2</v>
      </c>
    </row>
    <row r="67" spans="1:14">
      <c r="A67" s="32" t="s">
        <v>127</v>
      </c>
      <c r="B67" s="33" t="s">
        <v>128</v>
      </c>
      <c r="C67" s="48"/>
      <c r="D67" s="51"/>
      <c r="E67" s="52"/>
      <c r="F67" s="52"/>
      <c r="G67" s="419"/>
      <c r="H67" s="50"/>
      <c r="I67" s="50"/>
      <c r="J67" s="356"/>
      <c r="K67" s="50"/>
      <c r="L67" s="50"/>
      <c r="M67" s="50"/>
      <c r="N67" s="71"/>
    </row>
    <row r="68" spans="1:14" ht="63.75">
      <c r="A68" s="32" t="s">
        <v>129</v>
      </c>
      <c r="B68" s="39" t="s">
        <v>130</v>
      </c>
      <c r="C68" s="48"/>
      <c r="D68" s="51"/>
      <c r="E68" s="52"/>
      <c r="F68" s="52"/>
      <c r="G68" s="419"/>
      <c r="H68" s="50"/>
      <c r="I68" s="50"/>
      <c r="J68" s="356"/>
      <c r="K68" s="50"/>
      <c r="L68" s="50">
        <f t="shared" si="0"/>
        <v>0</v>
      </c>
      <c r="M68" s="50">
        <f t="shared" si="1"/>
        <v>0</v>
      </c>
      <c r="N68" s="71"/>
    </row>
    <row r="69" spans="1:14">
      <c r="A69" s="32" t="s">
        <v>131</v>
      </c>
      <c r="B69" s="39" t="s">
        <v>86</v>
      </c>
      <c r="C69" s="48" t="s">
        <v>72</v>
      </c>
      <c r="D69" s="51">
        <v>1185</v>
      </c>
      <c r="E69" s="52">
        <v>6300</v>
      </c>
      <c r="F69" s="52">
        <f t="shared" ref="F69:F70" si="9">$D69*E69</f>
        <v>7465500</v>
      </c>
      <c r="G69" s="419"/>
      <c r="H69" s="50"/>
      <c r="I69" s="50">
        <f t="shared" si="2"/>
        <v>0</v>
      </c>
      <c r="J69" s="356">
        <f>'BRICK WORK SUMMARY'!J12</f>
        <v>0</v>
      </c>
      <c r="K69" s="50"/>
      <c r="L69" s="50">
        <f t="shared" si="0"/>
        <v>0</v>
      </c>
      <c r="M69" s="50">
        <f t="shared" si="1"/>
        <v>0</v>
      </c>
      <c r="N69" s="71">
        <f t="shared" si="3"/>
        <v>0</v>
      </c>
    </row>
    <row r="70" spans="1:14" ht="25.5">
      <c r="A70" s="32" t="s">
        <v>132</v>
      </c>
      <c r="B70" s="39" t="s">
        <v>88</v>
      </c>
      <c r="C70" s="48" t="s">
        <v>72</v>
      </c>
      <c r="D70" s="51">
        <v>1355</v>
      </c>
      <c r="E70" s="52">
        <v>6500</v>
      </c>
      <c r="F70" s="52">
        <f t="shared" si="9"/>
        <v>8807500</v>
      </c>
      <c r="G70" s="419"/>
      <c r="H70" s="50"/>
      <c r="I70" s="50">
        <f t="shared" si="2"/>
        <v>0</v>
      </c>
      <c r="J70" s="356">
        <f>'BRICK WORK SUMMARY'!J13</f>
        <v>0</v>
      </c>
      <c r="K70" s="50"/>
      <c r="L70" s="50">
        <f t="shared" si="0"/>
        <v>0</v>
      </c>
      <c r="M70" s="50">
        <f t="shared" si="1"/>
        <v>0</v>
      </c>
      <c r="N70" s="71">
        <f t="shared" si="3"/>
        <v>0</v>
      </c>
    </row>
    <row r="71" spans="1:14">
      <c r="A71" s="32" t="s">
        <v>133</v>
      </c>
      <c r="B71" s="33" t="s">
        <v>128</v>
      </c>
      <c r="C71" s="48"/>
      <c r="D71" s="51"/>
      <c r="E71" s="52"/>
      <c r="F71" s="52"/>
      <c r="G71" s="419"/>
      <c r="H71" s="50"/>
      <c r="I71" s="50"/>
      <c r="J71" s="356"/>
      <c r="K71" s="50"/>
      <c r="L71" s="50"/>
      <c r="M71" s="50"/>
      <c r="N71" s="71"/>
    </row>
    <row r="72" spans="1:14" ht="81.75" customHeight="1">
      <c r="A72" s="32" t="s">
        <v>134</v>
      </c>
      <c r="B72" s="39" t="s">
        <v>168</v>
      </c>
      <c r="C72" s="48"/>
      <c r="D72" s="51"/>
      <c r="E72" s="52"/>
      <c r="F72" s="52"/>
      <c r="G72" s="419"/>
      <c r="H72" s="50"/>
      <c r="I72" s="50"/>
      <c r="J72" s="356"/>
      <c r="K72" s="50"/>
      <c r="L72" s="50"/>
      <c r="M72" s="50"/>
      <c r="N72" s="71"/>
    </row>
    <row r="73" spans="1:14">
      <c r="A73" s="32" t="s">
        <v>131</v>
      </c>
      <c r="B73" s="39" t="s">
        <v>86</v>
      </c>
      <c r="C73" s="48" t="s">
        <v>9</v>
      </c>
      <c r="D73" s="51">
        <v>7100</v>
      </c>
      <c r="E73" s="52">
        <v>875</v>
      </c>
      <c r="F73" s="52">
        <f t="shared" ref="F73:F74" si="10">$D73*E73</f>
        <v>6212500</v>
      </c>
      <c r="G73" s="419"/>
      <c r="H73" s="50"/>
      <c r="I73" s="50">
        <f t="shared" si="2"/>
        <v>0</v>
      </c>
      <c r="J73" s="356">
        <f>'BRICK WORK SUMMARY'!J16</f>
        <v>0</v>
      </c>
      <c r="K73" s="50"/>
      <c r="L73" s="50">
        <f t="shared" si="0"/>
        <v>0</v>
      </c>
      <c r="M73" s="50">
        <f t="shared" si="1"/>
        <v>0</v>
      </c>
      <c r="N73" s="71">
        <f t="shared" si="3"/>
        <v>0</v>
      </c>
    </row>
    <row r="74" spans="1:14" ht="25.5">
      <c r="A74" s="32" t="s">
        <v>132</v>
      </c>
      <c r="B74" s="39" t="s">
        <v>88</v>
      </c>
      <c r="C74" s="48" t="s">
        <v>9</v>
      </c>
      <c r="D74" s="51">
        <v>8155</v>
      </c>
      <c r="E74" s="52">
        <v>915</v>
      </c>
      <c r="F74" s="52">
        <f t="shared" si="10"/>
        <v>7461825</v>
      </c>
      <c r="G74" s="419"/>
      <c r="H74" s="50"/>
      <c r="I74" s="50">
        <f t="shared" si="2"/>
        <v>0</v>
      </c>
      <c r="J74" s="356">
        <f>'BRICK WORK SUMMARY'!J17</f>
        <v>0</v>
      </c>
      <c r="K74" s="50"/>
      <c r="L74" s="50">
        <f t="shared" ref="L74:L104" si="11">M74-K74</f>
        <v>0</v>
      </c>
      <c r="M74" s="50">
        <f t="shared" ref="M74:M104" si="12">E74*J74</f>
        <v>0</v>
      </c>
      <c r="N74" s="71">
        <f t="shared" ref="N74:N104" si="13">J74/D74</f>
        <v>0</v>
      </c>
    </row>
    <row r="75" spans="1:14">
      <c r="A75" s="32" t="s">
        <v>135</v>
      </c>
      <c r="B75" s="33" t="s">
        <v>169</v>
      </c>
      <c r="C75" s="48"/>
      <c r="D75" s="51"/>
      <c r="E75" s="52"/>
      <c r="F75" s="52"/>
      <c r="G75" s="419"/>
      <c r="H75" s="50"/>
      <c r="I75" s="50"/>
      <c r="J75" s="356"/>
      <c r="K75" s="50"/>
      <c r="L75" s="50"/>
      <c r="M75" s="50"/>
      <c r="N75" s="71"/>
    </row>
    <row r="76" spans="1:14" ht="63.75">
      <c r="A76" s="32"/>
      <c r="B76" s="39" t="s">
        <v>136</v>
      </c>
      <c r="C76" s="48" t="s">
        <v>72</v>
      </c>
      <c r="D76" s="51">
        <v>40</v>
      </c>
      <c r="E76" s="52">
        <v>7000</v>
      </c>
      <c r="F76" s="52">
        <f>$D76*E76</f>
        <v>280000</v>
      </c>
      <c r="G76" s="419"/>
      <c r="H76" s="50"/>
      <c r="I76" s="50">
        <f t="shared" ref="I76:I104" si="14">J76-H76</f>
        <v>0</v>
      </c>
      <c r="J76" s="356">
        <f>'BRICK WORK SUMMARY'!J19</f>
        <v>0</v>
      </c>
      <c r="K76" s="50"/>
      <c r="L76" s="50">
        <f t="shared" si="11"/>
        <v>0</v>
      </c>
      <c r="M76" s="50">
        <f t="shared" si="12"/>
        <v>0</v>
      </c>
      <c r="N76" s="71">
        <f t="shared" si="13"/>
        <v>0</v>
      </c>
    </row>
    <row r="77" spans="1:14">
      <c r="A77" s="32"/>
      <c r="B77" s="33" t="s">
        <v>137</v>
      </c>
      <c r="C77" s="48"/>
      <c r="D77" s="51"/>
      <c r="E77" s="52"/>
      <c r="F77" s="52">
        <f>SUBTOTAL(9,F63:F76)</f>
        <v>31627325</v>
      </c>
      <c r="G77" s="419"/>
      <c r="H77" s="50"/>
      <c r="I77" s="50"/>
      <c r="J77" s="50"/>
      <c r="K77" s="50"/>
      <c r="L77" s="50"/>
      <c r="M77" s="50"/>
      <c r="N77" s="71"/>
    </row>
    <row r="78" spans="1:14">
      <c r="A78" s="32"/>
      <c r="B78" s="39"/>
      <c r="C78" s="48"/>
      <c r="D78" s="51"/>
      <c r="E78" s="52"/>
      <c r="F78" s="52"/>
      <c r="G78" s="419"/>
      <c r="H78" s="50"/>
      <c r="I78" s="50"/>
      <c r="J78" s="50"/>
      <c r="K78" s="50"/>
      <c r="L78" s="50"/>
      <c r="M78" s="50"/>
      <c r="N78" s="71"/>
    </row>
    <row r="79" spans="1:14">
      <c r="A79" s="32">
        <v>6</v>
      </c>
      <c r="B79" s="33" t="s">
        <v>138</v>
      </c>
      <c r="C79" s="48"/>
      <c r="D79" s="51"/>
      <c r="E79" s="52"/>
      <c r="F79" s="52"/>
      <c r="G79" s="419"/>
      <c r="H79" s="50"/>
      <c r="I79" s="50"/>
      <c r="J79" s="50"/>
      <c r="K79" s="50"/>
      <c r="L79" s="50"/>
      <c r="M79" s="50"/>
      <c r="N79" s="71"/>
    </row>
    <row r="80" spans="1:14" ht="62.25" customHeight="1">
      <c r="A80" s="32"/>
      <c r="B80" s="39" t="s">
        <v>139</v>
      </c>
      <c r="C80" s="48"/>
      <c r="D80" s="51"/>
      <c r="E80" s="52"/>
      <c r="F80" s="52"/>
      <c r="G80" s="419"/>
      <c r="H80" s="50"/>
      <c r="I80" s="50"/>
      <c r="J80" s="50"/>
      <c r="K80" s="50"/>
      <c r="L80" s="50"/>
      <c r="M80" s="50"/>
      <c r="N80" s="71"/>
    </row>
    <row r="81" spans="1:14">
      <c r="A81" s="32"/>
      <c r="B81" s="39"/>
      <c r="C81" s="48"/>
      <c r="D81" s="51"/>
      <c r="E81" s="52"/>
      <c r="F81" s="52"/>
      <c r="G81" s="419"/>
      <c r="H81" s="50"/>
      <c r="I81" s="50"/>
      <c r="J81" s="50"/>
      <c r="K81" s="50"/>
      <c r="L81" s="50"/>
      <c r="M81" s="50"/>
      <c r="N81" s="71"/>
    </row>
    <row r="82" spans="1:14">
      <c r="A82" s="32" t="s">
        <v>140</v>
      </c>
      <c r="B82" s="33" t="s">
        <v>141</v>
      </c>
      <c r="C82" s="48"/>
      <c r="D82" s="51"/>
      <c r="E82" s="52"/>
      <c r="F82" s="52"/>
      <c r="G82" s="419"/>
      <c r="H82" s="50"/>
      <c r="I82" s="50"/>
      <c r="J82" s="50"/>
      <c r="K82" s="50"/>
      <c r="L82" s="50"/>
      <c r="M82" s="50"/>
      <c r="N82" s="71"/>
    </row>
    <row r="83" spans="1:14" ht="68.25" customHeight="1">
      <c r="A83" s="32"/>
      <c r="B83" s="38" t="s">
        <v>170</v>
      </c>
      <c r="C83" s="48"/>
      <c r="D83" s="51"/>
      <c r="E83" s="52"/>
      <c r="F83" s="52"/>
      <c r="G83" s="419"/>
      <c r="H83" s="50"/>
      <c r="I83" s="50"/>
      <c r="J83" s="50"/>
      <c r="K83" s="50"/>
      <c r="L83" s="50"/>
      <c r="M83" s="50"/>
      <c r="N83" s="71"/>
    </row>
    <row r="84" spans="1:14">
      <c r="A84" s="32" t="s">
        <v>131</v>
      </c>
      <c r="B84" s="39" t="s">
        <v>86</v>
      </c>
      <c r="C84" s="48" t="s">
        <v>9</v>
      </c>
      <c r="D84" s="51">
        <v>19970</v>
      </c>
      <c r="E84" s="52">
        <v>265</v>
      </c>
      <c r="F84" s="52">
        <f t="shared" ref="F84:F85" si="15">$D84*E84</f>
        <v>5292050</v>
      </c>
      <c r="G84" s="419"/>
      <c r="H84" s="50"/>
      <c r="I84" s="50">
        <f t="shared" si="14"/>
        <v>0</v>
      </c>
      <c r="J84" s="50"/>
      <c r="K84" s="50"/>
      <c r="L84" s="50">
        <f t="shared" si="11"/>
        <v>0</v>
      </c>
      <c r="M84" s="50">
        <f t="shared" si="12"/>
        <v>0</v>
      </c>
      <c r="N84" s="71">
        <f t="shared" si="13"/>
        <v>0</v>
      </c>
    </row>
    <row r="85" spans="1:14" ht="25.5">
      <c r="A85" s="32" t="s">
        <v>132</v>
      </c>
      <c r="B85" s="39" t="s">
        <v>88</v>
      </c>
      <c r="C85" s="48" t="s">
        <v>9</v>
      </c>
      <c r="D85" s="51">
        <v>22825</v>
      </c>
      <c r="E85" s="52">
        <v>280</v>
      </c>
      <c r="F85" s="52">
        <f t="shared" si="15"/>
        <v>6391000</v>
      </c>
      <c r="G85" s="419"/>
      <c r="H85" s="50"/>
      <c r="I85" s="50">
        <f t="shared" si="14"/>
        <v>0</v>
      </c>
      <c r="J85" s="50"/>
      <c r="K85" s="50"/>
      <c r="L85" s="50">
        <f t="shared" si="11"/>
        <v>0</v>
      </c>
      <c r="M85" s="50">
        <f t="shared" si="12"/>
        <v>0</v>
      </c>
      <c r="N85" s="71">
        <f t="shared" si="13"/>
        <v>0</v>
      </c>
    </row>
    <row r="86" spans="1:14">
      <c r="A86" s="32" t="s">
        <v>142</v>
      </c>
      <c r="B86" s="33" t="s">
        <v>141</v>
      </c>
      <c r="C86" s="48"/>
      <c r="D86" s="51"/>
      <c r="E86" s="52"/>
      <c r="F86" s="52"/>
      <c r="G86" s="419"/>
      <c r="H86" s="50"/>
      <c r="I86" s="50"/>
      <c r="J86" s="50"/>
      <c r="K86" s="50"/>
      <c r="L86" s="50"/>
      <c r="M86" s="50"/>
      <c r="N86" s="71"/>
    </row>
    <row r="87" spans="1:14" ht="69" customHeight="1">
      <c r="A87" s="32"/>
      <c r="B87" s="38" t="s">
        <v>171</v>
      </c>
      <c r="C87" s="48"/>
      <c r="D87" s="51"/>
      <c r="E87" s="52"/>
      <c r="F87" s="52"/>
      <c r="G87" s="419"/>
      <c r="H87" s="50"/>
      <c r="I87" s="50"/>
      <c r="J87" s="50"/>
      <c r="K87" s="50"/>
      <c r="L87" s="50"/>
      <c r="M87" s="50"/>
      <c r="N87" s="71"/>
    </row>
    <row r="88" spans="1:14">
      <c r="A88" s="32" t="s">
        <v>131</v>
      </c>
      <c r="B88" s="39" t="s">
        <v>86</v>
      </c>
      <c r="C88" s="48" t="s">
        <v>9</v>
      </c>
      <c r="D88" s="51">
        <v>9135</v>
      </c>
      <c r="E88" s="52">
        <v>255</v>
      </c>
      <c r="F88" s="52">
        <f t="shared" ref="F88:F89" si="16">$D88*E88</f>
        <v>2329425</v>
      </c>
      <c r="G88" s="419"/>
      <c r="H88" s="50"/>
      <c r="I88" s="50">
        <f t="shared" si="14"/>
        <v>0</v>
      </c>
      <c r="J88" s="50"/>
      <c r="K88" s="50"/>
      <c r="L88" s="50">
        <f t="shared" si="11"/>
        <v>0</v>
      </c>
      <c r="M88" s="50">
        <f t="shared" si="12"/>
        <v>0</v>
      </c>
      <c r="N88" s="71">
        <f t="shared" si="13"/>
        <v>0</v>
      </c>
    </row>
    <row r="89" spans="1:14" ht="25.5">
      <c r="A89" s="32" t="s">
        <v>132</v>
      </c>
      <c r="B89" s="39" t="s">
        <v>88</v>
      </c>
      <c r="C89" s="48" t="s">
        <v>9</v>
      </c>
      <c r="D89" s="51">
        <v>10440</v>
      </c>
      <c r="E89" s="52">
        <v>270</v>
      </c>
      <c r="F89" s="52">
        <f t="shared" si="16"/>
        <v>2818800</v>
      </c>
      <c r="G89" s="419"/>
      <c r="H89" s="50"/>
      <c r="I89" s="50">
        <f t="shared" si="14"/>
        <v>0</v>
      </c>
      <c r="J89" s="50"/>
      <c r="K89" s="50"/>
      <c r="L89" s="50">
        <f t="shared" si="11"/>
        <v>0</v>
      </c>
      <c r="M89" s="50">
        <f t="shared" si="12"/>
        <v>0</v>
      </c>
      <c r="N89" s="71">
        <f t="shared" si="13"/>
        <v>0</v>
      </c>
    </row>
    <row r="90" spans="1:14" ht="96" customHeight="1">
      <c r="A90" s="32">
        <v>6.3</v>
      </c>
      <c r="B90" s="38" t="s">
        <v>172</v>
      </c>
      <c r="C90" s="48" t="s">
        <v>9</v>
      </c>
      <c r="D90" s="51">
        <v>19200</v>
      </c>
      <c r="E90" s="52">
        <v>480</v>
      </c>
      <c r="F90" s="52">
        <f>$D90*E90</f>
        <v>9216000</v>
      </c>
      <c r="G90" s="419"/>
      <c r="H90" s="50"/>
      <c r="I90" s="50">
        <f t="shared" si="14"/>
        <v>0</v>
      </c>
      <c r="J90" s="50"/>
      <c r="K90" s="50"/>
      <c r="L90" s="50"/>
      <c r="M90" s="50"/>
      <c r="N90" s="71">
        <f t="shared" si="13"/>
        <v>0</v>
      </c>
    </row>
    <row r="91" spans="1:14" ht="67.5" customHeight="1">
      <c r="A91" s="32">
        <v>6.4</v>
      </c>
      <c r="B91" s="38" t="s">
        <v>173</v>
      </c>
      <c r="C91" s="48" t="s">
        <v>9</v>
      </c>
      <c r="D91" s="51">
        <v>1000</v>
      </c>
      <c r="E91" s="52">
        <v>380</v>
      </c>
      <c r="F91" s="52">
        <f>$D91*E91</f>
        <v>380000</v>
      </c>
      <c r="G91" s="419"/>
      <c r="H91" s="50"/>
      <c r="I91" s="50">
        <f t="shared" si="14"/>
        <v>0</v>
      </c>
      <c r="J91" s="50"/>
      <c r="K91" s="50"/>
      <c r="L91" s="50">
        <f t="shared" si="11"/>
        <v>0</v>
      </c>
      <c r="M91" s="50">
        <f t="shared" si="12"/>
        <v>0</v>
      </c>
      <c r="N91" s="71">
        <f t="shared" si="13"/>
        <v>0</v>
      </c>
    </row>
    <row r="92" spans="1:14">
      <c r="A92" s="32"/>
      <c r="B92" s="33" t="s">
        <v>143</v>
      </c>
      <c r="C92" s="48"/>
      <c r="D92" s="51"/>
      <c r="E92" s="52"/>
      <c r="F92" s="52">
        <f>SUBTOTAL(9,F81:F91)</f>
        <v>26427275</v>
      </c>
      <c r="G92" s="419"/>
      <c r="H92" s="50"/>
      <c r="I92" s="50"/>
      <c r="J92" s="50"/>
      <c r="K92" s="50"/>
      <c r="L92" s="50"/>
      <c r="M92" s="50"/>
      <c r="N92" s="71"/>
    </row>
    <row r="93" spans="1:14">
      <c r="A93" s="32"/>
      <c r="B93" s="39"/>
      <c r="C93" s="48"/>
      <c r="D93" s="51"/>
      <c r="E93" s="52"/>
      <c r="F93" s="52"/>
      <c r="G93" s="419"/>
      <c r="H93" s="50"/>
      <c r="I93" s="50"/>
      <c r="J93" s="50"/>
      <c r="K93" s="50"/>
      <c r="L93" s="50"/>
      <c r="M93" s="50"/>
      <c r="N93" s="71"/>
    </row>
    <row r="94" spans="1:14">
      <c r="A94" s="29">
        <v>7</v>
      </c>
      <c r="B94" s="33" t="s">
        <v>144</v>
      </c>
      <c r="C94" s="48"/>
      <c r="D94" s="51"/>
      <c r="E94" s="52"/>
      <c r="F94" s="52"/>
      <c r="G94" s="419"/>
      <c r="H94" s="50"/>
      <c r="I94" s="50"/>
      <c r="J94" s="50"/>
      <c r="K94" s="50"/>
      <c r="L94" s="50"/>
      <c r="M94" s="50"/>
      <c r="N94" s="71"/>
    </row>
    <row r="95" spans="1:14" ht="108.75" customHeight="1">
      <c r="A95" s="32" t="s">
        <v>145</v>
      </c>
      <c r="B95" s="38" t="s">
        <v>174</v>
      </c>
      <c r="C95" s="48" t="s">
        <v>59</v>
      </c>
      <c r="D95" s="51">
        <v>39665</v>
      </c>
      <c r="E95" s="52">
        <v>110</v>
      </c>
      <c r="F95" s="52">
        <f>$D95*E95</f>
        <v>4363150</v>
      </c>
      <c r="G95" s="419"/>
      <c r="H95" s="50"/>
      <c r="I95" s="50">
        <f t="shared" si="14"/>
        <v>0</v>
      </c>
      <c r="J95" s="50"/>
      <c r="K95" s="50"/>
      <c r="L95" s="50">
        <f t="shared" si="11"/>
        <v>0</v>
      </c>
      <c r="M95" s="50">
        <f t="shared" si="12"/>
        <v>0</v>
      </c>
      <c r="N95" s="71">
        <f t="shared" si="13"/>
        <v>0</v>
      </c>
    </row>
    <row r="96" spans="1:14">
      <c r="A96" s="32"/>
      <c r="B96" s="33" t="s">
        <v>146</v>
      </c>
      <c r="C96" s="48"/>
      <c r="D96" s="51"/>
      <c r="E96" s="52"/>
      <c r="F96" s="52">
        <f>SUBTOTAL(9,F95)</f>
        <v>4363150</v>
      </c>
      <c r="G96" s="419"/>
      <c r="H96" s="50"/>
      <c r="I96" s="50"/>
      <c r="J96" s="50"/>
      <c r="K96" s="50"/>
      <c r="L96" s="50"/>
      <c r="M96" s="50"/>
      <c r="N96" s="71"/>
    </row>
    <row r="97" spans="1:14">
      <c r="A97" s="32"/>
      <c r="B97" s="39"/>
      <c r="C97" s="48"/>
      <c r="D97" s="51"/>
      <c r="E97" s="52"/>
      <c r="F97" s="52"/>
      <c r="G97" s="419"/>
      <c r="H97" s="50"/>
      <c r="I97" s="50"/>
      <c r="J97" s="50"/>
      <c r="K97" s="50"/>
      <c r="L97" s="50"/>
      <c r="M97" s="50"/>
      <c r="N97" s="71"/>
    </row>
    <row r="98" spans="1:14">
      <c r="A98" s="29">
        <v>8</v>
      </c>
      <c r="B98" s="33" t="s">
        <v>147</v>
      </c>
      <c r="C98" s="48"/>
      <c r="D98" s="51"/>
      <c r="E98" s="52"/>
      <c r="F98" s="52"/>
      <c r="G98" s="419"/>
      <c r="H98" s="50"/>
      <c r="I98" s="50"/>
      <c r="J98" s="50"/>
      <c r="K98" s="50"/>
      <c r="L98" s="50"/>
      <c r="M98" s="50"/>
      <c r="N98" s="71"/>
    </row>
    <row r="99" spans="1:14" ht="99" customHeight="1">
      <c r="A99" s="32">
        <v>1</v>
      </c>
      <c r="B99" s="38" t="s">
        <v>175</v>
      </c>
      <c r="C99" s="48" t="s">
        <v>72</v>
      </c>
      <c r="D99" s="51">
        <v>50</v>
      </c>
      <c r="E99" s="52">
        <v>79000</v>
      </c>
      <c r="F99" s="52">
        <f>$D99*E99</f>
        <v>3950000</v>
      </c>
      <c r="G99" s="419"/>
      <c r="H99" s="50"/>
      <c r="I99" s="50">
        <f t="shared" si="14"/>
        <v>0</v>
      </c>
      <c r="J99" s="50"/>
      <c r="K99" s="50"/>
      <c r="L99" s="50">
        <f t="shared" si="11"/>
        <v>0</v>
      </c>
      <c r="M99" s="50">
        <f t="shared" si="12"/>
        <v>0</v>
      </c>
      <c r="N99" s="71">
        <f t="shared" si="13"/>
        <v>0</v>
      </c>
    </row>
    <row r="100" spans="1:14">
      <c r="A100" s="32"/>
      <c r="B100" s="33" t="s">
        <v>148</v>
      </c>
      <c r="C100" s="48"/>
      <c r="D100" s="51"/>
      <c r="E100" s="52"/>
      <c r="F100" s="52">
        <f>SUBTOTAL(9,F99)</f>
        <v>3950000</v>
      </c>
      <c r="G100" s="419"/>
      <c r="H100" s="50"/>
      <c r="I100" s="50"/>
      <c r="J100" s="50"/>
      <c r="K100" s="50"/>
      <c r="L100" s="50"/>
      <c r="M100" s="50"/>
      <c r="N100" s="71"/>
    </row>
    <row r="101" spans="1:14">
      <c r="A101" s="32"/>
      <c r="B101" s="39"/>
      <c r="C101" s="48"/>
      <c r="D101" s="51"/>
      <c r="E101" s="52"/>
      <c r="F101" s="52"/>
      <c r="G101" s="419"/>
      <c r="H101" s="50"/>
      <c r="I101" s="50"/>
      <c r="J101" s="50"/>
      <c r="K101" s="50"/>
      <c r="L101" s="50"/>
      <c r="M101" s="50"/>
      <c r="N101" s="71"/>
    </row>
    <row r="102" spans="1:14">
      <c r="A102" s="29">
        <v>9</v>
      </c>
      <c r="B102" s="33" t="s">
        <v>149</v>
      </c>
      <c r="C102" s="48"/>
      <c r="D102" s="51"/>
      <c r="E102" s="52"/>
      <c r="F102" s="52"/>
      <c r="G102" s="419"/>
      <c r="H102" s="50"/>
      <c r="I102" s="50"/>
      <c r="J102" s="50"/>
      <c r="K102" s="50"/>
      <c r="L102" s="50"/>
      <c r="M102" s="50"/>
      <c r="N102" s="71"/>
    </row>
    <row r="103" spans="1:14">
      <c r="A103" s="32"/>
      <c r="B103" s="33" t="s">
        <v>150</v>
      </c>
      <c r="C103" s="48"/>
      <c r="D103" s="51"/>
      <c r="E103" s="52"/>
      <c r="F103" s="52"/>
      <c r="G103" s="419"/>
      <c r="H103" s="50"/>
      <c r="I103" s="50"/>
      <c r="J103" s="50"/>
      <c r="K103" s="50"/>
      <c r="L103" s="50"/>
      <c r="M103" s="50"/>
      <c r="N103" s="71"/>
    </row>
    <row r="104" spans="1:14" ht="115.5" customHeight="1">
      <c r="A104" s="34">
        <v>1</v>
      </c>
      <c r="B104" s="35" t="s">
        <v>151</v>
      </c>
      <c r="C104" s="463" t="s">
        <v>9</v>
      </c>
      <c r="D104" s="464">
        <v>1000</v>
      </c>
      <c r="E104" s="465">
        <v>1150</v>
      </c>
      <c r="F104" s="465">
        <f>$D104*E104</f>
        <v>1150000</v>
      </c>
      <c r="G104" s="419"/>
      <c r="H104" s="50"/>
      <c r="I104" s="50">
        <f t="shared" si="14"/>
        <v>0</v>
      </c>
      <c r="J104" s="50"/>
      <c r="K104" s="50"/>
      <c r="L104" s="50">
        <f t="shared" si="11"/>
        <v>0</v>
      </c>
      <c r="M104" s="50">
        <f t="shared" si="12"/>
        <v>0</v>
      </c>
      <c r="N104" s="71">
        <f t="shared" si="13"/>
        <v>0</v>
      </c>
    </row>
    <row r="105" spans="1:14" ht="67.5" customHeight="1">
      <c r="A105" s="36"/>
      <c r="B105" s="42" t="s">
        <v>176</v>
      </c>
      <c r="C105" s="463"/>
      <c r="D105" s="464"/>
      <c r="E105" s="465"/>
      <c r="F105" s="465"/>
      <c r="G105" s="419"/>
      <c r="H105" s="50"/>
      <c r="I105" s="50"/>
      <c r="J105" s="50"/>
      <c r="K105" s="50"/>
      <c r="L105" s="50"/>
      <c r="M105" s="50"/>
      <c r="N105" s="71"/>
    </row>
    <row r="106" spans="1:14">
      <c r="A106" s="32"/>
      <c r="B106" s="33" t="s">
        <v>152</v>
      </c>
      <c r="C106" s="48"/>
      <c r="D106" s="51"/>
      <c r="E106" s="52"/>
      <c r="F106" s="52">
        <f>SUBTOTAL(9,F104:F105)</f>
        <v>1150000</v>
      </c>
      <c r="G106" s="419"/>
      <c r="H106" s="50"/>
      <c r="I106" s="50"/>
      <c r="J106" s="50"/>
      <c r="K106" s="50"/>
      <c r="L106" s="50"/>
      <c r="M106" s="50"/>
      <c r="N106" s="71"/>
    </row>
    <row r="107" spans="1:14">
      <c r="A107" s="32"/>
      <c r="B107" s="39"/>
      <c r="C107" s="48"/>
      <c r="D107" s="51"/>
      <c r="E107" s="52"/>
      <c r="F107" s="52"/>
      <c r="G107" s="419"/>
      <c r="H107" s="50"/>
      <c r="I107" s="50"/>
      <c r="J107" s="50"/>
      <c r="K107" s="50"/>
      <c r="L107" s="50"/>
      <c r="M107" s="50"/>
      <c r="N107" s="71"/>
    </row>
    <row r="108" spans="1:14">
      <c r="A108" s="43"/>
      <c r="B108" s="44" t="s">
        <v>153</v>
      </c>
      <c r="C108" s="48"/>
      <c r="D108" s="51"/>
      <c r="E108" s="52"/>
      <c r="F108" s="52">
        <f>SUBTOTAL(9,F8:F106)</f>
        <v>162074375</v>
      </c>
      <c r="G108" s="419"/>
      <c r="H108" s="358">
        <f>SUM(H9:H107)</f>
        <v>0</v>
      </c>
      <c r="I108" s="358">
        <f>SUM(I9:I107)</f>
        <v>1891.7915284801115</v>
      </c>
      <c r="J108" s="358">
        <f t="shared" ref="J108:M108" si="17">SUM(J9:J107)</f>
        <v>1891.7915284801115</v>
      </c>
      <c r="K108" s="358">
        <f t="shared" si="17"/>
        <v>0</v>
      </c>
      <c r="L108" s="358">
        <f t="shared" si="17"/>
        <v>5824183.5117059415</v>
      </c>
      <c r="M108" s="358">
        <f t="shared" si="17"/>
        <v>5824183.5117059415</v>
      </c>
      <c r="N108" s="71"/>
    </row>
    <row r="109" spans="1:14">
      <c r="A109" s="40"/>
      <c r="B109" s="40"/>
      <c r="C109" s="60"/>
      <c r="D109" s="61"/>
      <c r="E109" s="62"/>
      <c r="F109" s="62"/>
      <c r="G109" s="62"/>
      <c r="H109" s="50"/>
      <c r="I109" s="50"/>
      <c r="J109" s="50"/>
      <c r="K109" s="50"/>
      <c r="L109" s="50"/>
      <c r="M109" s="50"/>
      <c r="N109" s="71"/>
    </row>
    <row r="110" spans="1:14">
      <c r="E110" s="63"/>
      <c r="F110" s="63"/>
      <c r="G110" s="63"/>
    </row>
  </sheetData>
  <mergeCells count="17">
    <mergeCell ref="B6:B7"/>
    <mergeCell ref="A6:A7"/>
    <mergeCell ref="A1:O1"/>
    <mergeCell ref="B2:I2"/>
    <mergeCell ref="J2:N2"/>
    <mergeCell ref="J3:N3"/>
    <mergeCell ref="J4:N4"/>
    <mergeCell ref="A5:N5"/>
    <mergeCell ref="H6:J6"/>
    <mergeCell ref="K6:M6"/>
    <mergeCell ref="N6:N7"/>
    <mergeCell ref="C104:C105"/>
    <mergeCell ref="D104:D105"/>
    <mergeCell ref="E104:E105"/>
    <mergeCell ref="F104:F105"/>
    <mergeCell ref="D6:F6"/>
    <mergeCell ref="C6:C7"/>
  </mergeCells>
  <printOptions horizontalCentered="1"/>
  <pageMargins left="0" right="0" top="0.31496062992126" bottom="0.511811023622047" header="0.31496062992126" footer="0.31496062992126"/>
  <pageSetup paperSize="9" scale="75" orientation="portrait" r:id="rId1"/>
  <headerFoot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election activeCell="I18" sqref="I18"/>
    </sheetView>
  </sheetViews>
  <sheetFormatPr defaultRowHeight="15"/>
  <cols>
    <col min="2" max="2" width="19.140625" customWidth="1"/>
    <col min="9" max="9" width="9.85546875" customWidth="1"/>
    <col min="10" max="10" width="11.140625" customWidth="1"/>
  </cols>
  <sheetData>
    <row r="1" spans="1:10">
      <c r="A1" s="73" t="s">
        <v>187</v>
      </c>
      <c r="B1" s="74"/>
      <c r="C1" s="74"/>
      <c r="D1" s="74"/>
      <c r="E1" s="74"/>
      <c r="F1" s="74"/>
      <c r="G1" s="74"/>
      <c r="H1" s="74"/>
      <c r="I1" s="74"/>
      <c r="J1" s="75"/>
    </row>
    <row r="2" spans="1:10">
      <c r="A2" s="76" t="s">
        <v>188</v>
      </c>
      <c r="B2" s="27"/>
      <c r="C2" s="27"/>
      <c r="D2" s="27"/>
      <c r="E2" s="27"/>
      <c r="F2" s="27"/>
      <c r="G2" s="27"/>
      <c r="H2" s="27"/>
      <c r="I2" s="27"/>
      <c r="J2" s="77"/>
    </row>
    <row r="3" spans="1:10">
      <c r="A3" s="76" t="s">
        <v>189</v>
      </c>
      <c r="B3" s="27"/>
      <c r="C3" s="27"/>
      <c r="D3" s="27"/>
      <c r="E3" s="27"/>
      <c r="F3" s="27"/>
      <c r="G3" s="27"/>
      <c r="H3" s="27"/>
      <c r="I3" s="27"/>
      <c r="J3" s="77"/>
    </row>
    <row r="4" spans="1:10">
      <c r="A4" s="76" t="s">
        <v>190</v>
      </c>
      <c r="B4" s="27"/>
      <c r="C4" s="27"/>
      <c r="D4" s="27"/>
      <c r="E4" s="27"/>
      <c r="F4" s="27"/>
      <c r="G4" s="27"/>
      <c r="H4" s="27"/>
      <c r="I4" s="27"/>
      <c r="J4" s="77"/>
    </row>
    <row r="5" spans="1:10">
      <c r="A5" s="78"/>
      <c r="B5" s="79"/>
      <c r="C5" s="79"/>
      <c r="D5" s="79"/>
      <c r="E5" s="79"/>
      <c r="F5" s="79"/>
      <c r="G5" s="79"/>
      <c r="H5" s="79"/>
      <c r="I5" s="79"/>
      <c r="J5" s="80"/>
    </row>
    <row r="6" spans="1:10">
      <c r="A6" s="478" t="s">
        <v>1</v>
      </c>
      <c r="B6" s="473" t="s">
        <v>191</v>
      </c>
      <c r="C6" s="473" t="s">
        <v>3</v>
      </c>
      <c r="D6" s="473" t="s">
        <v>64</v>
      </c>
      <c r="E6" s="473" t="s">
        <v>64</v>
      </c>
      <c r="F6" s="473" t="s">
        <v>192</v>
      </c>
      <c r="G6" s="473"/>
      <c r="H6" s="473"/>
      <c r="I6" s="473" t="s">
        <v>193</v>
      </c>
      <c r="J6" s="474" t="s">
        <v>21</v>
      </c>
    </row>
    <row r="7" spans="1:10">
      <c r="A7" s="478"/>
      <c r="B7" s="473"/>
      <c r="C7" s="473"/>
      <c r="D7" s="473"/>
      <c r="E7" s="473"/>
      <c r="F7" s="81" t="s">
        <v>61</v>
      </c>
      <c r="G7" s="81" t="s">
        <v>62</v>
      </c>
      <c r="H7" s="81" t="s">
        <v>194</v>
      </c>
      <c r="I7" s="473"/>
      <c r="J7" s="474"/>
    </row>
    <row r="8" spans="1:10" ht="30">
      <c r="A8" s="82"/>
      <c r="B8" s="83" t="s">
        <v>195</v>
      </c>
      <c r="C8" s="84"/>
      <c r="D8" s="84"/>
      <c r="E8" s="84"/>
      <c r="F8" s="84"/>
      <c r="G8" s="84"/>
      <c r="H8" s="84"/>
      <c r="I8" s="84"/>
      <c r="J8" s="85"/>
    </row>
    <row r="9" spans="1:10">
      <c r="A9" s="82">
        <v>1</v>
      </c>
      <c r="B9" s="84" t="s">
        <v>196</v>
      </c>
      <c r="C9" s="84" t="s">
        <v>9</v>
      </c>
      <c r="D9" s="84">
        <v>1</v>
      </c>
      <c r="E9" s="84">
        <v>1</v>
      </c>
      <c r="F9" s="410">
        <f>31.935+0.115+0.115+0.1+0.1</f>
        <v>32.365000000000002</v>
      </c>
      <c r="G9" s="410">
        <f>36.895+0.115+0.1+0.115+0.1</f>
        <v>37.32500000000001</v>
      </c>
      <c r="H9" s="86"/>
      <c r="I9" s="87">
        <f t="shared" ref="I9:I15" si="0">PRODUCT(D9:H9)</f>
        <v>1208.0236250000005</v>
      </c>
      <c r="J9" s="85"/>
    </row>
    <row r="10" spans="1:10">
      <c r="A10" s="82">
        <v>2</v>
      </c>
      <c r="B10" s="84"/>
      <c r="C10" s="84" t="s">
        <v>9</v>
      </c>
      <c r="D10" s="84">
        <v>1</v>
      </c>
      <c r="E10" s="84">
        <v>1</v>
      </c>
      <c r="F10" s="410">
        <f>8.78+0.115+0.115+0.1+0.1</f>
        <v>9.2099999999999991</v>
      </c>
      <c r="G10" s="410">
        <v>0.51500000000000001</v>
      </c>
      <c r="H10" s="86"/>
      <c r="I10" s="87">
        <f t="shared" si="0"/>
        <v>4.74315</v>
      </c>
      <c r="J10" s="85"/>
    </row>
    <row r="11" spans="1:10">
      <c r="A11" s="82">
        <v>3</v>
      </c>
      <c r="B11" s="84" t="s">
        <v>197</v>
      </c>
      <c r="C11" s="84" t="s">
        <v>9</v>
      </c>
      <c r="D11" s="84">
        <v>-1</v>
      </c>
      <c r="E11" s="84">
        <v>1</v>
      </c>
      <c r="F11" s="410">
        <v>11.005000000000001</v>
      </c>
      <c r="G11" s="410">
        <v>12.414999999999999</v>
      </c>
      <c r="H11" s="86"/>
      <c r="I11" s="87">
        <f t="shared" si="0"/>
        <v>-136.62707499999999</v>
      </c>
      <c r="J11" s="85"/>
    </row>
    <row r="12" spans="1:10">
      <c r="A12" s="82">
        <v>4</v>
      </c>
      <c r="B12" s="84" t="s">
        <v>198</v>
      </c>
      <c r="C12" s="84" t="s">
        <v>9</v>
      </c>
      <c r="D12" s="84">
        <v>-1</v>
      </c>
      <c r="E12" s="84">
        <v>1</v>
      </c>
      <c r="F12" s="410">
        <v>11.09</v>
      </c>
      <c r="G12" s="410">
        <v>10.285</v>
      </c>
      <c r="H12" s="86"/>
      <c r="I12" s="87">
        <f t="shared" si="0"/>
        <v>-114.06065</v>
      </c>
      <c r="J12" s="85"/>
    </row>
    <row r="13" spans="1:10">
      <c r="A13" s="82">
        <v>5</v>
      </c>
      <c r="B13" s="475" t="s">
        <v>199</v>
      </c>
      <c r="C13" s="84" t="s">
        <v>9</v>
      </c>
      <c r="D13" s="84">
        <v>-1</v>
      </c>
      <c r="E13" s="84">
        <v>1</v>
      </c>
      <c r="F13" s="410">
        <v>11.285</v>
      </c>
      <c r="G13" s="410">
        <f>1.405+0.815+1.5</f>
        <v>3.7199999999999998</v>
      </c>
      <c r="H13" s="86"/>
      <c r="I13" s="87">
        <f t="shared" si="0"/>
        <v>-41.980199999999996</v>
      </c>
      <c r="J13" s="85"/>
    </row>
    <row r="14" spans="1:10">
      <c r="A14" s="82">
        <v>6</v>
      </c>
      <c r="B14" s="476"/>
      <c r="C14" s="84" t="s">
        <v>9</v>
      </c>
      <c r="D14" s="84">
        <v>-1</v>
      </c>
      <c r="E14" s="84">
        <v>1</v>
      </c>
      <c r="F14" s="410">
        <v>1.6950000000000001</v>
      </c>
      <c r="G14" s="410">
        <f>0.815+1.5</f>
        <v>2.3149999999999999</v>
      </c>
      <c r="H14" s="86"/>
      <c r="I14" s="87">
        <f t="shared" si="0"/>
        <v>-3.9239250000000001</v>
      </c>
      <c r="J14" s="85"/>
    </row>
    <row r="15" spans="1:10">
      <c r="A15" s="82">
        <v>7</v>
      </c>
      <c r="B15" s="477"/>
      <c r="C15" s="84" t="s">
        <v>9</v>
      </c>
      <c r="D15" s="84">
        <v>-1</v>
      </c>
      <c r="E15" s="84">
        <v>1</v>
      </c>
      <c r="F15" s="410">
        <v>3.95</v>
      </c>
      <c r="G15" s="410">
        <v>1.5</v>
      </c>
      <c r="H15" s="86"/>
      <c r="I15" s="87">
        <f t="shared" si="0"/>
        <v>-5.9250000000000007</v>
      </c>
      <c r="J15" s="85"/>
    </row>
    <row r="16" spans="1:10">
      <c r="A16" s="82">
        <v>8</v>
      </c>
      <c r="B16" s="84"/>
      <c r="C16" s="84" t="s">
        <v>9</v>
      </c>
      <c r="D16" s="84">
        <v>-1</v>
      </c>
      <c r="E16" s="84">
        <v>1</v>
      </c>
      <c r="F16" s="410">
        <v>15.8</v>
      </c>
      <c r="G16" s="410">
        <f>0.115+0.1</f>
        <v>0.21500000000000002</v>
      </c>
      <c r="H16" s="86"/>
      <c r="I16" s="87">
        <f t="shared" ref="I16" si="1">PRODUCT(D16:H16)</f>
        <v>-3.3970000000000007</v>
      </c>
      <c r="J16" s="85"/>
    </row>
    <row r="17" spans="1:10">
      <c r="A17" s="82"/>
      <c r="B17" s="84"/>
      <c r="C17" s="84"/>
      <c r="D17" s="84"/>
      <c r="E17" s="84"/>
      <c r="F17" s="84"/>
      <c r="G17" s="84"/>
      <c r="H17" s="84"/>
      <c r="I17" s="87"/>
      <c r="J17" s="85"/>
    </row>
    <row r="18" spans="1:10">
      <c r="A18" s="82"/>
      <c r="B18" s="84"/>
      <c r="C18" s="84"/>
      <c r="D18" s="84"/>
      <c r="E18" s="84"/>
      <c r="F18" s="84"/>
      <c r="G18" s="84"/>
      <c r="H18" s="88" t="s">
        <v>57</v>
      </c>
      <c r="I18" s="89">
        <f>SUM(I8:I17)</f>
        <v>906.8529250000006</v>
      </c>
      <c r="J18" s="85"/>
    </row>
    <row r="19" spans="1:10" ht="15.75" thickBot="1">
      <c r="A19" s="90"/>
      <c r="B19" s="91"/>
      <c r="C19" s="91"/>
      <c r="D19" s="91"/>
      <c r="E19" s="91"/>
      <c r="F19" s="91"/>
      <c r="G19" s="91"/>
      <c r="H19" s="91"/>
      <c r="I19" s="91"/>
      <c r="J19" s="92"/>
    </row>
    <row r="20" spans="1:10">
      <c r="A20" s="93"/>
      <c r="B20" s="93"/>
      <c r="C20" s="93"/>
      <c r="D20" s="93"/>
      <c r="E20" s="93"/>
      <c r="F20" s="93"/>
      <c r="G20" s="93"/>
      <c r="H20" s="93"/>
      <c r="I20" s="93"/>
      <c r="J20" s="93"/>
    </row>
  </sheetData>
  <mergeCells count="9">
    <mergeCell ref="I6:I7"/>
    <mergeCell ref="J6:J7"/>
    <mergeCell ref="B13:B15"/>
    <mergeCell ref="A6:A7"/>
    <mergeCell ref="B6:B7"/>
    <mergeCell ref="C6:C7"/>
    <mergeCell ref="D6:D7"/>
    <mergeCell ref="E6:E7"/>
    <mergeCell ref="F6:H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4"/>
  <sheetViews>
    <sheetView workbookViewId="0">
      <pane xSplit="3" ySplit="4" topLeftCell="D7" activePane="bottomRight" state="frozen"/>
      <selection pane="topRight" activeCell="D1" sqref="D1"/>
      <selection pane="bottomLeft" activeCell="A5" sqref="A5"/>
      <selection pane="bottomRight" activeCell="I10" sqref="I10"/>
    </sheetView>
  </sheetViews>
  <sheetFormatPr defaultRowHeight="15"/>
  <cols>
    <col min="2" max="2" width="44" customWidth="1"/>
  </cols>
  <sheetData>
    <row r="2" spans="1:10">
      <c r="A2" s="479" t="s">
        <v>511</v>
      </c>
      <c r="B2" s="479"/>
      <c r="C2" s="479"/>
      <c r="D2" s="479"/>
      <c r="E2" s="479"/>
      <c r="F2" s="479"/>
      <c r="G2" s="479"/>
      <c r="H2" s="479"/>
      <c r="I2" s="479"/>
      <c r="J2" s="479"/>
    </row>
    <row r="3" spans="1:10">
      <c r="A3" s="178"/>
      <c r="B3" s="178"/>
      <c r="C3" s="178"/>
      <c r="D3" s="479" t="s">
        <v>52</v>
      </c>
      <c r="E3" s="479"/>
      <c r="F3" s="479"/>
      <c r="G3" s="479"/>
      <c r="H3" s="479"/>
      <c r="I3" s="479"/>
      <c r="J3" s="480" t="s">
        <v>57</v>
      </c>
    </row>
    <row r="4" spans="1:10">
      <c r="A4" s="32">
        <v>2</v>
      </c>
      <c r="B4" s="33" t="s">
        <v>76</v>
      </c>
      <c r="C4" s="174"/>
      <c r="D4" s="357" t="s">
        <v>503</v>
      </c>
      <c r="E4" s="357" t="s">
        <v>504</v>
      </c>
      <c r="F4" s="357" t="s">
        <v>505</v>
      </c>
      <c r="G4" s="357" t="s">
        <v>506</v>
      </c>
      <c r="H4" s="357" t="s">
        <v>507</v>
      </c>
      <c r="I4" s="357" t="s">
        <v>508</v>
      </c>
      <c r="J4" s="480"/>
    </row>
    <row r="5" spans="1:10" ht="100.15" customHeight="1">
      <c r="A5" s="32"/>
      <c r="B5" s="39" t="s">
        <v>158</v>
      </c>
      <c r="C5" s="174"/>
      <c r="D5" s="357"/>
      <c r="E5" s="357"/>
      <c r="F5" s="357"/>
      <c r="G5" s="357"/>
      <c r="H5" s="357"/>
      <c r="I5" s="357"/>
      <c r="J5" s="357"/>
    </row>
    <row r="6" spans="1:10" ht="178.5">
      <c r="A6" s="32">
        <v>2.1</v>
      </c>
      <c r="B6" s="38" t="s">
        <v>159</v>
      </c>
      <c r="C6" s="174" t="s">
        <v>72</v>
      </c>
      <c r="D6" s="272">
        <f>'CONCRETE WORK MB'!I23</f>
        <v>56.798192500000027</v>
      </c>
      <c r="E6" s="357"/>
      <c r="F6" s="357"/>
      <c r="G6" s="357"/>
      <c r="H6" s="357"/>
      <c r="I6" s="357"/>
      <c r="J6" s="272">
        <f>SUM(D6:I6)</f>
        <v>56.798192500000027</v>
      </c>
    </row>
    <row r="7" spans="1:10" ht="76.5">
      <c r="A7" s="32" t="s">
        <v>77</v>
      </c>
      <c r="B7" s="39" t="s">
        <v>160</v>
      </c>
      <c r="C7" s="174" t="s">
        <v>72</v>
      </c>
      <c r="D7" s="357"/>
      <c r="E7" s="357"/>
      <c r="F7" s="357"/>
      <c r="G7" s="357"/>
      <c r="H7" s="357"/>
      <c r="I7" s="357"/>
      <c r="J7" s="272">
        <f t="shared" ref="J7:J22" si="0">SUM(D7:I7)</f>
        <v>0</v>
      </c>
    </row>
    <row r="8" spans="1:10" ht="89.25">
      <c r="A8" s="32" t="s">
        <v>78</v>
      </c>
      <c r="B8" s="39" t="s">
        <v>161</v>
      </c>
      <c r="C8" s="174" t="s">
        <v>9</v>
      </c>
      <c r="D8" s="357"/>
      <c r="E8" s="357"/>
      <c r="F8" s="357"/>
      <c r="G8" s="357"/>
      <c r="H8" s="357"/>
      <c r="I8" s="357"/>
      <c r="J8" s="272">
        <f t="shared" si="0"/>
        <v>0</v>
      </c>
    </row>
    <row r="9" spans="1:10">
      <c r="A9" s="32"/>
      <c r="B9" s="39"/>
      <c r="C9" s="174"/>
      <c r="D9" s="357"/>
      <c r="E9" s="357"/>
      <c r="F9" s="357"/>
      <c r="G9" s="357"/>
      <c r="H9" s="357"/>
      <c r="I9" s="357"/>
      <c r="J9" s="272"/>
    </row>
    <row r="10" spans="1:10">
      <c r="A10" s="32" t="s">
        <v>79</v>
      </c>
      <c r="B10" s="33" t="s">
        <v>80</v>
      </c>
      <c r="C10" s="174"/>
      <c r="D10" s="357"/>
      <c r="E10" s="357"/>
      <c r="F10" s="357"/>
      <c r="G10" s="357"/>
      <c r="H10" s="357"/>
      <c r="I10" s="357"/>
      <c r="J10" s="272"/>
    </row>
    <row r="11" spans="1:10" ht="115.15" customHeight="1">
      <c r="A11" s="32"/>
      <c r="B11" s="38" t="s">
        <v>162</v>
      </c>
      <c r="C11" s="174"/>
      <c r="D11" s="357"/>
      <c r="E11" s="357"/>
      <c r="F11" s="357"/>
      <c r="G11" s="357"/>
      <c r="H11" s="357"/>
      <c r="I11" s="357"/>
      <c r="J11" s="272"/>
    </row>
    <row r="12" spans="1:10" ht="51">
      <c r="A12" s="32" t="s">
        <v>81</v>
      </c>
      <c r="B12" s="39" t="s">
        <v>82</v>
      </c>
      <c r="C12" s="174" t="s">
        <v>72</v>
      </c>
      <c r="D12" s="272">
        <f>'CONCRETE WORK MB'!I37</f>
        <v>748.20967374999998</v>
      </c>
      <c r="E12" s="357"/>
      <c r="F12" s="357"/>
      <c r="G12" s="357"/>
      <c r="H12" s="357"/>
      <c r="I12" s="357"/>
      <c r="J12" s="272">
        <f t="shared" si="0"/>
        <v>748.20967374999998</v>
      </c>
    </row>
    <row r="13" spans="1:10" ht="50.45" customHeight="1">
      <c r="A13" s="32" t="s">
        <v>83</v>
      </c>
      <c r="B13" s="39" t="s">
        <v>84</v>
      </c>
      <c r="C13" s="174"/>
      <c r="D13" s="357"/>
      <c r="E13" s="357"/>
      <c r="F13" s="357"/>
      <c r="G13" s="357"/>
      <c r="H13" s="357"/>
      <c r="I13" s="357"/>
      <c r="J13" s="272"/>
    </row>
    <row r="14" spans="1:10">
      <c r="A14" s="32" t="s">
        <v>85</v>
      </c>
      <c r="B14" s="39" t="s">
        <v>86</v>
      </c>
      <c r="C14" s="174" t="s">
        <v>72</v>
      </c>
      <c r="D14" s="357"/>
      <c r="E14" s="357"/>
      <c r="F14" s="357"/>
      <c r="G14" s="357"/>
      <c r="H14" s="357"/>
      <c r="I14" s="357"/>
      <c r="J14" s="272">
        <f t="shared" si="0"/>
        <v>0</v>
      </c>
    </row>
    <row r="15" spans="1:10" ht="25.5">
      <c r="A15" s="32" t="s">
        <v>87</v>
      </c>
      <c r="B15" s="39" t="s">
        <v>88</v>
      </c>
      <c r="C15" s="174" t="s">
        <v>72</v>
      </c>
      <c r="D15" s="357"/>
      <c r="E15" s="357"/>
      <c r="F15" s="357"/>
      <c r="G15" s="357"/>
      <c r="H15" s="357"/>
      <c r="I15" s="357"/>
      <c r="J15" s="272">
        <f t="shared" si="0"/>
        <v>0</v>
      </c>
    </row>
    <row r="16" spans="1:10" ht="38.25">
      <c r="A16" s="32" t="s">
        <v>89</v>
      </c>
      <c r="B16" s="39" t="s">
        <v>90</v>
      </c>
      <c r="C16" s="174" t="s">
        <v>72</v>
      </c>
      <c r="D16" s="357"/>
      <c r="E16" s="357"/>
      <c r="F16" s="357"/>
      <c r="G16" s="357"/>
      <c r="H16" s="357"/>
      <c r="I16" s="357"/>
      <c r="J16" s="272">
        <f t="shared" si="0"/>
        <v>0</v>
      </c>
    </row>
    <row r="17" spans="1:10">
      <c r="A17" s="32"/>
      <c r="B17" s="39"/>
      <c r="C17" s="174"/>
      <c r="D17" s="357"/>
      <c r="E17" s="357"/>
      <c r="F17" s="357"/>
      <c r="G17" s="357"/>
      <c r="H17" s="357"/>
      <c r="I17" s="357"/>
      <c r="J17" s="272"/>
    </row>
    <row r="18" spans="1:10" ht="51" customHeight="1">
      <c r="A18" s="32" t="s">
        <v>91</v>
      </c>
      <c r="B18" s="39" t="s">
        <v>92</v>
      </c>
      <c r="C18" s="174"/>
      <c r="D18" s="357"/>
      <c r="E18" s="357"/>
      <c r="F18" s="357"/>
      <c r="G18" s="357"/>
      <c r="H18" s="357"/>
      <c r="I18" s="357"/>
      <c r="J18" s="272"/>
    </row>
    <row r="19" spans="1:10">
      <c r="A19" s="32" t="s">
        <v>93</v>
      </c>
      <c r="B19" s="39" t="s">
        <v>86</v>
      </c>
      <c r="C19" s="174" t="s">
        <v>72</v>
      </c>
      <c r="D19" s="357"/>
      <c r="E19" s="357"/>
      <c r="F19" s="357"/>
      <c r="G19" s="357"/>
      <c r="H19" s="357"/>
      <c r="I19" s="355"/>
      <c r="J19" s="272">
        <f t="shared" si="0"/>
        <v>0</v>
      </c>
    </row>
    <row r="20" spans="1:10" ht="25.5">
      <c r="A20" s="32" t="s">
        <v>94</v>
      </c>
      <c r="B20" s="39" t="s">
        <v>88</v>
      </c>
      <c r="C20" s="174" t="s">
        <v>72</v>
      </c>
      <c r="D20" s="357"/>
      <c r="E20" s="357"/>
      <c r="F20" s="357"/>
      <c r="G20" s="357"/>
      <c r="H20" s="357"/>
      <c r="I20" s="357"/>
      <c r="J20" s="272">
        <f t="shared" si="0"/>
        <v>0</v>
      </c>
    </row>
    <row r="21" spans="1:10" ht="38.25">
      <c r="A21" s="32" t="s">
        <v>95</v>
      </c>
      <c r="B21" s="39" t="s">
        <v>90</v>
      </c>
      <c r="C21" s="174" t="s">
        <v>72</v>
      </c>
      <c r="D21" s="178"/>
      <c r="E21" s="178"/>
      <c r="F21" s="178"/>
      <c r="G21" s="178"/>
      <c r="H21" s="178"/>
      <c r="I21" s="178"/>
      <c r="J21" s="272">
        <f t="shared" si="0"/>
        <v>0</v>
      </c>
    </row>
    <row r="22" spans="1:10" ht="129.6" customHeight="1">
      <c r="A22" s="32" t="s">
        <v>96</v>
      </c>
      <c r="B22" s="39" t="s">
        <v>163</v>
      </c>
      <c r="C22" s="174" t="s">
        <v>9</v>
      </c>
      <c r="D22" s="178"/>
      <c r="E22" s="178"/>
      <c r="F22" s="178"/>
      <c r="G22" s="178"/>
      <c r="H22" s="178"/>
      <c r="I22" s="178"/>
      <c r="J22" s="272">
        <f t="shared" si="0"/>
        <v>0</v>
      </c>
    </row>
    <row r="23" spans="1:10">
      <c r="A23" s="178"/>
      <c r="B23" s="178"/>
      <c r="C23" s="178"/>
      <c r="D23" s="178"/>
      <c r="E23" s="178"/>
      <c r="F23" s="178"/>
      <c r="G23" s="178"/>
      <c r="H23" s="178"/>
      <c r="I23" s="178"/>
      <c r="J23" s="178"/>
    </row>
    <row r="24" spans="1:10">
      <c r="A24" s="178"/>
      <c r="B24" s="178"/>
      <c r="C24" s="178"/>
      <c r="D24" s="178"/>
      <c r="E24" s="178"/>
      <c r="F24" s="178"/>
      <c r="G24" s="178"/>
      <c r="H24" s="178"/>
      <c r="I24" s="182" t="s">
        <v>57</v>
      </c>
      <c r="J24" s="320">
        <f>SUM(J5:J23)</f>
        <v>805.00786625000001</v>
      </c>
    </row>
  </sheetData>
  <mergeCells count="3">
    <mergeCell ref="D3:I3"/>
    <mergeCell ref="J3:J4"/>
    <mergeCell ref="A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topLeftCell="A7" workbookViewId="0">
      <selection activeCell="J22" sqref="I22:J24"/>
    </sheetView>
  </sheetViews>
  <sheetFormatPr defaultRowHeight="15"/>
  <cols>
    <col min="1" max="1" width="9.140625" style="93"/>
    <col min="2" max="2" width="37.140625" customWidth="1"/>
    <col min="4" max="4" width="22.7109375" customWidth="1"/>
    <col min="9" max="9" width="8.85546875" style="93"/>
    <col min="11" max="11" width="10" bestFit="1" customWidth="1"/>
  </cols>
  <sheetData>
    <row r="1" spans="1:12" ht="28.5">
      <c r="A1" s="389"/>
      <c r="B1" s="481" t="s">
        <v>488</v>
      </c>
      <c r="C1" s="481"/>
      <c r="D1" s="481"/>
      <c r="E1" s="481"/>
      <c r="F1" s="481"/>
      <c r="G1" s="481"/>
      <c r="H1" s="481"/>
      <c r="I1" s="481"/>
      <c r="J1" s="481"/>
      <c r="K1" s="481"/>
      <c r="L1" s="481"/>
    </row>
    <row r="2" spans="1:12" ht="23.25">
      <c r="A2" s="389"/>
      <c r="B2" s="482" t="s">
        <v>469</v>
      </c>
      <c r="C2" s="482"/>
      <c r="D2" s="482"/>
      <c r="E2" s="482"/>
      <c r="F2" s="482"/>
      <c r="G2" s="482"/>
      <c r="H2" s="482"/>
      <c r="I2" s="482"/>
      <c r="J2" s="482"/>
      <c r="K2" s="482"/>
      <c r="L2" s="482"/>
    </row>
    <row r="3" spans="1:12" s="93" customFormat="1">
      <c r="A3" s="288" t="s">
        <v>50</v>
      </c>
      <c r="B3" s="288" t="s">
        <v>470</v>
      </c>
      <c r="C3" s="288" t="s">
        <v>471</v>
      </c>
      <c r="D3" s="288" t="s">
        <v>472</v>
      </c>
      <c r="E3" s="288" t="s">
        <v>473</v>
      </c>
      <c r="F3" s="288" t="s">
        <v>474</v>
      </c>
      <c r="G3" s="288" t="s">
        <v>475</v>
      </c>
      <c r="H3" s="288" t="s">
        <v>60</v>
      </c>
      <c r="I3" s="288" t="s">
        <v>478</v>
      </c>
      <c r="J3" s="355" t="s">
        <v>477</v>
      </c>
      <c r="K3" s="355" t="s">
        <v>476</v>
      </c>
      <c r="L3" s="355" t="s">
        <v>489</v>
      </c>
    </row>
    <row r="4" spans="1:12" s="130" customFormat="1">
      <c r="A4" s="288"/>
      <c r="B4" s="287" t="s">
        <v>465</v>
      </c>
      <c r="C4" s="290"/>
      <c r="D4" s="289"/>
      <c r="E4" s="292"/>
      <c r="F4" s="293"/>
      <c r="G4" s="293"/>
      <c r="H4" s="292"/>
      <c r="I4" s="292"/>
      <c r="J4" s="297"/>
      <c r="K4" s="297"/>
      <c r="L4" s="297"/>
    </row>
    <row r="5" spans="1:12" s="142" customFormat="1">
      <c r="A5" s="292"/>
      <c r="B5" s="290"/>
      <c r="C5" s="290"/>
      <c r="D5" s="289"/>
      <c r="E5" s="292"/>
      <c r="F5" s="293"/>
      <c r="G5" s="293"/>
      <c r="H5" s="292"/>
      <c r="I5" s="292"/>
      <c r="J5" s="293"/>
      <c r="K5" s="293"/>
      <c r="L5" s="293"/>
    </row>
    <row r="6" spans="1:12" s="142" customFormat="1">
      <c r="A6" s="292">
        <v>1</v>
      </c>
      <c r="B6" s="407" t="s">
        <v>561</v>
      </c>
      <c r="C6" s="291" t="s">
        <v>478</v>
      </c>
      <c r="D6" s="388" t="s">
        <v>430</v>
      </c>
      <c r="E6" s="292">
        <v>1</v>
      </c>
      <c r="F6" s="272">
        <f>'CONCRETE WORK MB'!I23</f>
        <v>56.798192500000027</v>
      </c>
      <c r="G6" s="293">
        <f>E6*F6</f>
        <v>56.798192500000027</v>
      </c>
      <c r="H6" s="292" t="s">
        <v>479</v>
      </c>
      <c r="I6" s="293">
        <f>IF(I$3=$C6,$G6,"-")</f>
        <v>56.798192500000027</v>
      </c>
      <c r="J6" s="293" t="str">
        <f>IF(J$3=$C6,$G6,"-")</f>
        <v>-</v>
      </c>
      <c r="K6" s="293" t="str">
        <f t="shared" ref="K6:L7" si="0">IF(K$3=$C6,$G6,"-")</f>
        <v>-</v>
      </c>
      <c r="L6" s="293" t="str">
        <f t="shared" si="0"/>
        <v>-</v>
      </c>
    </row>
    <row r="7" spans="1:12">
      <c r="A7" s="389">
        <v>2</v>
      </c>
      <c r="B7" s="407" t="s">
        <v>562</v>
      </c>
      <c r="C7" s="294" t="s">
        <v>477</v>
      </c>
      <c r="D7" s="388" t="s">
        <v>430</v>
      </c>
      <c r="E7" s="292">
        <f>E6</f>
        <v>1</v>
      </c>
      <c r="F7" s="293">
        <f>'CONCRETE WORK MB'!I37</f>
        <v>748.20967374999998</v>
      </c>
      <c r="G7" s="293">
        <f>E7*F7</f>
        <v>748.20967374999998</v>
      </c>
      <c r="H7" s="292" t="s">
        <v>479</v>
      </c>
      <c r="I7" s="293" t="str">
        <f t="shared" ref="I7:I8" si="1">IF(I$3=$C7,$G7,"-")</f>
        <v>-</v>
      </c>
      <c r="J7" s="293">
        <f t="shared" ref="J7" si="2">IF(J$3=$C7,$G7,"-")</f>
        <v>748.20967374999998</v>
      </c>
      <c r="K7" s="293" t="str">
        <f t="shared" si="0"/>
        <v>-</v>
      </c>
      <c r="L7" s="293" t="str">
        <f t="shared" si="0"/>
        <v>-</v>
      </c>
    </row>
    <row r="8" spans="1:12">
      <c r="A8" s="389"/>
      <c r="B8" s="178"/>
      <c r="C8" s="294"/>
      <c r="D8" s="289"/>
      <c r="E8" s="289"/>
      <c r="F8" s="298"/>
      <c r="G8" s="298"/>
      <c r="H8" s="292"/>
      <c r="I8" s="293" t="str">
        <f t="shared" si="1"/>
        <v>-</v>
      </c>
      <c r="J8" s="178"/>
      <c r="K8" s="178"/>
      <c r="L8" s="178"/>
    </row>
    <row r="9" spans="1:12">
      <c r="A9" s="389"/>
      <c r="B9" s="178"/>
      <c r="C9" s="178"/>
      <c r="D9" s="286"/>
      <c r="E9" s="179"/>
      <c r="F9" s="299"/>
      <c r="G9" s="299"/>
      <c r="H9" s="178"/>
      <c r="I9" s="180"/>
      <c r="J9" s="178"/>
      <c r="K9" s="178"/>
      <c r="L9" s="178"/>
    </row>
    <row r="10" spans="1:12">
      <c r="A10" s="389"/>
      <c r="B10" s="178"/>
      <c r="C10" s="178"/>
      <c r="D10" s="286"/>
      <c r="E10" s="179"/>
      <c r="F10" s="299"/>
      <c r="G10" s="299"/>
      <c r="H10" s="178"/>
      <c r="I10" s="180"/>
      <c r="J10" s="178"/>
      <c r="K10" s="178"/>
      <c r="L10" s="178"/>
    </row>
    <row r="11" spans="1:12" ht="15.75" thickBot="1">
      <c r="A11" s="319"/>
      <c r="B11" s="300"/>
      <c r="C11" s="300"/>
      <c r="D11" s="301"/>
      <c r="E11" s="302"/>
      <c r="F11" s="303"/>
      <c r="G11" s="303"/>
      <c r="H11" s="300"/>
      <c r="I11" s="319"/>
      <c r="J11" s="300"/>
      <c r="K11" s="300"/>
      <c r="L11" s="300"/>
    </row>
    <row r="12" spans="1:12">
      <c r="A12" s="406"/>
      <c r="B12" s="304" t="s">
        <v>480</v>
      </c>
      <c r="C12" s="304"/>
      <c r="D12" s="305"/>
      <c r="E12" s="306"/>
      <c r="F12" s="307"/>
      <c r="G12" s="308">
        <f>SUM(G4:G11)</f>
        <v>805.00786625000001</v>
      </c>
      <c r="H12" s="309" t="s">
        <v>479</v>
      </c>
      <c r="I12" s="310">
        <f>SUM(I4:I11)</f>
        <v>56.798192500000027</v>
      </c>
      <c r="J12" s="310">
        <f>SUM(J4:J11)</f>
        <v>748.20967374999998</v>
      </c>
      <c r="K12" s="310">
        <f>SUM(K4:K11)</f>
        <v>0</v>
      </c>
      <c r="L12" s="311">
        <f>SUM(L4:L11)</f>
        <v>0</v>
      </c>
    </row>
    <row r="13" spans="1:12">
      <c r="A13" s="191"/>
      <c r="B13" s="296" t="s">
        <v>481</v>
      </c>
      <c r="C13" s="178"/>
      <c r="D13" s="178"/>
      <c r="E13" s="178"/>
      <c r="F13" s="178"/>
      <c r="G13" s="272">
        <f>'PCC &amp; RCC REC.'!Q16</f>
        <v>829.2</v>
      </c>
      <c r="H13" s="295" t="s">
        <v>479</v>
      </c>
      <c r="I13" s="295">
        <f>'PCC &amp; RCC REC.'!D18+'PCC &amp; RCC REC.'!H18+'PCC &amp; RCC REC.'!L18</f>
        <v>66.2</v>
      </c>
      <c r="J13" s="295">
        <f>'PCC &amp; RCC REC.'!E18+'PCC &amp; RCC REC.'!I18+'PCC &amp; RCC REC.'!M18</f>
        <v>763</v>
      </c>
      <c r="K13" s="295">
        <f>'PCC &amp; RCC REC.'!F18+'PCC &amp; RCC REC.'!J18+'PCC &amp; RCC REC.'!N18</f>
        <v>0</v>
      </c>
      <c r="L13" s="295">
        <f>'PCC &amp; RCC REC.'!G18+'PCC &amp; RCC REC.'!K18+'PCC &amp; RCC REC.'!O18</f>
        <v>0</v>
      </c>
    </row>
    <row r="14" spans="1:12">
      <c r="A14" s="191"/>
      <c r="B14" s="296" t="s">
        <v>482</v>
      </c>
      <c r="C14" s="178"/>
      <c r="D14" s="178"/>
      <c r="E14" s="178"/>
      <c r="F14" s="178"/>
      <c r="G14" s="272">
        <f>G12-G13</f>
        <v>-24.192133750000039</v>
      </c>
      <c r="H14" s="295" t="s">
        <v>479</v>
      </c>
      <c r="I14" s="272">
        <f>I12-I13</f>
        <v>-9.4018074999999754</v>
      </c>
      <c r="J14" s="272">
        <f>J12-J13</f>
        <v>-14.790326250000021</v>
      </c>
      <c r="K14" s="272">
        <f>K12-K13</f>
        <v>0</v>
      </c>
      <c r="L14" s="314">
        <f>L13-L12</f>
        <v>0</v>
      </c>
    </row>
    <row r="15" spans="1:12" ht="15.75" thickBot="1">
      <c r="A15" s="194"/>
      <c r="B15" s="315" t="s">
        <v>483</v>
      </c>
      <c r="C15" s="316"/>
      <c r="D15" s="316"/>
      <c r="E15" s="316"/>
      <c r="F15" s="316"/>
      <c r="G15" s="317">
        <f>G14/G12</f>
        <v>-3.0052046401354081E-2</v>
      </c>
      <c r="H15" s="197"/>
      <c r="I15" s="317">
        <f>I14/I12</f>
        <v>-0.16553004745705546</v>
      </c>
      <c r="J15" s="317">
        <f>J14/J12</f>
        <v>-1.9767622324196155E-2</v>
      </c>
      <c r="K15" s="317" t="e">
        <f>K14/K12</f>
        <v>#DIV/0!</v>
      </c>
      <c r="L15" s="317" t="e">
        <f>L14/L12</f>
        <v>#DIV/0!</v>
      </c>
    </row>
    <row r="16" spans="1:12" ht="15.75" thickBot="1">
      <c r="A16" s="152"/>
      <c r="B16" s="115"/>
      <c r="C16" s="114"/>
      <c r="D16" s="114"/>
      <c r="E16" s="114"/>
      <c r="F16" s="114"/>
      <c r="G16" s="321"/>
      <c r="H16" s="152"/>
      <c r="I16" s="152"/>
      <c r="J16" s="321"/>
      <c r="K16" s="321"/>
      <c r="L16" s="321"/>
    </row>
    <row r="17" spans="1:13">
      <c r="A17" s="406"/>
      <c r="B17" s="304" t="s">
        <v>484</v>
      </c>
      <c r="C17" s="307"/>
      <c r="D17" s="307"/>
      <c r="E17" s="307"/>
      <c r="F17" s="307"/>
      <c r="G17" s="322">
        <v>0</v>
      </c>
      <c r="H17" s="323" t="s">
        <v>479</v>
      </c>
      <c r="I17" s="323"/>
      <c r="J17" s="324">
        <v>0</v>
      </c>
      <c r="K17" s="324">
        <v>0</v>
      </c>
      <c r="L17" s="325">
        <v>0</v>
      </c>
    </row>
    <row r="18" spans="1:13">
      <c r="A18" s="191"/>
      <c r="B18" s="296" t="s">
        <v>485</v>
      </c>
      <c r="C18" s="178"/>
      <c r="D18" s="178"/>
      <c r="E18" s="178"/>
      <c r="F18" s="178"/>
      <c r="G18" s="272">
        <v>0</v>
      </c>
      <c r="H18" s="292" t="s">
        <v>479</v>
      </c>
      <c r="I18" s="292"/>
      <c r="J18" s="312">
        <v>0</v>
      </c>
      <c r="K18" s="312">
        <v>0</v>
      </c>
      <c r="L18" s="313">
        <v>0</v>
      </c>
      <c r="M18" s="318"/>
    </row>
    <row r="19" spans="1:13">
      <c r="A19" s="191"/>
      <c r="B19" s="296" t="s">
        <v>482</v>
      </c>
      <c r="C19" s="178"/>
      <c r="D19" s="178"/>
      <c r="E19" s="178"/>
      <c r="F19" s="178"/>
      <c r="G19" s="272">
        <f>G17-G18</f>
        <v>0</v>
      </c>
      <c r="H19" s="292" t="s">
        <v>479</v>
      </c>
      <c r="I19" s="292"/>
      <c r="J19" s="272">
        <f>J17-J18</f>
        <v>0</v>
      </c>
      <c r="K19" s="272">
        <f>K17-K18</f>
        <v>0</v>
      </c>
      <c r="L19" s="314">
        <f>L18-L17</f>
        <v>0</v>
      </c>
    </row>
    <row r="20" spans="1:13" ht="15.75" thickBot="1">
      <c r="A20" s="194"/>
      <c r="B20" s="315" t="s">
        <v>483</v>
      </c>
      <c r="C20" s="316"/>
      <c r="D20" s="316"/>
      <c r="E20" s="316"/>
      <c r="F20" s="316"/>
      <c r="G20" s="317" t="e">
        <f>G19/G17</f>
        <v>#DIV/0!</v>
      </c>
      <c r="H20" s="197"/>
      <c r="I20" s="317" t="e">
        <f>I19/I17</f>
        <v>#DIV/0!</v>
      </c>
      <c r="J20" s="317" t="e">
        <f>J19/J17</f>
        <v>#DIV/0!</v>
      </c>
      <c r="K20" s="317" t="e">
        <f>K19/K17</f>
        <v>#DIV/0!</v>
      </c>
      <c r="L20" s="317" t="e">
        <f>L19/L17</f>
        <v>#DIV/0!</v>
      </c>
    </row>
    <row r="21" spans="1:13" ht="15.75" thickBot="1">
      <c r="A21" s="152"/>
      <c r="B21" s="114"/>
      <c r="C21" s="114"/>
      <c r="D21" s="114"/>
      <c r="E21" s="114"/>
      <c r="F21" s="114"/>
      <c r="G21" s="114"/>
      <c r="H21" s="114"/>
      <c r="I21" s="152"/>
      <c r="J21" s="114"/>
      <c r="K21" s="114"/>
      <c r="L21" s="114"/>
    </row>
    <row r="22" spans="1:13">
      <c r="A22" s="406"/>
      <c r="B22" s="304" t="s">
        <v>486</v>
      </c>
      <c r="C22" s="307"/>
      <c r="D22" s="307"/>
      <c r="E22" s="307"/>
      <c r="F22" s="307"/>
      <c r="G22" s="322">
        <f>G12-G17</f>
        <v>805.00786625000001</v>
      </c>
      <c r="H22" s="323" t="s">
        <v>479</v>
      </c>
      <c r="I22" s="322">
        <f>I12-I17</f>
        <v>56.798192500000027</v>
      </c>
      <c r="J22" s="322">
        <f>J12-J17</f>
        <v>748.20967374999998</v>
      </c>
      <c r="K22" s="322">
        <f>K12-K17</f>
        <v>0</v>
      </c>
      <c r="L22" s="326">
        <f t="shared" ref="L22:L23" si="3">L12-L17</f>
        <v>0</v>
      </c>
    </row>
    <row r="23" spans="1:13">
      <c r="A23" s="191"/>
      <c r="B23" s="296" t="s">
        <v>487</v>
      </c>
      <c r="C23" s="178"/>
      <c r="D23" s="178"/>
      <c r="E23" s="178"/>
      <c r="F23" s="178"/>
      <c r="G23" s="272">
        <f>G13-G18</f>
        <v>829.2</v>
      </c>
      <c r="H23" s="292" t="s">
        <v>479</v>
      </c>
      <c r="I23" s="272">
        <f>I13-I18</f>
        <v>66.2</v>
      </c>
      <c r="J23" s="272">
        <f>J13-J18</f>
        <v>763</v>
      </c>
      <c r="K23" s="273">
        <f>K13-K18</f>
        <v>0</v>
      </c>
      <c r="L23" s="313">
        <f t="shared" si="3"/>
        <v>0</v>
      </c>
    </row>
    <row r="24" spans="1:13">
      <c r="A24" s="191"/>
      <c r="B24" s="296" t="s">
        <v>482</v>
      </c>
      <c r="C24" s="178"/>
      <c r="D24" s="178"/>
      <c r="E24" s="178"/>
      <c r="F24" s="178"/>
      <c r="G24" s="272">
        <f>G22-G23</f>
        <v>-24.192133750000039</v>
      </c>
      <c r="H24" s="292" t="s">
        <v>479</v>
      </c>
      <c r="I24" s="272">
        <f>I22-I23</f>
        <v>-9.4018074999999754</v>
      </c>
      <c r="J24" s="272">
        <f>J22-J23</f>
        <v>-14.790326250000021</v>
      </c>
      <c r="K24" s="272">
        <f>K22-K23</f>
        <v>0</v>
      </c>
      <c r="L24" s="314">
        <f>L23-L22</f>
        <v>0</v>
      </c>
    </row>
    <row r="25" spans="1:13" ht="15.75" thickBot="1">
      <c r="A25" s="194"/>
      <c r="B25" s="315" t="s">
        <v>483</v>
      </c>
      <c r="C25" s="316"/>
      <c r="D25" s="316"/>
      <c r="E25" s="316"/>
      <c r="F25" s="316"/>
      <c r="G25" s="317">
        <f>G24/G22</f>
        <v>-3.0052046401354081E-2</v>
      </c>
      <c r="H25" s="197"/>
      <c r="I25" s="317">
        <f>I24/I22</f>
        <v>-0.16553004745705546</v>
      </c>
      <c r="J25" s="317">
        <f>J24/J22</f>
        <v>-1.9767622324196155E-2</v>
      </c>
      <c r="K25" s="317" t="e">
        <f>K24/K22</f>
        <v>#DIV/0!</v>
      </c>
      <c r="L25" s="317" t="e">
        <f>L24/L22</f>
        <v>#DIV/0!</v>
      </c>
    </row>
  </sheetData>
  <mergeCells count="2">
    <mergeCell ref="B1:L1"/>
    <mergeCell ref="B2:L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0"/>
  <sheetViews>
    <sheetView zoomScale="85" zoomScaleNormal="85" workbookViewId="0">
      <pane ySplit="3" topLeftCell="A4" activePane="bottomLeft" state="frozen"/>
      <selection pane="bottomLeft" activeCell="D20" sqref="D20:O20"/>
    </sheetView>
  </sheetViews>
  <sheetFormatPr defaultColWidth="9.140625" defaultRowHeight="15"/>
  <cols>
    <col min="1" max="1" width="6.7109375" style="327" customWidth="1"/>
    <col min="2" max="2" width="12.7109375" style="327" customWidth="1"/>
    <col min="3" max="3" width="13.7109375" style="327" customWidth="1"/>
    <col min="4" max="4" width="9.140625" style="327"/>
    <col min="5" max="5" width="10.5703125" style="327" bestFit="1" customWidth="1"/>
    <col min="6" max="7" width="10.5703125" style="327" customWidth="1"/>
    <col min="8" max="15" width="9.140625" style="327"/>
    <col min="16" max="16" width="12.28515625" style="327" customWidth="1"/>
    <col min="17" max="17" width="10" style="327" customWidth="1"/>
    <col min="18" max="18" width="31.7109375" style="327" customWidth="1"/>
    <col min="19" max="19" width="9.140625" style="327"/>
    <col min="20" max="20" width="11.85546875" style="327" bestFit="1" customWidth="1"/>
    <col min="21" max="21" width="9.140625" style="327"/>
    <col min="22" max="22" width="12.140625" style="327" customWidth="1"/>
    <col min="23" max="16384" width="9.140625" style="327"/>
  </cols>
  <sheetData>
    <row r="1" spans="1:18" ht="18" customHeight="1">
      <c r="A1" s="483" t="s">
        <v>1</v>
      </c>
      <c r="B1" s="484" t="s">
        <v>490</v>
      </c>
      <c r="C1" s="483" t="s">
        <v>447</v>
      </c>
      <c r="D1" s="487" t="s">
        <v>491</v>
      </c>
      <c r="E1" s="487"/>
      <c r="F1" s="487"/>
      <c r="G1" s="487"/>
      <c r="H1" s="487" t="s">
        <v>492</v>
      </c>
      <c r="I1" s="487"/>
      <c r="J1" s="487"/>
      <c r="K1" s="487"/>
      <c r="L1" s="487" t="s">
        <v>514</v>
      </c>
      <c r="M1" s="487"/>
      <c r="N1" s="487"/>
      <c r="O1" s="487"/>
      <c r="P1" s="500" t="s">
        <v>493</v>
      </c>
      <c r="Q1" s="500" t="s">
        <v>57</v>
      </c>
      <c r="R1" s="483" t="s">
        <v>494</v>
      </c>
    </row>
    <row r="2" spans="1:18" ht="18.75">
      <c r="A2" s="483"/>
      <c r="B2" s="485"/>
      <c r="C2" s="483"/>
      <c r="D2" s="487" t="s">
        <v>495</v>
      </c>
      <c r="E2" s="487"/>
      <c r="F2" s="487"/>
      <c r="G2" s="487"/>
      <c r="H2" s="487" t="s">
        <v>495</v>
      </c>
      <c r="I2" s="487"/>
      <c r="J2" s="487"/>
      <c r="K2" s="487"/>
      <c r="L2" s="487" t="s">
        <v>495</v>
      </c>
      <c r="M2" s="487"/>
      <c r="N2" s="487"/>
      <c r="O2" s="487"/>
      <c r="P2" s="501"/>
      <c r="Q2" s="501"/>
      <c r="R2" s="483"/>
    </row>
    <row r="3" spans="1:18" ht="18.75">
      <c r="A3" s="483"/>
      <c r="B3" s="486"/>
      <c r="C3" s="483"/>
      <c r="D3" s="328" t="s">
        <v>478</v>
      </c>
      <c r="E3" s="328" t="s">
        <v>477</v>
      </c>
      <c r="F3" s="328" t="s">
        <v>476</v>
      </c>
      <c r="G3" s="328" t="s">
        <v>489</v>
      </c>
      <c r="H3" s="328" t="s">
        <v>478</v>
      </c>
      <c r="I3" s="328" t="s">
        <v>477</v>
      </c>
      <c r="J3" s="328" t="s">
        <v>476</v>
      </c>
      <c r="K3" s="328" t="s">
        <v>489</v>
      </c>
      <c r="L3" s="328" t="s">
        <v>478</v>
      </c>
      <c r="M3" s="328" t="s">
        <v>477</v>
      </c>
      <c r="N3" s="328" t="s">
        <v>476</v>
      </c>
      <c r="O3" s="328" t="s">
        <v>489</v>
      </c>
      <c r="P3" s="502"/>
      <c r="Q3" s="502"/>
      <c r="R3" s="483"/>
    </row>
    <row r="4" spans="1:18" s="339" customFormat="1" ht="15.75" customHeight="1">
      <c r="A4" s="329"/>
      <c r="B4" s="329"/>
      <c r="C4" s="329"/>
      <c r="D4" s="329"/>
      <c r="E4" s="329"/>
      <c r="F4" s="329"/>
      <c r="G4" s="329"/>
      <c r="H4" s="329"/>
      <c r="I4" s="329"/>
      <c r="J4" s="329"/>
      <c r="K4" s="329"/>
      <c r="L4" s="329"/>
      <c r="M4" s="329"/>
      <c r="N4" s="329"/>
      <c r="O4" s="329"/>
      <c r="P4" s="329"/>
      <c r="Q4" s="329"/>
      <c r="R4" s="329"/>
    </row>
    <row r="5" spans="1:18" s="342" customFormat="1" ht="15.75" customHeight="1">
      <c r="A5" s="329">
        <v>1</v>
      </c>
      <c r="B5" s="354">
        <v>45778</v>
      </c>
      <c r="C5" s="362">
        <v>45791</v>
      </c>
      <c r="D5" s="363"/>
      <c r="E5" s="337"/>
      <c r="F5" s="337"/>
      <c r="G5" s="334"/>
      <c r="H5" s="360">
        <v>3.3</v>
      </c>
      <c r="I5" s="337"/>
      <c r="J5" s="337"/>
      <c r="K5" s="333"/>
      <c r="L5" s="360"/>
      <c r="M5" s="337"/>
      <c r="N5" s="337"/>
      <c r="O5" s="333"/>
      <c r="P5" s="335"/>
      <c r="Q5" s="340"/>
      <c r="R5" s="359" t="s">
        <v>512</v>
      </c>
    </row>
    <row r="6" spans="1:18" s="342" customFormat="1" ht="15.75" customHeight="1">
      <c r="A6" s="329">
        <v>2</v>
      </c>
      <c r="B6" s="354"/>
      <c r="C6" s="362">
        <v>45797</v>
      </c>
      <c r="D6" s="363"/>
      <c r="E6" s="337"/>
      <c r="F6" s="337"/>
      <c r="G6" s="334"/>
      <c r="H6" s="360">
        <v>5.4</v>
      </c>
      <c r="I6" s="337"/>
      <c r="J6" s="337"/>
      <c r="K6" s="333"/>
      <c r="L6" s="360"/>
      <c r="M6" s="337"/>
      <c r="N6" s="337"/>
      <c r="O6" s="333"/>
      <c r="P6" s="332"/>
      <c r="Q6" s="332"/>
      <c r="R6" s="359" t="s">
        <v>512</v>
      </c>
    </row>
    <row r="7" spans="1:18" s="342" customFormat="1" ht="15.75" customHeight="1">
      <c r="A7" s="329">
        <v>3</v>
      </c>
      <c r="B7" s="354"/>
      <c r="C7" s="362">
        <v>45786</v>
      </c>
      <c r="D7" s="363">
        <v>40</v>
      </c>
      <c r="E7" s="337"/>
      <c r="F7" s="337"/>
      <c r="G7" s="334"/>
      <c r="H7" s="329"/>
      <c r="I7" s="337"/>
      <c r="J7" s="337"/>
      <c r="K7" s="333"/>
      <c r="L7" s="329"/>
      <c r="M7" s="337"/>
      <c r="N7" s="337"/>
      <c r="O7" s="333"/>
      <c r="P7" s="332"/>
      <c r="Q7" s="332"/>
      <c r="R7" s="346" t="s">
        <v>513</v>
      </c>
    </row>
    <row r="8" spans="1:18" s="342" customFormat="1" ht="15.75" customHeight="1">
      <c r="A8" s="329">
        <v>4</v>
      </c>
      <c r="B8" s="354"/>
      <c r="C8" s="362">
        <v>45789</v>
      </c>
      <c r="D8" s="363">
        <v>17.5</v>
      </c>
      <c r="E8" s="348"/>
      <c r="F8" s="348"/>
      <c r="G8" s="334"/>
      <c r="H8" s="329"/>
      <c r="I8" s="332"/>
      <c r="J8" s="332"/>
      <c r="K8" s="333"/>
      <c r="L8" s="329"/>
      <c r="M8" s="332"/>
      <c r="N8" s="332"/>
      <c r="O8" s="333"/>
      <c r="P8" s="332"/>
      <c r="Q8" s="332"/>
      <c r="R8" s="346" t="s">
        <v>513</v>
      </c>
    </row>
    <row r="9" spans="1:18" s="342" customFormat="1" ht="15.75" customHeight="1">
      <c r="A9" s="329">
        <v>5</v>
      </c>
      <c r="B9" s="354"/>
      <c r="C9" s="362">
        <v>45806</v>
      </c>
      <c r="D9" s="329"/>
      <c r="E9" s="403">
        <v>70</v>
      </c>
      <c r="F9" s="348"/>
      <c r="G9" s="334"/>
      <c r="H9" s="329"/>
      <c r="I9" s="332"/>
      <c r="J9" s="332"/>
      <c r="K9" s="333"/>
      <c r="L9" s="329"/>
      <c r="M9" s="332"/>
      <c r="N9" s="332"/>
      <c r="O9" s="333"/>
      <c r="P9" s="332"/>
      <c r="Q9" s="332"/>
      <c r="R9" s="346" t="s">
        <v>559</v>
      </c>
    </row>
    <row r="10" spans="1:18" s="341" customFormat="1" ht="15.75" customHeight="1">
      <c r="A10" s="329">
        <v>6</v>
      </c>
      <c r="B10" s="354"/>
      <c r="C10" s="362">
        <v>45807</v>
      </c>
      <c r="D10" s="329"/>
      <c r="E10" s="403">
        <v>329</v>
      </c>
      <c r="F10" s="348"/>
      <c r="G10" s="334"/>
      <c r="H10" s="329"/>
      <c r="I10" s="337"/>
      <c r="J10" s="337"/>
      <c r="K10" s="333"/>
      <c r="L10" s="329"/>
      <c r="M10" s="337"/>
      <c r="N10" s="337"/>
      <c r="O10" s="333"/>
      <c r="P10" s="332"/>
      <c r="Q10" s="332"/>
      <c r="R10" s="346" t="s">
        <v>559</v>
      </c>
    </row>
    <row r="11" spans="1:18" s="341" customFormat="1" ht="15.75" customHeight="1">
      <c r="A11" s="329">
        <v>7</v>
      </c>
      <c r="B11" s="354"/>
      <c r="C11" s="362">
        <v>45808</v>
      </c>
      <c r="D11" s="329"/>
      <c r="E11" s="403">
        <f>357+7</f>
        <v>364</v>
      </c>
      <c r="F11" s="348"/>
      <c r="G11" s="334"/>
      <c r="H11" s="329"/>
      <c r="I11" s="332"/>
      <c r="J11" s="332"/>
      <c r="K11" s="333"/>
      <c r="L11" s="329"/>
      <c r="M11" s="332"/>
      <c r="N11" s="332"/>
      <c r="O11" s="333"/>
      <c r="P11" s="332"/>
      <c r="Q11" s="332"/>
      <c r="R11" s="346" t="s">
        <v>559</v>
      </c>
    </row>
    <row r="12" spans="1:18" s="341" customFormat="1" ht="15.75" customHeight="1">
      <c r="A12" s="329"/>
      <c r="B12" s="354"/>
      <c r="C12" s="347"/>
      <c r="D12" s="329"/>
      <c r="E12" s="348"/>
      <c r="F12" s="348"/>
      <c r="G12" s="334"/>
      <c r="H12" s="329"/>
      <c r="I12" s="332"/>
      <c r="J12" s="332"/>
      <c r="K12" s="333"/>
      <c r="L12" s="329"/>
      <c r="M12" s="332"/>
      <c r="N12" s="332"/>
      <c r="O12" s="333"/>
      <c r="P12" s="332"/>
      <c r="Q12" s="332"/>
      <c r="R12" s="346"/>
    </row>
    <row r="13" spans="1:18" s="341" customFormat="1" ht="15.75" customHeight="1">
      <c r="A13" s="329"/>
      <c r="B13" s="354"/>
      <c r="C13" s="347"/>
      <c r="D13" s="329"/>
      <c r="E13" s="348"/>
      <c r="F13" s="348"/>
      <c r="G13" s="334"/>
      <c r="H13" s="329"/>
      <c r="I13" s="332"/>
      <c r="J13" s="332"/>
      <c r="K13" s="333"/>
      <c r="L13" s="329"/>
      <c r="M13" s="332"/>
      <c r="N13" s="332"/>
      <c r="O13" s="333"/>
      <c r="P13" s="332"/>
      <c r="Q13" s="332"/>
      <c r="R13" s="346"/>
    </row>
    <row r="14" spans="1:18" s="341" customFormat="1" ht="15.75" customHeight="1">
      <c r="A14" s="329"/>
      <c r="B14" s="354"/>
      <c r="C14" s="347"/>
      <c r="D14" s="329"/>
      <c r="E14" s="349"/>
      <c r="F14" s="349"/>
      <c r="G14" s="334"/>
      <c r="H14" s="329"/>
      <c r="I14" s="332"/>
      <c r="J14" s="332"/>
      <c r="K14" s="333"/>
      <c r="L14" s="329"/>
      <c r="M14" s="332"/>
      <c r="N14" s="332"/>
      <c r="O14" s="333"/>
      <c r="P14" s="332"/>
      <c r="Q14" s="332"/>
      <c r="R14" s="346"/>
    </row>
    <row r="15" spans="1:18" s="341" customFormat="1" ht="15.75" customHeight="1">
      <c r="A15" s="329"/>
      <c r="B15" s="351"/>
      <c r="C15" s="336"/>
      <c r="D15" s="330"/>
      <c r="E15" s="337"/>
      <c r="F15" s="337"/>
      <c r="G15" s="338"/>
      <c r="H15" s="330"/>
      <c r="I15" s="332"/>
      <c r="J15" s="332"/>
      <c r="K15" s="333"/>
      <c r="L15" s="330"/>
      <c r="M15" s="332"/>
      <c r="N15" s="332"/>
      <c r="O15" s="333"/>
      <c r="P15" s="332"/>
      <c r="Q15" s="337"/>
      <c r="R15" s="345"/>
    </row>
    <row r="16" spans="1:18" s="339" customFormat="1" ht="18.75">
      <c r="A16" s="331"/>
      <c r="B16" s="498" t="s">
        <v>57</v>
      </c>
      <c r="C16" s="499"/>
      <c r="D16" s="344">
        <f>SUM(D4:D15)</f>
        <v>57.5</v>
      </c>
      <c r="E16" s="344">
        <f t="shared" ref="E16:O16" si="0">SUM(E4:E15)</f>
        <v>763</v>
      </c>
      <c r="F16" s="344">
        <f t="shared" si="0"/>
        <v>0</v>
      </c>
      <c r="G16" s="344">
        <f t="shared" si="0"/>
        <v>0</v>
      </c>
      <c r="H16" s="344">
        <f t="shared" si="0"/>
        <v>8.6999999999999993</v>
      </c>
      <c r="I16" s="344">
        <f t="shared" si="0"/>
        <v>0</v>
      </c>
      <c r="J16" s="344">
        <f t="shared" si="0"/>
        <v>0</v>
      </c>
      <c r="K16" s="344">
        <f t="shared" si="0"/>
        <v>0</v>
      </c>
      <c r="L16" s="344">
        <f t="shared" si="0"/>
        <v>0</v>
      </c>
      <c r="M16" s="344">
        <f t="shared" si="0"/>
        <v>0</v>
      </c>
      <c r="N16" s="344">
        <f t="shared" si="0"/>
        <v>0</v>
      </c>
      <c r="O16" s="344">
        <f t="shared" si="0"/>
        <v>0</v>
      </c>
      <c r="P16" s="343">
        <f>SUM(P4:P15)</f>
        <v>0</v>
      </c>
      <c r="Q16" s="361">
        <f>SUM(D16:P16)</f>
        <v>829.2</v>
      </c>
      <c r="R16" s="331"/>
    </row>
    <row r="17" spans="1:18" ht="15.75">
      <c r="A17" s="493"/>
      <c r="B17" s="494"/>
      <c r="C17" s="494"/>
      <c r="D17" s="494"/>
      <c r="E17" s="494"/>
      <c r="F17" s="494"/>
      <c r="G17" s="494"/>
      <c r="H17" s="494"/>
      <c r="I17" s="494"/>
      <c r="J17" s="494"/>
      <c r="K17" s="494"/>
      <c r="L17" s="494"/>
      <c r="M17" s="494"/>
      <c r="N17" s="494"/>
      <c r="O17" s="494"/>
      <c r="P17" s="494"/>
      <c r="Q17" s="494"/>
      <c r="R17" s="495"/>
    </row>
    <row r="18" spans="1:18" ht="18.75">
      <c r="A18" s="352"/>
      <c r="B18" s="491" t="s">
        <v>496</v>
      </c>
      <c r="C18" s="492"/>
      <c r="D18" s="350">
        <f>D16</f>
        <v>57.5</v>
      </c>
      <c r="E18" s="350">
        <f t="shared" ref="E18:P18" si="1">E16</f>
        <v>763</v>
      </c>
      <c r="F18" s="350"/>
      <c r="G18" s="350">
        <f t="shared" si="1"/>
        <v>0</v>
      </c>
      <c r="H18" s="350">
        <f t="shared" si="1"/>
        <v>8.6999999999999993</v>
      </c>
      <c r="I18" s="350">
        <f t="shared" si="1"/>
        <v>0</v>
      </c>
      <c r="J18" s="350"/>
      <c r="K18" s="350">
        <f t="shared" si="1"/>
        <v>0</v>
      </c>
      <c r="L18" s="350">
        <f t="shared" ref="L18:M18" si="2">L16</f>
        <v>0</v>
      </c>
      <c r="M18" s="350">
        <f t="shared" si="2"/>
        <v>0</v>
      </c>
      <c r="N18" s="350"/>
      <c r="O18" s="350">
        <f t="shared" ref="O18" si="3">O16</f>
        <v>0</v>
      </c>
      <c r="P18" s="350">
        <f t="shared" si="1"/>
        <v>0</v>
      </c>
      <c r="Q18" s="405">
        <f>Q16</f>
        <v>829.2</v>
      </c>
    </row>
    <row r="19" spans="1:18" ht="40.5" customHeight="1">
      <c r="A19" s="352"/>
      <c r="B19" s="496" t="s">
        <v>560</v>
      </c>
      <c r="C19" s="497"/>
      <c r="D19" s="488">
        <f>D18+E18+G18</f>
        <v>820.5</v>
      </c>
      <c r="E19" s="489"/>
      <c r="F19" s="489"/>
      <c r="G19" s="490"/>
      <c r="H19" s="488">
        <f>H18+I18+K18</f>
        <v>8.6999999999999993</v>
      </c>
      <c r="I19" s="489"/>
      <c r="J19" s="489"/>
      <c r="K19" s="490"/>
      <c r="L19" s="488">
        <f>L18+M18+O18</f>
        <v>0</v>
      </c>
      <c r="M19" s="489"/>
      <c r="N19" s="489"/>
      <c r="O19" s="490"/>
      <c r="P19" s="390">
        <f>P18</f>
        <v>0</v>
      </c>
      <c r="Q19" s="404">
        <f>D19+H19+P19+L19</f>
        <v>829.2</v>
      </c>
    </row>
    <row r="20" spans="1:18" ht="18.75">
      <c r="A20" s="352"/>
      <c r="B20" s="491" t="s">
        <v>497</v>
      </c>
      <c r="C20" s="492"/>
      <c r="D20" s="488">
        <f>SUM(D19:O19)</f>
        <v>829.2</v>
      </c>
      <c r="E20" s="489"/>
      <c r="F20" s="489"/>
      <c r="G20" s="489"/>
      <c r="H20" s="489"/>
      <c r="I20" s="489"/>
      <c r="J20" s="489"/>
      <c r="K20" s="489"/>
      <c r="L20" s="489"/>
      <c r="M20" s="489"/>
      <c r="N20" s="489"/>
      <c r="O20" s="490"/>
      <c r="P20" s="353"/>
      <c r="Q20" s="353"/>
    </row>
  </sheetData>
  <mergeCells count="21">
    <mergeCell ref="D20:O20"/>
    <mergeCell ref="B20:C20"/>
    <mergeCell ref="L1:O1"/>
    <mergeCell ref="L2:O2"/>
    <mergeCell ref="L19:O19"/>
    <mergeCell ref="A17:R17"/>
    <mergeCell ref="B18:C18"/>
    <mergeCell ref="B19:C19"/>
    <mergeCell ref="D19:G19"/>
    <mergeCell ref="H19:K19"/>
    <mergeCell ref="B16:C16"/>
    <mergeCell ref="Q1:Q3"/>
    <mergeCell ref="R1:R3"/>
    <mergeCell ref="P1:P3"/>
    <mergeCell ref="D2:G2"/>
    <mergeCell ref="H2:K2"/>
    <mergeCell ref="A1:A3"/>
    <mergeCell ref="B1:B3"/>
    <mergeCell ref="C1:C3"/>
    <mergeCell ref="D1:G1"/>
    <mergeCell ref="H1:K1"/>
  </mergeCells>
  <printOptions horizontalCentered="1" gridLines="1"/>
  <pageMargins left="0.2" right="0.2" top="0.75" bottom="0.75" header="0.3" footer="0.3"/>
  <pageSetup scale="65" fitToHeight="0" orientation="portrait" r:id="rId1"/>
  <headerFooter>
    <oddHeader>&amp;A</oddHead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25"/>
  <sheetViews>
    <sheetView view="pageBreakPreview" zoomScale="70" zoomScaleNormal="91" zoomScaleSheetLayoutView="70" workbookViewId="0">
      <pane xSplit="3" ySplit="2" topLeftCell="D111" activePane="bottomRight" state="frozen"/>
      <selection pane="topRight" activeCell="D1" sqref="D1"/>
      <selection pane="bottomLeft" activeCell="A3" sqref="A3"/>
      <selection pane="bottomRight" activeCell="H124" sqref="H124"/>
    </sheetView>
  </sheetViews>
  <sheetFormatPr defaultColWidth="8.85546875" defaultRowHeight="15.75"/>
  <cols>
    <col min="1" max="1" width="6.5703125" style="376" customWidth="1"/>
    <col min="2" max="2" width="12.5703125" style="376" customWidth="1"/>
    <col min="3" max="3" width="16.28515625" style="376" customWidth="1"/>
    <col min="4" max="4" width="13.28515625" style="375" customWidth="1"/>
    <col min="5" max="5" width="12.7109375" style="376" customWidth="1"/>
    <col min="6" max="6" width="7" style="376" customWidth="1"/>
    <col min="7" max="7" width="14.42578125" style="376" customWidth="1"/>
    <col min="8" max="10" width="17.5703125" style="376" customWidth="1"/>
    <col min="11" max="11" width="13" style="376" customWidth="1"/>
    <col min="12" max="12" width="13.140625" style="376" customWidth="1"/>
    <col min="13" max="13" width="10.28515625" style="376" customWidth="1"/>
    <col min="14" max="14" width="11.85546875" style="376" customWidth="1"/>
    <col min="15" max="15" width="13.140625" style="375" customWidth="1"/>
    <col min="16" max="16" width="24" style="375" customWidth="1"/>
    <col min="17" max="17" width="11.42578125" style="375" customWidth="1"/>
    <col min="18" max="18" width="15.140625" style="375" customWidth="1"/>
    <col min="19" max="19" width="10.140625" style="376" customWidth="1"/>
    <col min="20" max="16384" width="8.85546875" style="376"/>
  </cols>
  <sheetData>
    <row r="1" spans="1:19" ht="21">
      <c r="A1" s="503" t="s">
        <v>533</v>
      </c>
      <c r="B1" s="503"/>
      <c r="C1" s="503"/>
      <c r="D1" s="503"/>
      <c r="E1" s="503"/>
      <c r="F1" s="503"/>
      <c r="G1" s="503"/>
      <c r="H1" s="503"/>
      <c r="I1" s="503"/>
      <c r="J1" s="503"/>
      <c r="K1" s="503"/>
      <c r="L1" s="503"/>
      <c r="M1" s="503"/>
      <c r="N1" s="503"/>
      <c r="O1" s="503"/>
      <c r="P1" s="503"/>
      <c r="Q1" s="503"/>
      <c r="R1" s="503"/>
      <c r="S1" s="375"/>
    </row>
    <row r="2" spans="1:19" ht="63">
      <c r="A2" s="364" t="s">
        <v>515</v>
      </c>
      <c r="B2" s="365" t="s">
        <v>447</v>
      </c>
      <c r="C2" s="364" t="s">
        <v>516</v>
      </c>
      <c r="D2" s="364" t="s">
        <v>550</v>
      </c>
      <c r="E2" s="364" t="s">
        <v>517</v>
      </c>
      <c r="F2" s="364" t="s">
        <v>3</v>
      </c>
      <c r="G2" s="364" t="s">
        <v>518</v>
      </c>
      <c r="H2" s="364" t="s">
        <v>534</v>
      </c>
      <c r="I2" s="364" t="s">
        <v>535</v>
      </c>
      <c r="J2" s="364" t="s">
        <v>536</v>
      </c>
      <c r="K2" s="364" t="s">
        <v>519</v>
      </c>
      <c r="L2" s="364" t="s">
        <v>520</v>
      </c>
      <c r="M2" s="364" t="s">
        <v>521</v>
      </c>
      <c r="N2" s="364" t="s">
        <v>522</v>
      </c>
      <c r="O2" s="364" t="s">
        <v>523</v>
      </c>
      <c r="P2" s="364" t="s">
        <v>524</v>
      </c>
      <c r="Q2" s="364" t="s">
        <v>525</v>
      </c>
      <c r="R2" s="364" t="s">
        <v>526</v>
      </c>
      <c r="S2" s="364" t="s">
        <v>21</v>
      </c>
    </row>
    <row r="3" spans="1:19" s="402" customFormat="1" ht="20.25" customHeight="1">
      <c r="A3" s="396">
        <v>1</v>
      </c>
      <c r="B3" s="397">
        <v>45786</v>
      </c>
      <c r="C3" s="398" t="s">
        <v>538</v>
      </c>
      <c r="D3" s="395">
        <v>449</v>
      </c>
      <c r="E3" s="395" t="s">
        <v>557</v>
      </c>
      <c r="F3" s="395" t="s">
        <v>72</v>
      </c>
      <c r="G3" s="395">
        <v>7</v>
      </c>
      <c r="H3" s="395"/>
      <c r="I3" s="395"/>
      <c r="J3" s="395"/>
      <c r="K3" s="399">
        <f t="shared" ref="K3:K8" si="0">G3*220</f>
        <v>1540</v>
      </c>
      <c r="L3" s="395">
        <v>1096</v>
      </c>
      <c r="M3" s="399">
        <f t="shared" ref="M3:M8" si="1">L3-K3</f>
        <v>-444</v>
      </c>
      <c r="N3" s="400">
        <v>0.4513888888888889</v>
      </c>
      <c r="O3" s="400">
        <v>0.51041666666666663</v>
      </c>
      <c r="P3" s="401" t="s">
        <v>513</v>
      </c>
      <c r="Q3" s="401" t="s">
        <v>558</v>
      </c>
      <c r="R3" s="395" t="s">
        <v>528</v>
      </c>
      <c r="S3" s="395"/>
    </row>
    <row r="4" spans="1:19" s="402" customFormat="1" ht="20.25" customHeight="1">
      <c r="A4" s="396">
        <v>2</v>
      </c>
      <c r="B4" s="397">
        <v>45786</v>
      </c>
      <c r="C4" s="398" t="s">
        <v>543</v>
      </c>
      <c r="D4" s="395">
        <v>450</v>
      </c>
      <c r="E4" s="395" t="s">
        <v>557</v>
      </c>
      <c r="F4" s="395" t="s">
        <v>72</v>
      </c>
      <c r="G4" s="395">
        <v>7</v>
      </c>
      <c r="H4" s="395"/>
      <c r="I4" s="395"/>
      <c r="J4" s="395"/>
      <c r="K4" s="399">
        <f t="shared" si="0"/>
        <v>1540</v>
      </c>
      <c r="L4" s="395">
        <v>1096</v>
      </c>
      <c r="M4" s="395">
        <f t="shared" si="1"/>
        <v>-444</v>
      </c>
      <c r="N4" s="400">
        <v>0.52083333333333337</v>
      </c>
      <c r="O4" s="400">
        <v>0.56944444444444442</v>
      </c>
      <c r="P4" s="401" t="s">
        <v>513</v>
      </c>
      <c r="Q4" s="401" t="s">
        <v>558</v>
      </c>
      <c r="R4" s="395" t="s">
        <v>528</v>
      </c>
      <c r="S4" s="395"/>
    </row>
    <row r="5" spans="1:19" s="402" customFormat="1" ht="20.25" customHeight="1">
      <c r="A5" s="396">
        <v>3</v>
      </c>
      <c r="B5" s="397">
        <v>45786</v>
      </c>
      <c r="C5" s="398" t="s">
        <v>546</v>
      </c>
      <c r="D5" s="395">
        <v>451</v>
      </c>
      <c r="E5" s="395" t="s">
        <v>557</v>
      </c>
      <c r="F5" s="395" t="s">
        <v>72</v>
      </c>
      <c r="G5" s="395">
        <v>7</v>
      </c>
      <c r="H5" s="395"/>
      <c r="I5" s="395"/>
      <c r="J5" s="395"/>
      <c r="K5" s="399">
        <f t="shared" si="0"/>
        <v>1540</v>
      </c>
      <c r="L5" s="395">
        <v>1096</v>
      </c>
      <c r="M5" s="395">
        <f t="shared" si="1"/>
        <v>-444</v>
      </c>
      <c r="N5" s="400">
        <v>0.57777777777777783</v>
      </c>
      <c r="O5" s="400">
        <v>0.61111111111111105</v>
      </c>
      <c r="P5" s="401" t="s">
        <v>513</v>
      </c>
      <c r="Q5" s="401" t="s">
        <v>558</v>
      </c>
      <c r="R5" s="395" t="s">
        <v>528</v>
      </c>
      <c r="S5" s="395"/>
    </row>
    <row r="6" spans="1:19" s="402" customFormat="1" ht="20.25" customHeight="1">
      <c r="A6" s="396">
        <v>4</v>
      </c>
      <c r="B6" s="397">
        <v>45786</v>
      </c>
      <c r="C6" s="398" t="s">
        <v>538</v>
      </c>
      <c r="D6" s="395">
        <v>453</v>
      </c>
      <c r="E6" s="395" t="s">
        <v>557</v>
      </c>
      <c r="F6" s="395" t="s">
        <v>72</v>
      </c>
      <c r="G6" s="395">
        <v>7</v>
      </c>
      <c r="H6" s="395"/>
      <c r="I6" s="395"/>
      <c r="J6" s="395"/>
      <c r="K6" s="399">
        <f t="shared" si="0"/>
        <v>1540</v>
      </c>
      <c r="L6" s="395">
        <v>1096</v>
      </c>
      <c r="M6" s="395">
        <f t="shared" si="1"/>
        <v>-444</v>
      </c>
      <c r="N6" s="400">
        <v>0.61805555555555558</v>
      </c>
      <c r="O6" s="400">
        <v>0.66666666666666663</v>
      </c>
      <c r="P6" s="401" t="s">
        <v>513</v>
      </c>
      <c r="Q6" s="401" t="s">
        <v>558</v>
      </c>
      <c r="R6" s="395" t="s">
        <v>528</v>
      </c>
      <c r="S6" s="395"/>
    </row>
    <row r="7" spans="1:19" s="402" customFormat="1" ht="20.25" customHeight="1">
      <c r="A7" s="396">
        <v>5</v>
      </c>
      <c r="B7" s="397">
        <v>45786</v>
      </c>
      <c r="C7" s="398" t="s">
        <v>530</v>
      </c>
      <c r="D7" s="395">
        <v>454</v>
      </c>
      <c r="E7" s="395" t="s">
        <v>557</v>
      </c>
      <c r="F7" s="395" t="s">
        <v>72</v>
      </c>
      <c r="G7" s="395">
        <v>6</v>
      </c>
      <c r="H7" s="395"/>
      <c r="I7" s="395"/>
      <c r="J7" s="395"/>
      <c r="K7" s="399">
        <f t="shared" si="0"/>
        <v>1320</v>
      </c>
      <c r="L7" s="395">
        <v>1096</v>
      </c>
      <c r="M7" s="395">
        <f t="shared" si="1"/>
        <v>-224</v>
      </c>
      <c r="N7" s="400">
        <v>0.6875</v>
      </c>
      <c r="O7" s="400">
        <v>0.73958333333333337</v>
      </c>
      <c r="P7" s="401" t="s">
        <v>513</v>
      </c>
      <c r="Q7" s="401" t="s">
        <v>558</v>
      </c>
      <c r="R7" s="395" t="s">
        <v>528</v>
      </c>
      <c r="S7" s="395"/>
    </row>
    <row r="8" spans="1:19" s="402" customFormat="1" ht="20.25" customHeight="1">
      <c r="A8" s="396">
        <v>6</v>
      </c>
      <c r="B8" s="397">
        <v>45786</v>
      </c>
      <c r="C8" s="398" t="s">
        <v>546</v>
      </c>
      <c r="D8" s="395">
        <v>457</v>
      </c>
      <c r="E8" s="395" t="s">
        <v>557</v>
      </c>
      <c r="F8" s="395" t="s">
        <v>72</v>
      </c>
      <c r="G8" s="395">
        <v>6</v>
      </c>
      <c r="H8" s="395"/>
      <c r="I8" s="395"/>
      <c r="J8" s="395"/>
      <c r="K8" s="399">
        <f t="shared" si="0"/>
        <v>1320</v>
      </c>
      <c r="L8" s="395">
        <v>1096</v>
      </c>
      <c r="M8" s="395">
        <f t="shared" si="1"/>
        <v>-224</v>
      </c>
      <c r="N8" s="400">
        <v>0.77430555555555547</v>
      </c>
      <c r="O8" s="400">
        <v>0.8125</v>
      </c>
      <c r="P8" s="401" t="s">
        <v>513</v>
      </c>
      <c r="Q8" s="401" t="s">
        <v>558</v>
      </c>
      <c r="R8" s="395" t="s">
        <v>528</v>
      </c>
      <c r="S8" s="395"/>
    </row>
    <row r="9" spans="1:19" s="402" customFormat="1" ht="20.25" customHeight="1">
      <c r="A9" s="396">
        <v>7</v>
      </c>
      <c r="B9" s="397">
        <v>45789</v>
      </c>
      <c r="C9" s="398" t="s">
        <v>530</v>
      </c>
      <c r="D9" s="395">
        <v>487</v>
      </c>
      <c r="E9" s="395" t="s">
        <v>557</v>
      </c>
      <c r="F9" s="395" t="s">
        <v>72</v>
      </c>
      <c r="G9" s="395">
        <v>5</v>
      </c>
      <c r="H9" s="395"/>
      <c r="I9" s="395"/>
      <c r="J9" s="395"/>
      <c r="K9" s="399">
        <f t="shared" ref="K9:K12" si="2">G9*220</f>
        <v>1100</v>
      </c>
      <c r="L9" s="395">
        <v>1096</v>
      </c>
      <c r="M9" s="395">
        <f t="shared" ref="M9:M12" si="3">L9-K9</f>
        <v>-4</v>
      </c>
      <c r="N9" s="400">
        <v>0.77430555555555547</v>
      </c>
      <c r="O9" s="400">
        <v>0.8125</v>
      </c>
      <c r="P9" s="401" t="s">
        <v>513</v>
      </c>
      <c r="Q9" s="401" t="s">
        <v>558</v>
      </c>
      <c r="R9" s="395" t="s">
        <v>528</v>
      </c>
      <c r="S9" s="395"/>
    </row>
    <row r="10" spans="1:19" s="402" customFormat="1" ht="20.25" customHeight="1">
      <c r="A10" s="396">
        <v>8</v>
      </c>
      <c r="B10" s="397">
        <v>45789</v>
      </c>
      <c r="C10" s="398" t="s">
        <v>530</v>
      </c>
      <c r="D10" s="395">
        <v>488</v>
      </c>
      <c r="E10" s="395" t="s">
        <v>557</v>
      </c>
      <c r="F10" s="395" t="s">
        <v>72</v>
      </c>
      <c r="G10" s="395">
        <v>5</v>
      </c>
      <c r="H10" s="395"/>
      <c r="I10" s="395"/>
      <c r="J10" s="395"/>
      <c r="K10" s="399">
        <f t="shared" si="2"/>
        <v>1100</v>
      </c>
      <c r="L10" s="395">
        <v>1096</v>
      </c>
      <c r="M10" s="395">
        <f t="shared" si="3"/>
        <v>-4</v>
      </c>
      <c r="N10" s="400">
        <v>0.77430555555555547</v>
      </c>
      <c r="O10" s="400">
        <v>0.8125</v>
      </c>
      <c r="P10" s="401" t="s">
        <v>513</v>
      </c>
      <c r="Q10" s="401" t="s">
        <v>558</v>
      </c>
      <c r="R10" s="395" t="s">
        <v>528</v>
      </c>
      <c r="S10" s="395"/>
    </row>
    <row r="11" spans="1:19" s="402" customFormat="1" ht="20.25" customHeight="1">
      <c r="A11" s="396">
        <v>9</v>
      </c>
      <c r="B11" s="397">
        <v>45789</v>
      </c>
      <c r="C11" s="366" t="s">
        <v>544</v>
      </c>
      <c r="D11" s="395">
        <v>490</v>
      </c>
      <c r="E11" s="395" t="s">
        <v>557</v>
      </c>
      <c r="F11" s="395" t="s">
        <v>72</v>
      </c>
      <c r="G11" s="395">
        <v>5.5</v>
      </c>
      <c r="H11" s="395"/>
      <c r="I11" s="395"/>
      <c r="J11" s="395"/>
      <c r="K11" s="399">
        <f t="shared" si="2"/>
        <v>1210</v>
      </c>
      <c r="L11" s="395">
        <v>1096</v>
      </c>
      <c r="M11" s="395">
        <f t="shared" si="3"/>
        <v>-114</v>
      </c>
      <c r="N11" s="400">
        <v>0.77430555555555547</v>
      </c>
      <c r="O11" s="400">
        <v>0.8125</v>
      </c>
      <c r="P11" s="401" t="s">
        <v>513</v>
      </c>
      <c r="Q11" s="401" t="s">
        <v>558</v>
      </c>
      <c r="R11" s="395" t="s">
        <v>528</v>
      </c>
      <c r="S11" s="395"/>
    </row>
    <row r="12" spans="1:19" s="402" customFormat="1" ht="20.25" customHeight="1">
      <c r="A12" s="396">
        <v>10</v>
      </c>
      <c r="B12" s="397">
        <v>45789</v>
      </c>
      <c r="C12" s="366" t="s">
        <v>544</v>
      </c>
      <c r="D12" s="395">
        <v>494</v>
      </c>
      <c r="E12" s="395" t="s">
        <v>557</v>
      </c>
      <c r="F12" s="395" t="s">
        <v>72</v>
      </c>
      <c r="G12" s="395">
        <v>2</v>
      </c>
      <c r="H12" s="395"/>
      <c r="I12" s="395"/>
      <c r="J12" s="395"/>
      <c r="K12" s="399">
        <f t="shared" si="2"/>
        <v>440</v>
      </c>
      <c r="L12" s="395">
        <v>1096</v>
      </c>
      <c r="M12" s="395">
        <f t="shared" si="3"/>
        <v>656</v>
      </c>
      <c r="N12" s="400">
        <v>0.77430555555555547</v>
      </c>
      <c r="O12" s="400">
        <v>0.8125</v>
      </c>
      <c r="P12" s="401" t="s">
        <v>513</v>
      </c>
      <c r="Q12" s="401" t="s">
        <v>558</v>
      </c>
      <c r="R12" s="395" t="s">
        <v>528</v>
      </c>
      <c r="S12" s="395"/>
    </row>
    <row r="13" spans="1:19" s="375" customFormat="1" ht="20.25" customHeight="1">
      <c r="A13" s="396">
        <v>11</v>
      </c>
      <c r="B13" s="366" t="s">
        <v>537</v>
      </c>
      <c r="C13" s="366" t="s">
        <v>538</v>
      </c>
      <c r="D13" s="366">
        <v>721</v>
      </c>
      <c r="E13" s="366" t="s">
        <v>527</v>
      </c>
      <c r="F13" s="366" t="s">
        <v>72</v>
      </c>
      <c r="G13" s="377"/>
      <c r="H13" s="366">
        <v>7</v>
      </c>
      <c r="I13" s="366"/>
      <c r="J13" s="366"/>
      <c r="K13" s="366">
        <f>H13*365</f>
        <v>2555</v>
      </c>
      <c r="L13" s="366">
        <v>2563</v>
      </c>
      <c r="M13" s="366">
        <f t="shared" ref="M13:M44" si="4">L13-K13</f>
        <v>8</v>
      </c>
      <c r="N13" s="367">
        <v>0.9375</v>
      </c>
      <c r="O13" s="367">
        <v>0.96388888888888891</v>
      </c>
      <c r="P13" s="366" t="s">
        <v>547</v>
      </c>
      <c r="Q13" s="366" t="s">
        <v>234</v>
      </c>
      <c r="R13" s="366" t="s">
        <v>528</v>
      </c>
      <c r="S13" s="366"/>
    </row>
    <row r="14" spans="1:19" s="375" customFormat="1" ht="20.25" customHeight="1">
      <c r="A14" s="396">
        <v>12</v>
      </c>
      <c r="B14" s="366" t="s">
        <v>537</v>
      </c>
      <c r="C14" s="366" t="s">
        <v>530</v>
      </c>
      <c r="D14" s="366">
        <v>722</v>
      </c>
      <c r="E14" s="366" t="s">
        <v>527</v>
      </c>
      <c r="F14" s="366" t="s">
        <v>72</v>
      </c>
      <c r="G14" s="377"/>
      <c r="H14" s="366">
        <v>7</v>
      </c>
      <c r="I14" s="366"/>
      <c r="J14" s="366"/>
      <c r="K14" s="366">
        <f t="shared" ref="K14:K90" si="5">H14*365</f>
        <v>2555</v>
      </c>
      <c r="L14" s="366">
        <v>2558</v>
      </c>
      <c r="M14" s="366">
        <f t="shared" si="4"/>
        <v>3</v>
      </c>
      <c r="N14" s="367">
        <v>0.96666666666666667</v>
      </c>
      <c r="O14" s="367">
        <v>0.98125000000000007</v>
      </c>
      <c r="P14" s="366" t="s">
        <v>547</v>
      </c>
      <c r="Q14" s="366" t="s">
        <v>234</v>
      </c>
      <c r="R14" s="366" t="s">
        <v>528</v>
      </c>
      <c r="S14" s="366"/>
    </row>
    <row r="15" spans="1:19" s="375" customFormat="1" ht="20.25" customHeight="1">
      <c r="A15" s="396">
        <v>13</v>
      </c>
      <c r="B15" s="366" t="s">
        <v>537</v>
      </c>
      <c r="C15" s="366" t="s">
        <v>529</v>
      </c>
      <c r="D15" s="366">
        <v>723</v>
      </c>
      <c r="E15" s="366" t="s">
        <v>527</v>
      </c>
      <c r="F15" s="366" t="s">
        <v>72</v>
      </c>
      <c r="G15" s="377"/>
      <c r="H15" s="366">
        <v>7</v>
      </c>
      <c r="I15" s="366"/>
      <c r="J15" s="366"/>
      <c r="K15" s="366">
        <f t="shared" si="5"/>
        <v>2555</v>
      </c>
      <c r="L15" s="366">
        <v>2564</v>
      </c>
      <c r="M15" s="366">
        <f t="shared" si="4"/>
        <v>9</v>
      </c>
      <c r="N15" s="367">
        <v>0.98541666666666661</v>
      </c>
      <c r="O15" s="367" t="s">
        <v>539</v>
      </c>
      <c r="P15" s="366" t="s">
        <v>547</v>
      </c>
      <c r="Q15" s="366" t="s">
        <v>234</v>
      </c>
      <c r="R15" s="366" t="s">
        <v>528</v>
      </c>
      <c r="S15" s="366"/>
    </row>
    <row r="16" spans="1:19" s="375" customFormat="1" ht="20.25" customHeight="1">
      <c r="A16" s="396">
        <v>14</v>
      </c>
      <c r="B16" s="366" t="s">
        <v>537</v>
      </c>
      <c r="C16" s="366" t="s">
        <v>540</v>
      </c>
      <c r="D16" s="366">
        <v>724</v>
      </c>
      <c r="E16" s="366" t="s">
        <v>527</v>
      </c>
      <c r="F16" s="366" t="s">
        <v>72</v>
      </c>
      <c r="G16" s="377"/>
      <c r="H16" s="366">
        <v>7</v>
      </c>
      <c r="I16" s="366"/>
      <c r="J16" s="366"/>
      <c r="K16" s="366">
        <f t="shared" si="5"/>
        <v>2555</v>
      </c>
      <c r="L16" s="366">
        <v>2574</v>
      </c>
      <c r="M16" s="366">
        <f t="shared" si="4"/>
        <v>19</v>
      </c>
      <c r="N16" s="367">
        <v>0.50347222222222221</v>
      </c>
      <c r="O16" s="367">
        <v>1.3194444444444444E-2</v>
      </c>
      <c r="P16" s="366" t="s">
        <v>547</v>
      </c>
      <c r="Q16" s="366" t="s">
        <v>234</v>
      </c>
      <c r="R16" s="366" t="s">
        <v>528</v>
      </c>
      <c r="S16" s="366"/>
    </row>
    <row r="17" spans="1:19" s="375" customFormat="1" ht="20.25" customHeight="1">
      <c r="A17" s="507">
        <v>15</v>
      </c>
      <c r="B17" s="366" t="s">
        <v>537</v>
      </c>
      <c r="C17" s="366" t="s">
        <v>541</v>
      </c>
      <c r="D17" s="366">
        <v>725</v>
      </c>
      <c r="E17" s="366" t="s">
        <v>527</v>
      </c>
      <c r="F17" s="366" t="s">
        <v>72</v>
      </c>
      <c r="G17" s="377"/>
      <c r="H17" s="366">
        <v>5.5</v>
      </c>
      <c r="I17" s="366"/>
      <c r="J17" s="366"/>
      <c r="K17" s="366">
        <f t="shared" si="5"/>
        <v>2007.5</v>
      </c>
      <c r="L17" s="366">
        <v>2018</v>
      </c>
      <c r="M17" s="366">
        <f t="shared" si="4"/>
        <v>10.5</v>
      </c>
      <c r="N17" s="367">
        <v>1.5972222222222224E-2</v>
      </c>
      <c r="O17" s="367">
        <v>2.9166666666666664E-2</v>
      </c>
      <c r="P17" s="366" t="s">
        <v>547</v>
      </c>
      <c r="Q17" s="366" t="s">
        <v>234</v>
      </c>
      <c r="R17" s="366" t="s">
        <v>528</v>
      </c>
      <c r="S17" s="366"/>
    </row>
    <row r="18" spans="1:19" s="375" customFormat="1" ht="20.25" customHeight="1">
      <c r="A18" s="508"/>
      <c r="B18" s="366" t="s">
        <v>537</v>
      </c>
      <c r="C18" s="366" t="s">
        <v>541</v>
      </c>
      <c r="D18" s="366">
        <v>726</v>
      </c>
      <c r="E18" s="366" t="s">
        <v>527</v>
      </c>
      <c r="F18" s="366" t="s">
        <v>72</v>
      </c>
      <c r="G18" s="377"/>
      <c r="H18" s="366">
        <v>1.5</v>
      </c>
      <c r="I18" s="366"/>
      <c r="J18" s="366"/>
      <c r="K18" s="366">
        <f t="shared" si="5"/>
        <v>547.5</v>
      </c>
      <c r="L18" s="366">
        <v>548</v>
      </c>
      <c r="M18" s="366">
        <f t="shared" si="4"/>
        <v>0.5</v>
      </c>
      <c r="N18" s="367">
        <v>1.5972222222222224E-2</v>
      </c>
      <c r="O18" s="367">
        <v>2.9166666666666664E-2</v>
      </c>
      <c r="P18" s="366" t="s">
        <v>547</v>
      </c>
      <c r="Q18" s="366" t="s">
        <v>234</v>
      </c>
      <c r="R18" s="366" t="s">
        <v>528</v>
      </c>
      <c r="S18" s="366"/>
    </row>
    <row r="19" spans="1:19" s="375" customFormat="1" ht="20.25" customHeight="1">
      <c r="A19" s="368">
        <v>16</v>
      </c>
      <c r="B19" s="366" t="s">
        <v>537</v>
      </c>
      <c r="C19" s="366" t="s">
        <v>552</v>
      </c>
      <c r="D19" s="366">
        <v>905350012</v>
      </c>
      <c r="E19" s="366" t="s">
        <v>527</v>
      </c>
      <c r="F19" s="366" t="s">
        <v>72</v>
      </c>
      <c r="G19" s="377"/>
      <c r="H19" s="366">
        <v>7</v>
      </c>
      <c r="I19" s="366"/>
      <c r="J19" s="366"/>
      <c r="K19" s="366">
        <f t="shared" si="5"/>
        <v>2555</v>
      </c>
      <c r="L19" s="366">
        <v>2555</v>
      </c>
      <c r="M19" s="366">
        <f t="shared" si="4"/>
        <v>0</v>
      </c>
      <c r="N19" s="367">
        <v>0.9375</v>
      </c>
      <c r="O19" s="367">
        <v>0.96319444444444446</v>
      </c>
      <c r="P19" s="366" t="s">
        <v>547</v>
      </c>
      <c r="Q19" s="366" t="s">
        <v>234</v>
      </c>
      <c r="R19" s="366" t="s">
        <v>551</v>
      </c>
      <c r="S19" s="366"/>
    </row>
    <row r="20" spans="1:19" s="375" customFormat="1" ht="20.25" customHeight="1">
      <c r="A20" s="368">
        <v>17</v>
      </c>
      <c r="B20" s="366" t="s">
        <v>537</v>
      </c>
      <c r="C20" s="366" t="s">
        <v>553</v>
      </c>
      <c r="D20" s="366">
        <v>905350013</v>
      </c>
      <c r="E20" s="366" t="s">
        <v>527</v>
      </c>
      <c r="F20" s="366" t="s">
        <v>72</v>
      </c>
      <c r="G20" s="377"/>
      <c r="H20" s="366">
        <v>7</v>
      </c>
      <c r="I20" s="366"/>
      <c r="J20" s="366"/>
      <c r="K20" s="366">
        <f t="shared" si="5"/>
        <v>2555</v>
      </c>
      <c r="L20" s="366">
        <v>2555</v>
      </c>
      <c r="M20" s="366">
        <f t="shared" si="4"/>
        <v>0</v>
      </c>
      <c r="N20" s="367">
        <v>0.96736111111111101</v>
      </c>
      <c r="O20" s="367">
        <v>0.9868055555555556</v>
      </c>
      <c r="P20" s="366" t="s">
        <v>547</v>
      </c>
      <c r="Q20" s="366" t="s">
        <v>234</v>
      </c>
      <c r="R20" s="366" t="s">
        <v>551</v>
      </c>
      <c r="S20" s="366"/>
    </row>
    <row r="21" spans="1:19" s="375" customFormat="1" ht="20.25" customHeight="1">
      <c r="A21" s="391">
        <v>18</v>
      </c>
      <c r="B21" s="366" t="s">
        <v>537</v>
      </c>
      <c r="C21" s="366" t="s">
        <v>554</v>
      </c>
      <c r="D21" s="366">
        <v>905350014</v>
      </c>
      <c r="E21" s="366" t="s">
        <v>527</v>
      </c>
      <c r="F21" s="366" t="s">
        <v>72</v>
      </c>
      <c r="G21" s="377"/>
      <c r="H21" s="366">
        <v>7</v>
      </c>
      <c r="I21" s="366"/>
      <c r="J21" s="366"/>
      <c r="K21" s="366">
        <f t="shared" si="5"/>
        <v>2555</v>
      </c>
      <c r="L21" s="366">
        <v>2555</v>
      </c>
      <c r="M21" s="366">
        <f t="shared" si="4"/>
        <v>0</v>
      </c>
      <c r="N21" s="367">
        <v>0.9868055555555556</v>
      </c>
      <c r="O21" s="367">
        <v>1.0083333333333333</v>
      </c>
      <c r="P21" s="366" t="s">
        <v>547</v>
      </c>
      <c r="Q21" s="366" t="s">
        <v>234</v>
      </c>
      <c r="R21" s="366" t="s">
        <v>551</v>
      </c>
      <c r="S21" s="366"/>
    </row>
    <row r="22" spans="1:19" s="375" customFormat="1" ht="20.25" customHeight="1">
      <c r="A22" s="391">
        <v>19</v>
      </c>
      <c r="B22" s="366" t="s">
        <v>537</v>
      </c>
      <c r="C22" s="366" t="s">
        <v>555</v>
      </c>
      <c r="D22" s="366">
        <v>905350015</v>
      </c>
      <c r="E22" s="366" t="s">
        <v>527</v>
      </c>
      <c r="F22" s="366" t="s">
        <v>72</v>
      </c>
      <c r="G22" s="377"/>
      <c r="H22" s="366">
        <v>7</v>
      </c>
      <c r="I22" s="366"/>
      <c r="J22" s="366"/>
      <c r="K22" s="366">
        <f t="shared" si="5"/>
        <v>2555</v>
      </c>
      <c r="L22" s="366">
        <v>2556</v>
      </c>
      <c r="M22" s="366">
        <f t="shared" si="4"/>
        <v>1</v>
      </c>
      <c r="N22" s="367">
        <v>5.2777777777777778E-2</v>
      </c>
      <c r="O22" s="367">
        <v>7.1527777777777787E-2</v>
      </c>
      <c r="P22" s="366" t="s">
        <v>547</v>
      </c>
      <c r="Q22" s="366" t="s">
        <v>234</v>
      </c>
      <c r="R22" s="366" t="s">
        <v>551</v>
      </c>
      <c r="S22" s="366"/>
    </row>
    <row r="23" spans="1:19" s="375" customFormat="1" ht="20.25" customHeight="1">
      <c r="A23" s="391">
        <v>20</v>
      </c>
      <c r="B23" s="366" t="s">
        <v>537</v>
      </c>
      <c r="C23" s="366" t="s">
        <v>556</v>
      </c>
      <c r="D23" s="366">
        <v>905350016</v>
      </c>
      <c r="E23" s="366" t="s">
        <v>527</v>
      </c>
      <c r="F23" s="366" t="s">
        <v>72</v>
      </c>
      <c r="G23" s="377"/>
      <c r="H23" s="366">
        <v>7</v>
      </c>
      <c r="I23" s="366"/>
      <c r="J23" s="366"/>
      <c r="K23" s="366">
        <f t="shared" si="5"/>
        <v>2555</v>
      </c>
      <c r="L23" s="366">
        <v>2555</v>
      </c>
      <c r="M23" s="366">
        <f t="shared" si="4"/>
        <v>0</v>
      </c>
      <c r="N23" s="367">
        <v>7.5694444444444439E-2</v>
      </c>
      <c r="O23" s="367">
        <v>8.6805555555555566E-2</v>
      </c>
      <c r="P23" s="366" t="s">
        <v>547</v>
      </c>
      <c r="Q23" s="366" t="s">
        <v>234</v>
      </c>
      <c r="R23" s="366" t="s">
        <v>551</v>
      </c>
      <c r="S23" s="366"/>
    </row>
    <row r="24" spans="1:19" s="375" customFormat="1" ht="20.25" customHeight="1">
      <c r="A24" s="391">
        <v>21</v>
      </c>
      <c r="B24" s="366" t="s">
        <v>542</v>
      </c>
      <c r="C24" s="366" t="s">
        <v>538</v>
      </c>
      <c r="D24" s="366">
        <v>727</v>
      </c>
      <c r="E24" s="366" t="s">
        <v>527</v>
      </c>
      <c r="F24" s="366" t="s">
        <v>72</v>
      </c>
      <c r="G24" s="377"/>
      <c r="H24" s="366">
        <v>7</v>
      </c>
      <c r="I24" s="366"/>
      <c r="J24" s="366"/>
      <c r="K24" s="366">
        <f t="shared" si="5"/>
        <v>2555</v>
      </c>
      <c r="L24" s="366">
        <v>2561</v>
      </c>
      <c r="M24" s="366">
        <f t="shared" si="4"/>
        <v>6</v>
      </c>
      <c r="N24" s="367">
        <v>4.3055555555555562E-2</v>
      </c>
      <c r="O24" s="367">
        <v>7.6388888888888895E-2</v>
      </c>
      <c r="P24" s="366" t="s">
        <v>547</v>
      </c>
      <c r="Q24" s="366" t="s">
        <v>234</v>
      </c>
      <c r="R24" s="366" t="s">
        <v>528</v>
      </c>
      <c r="S24" s="366"/>
    </row>
    <row r="25" spans="1:19" s="375" customFormat="1" ht="20.25" customHeight="1">
      <c r="A25" s="391">
        <v>22</v>
      </c>
      <c r="B25" s="366" t="s">
        <v>542</v>
      </c>
      <c r="C25" s="366" t="s">
        <v>530</v>
      </c>
      <c r="D25" s="366">
        <v>728</v>
      </c>
      <c r="E25" s="366" t="s">
        <v>527</v>
      </c>
      <c r="F25" s="366" t="s">
        <v>72</v>
      </c>
      <c r="G25" s="377"/>
      <c r="H25" s="366">
        <v>7</v>
      </c>
      <c r="I25" s="366"/>
      <c r="J25" s="366"/>
      <c r="K25" s="366">
        <f t="shared" si="5"/>
        <v>2555</v>
      </c>
      <c r="L25" s="366">
        <v>2551</v>
      </c>
      <c r="M25" s="366">
        <f t="shared" si="4"/>
        <v>-4</v>
      </c>
      <c r="N25" s="367">
        <v>7.7777777777777779E-2</v>
      </c>
      <c r="O25" s="367">
        <v>9.375E-2</v>
      </c>
      <c r="P25" s="366" t="s">
        <v>547</v>
      </c>
      <c r="Q25" s="366" t="s">
        <v>234</v>
      </c>
      <c r="R25" s="366" t="s">
        <v>528</v>
      </c>
      <c r="S25" s="366"/>
    </row>
    <row r="26" spans="1:19" s="375" customFormat="1" ht="20.25" customHeight="1">
      <c r="A26" s="391">
        <v>23</v>
      </c>
      <c r="B26" s="366" t="s">
        <v>542</v>
      </c>
      <c r="C26" s="366" t="s">
        <v>543</v>
      </c>
      <c r="D26" s="366">
        <v>729</v>
      </c>
      <c r="E26" s="366" t="s">
        <v>527</v>
      </c>
      <c r="F26" s="366" t="s">
        <v>72</v>
      </c>
      <c r="G26" s="377"/>
      <c r="H26" s="366">
        <v>7</v>
      </c>
      <c r="I26" s="366"/>
      <c r="J26" s="366"/>
      <c r="K26" s="366">
        <f t="shared" si="5"/>
        <v>2555</v>
      </c>
      <c r="L26" s="366">
        <v>2557</v>
      </c>
      <c r="M26" s="366">
        <f t="shared" si="4"/>
        <v>2</v>
      </c>
      <c r="N26" s="367">
        <v>9.6527777777777768E-2</v>
      </c>
      <c r="O26" s="367">
        <v>0.10625</v>
      </c>
      <c r="P26" s="366" t="s">
        <v>547</v>
      </c>
      <c r="Q26" s="366" t="s">
        <v>234</v>
      </c>
      <c r="R26" s="366" t="s">
        <v>528</v>
      </c>
      <c r="S26" s="366"/>
    </row>
    <row r="27" spans="1:19" s="375" customFormat="1" ht="20.25" customHeight="1">
      <c r="A27" s="391">
        <v>24</v>
      </c>
      <c r="B27" s="366" t="s">
        <v>542</v>
      </c>
      <c r="C27" s="366" t="s">
        <v>529</v>
      </c>
      <c r="D27" s="366">
        <v>730</v>
      </c>
      <c r="E27" s="366" t="s">
        <v>527</v>
      </c>
      <c r="F27" s="366" t="s">
        <v>72</v>
      </c>
      <c r="G27" s="377"/>
      <c r="H27" s="366">
        <v>7</v>
      </c>
      <c r="I27" s="366"/>
      <c r="J27" s="366"/>
      <c r="K27" s="366">
        <f t="shared" si="5"/>
        <v>2555</v>
      </c>
      <c r="L27" s="366">
        <v>2557</v>
      </c>
      <c r="M27" s="366">
        <f t="shared" si="4"/>
        <v>2</v>
      </c>
      <c r="N27" s="367">
        <v>0.1076388888888889</v>
      </c>
      <c r="O27" s="367">
        <v>0.12708333333333333</v>
      </c>
      <c r="P27" s="366" t="s">
        <v>547</v>
      </c>
      <c r="Q27" s="366" t="s">
        <v>234</v>
      </c>
      <c r="R27" s="366" t="s">
        <v>528</v>
      </c>
      <c r="S27" s="366"/>
    </row>
    <row r="28" spans="1:19" s="375" customFormat="1" ht="20.25" customHeight="1">
      <c r="A28" s="391">
        <v>25</v>
      </c>
      <c r="B28" s="366" t="s">
        <v>542</v>
      </c>
      <c r="C28" s="366" t="s">
        <v>544</v>
      </c>
      <c r="D28" s="366">
        <v>731</v>
      </c>
      <c r="E28" s="366" t="s">
        <v>527</v>
      </c>
      <c r="F28" s="366" t="s">
        <v>72</v>
      </c>
      <c r="G28" s="377"/>
      <c r="H28" s="366">
        <v>7</v>
      </c>
      <c r="I28" s="366"/>
      <c r="J28" s="366"/>
      <c r="K28" s="366">
        <f t="shared" si="5"/>
        <v>2555</v>
      </c>
      <c r="L28" s="366">
        <v>2561</v>
      </c>
      <c r="M28" s="366">
        <f t="shared" si="4"/>
        <v>6</v>
      </c>
      <c r="N28" s="367">
        <v>0.12708333333333333</v>
      </c>
      <c r="O28" s="367">
        <v>0.14097222222222222</v>
      </c>
      <c r="P28" s="366" t="s">
        <v>547</v>
      </c>
      <c r="Q28" s="366" t="s">
        <v>234</v>
      </c>
      <c r="R28" s="366" t="s">
        <v>528</v>
      </c>
      <c r="S28" s="366"/>
    </row>
    <row r="29" spans="1:19" s="375" customFormat="1" ht="20.25" customHeight="1">
      <c r="A29" s="391">
        <v>26</v>
      </c>
      <c r="B29" s="366" t="s">
        <v>542</v>
      </c>
      <c r="C29" s="366" t="s">
        <v>545</v>
      </c>
      <c r="D29" s="366">
        <v>732</v>
      </c>
      <c r="E29" s="366" t="s">
        <v>527</v>
      </c>
      <c r="F29" s="366" t="s">
        <v>72</v>
      </c>
      <c r="G29" s="377"/>
      <c r="H29" s="366">
        <v>7</v>
      </c>
      <c r="I29" s="366"/>
      <c r="J29" s="366"/>
      <c r="K29" s="366">
        <f t="shared" si="5"/>
        <v>2555</v>
      </c>
      <c r="L29" s="366">
        <v>2560</v>
      </c>
      <c r="M29" s="366">
        <f t="shared" si="4"/>
        <v>5</v>
      </c>
      <c r="N29" s="367">
        <v>0.14305555555555557</v>
      </c>
      <c r="O29" s="367">
        <v>0.15833333333333333</v>
      </c>
      <c r="P29" s="366" t="s">
        <v>547</v>
      </c>
      <c r="Q29" s="366" t="s">
        <v>234</v>
      </c>
      <c r="R29" s="366" t="s">
        <v>528</v>
      </c>
      <c r="S29" s="366"/>
    </row>
    <row r="30" spans="1:19" s="375" customFormat="1" ht="20.25" customHeight="1">
      <c r="A30" s="391">
        <v>27</v>
      </c>
      <c r="B30" s="366" t="s">
        <v>542</v>
      </c>
      <c r="C30" s="366" t="s">
        <v>538</v>
      </c>
      <c r="D30" s="366">
        <v>733</v>
      </c>
      <c r="E30" s="366" t="s">
        <v>527</v>
      </c>
      <c r="F30" s="366" t="s">
        <v>72</v>
      </c>
      <c r="G30" s="377"/>
      <c r="H30" s="366">
        <v>7</v>
      </c>
      <c r="I30" s="366"/>
      <c r="J30" s="366"/>
      <c r="K30" s="366">
        <f t="shared" si="5"/>
        <v>2555</v>
      </c>
      <c r="L30" s="366">
        <v>2570</v>
      </c>
      <c r="M30" s="366">
        <f t="shared" si="4"/>
        <v>15</v>
      </c>
      <c r="N30" s="367">
        <v>0.16180555555555556</v>
      </c>
      <c r="O30" s="367">
        <v>0.17083333333333331</v>
      </c>
      <c r="P30" s="366" t="s">
        <v>547</v>
      </c>
      <c r="Q30" s="366" t="s">
        <v>234</v>
      </c>
      <c r="R30" s="366" t="s">
        <v>528</v>
      </c>
      <c r="S30" s="366"/>
    </row>
    <row r="31" spans="1:19" s="375" customFormat="1" ht="20.25" customHeight="1">
      <c r="A31" s="391">
        <v>28</v>
      </c>
      <c r="B31" s="366" t="s">
        <v>542</v>
      </c>
      <c r="C31" s="366" t="s">
        <v>541</v>
      </c>
      <c r="D31" s="366">
        <v>734</v>
      </c>
      <c r="E31" s="366" t="s">
        <v>527</v>
      </c>
      <c r="F31" s="366" t="s">
        <v>72</v>
      </c>
      <c r="G31" s="377"/>
      <c r="H31" s="366">
        <v>7</v>
      </c>
      <c r="I31" s="366"/>
      <c r="J31" s="366"/>
      <c r="K31" s="366">
        <f t="shared" si="5"/>
        <v>2555</v>
      </c>
      <c r="L31" s="366">
        <v>2564</v>
      </c>
      <c r="M31" s="366">
        <f t="shared" si="4"/>
        <v>9</v>
      </c>
      <c r="N31" s="367">
        <v>0.1763888888888889</v>
      </c>
      <c r="O31" s="367">
        <v>0.18402777777777779</v>
      </c>
      <c r="P31" s="366" t="s">
        <v>547</v>
      </c>
      <c r="Q31" s="366" t="s">
        <v>234</v>
      </c>
      <c r="R31" s="366" t="s">
        <v>528</v>
      </c>
      <c r="S31" s="366"/>
    </row>
    <row r="32" spans="1:19" s="375" customFormat="1" ht="20.25" customHeight="1">
      <c r="A32" s="391">
        <v>29</v>
      </c>
      <c r="B32" s="366" t="s">
        <v>542</v>
      </c>
      <c r="C32" s="366" t="s">
        <v>530</v>
      </c>
      <c r="D32" s="366">
        <v>735</v>
      </c>
      <c r="E32" s="366" t="s">
        <v>527</v>
      </c>
      <c r="F32" s="366" t="s">
        <v>72</v>
      </c>
      <c r="G32" s="377"/>
      <c r="H32" s="366">
        <v>7</v>
      </c>
      <c r="I32" s="366"/>
      <c r="J32" s="366"/>
      <c r="K32" s="366">
        <f t="shared" si="5"/>
        <v>2555</v>
      </c>
      <c r="L32" s="366">
        <v>2566</v>
      </c>
      <c r="M32" s="366">
        <f t="shared" si="4"/>
        <v>11</v>
      </c>
      <c r="N32" s="367">
        <v>0.19375000000000001</v>
      </c>
      <c r="O32" s="367">
        <v>0.2076388888888889</v>
      </c>
      <c r="P32" s="366" t="s">
        <v>547</v>
      </c>
      <c r="Q32" s="366" t="s">
        <v>234</v>
      </c>
      <c r="R32" s="366" t="s">
        <v>528</v>
      </c>
      <c r="S32" s="366"/>
    </row>
    <row r="33" spans="1:19" s="375" customFormat="1" ht="20.25" customHeight="1">
      <c r="A33" s="391">
        <v>30</v>
      </c>
      <c r="B33" s="366" t="s">
        <v>542</v>
      </c>
      <c r="C33" s="366" t="s">
        <v>546</v>
      </c>
      <c r="D33" s="366">
        <v>736</v>
      </c>
      <c r="E33" s="366" t="s">
        <v>527</v>
      </c>
      <c r="F33" s="366" t="s">
        <v>72</v>
      </c>
      <c r="G33" s="377"/>
      <c r="H33" s="366">
        <v>7</v>
      </c>
      <c r="I33" s="366"/>
      <c r="J33" s="366"/>
      <c r="K33" s="366">
        <f t="shared" si="5"/>
        <v>2555</v>
      </c>
      <c r="L33" s="366">
        <v>2564</v>
      </c>
      <c r="M33" s="366">
        <f t="shared" si="4"/>
        <v>9</v>
      </c>
      <c r="N33" s="367">
        <v>0.21180555555555555</v>
      </c>
      <c r="O33" s="367">
        <v>0.2722222222222222</v>
      </c>
      <c r="P33" s="366" t="s">
        <v>547</v>
      </c>
      <c r="Q33" s="366" t="s">
        <v>234</v>
      </c>
      <c r="R33" s="366" t="s">
        <v>528</v>
      </c>
      <c r="S33" s="366"/>
    </row>
    <row r="34" spans="1:19" s="375" customFormat="1" ht="21.75" customHeight="1">
      <c r="A34" s="391">
        <v>31</v>
      </c>
      <c r="B34" s="366" t="s">
        <v>542</v>
      </c>
      <c r="C34" s="366" t="s">
        <v>543</v>
      </c>
      <c r="D34" s="366">
        <v>737</v>
      </c>
      <c r="E34" s="366" t="s">
        <v>527</v>
      </c>
      <c r="F34" s="366" t="s">
        <v>72</v>
      </c>
      <c r="G34" s="377"/>
      <c r="H34" s="372">
        <v>7</v>
      </c>
      <c r="I34" s="372"/>
      <c r="J34" s="372"/>
      <c r="K34" s="366">
        <f t="shared" si="5"/>
        <v>2555</v>
      </c>
      <c r="L34" s="366">
        <v>2559</v>
      </c>
      <c r="M34" s="366">
        <f t="shared" si="4"/>
        <v>4</v>
      </c>
      <c r="N34" s="367">
        <v>0.27569444444444446</v>
      </c>
      <c r="O34" s="367">
        <v>0.30833333333333335</v>
      </c>
      <c r="P34" s="366" t="s">
        <v>547</v>
      </c>
      <c r="Q34" s="366" t="s">
        <v>234</v>
      </c>
      <c r="R34" s="366" t="s">
        <v>528</v>
      </c>
      <c r="S34" s="366"/>
    </row>
    <row r="35" spans="1:19" s="375" customFormat="1" ht="21.75" customHeight="1">
      <c r="A35" s="391">
        <v>32</v>
      </c>
      <c r="B35" s="366" t="s">
        <v>542</v>
      </c>
      <c r="C35" s="366" t="s">
        <v>544</v>
      </c>
      <c r="D35" s="366">
        <v>738</v>
      </c>
      <c r="E35" s="366" t="s">
        <v>527</v>
      </c>
      <c r="F35" s="366" t="s">
        <v>72</v>
      </c>
      <c r="G35" s="377"/>
      <c r="H35" s="372">
        <v>7</v>
      </c>
      <c r="I35" s="372"/>
      <c r="J35" s="372"/>
      <c r="K35" s="366">
        <f t="shared" si="5"/>
        <v>2555</v>
      </c>
      <c r="L35" s="366">
        <v>2560</v>
      </c>
      <c r="M35" s="366">
        <f t="shared" si="4"/>
        <v>5</v>
      </c>
      <c r="N35" s="367">
        <v>0.31041666666666667</v>
      </c>
      <c r="O35" s="367">
        <v>0.32569444444444445</v>
      </c>
      <c r="P35" s="366" t="s">
        <v>547</v>
      </c>
      <c r="Q35" s="366" t="s">
        <v>234</v>
      </c>
      <c r="R35" s="366" t="s">
        <v>528</v>
      </c>
      <c r="S35" s="366"/>
    </row>
    <row r="36" spans="1:19" s="375" customFormat="1" ht="21.75" customHeight="1">
      <c r="A36" s="391">
        <v>33</v>
      </c>
      <c r="B36" s="366" t="s">
        <v>542</v>
      </c>
      <c r="C36" s="366" t="s">
        <v>545</v>
      </c>
      <c r="D36" s="366">
        <v>739</v>
      </c>
      <c r="E36" s="366" t="s">
        <v>527</v>
      </c>
      <c r="F36" s="366" t="s">
        <v>72</v>
      </c>
      <c r="G36" s="377"/>
      <c r="H36" s="372">
        <v>7</v>
      </c>
      <c r="I36" s="372"/>
      <c r="J36" s="372"/>
      <c r="K36" s="366">
        <f t="shared" si="5"/>
        <v>2555</v>
      </c>
      <c r="L36" s="366">
        <v>2559</v>
      </c>
      <c r="M36" s="366">
        <f t="shared" si="4"/>
        <v>4</v>
      </c>
      <c r="N36" s="367">
        <v>0.30486111111111108</v>
      </c>
      <c r="O36" s="367">
        <v>0.34513888888888888</v>
      </c>
      <c r="P36" s="366" t="s">
        <v>547</v>
      </c>
      <c r="Q36" s="366" t="s">
        <v>234</v>
      </c>
      <c r="R36" s="366" t="s">
        <v>528</v>
      </c>
      <c r="S36" s="366"/>
    </row>
    <row r="37" spans="1:19" s="375" customFormat="1" ht="21.75" customHeight="1">
      <c r="A37" s="391">
        <v>34</v>
      </c>
      <c r="B37" s="366" t="s">
        <v>542</v>
      </c>
      <c r="C37" s="366" t="s">
        <v>546</v>
      </c>
      <c r="D37" s="366">
        <v>740</v>
      </c>
      <c r="E37" s="366" t="s">
        <v>527</v>
      </c>
      <c r="F37" s="366" t="s">
        <v>72</v>
      </c>
      <c r="G37" s="377"/>
      <c r="H37" s="372">
        <v>7</v>
      </c>
      <c r="I37" s="372"/>
      <c r="J37" s="372"/>
      <c r="K37" s="366">
        <f t="shared" si="5"/>
        <v>2555</v>
      </c>
      <c r="L37" s="366">
        <v>2573</v>
      </c>
      <c r="M37" s="366">
        <f t="shared" si="4"/>
        <v>18</v>
      </c>
      <c r="N37" s="367">
        <v>0.35069444444444442</v>
      </c>
      <c r="O37" s="367">
        <v>0.38194444444444442</v>
      </c>
      <c r="P37" s="366" t="s">
        <v>547</v>
      </c>
      <c r="Q37" s="366" t="s">
        <v>234</v>
      </c>
      <c r="R37" s="366" t="s">
        <v>528</v>
      </c>
      <c r="S37" s="366"/>
    </row>
    <row r="38" spans="1:19" s="375" customFormat="1" ht="21.75" customHeight="1">
      <c r="A38" s="391">
        <v>35</v>
      </c>
      <c r="B38" s="366" t="s">
        <v>542</v>
      </c>
      <c r="C38" s="366" t="s">
        <v>530</v>
      </c>
      <c r="D38" s="366">
        <v>741</v>
      </c>
      <c r="E38" s="366" t="s">
        <v>527</v>
      </c>
      <c r="F38" s="366" t="s">
        <v>72</v>
      </c>
      <c r="G38" s="377"/>
      <c r="H38" s="372">
        <v>7</v>
      </c>
      <c r="I38" s="372"/>
      <c r="J38" s="372"/>
      <c r="K38" s="366">
        <f t="shared" si="5"/>
        <v>2555</v>
      </c>
      <c r="L38" s="366">
        <v>2562</v>
      </c>
      <c r="M38" s="366">
        <f t="shared" si="4"/>
        <v>7</v>
      </c>
      <c r="N38" s="367">
        <v>0.38541666666666669</v>
      </c>
      <c r="O38" s="367">
        <v>0.40625</v>
      </c>
      <c r="P38" s="366" t="s">
        <v>547</v>
      </c>
      <c r="Q38" s="366" t="s">
        <v>234</v>
      </c>
      <c r="R38" s="366" t="s">
        <v>528</v>
      </c>
      <c r="S38" s="366"/>
    </row>
    <row r="39" spans="1:19" s="375" customFormat="1" ht="21.75" customHeight="1">
      <c r="A39" s="391">
        <v>36</v>
      </c>
      <c r="B39" s="366" t="s">
        <v>542</v>
      </c>
      <c r="C39" s="366" t="s">
        <v>529</v>
      </c>
      <c r="D39" s="366">
        <v>742</v>
      </c>
      <c r="E39" s="366" t="s">
        <v>527</v>
      </c>
      <c r="F39" s="366" t="s">
        <v>72</v>
      </c>
      <c r="G39" s="377"/>
      <c r="H39" s="372">
        <v>7</v>
      </c>
      <c r="I39" s="372"/>
      <c r="J39" s="372"/>
      <c r="K39" s="366">
        <f t="shared" si="5"/>
        <v>2555</v>
      </c>
      <c r="L39" s="366">
        <v>2574</v>
      </c>
      <c r="M39" s="366">
        <f t="shared" si="4"/>
        <v>19</v>
      </c>
      <c r="N39" s="367">
        <v>0.40972222222222227</v>
      </c>
      <c r="O39" s="367">
        <v>0.44861111111111113</v>
      </c>
      <c r="P39" s="366" t="s">
        <v>547</v>
      </c>
      <c r="Q39" s="366" t="s">
        <v>234</v>
      </c>
      <c r="R39" s="366" t="s">
        <v>528</v>
      </c>
      <c r="S39" s="366"/>
    </row>
    <row r="40" spans="1:19" s="375" customFormat="1" ht="21.75" customHeight="1">
      <c r="A40" s="391">
        <v>37</v>
      </c>
      <c r="B40" s="366" t="s">
        <v>542</v>
      </c>
      <c r="C40" s="366" t="s">
        <v>538</v>
      </c>
      <c r="D40" s="366">
        <v>743</v>
      </c>
      <c r="E40" s="366" t="s">
        <v>527</v>
      </c>
      <c r="F40" s="366" t="s">
        <v>72</v>
      </c>
      <c r="G40" s="377"/>
      <c r="H40" s="372">
        <v>7</v>
      </c>
      <c r="I40" s="372"/>
      <c r="J40" s="372"/>
      <c r="K40" s="366">
        <f t="shared" si="5"/>
        <v>2555</v>
      </c>
      <c r="L40" s="366">
        <v>2552</v>
      </c>
      <c r="M40" s="366">
        <f t="shared" si="4"/>
        <v>-3</v>
      </c>
      <c r="N40" s="367">
        <v>0.44791666666666669</v>
      </c>
      <c r="O40" s="367">
        <v>0.50347222222222221</v>
      </c>
      <c r="P40" s="366" t="s">
        <v>547</v>
      </c>
      <c r="Q40" s="366" t="s">
        <v>234</v>
      </c>
      <c r="R40" s="366" t="s">
        <v>528</v>
      </c>
      <c r="S40" s="366"/>
    </row>
    <row r="41" spans="1:19" s="375" customFormat="1" ht="21.75" customHeight="1">
      <c r="A41" s="391">
        <v>38</v>
      </c>
      <c r="B41" s="366" t="s">
        <v>542</v>
      </c>
      <c r="C41" s="366" t="s">
        <v>543</v>
      </c>
      <c r="D41" s="366">
        <v>744</v>
      </c>
      <c r="E41" s="366" t="s">
        <v>527</v>
      </c>
      <c r="F41" s="366" t="s">
        <v>72</v>
      </c>
      <c r="G41" s="377"/>
      <c r="H41" s="372">
        <v>7</v>
      </c>
      <c r="I41" s="372"/>
      <c r="J41" s="372"/>
      <c r="K41" s="366">
        <f t="shared" si="5"/>
        <v>2555</v>
      </c>
      <c r="L41" s="366">
        <v>2569</v>
      </c>
      <c r="M41" s="366">
        <f t="shared" si="4"/>
        <v>14</v>
      </c>
      <c r="N41" s="367">
        <v>0.50763888888888886</v>
      </c>
      <c r="O41" s="367">
        <v>0.54166666666666663</v>
      </c>
      <c r="P41" s="366" t="s">
        <v>547</v>
      </c>
      <c r="Q41" s="366" t="s">
        <v>234</v>
      </c>
      <c r="R41" s="366" t="s">
        <v>528</v>
      </c>
      <c r="S41" s="366"/>
    </row>
    <row r="42" spans="1:19" s="375" customFormat="1" ht="21.75" customHeight="1">
      <c r="A42" s="391">
        <v>39</v>
      </c>
      <c r="B42" s="366" t="s">
        <v>542</v>
      </c>
      <c r="C42" s="366" t="s">
        <v>544</v>
      </c>
      <c r="D42" s="366">
        <v>745</v>
      </c>
      <c r="E42" s="366" t="s">
        <v>527</v>
      </c>
      <c r="F42" s="366" t="s">
        <v>72</v>
      </c>
      <c r="G42" s="377"/>
      <c r="H42" s="372">
        <v>7</v>
      </c>
      <c r="I42" s="372"/>
      <c r="J42" s="372"/>
      <c r="K42" s="366">
        <f t="shared" si="5"/>
        <v>2555</v>
      </c>
      <c r="L42" s="366">
        <v>2563</v>
      </c>
      <c r="M42" s="366">
        <f t="shared" si="4"/>
        <v>8</v>
      </c>
      <c r="N42" s="367">
        <v>0.54166666666666663</v>
      </c>
      <c r="O42" s="367">
        <v>0.56805555555555554</v>
      </c>
      <c r="P42" s="366" t="s">
        <v>547</v>
      </c>
      <c r="Q42" s="366" t="s">
        <v>234</v>
      </c>
      <c r="R42" s="366" t="s">
        <v>528</v>
      </c>
      <c r="S42" s="366"/>
    </row>
    <row r="43" spans="1:19" s="375" customFormat="1" ht="21.75" customHeight="1">
      <c r="A43" s="391">
        <v>40</v>
      </c>
      <c r="B43" s="366" t="s">
        <v>542</v>
      </c>
      <c r="C43" s="366" t="s">
        <v>545</v>
      </c>
      <c r="D43" s="366">
        <v>746</v>
      </c>
      <c r="E43" s="366" t="s">
        <v>527</v>
      </c>
      <c r="F43" s="366" t="s">
        <v>72</v>
      </c>
      <c r="G43" s="377"/>
      <c r="H43" s="372">
        <v>7</v>
      </c>
      <c r="I43" s="372"/>
      <c r="J43" s="372"/>
      <c r="K43" s="366">
        <f t="shared" si="5"/>
        <v>2555</v>
      </c>
      <c r="L43" s="366">
        <v>2563</v>
      </c>
      <c r="M43" s="366">
        <f t="shared" si="4"/>
        <v>8</v>
      </c>
      <c r="N43" s="367">
        <v>0.57013888888888886</v>
      </c>
      <c r="O43" s="367">
        <v>0.58333333333333337</v>
      </c>
      <c r="P43" s="366" t="s">
        <v>547</v>
      </c>
      <c r="Q43" s="366" t="s">
        <v>234</v>
      </c>
      <c r="R43" s="366" t="s">
        <v>528</v>
      </c>
      <c r="S43" s="366"/>
    </row>
    <row r="44" spans="1:19" s="375" customFormat="1" ht="21.75" customHeight="1">
      <c r="A44" s="391">
        <v>41</v>
      </c>
      <c r="B44" s="366" t="s">
        <v>542</v>
      </c>
      <c r="C44" s="366" t="s">
        <v>546</v>
      </c>
      <c r="D44" s="366">
        <v>747</v>
      </c>
      <c r="E44" s="366" t="s">
        <v>527</v>
      </c>
      <c r="F44" s="366" t="s">
        <v>72</v>
      </c>
      <c r="G44" s="377"/>
      <c r="H44" s="372">
        <v>7</v>
      </c>
      <c r="I44" s="372"/>
      <c r="J44" s="372"/>
      <c r="K44" s="366">
        <f t="shared" si="5"/>
        <v>2555</v>
      </c>
      <c r="L44" s="366">
        <v>2555</v>
      </c>
      <c r="M44" s="366">
        <f t="shared" si="4"/>
        <v>0</v>
      </c>
      <c r="N44" s="367">
        <v>0.58333333333333337</v>
      </c>
      <c r="O44" s="367">
        <v>0.60138888888888886</v>
      </c>
      <c r="P44" s="366" t="s">
        <v>547</v>
      </c>
      <c r="Q44" s="366" t="s">
        <v>234</v>
      </c>
      <c r="R44" s="366" t="s">
        <v>528</v>
      </c>
      <c r="S44" s="366"/>
    </row>
    <row r="45" spans="1:19" s="375" customFormat="1" ht="21.75" customHeight="1">
      <c r="A45" s="391">
        <v>42</v>
      </c>
      <c r="B45" s="366" t="s">
        <v>542</v>
      </c>
      <c r="C45" s="366" t="s">
        <v>530</v>
      </c>
      <c r="D45" s="368">
        <v>748</v>
      </c>
      <c r="E45" s="366" t="s">
        <v>527</v>
      </c>
      <c r="F45" s="366" t="s">
        <v>72</v>
      </c>
      <c r="G45" s="392"/>
      <c r="H45" s="393">
        <v>7</v>
      </c>
      <c r="I45" s="393"/>
      <c r="J45" s="393"/>
      <c r="K45" s="368">
        <f t="shared" si="5"/>
        <v>2555</v>
      </c>
      <c r="L45" s="368">
        <v>2560</v>
      </c>
      <c r="M45" s="366">
        <f t="shared" ref="M45:M108" si="6">L45-K45</f>
        <v>5</v>
      </c>
      <c r="N45" s="367">
        <v>0.60416666666666663</v>
      </c>
      <c r="O45" s="367">
        <v>0.62291666666666667</v>
      </c>
      <c r="P45" s="366" t="s">
        <v>547</v>
      </c>
      <c r="Q45" s="366" t="s">
        <v>234</v>
      </c>
      <c r="R45" s="366" t="s">
        <v>528</v>
      </c>
      <c r="S45" s="368"/>
    </row>
    <row r="46" spans="1:19" s="375" customFormat="1" ht="21.75" customHeight="1">
      <c r="A46" s="391">
        <v>43</v>
      </c>
      <c r="B46" s="366" t="s">
        <v>542</v>
      </c>
      <c r="C46" s="366" t="s">
        <v>529</v>
      </c>
      <c r="D46" s="368">
        <v>749</v>
      </c>
      <c r="E46" s="366" t="s">
        <v>527</v>
      </c>
      <c r="F46" s="366" t="s">
        <v>72</v>
      </c>
      <c r="G46" s="392"/>
      <c r="H46" s="393">
        <v>7</v>
      </c>
      <c r="I46" s="393"/>
      <c r="J46" s="393"/>
      <c r="K46" s="368">
        <f t="shared" si="5"/>
        <v>2555</v>
      </c>
      <c r="L46" s="368">
        <v>2559</v>
      </c>
      <c r="M46" s="366">
        <f t="shared" si="6"/>
        <v>4</v>
      </c>
      <c r="N46" s="394">
        <v>0.62708333333333333</v>
      </c>
      <c r="O46" s="394">
        <v>0.64930555555555558</v>
      </c>
      <c r="P46" s="366" t="s">
        <v>547</v>
      </c>
      <c r="Q46" s="366" t="s">
        <v>234</v>
      </c>
      <c r="R46" s="366" t="s">
        <v>528</v>
      </c>
      <c r="S46" s="368"/>
    </row>
    <row r="47" spans="1:19" s="375" customFormat="1" ht="21.75" customHeight="1">
      <c r="A47" s="391">
        <v>44</v>
      </c>
      <c r="B47" s="366" t="s">
        <v>542</v>
      </c>
      <c r="C47" s="366" t="s">
        <v>543</v>
      </c>
      <c r="D47" s="368">
        <v>751</v>
      </c>
      <c r="E47" s="366" t="s">
        <v>527</v>
      </c>
      <c r="F47" s="366" t="s">
        <v>72</v>
      </c>
      <c r="G47" s="392"/>
      <c r="H47" s="393">
        <v>7</v>
      </c>
      <c r="I47" s="393"/>
      <c r="J47" s="393"/>
      <c r="K47" s="368">
        <f t="shared" si="5"/>
        <v>2555</v>
      </c>
      <c r="L47" s="368">
        <v>2564</v>
      </c>
      <c r="M47" s="366">
        <f t="shared" si="6"/>
        <v>9</v>
      </c>
      <c r="N47" s="394">
        <v>0.65138888888888891</v>
      </c>
      <c r="O47" s="394">
        <v>0.66666666666666663</v>
      </c>
      <c r="P47" s="366" t="s">
        <v>547</v>
      </c>
      <c r="Q47" s="366" t="s">
        <v>234</v>
      </c>
      <c r="R47" s="366" t="s">
        <v>528</v>
      </c>
      <c r="S47" s="368"/>
    </row>
    <row r="48" spans="1:19" s="375" customFormat="1" ht="21.75" customHeight="1">
      <c r="A48" s="391">
        <v>45</v>
      </c>
      <c r="B48" s="366" t="s">
        <v>542</v>
      </c>
      <c r="C48" s="366" t="s">
        <v>544</v>
      </c>
      <c r="D48" s="368">
        <v>752</v>
      </c>
      <c r="E48" s="366" t="s">
        <v>527</v>
      </c>
      <c r="F48" s="366" t="s">
        <v>72</v>
      </c>
      <c r="G48" s="392"/>
      <c r="H48" s="393">
        <v>7</v>
      </c>
      <c r="I48" s="393"/>
      <c r="J48" s="393"/>
      <c r="K48" s="368">
        <f t="shared" si="5"/>
        <v>2555</v>
      </c>
      <c r="L48" s="368">
        <v>2568</v>
      </c>
      <c r="M48" s="366">
        <f t="shared" si="6"/>
        <v>13</v>
      </c>
      <c r="N48" s="394">
        <v>0.70277777777777783</v>
      </c>
      <c r="O48" s="394">
        <v>0.72777777777777775</v>
      </c>
      <c r="P48" s="366" t="s">
        <v>547</v>
      </c>
      <c r="Q48" s="366" t="s">
        <v>234</v>
      </c>
      <c r="R48" s="366" t="s">
        <v>528</v>
      </c>
      <c r="S48" s="368"/>
    </row>
    <row r="49" spans="1:19" s="375" customFormat="1" ht="21.75" customHeight="1">
      <c r="A49" s="391">
        <v>46</v>
      </c>
      <c r="B49" s="366" t="s">
        <v>542</v>
      </c>
      <c r="C49" s="366" t="s">
        <v>545</v>
      </c>
      <c r="D49" s="368">
        <v>753</v>
      </c>
      <c r="E49" s="366" t="s">
        <v>527</v>
      </c>
      <c r="F49" s="366" t="s">
        <v>72</v>
      </c>
      <c r="G49" s="392"/>
      <c r="H49" s="393">
        <v>7</v>
      </c>
      <c r="I49" s="393"/>
      <c r="J49" s="393"/>
      <c r="K49" s="368">
        <f t="shared" si="5"/>
        <v>2555</v>
      </c>
      <c r="L49" s="368">
        <v>2564</v>
      </c>
      <c r="M49" s="366">
        <f t="shared" si="6"/>
        <v>9</v>
      </c>
      <c r="N49" s="394">
        <v>0.6875</v>
      </c>
      <c r="O49" s="394">
        <v>0.69791666666666663</v>
      </c>
      <c r="P49" s="366" t="s">
        <v>547</v>
      </c>
      <c r="Q49" s="366" t="s">
        <v>234</v>
      </c>
      <c r="R49" s="366" t="s">
        <v>528</v>
      </c>
      <c r="S49" s="368"/>
    </row>
    <row r="50" spans="1:19" s="375" customFormat="1" ht="21.75" customHeight="1">
      <c r="A50" s="391">
        <v>47</v>
      </c>
      <c r="B50" s="366" t="s">
        <v>542</v>
      </c>
      <c r="C50" s="366" t="s">
        <v>546</v>
      </c>
      <c r="D50" s="368">
        <v>754</v>
      </c>
      <c r="E50" s="366" t="s">
        <v>527</v>
      </c>
      <c r="F50" s="366" t="s">
        <v>72</v>
      </c>
      <c r="G50" s="392"/>
      <c r="H50" s="393">
        <v>7</v>
      </c>
      <c r="I50" s="393"/>
      <c r="J50" s="393"/>
      <c r="K50" s="368">
        <f t="shared" si="5"/>
        <v>2555</v>
      </c>
      <c r="L50" s="368">
        <v>2562</v>
      </c>
      <c r="M50" s="366">
        <f t="shared" si="6"/>
        <v>7</v>
      </c>
      <c r="N50" s="394">
        <v>0.73055555555555562</v>
      </c>
      <c r="O50" s="394">
        <v>0.73958333333333337</v>
      </c>
      <c r="P50" s="366" t="s">
        <v>547</v>
      </c>
      <c r="Q50" s="366" t="s">
        <v>234</v>
      </c>
      <c r="R50" s="366" t="s">
        <v>528</v>
      </c>
      <c r="S50" s="368"/>
    </row>
    <row r="51" spans="1:19" s="375" customFormat="1" ht="21.75" customHeight="1">
      <c r="A51" s="391">
        <v>48</v>
      </c>
      <c r="B51" s="366" t="s">
        <v>542</v>
      </c>
      <c r="C51" s="366" t="s">
        <v>530</v>
      </c>
      <c r="D51" s="368">
        <v>755</v>
      </c>
      <c r="E51" s="366" t="s">
        <v>527</v>
      </c>
      <c r="F51" s="366" t="s">
        <v>72</v>
      </c>
      <c r="G51" s="392"/>
      <c r="H51" s="393">
        <v>7</v>
      </c>
      <c r="I51" s="393"/>
      <c r="J51" s="393"/>
      <c r="K51" s="368">
        <f t="shared" si="5"/>
        <v>2555</v>
      </c>
      <c r="L51" s="368">
        <v>2561</v>
      </c>
      <c r="M51" s="366">
        <f t="shared" si="6"/>
        <v>6</v>
      </c>
      <c r="N51" s="394">
        <v>0.7402777777777777</v>
      </c>
      <c r="O51" s="394">
        <v>0.75416666666666676</v>
      </c>
      <c r="P51" s="366" t="s">
        <v>547</v>
      </c>
      <c r="Q51" s="366" t="s">
        <v>234</v>
      </c>
      <c r="R51" s="366" t="s">
        <v>528</v>
      </c>
      <c r="S51" s="368"/>
    </row>
    <row r="52" spans="1:19" s="375" customFormat="1" ht="21.75" customHeight="1">
      <c r="A52" s="391">
        <v>49</v>
      </c>
      <c r="B52" s="366" t="s">
        <v>542</v>
      </c>
      <c r="C52" s="366" t="s">
        <v>529</v>
      </c>
      <c r="D52" s="368">
        <v>756</v>
      </c>
      <c r="E52" s="366" t="s">
        <v>527</v>
      </c>
      <c r="F52" s="366" t="s">
        <v>72</v>
      </c>
      <c r="G52" s="392"/>
      <c r="H52" s="393">
        <v>7</v>
      </c>
      <c r="I52" s="393"/>
      <c r="J52" s="393"/>
      <c r="K52" s="368">
        <f t="shared" si="5"/>
        <v>2555</v>
      </c>
      <c r="L52" s="368">
        <v>2570</v>
      </c>
      <c r="M52" s="366">
        <f t="shared" si="6"/>
        <v>15</v>
      </c>
      <c r="N52" s="394">
        <v>0.76041666666666663</v>
      </c>
      <c r="O52" s="394">
        <v>0.77083333333333337</v>
      </c>
      <c r="P52" s="366" t="s">
        <v>547</v>
      </c>
      <c r="Q52" s="366" t="s">
        <v>234</v>
      </c>
      <c r="R52" s="366" t="s">
        <v>528</v>
      </c>
      <c r="S52" s="368"/>
    </row>
    <row r="53" spans="1:19" s="375" customFormat="1" ht="21.75" customHeight="1">
      <c r="A53" s="391">
        <v>50</v>
      </c>
      <c r="B53" s="366" t="s">
        <v>542</v>
      </c>
      <c r="C53" s="366" t="s">
        <v>543</v>
      </c>
      <c r="D53" s="368">
        <v>757</v>
      </c>
      <c r="E53" s="366" t="s">
        <v>527</v>
      </c>
      <c r="F53" s="366" t="s">
        <v>72</v>
      </c>
      <c r="G53" s="392"/>
      <c r="H53" s="393">
        <v>7</v>
      </c>
      <c r="I53" s="393"/>
      <c r="J53" s="393"/>
      <c r="K53" s="368">
        <f t="shared" si="5"/>
        <v>2555</v>
      </c>
      <c r="L53" s="368">
        <v>2560</v>
      </c>
      <c r="M53" s="366">
        <f t="shared" si="6"/>
        <v>5</v>
      </c>
      <c r="N53" s="394">
        <v>0.78333333333333333</v>
      </c>
      <c r="O53" s="394">
        <v>0.81944444444444453</v>
      </c>
      <c r="P53" s="366" t="s">
        <v>547</v>
      </c>
      <c r="Q53" s="366" t="s">
        <v>234</v>
      </c>
      <c r="R53" s="366" t="s">
        <v>528</v>
      </c>
      <c r="S53" s="368"/>
    </row>
    <row r="54" spans="1:19" s="375" customFormat="1" ht="21.75" customHeight="1">
      <c r="A54" s="391">
        <v>51</v>
      </c>
      <c r="B54" s="366" t="s">
        <v>542</v>
      </c>
      <c r="C54" s="366" t="s">
        <v>544</v>
      </c>
      <c r="D54" s="368">
        <v>758</v>
      </c>
      <c r="E54" s="366" t="s">
        <v>527</v>
      </c>
      <c r="F54" s="366" t="s">
        <v>72</v>
      </c>
      <c r="G54" s="392"/>
      <c r="H54" s="393">
        <v>7</v>
      </c>
      <c r="I54" s="393"/>
      <c r="J54" s="393"/>
      <c r="K54" s="368">
        <f t="shared" si="5"/>
        <v>2555</v>
      </c>
      <c r="L54" s="368">
        <v>2564</v>
      </c>
      <c r="M54" s="366">
        <f t="shared" si="6"/>
        <v>9</v>
      </c>
      <c r="N54" s="394">
        <v>0.82638888888888884</v>
      </c>
      <c r="O54" s="394">
        <v>0.83819444444444446</v>
      </c>
      <c r="P54" s="366" t="s">
        <v>547</v>
      </c>
      <c r="Q54" s="366" t="s">
        <v>234</v>
      </c>
      <c r="R54" s="366" t="s">
        <v>528</v>
      </c>
      <c r="S54" s="368"/>
    </row>
    <row r="55" spans="1:19" s="375" customFormat="1" ht="21.75" customHeight="1">
      <c r="A55" s="391">
        <v>52</v>
      </c>
      <c r="B55" s="366" t="s">
        <v>542</v>
      </c>
      <c r="C55" s="366" t="s">
        <v>545</v>
      </c>
      <c r="D55" s="368">
        <v>759</v>
      </c>
      <c r="E55" s="366" t="s">
        <v>527</v>
      </c>
      <c r="F55" s="366" t="s">
        <v>72</v>
      </c>
      <c r="G55" s="392"/>
      <c r="H55" s="393">
        <v>7</v>
      </c>
      <c r="I55" s="393"/>
      <c r="J55" s="393"/>
      <c r="K55" s="368">
        <f t="shared" si="5"/>
        <v>2555</v>
      </c>
      <c r="L55" s="368">
        <v>2560</v>
      </c>
      <c r="M55" s="366">
        <f t="shared" si="6"/>
        <v>5</v>
      </c>
      <c r="N55" s="394">
        <v>0.85486111111111107</v>
      </c>
      <c r="O55" s="394">
        <v>0.87847222222222221</v>
      </c>
      <c r="P55" s="366" t="s">
        <v>547</v>
      </c>
      <c r="Q55" s="366" t="s">
        <v>234</v>
      </c>
      <c r="R55" s="366" t="s">
        <v>528</v>
      </c>
      <c r="S55" s="368"/>
    </row>
    <row r="56" spans="1:19" s="375" customFormat="1" ht="21.75" customHeight="1">
      <c r="A56" s="391">
        <v>53</v>
      </c>
      <c r="B56" s="366" t="s">
        <v>542</v>
      </c>
      <c r="C56" s="366" t="s">
        <v>546</v>
      </c>
      <c r="D56" s="368">
        <v>760</v>
      </c>
      <c r="E56" s="366" t="s">
        <v>527</v>
      </c>
      <c r="F56" s="366" t="s">
        <v>72</v>
      </c>
      <c r="G56" s="392"/>
      <c r="H56" s="393">
        <v>7</v>
      </c>
      <c r="I56" s="393"/>
      <c r="J56" s="393"/>
      <c r="K56" s="368">
        <f t="shared" si="5"/>
        <v>2555</v>
      </c>
      <c r="L56" s="368">
        <v>2563</v>
      </c>
      <c r="M56" s="366">
        <f t="shared" si="6"/>
        <v>8</v>
      </c>
      <c r="N56" s="394">
        <v>0.88263888888888886</v>
      </c>
      <c r="O56" s="394">
        <v>0.97916666666666663</v>
      </c>
      <c r="P56" s="366" t="s">
        <v>547</v>
      </c>
      <c r="Q56" s="366" t="s">
        <v>234</v>
      </c>
      <c r="R56" s="366" t="s">
        <v>528</v>
      </c>
      <c r="S56" s="368"/>
    </row>
    <row r="57" spans="1:19" s="375" customFormat="1" ht="21.75" customHeight="1">
      <c r="A57" s="391">
        <v>54</v>
      </c>
      <c r="B57" s="366" t="s">
        <v>542</v>
      </c>
      <c r="C57" s="366" t="s">
        <v>538</v>
      </c>
      <c r="D57" s="368">
        <v>761</v>
      </c>
      <c r="E57" s="366" t="s">
        <v>527</v>
      </c>
      <c r="F57" s="366" t="s">
        <v>72</v>
      </c>
      <c r="G57" s="392"/>
      <c r="H57" s="393">
        <v>7</v>
      </c>
      <c r="I57" s="393"/>
      <c r="J57" s="393"/>
      <c r="K57" s="368">
        <f t="shared" si="5"/>
        <v>2555</v>
      </c>
      <c r="L57" s="368">
        <v>2566</v>
      </c>
      <c r="M57" s="366">
        <f t="shared" si="6"/>
        <v>11</v>
      </c>
      <c r="N57" s="394">
        <v>1.0048611111111112</v>
      </c>
      <c r="O57" s="394">
        <v>1.0166666666666666</v>
      </c>
      <c r="P57" s="366" t="s">
        <v>547</v>
      </c>
      <c r="Q57" s="366" t="s">
        <v>234</v>
      </c>
      <c r="R57" s="366" t="s">
        <v>528</v>
      </c>
      <c r="S57" s="368"/>
    </row>
    <row r="58" spans="1:19" s="375" customFormat="1" ht="21.75" customHeight="1">
      <c r="A58" s="391">
        <v>55</v>
      </c>
      <c r="B58" s="366" t="s">
        <v>542</v>
      </c>
      <c r="C58" s="366" t="s">
        <v>530</v>
      </c>
      <c r="D58" s="368">
        <v>762</v>
      </c>
      <c r="E58" s="366" t="s">
        <v>527</v>
      </c>
      <c r="F58" s="366" t="s">
        <v>72</v>
      </c>
      <c r="G58" s="392"/>
      <c r="H58" s="393">
        <v>7</v>
      </c>
      <c r="I58" s="393"/>
      <c r="J58" s="393"/>
      <c r="K58" s="368">
        <f t="shared" si="5"/>
        <v>2555</v>
      </c>
      <c r="L58" s="368">
        <v>2560</v>
      </c>
      <c r="M58" s="366">
        <f t="shared" si="6"/>
        <v>5</v>
      </c>
      <c r="N58" s="394">
        <v>1.0041666666666667</v>
      </c>
      <c r="O58" s="394">
        <v>1.0319444444444443</v>
      </c>
      <c r="P58" s="366" t="s">
        <v>547</v>
      </c>
      <c r="Q58" s="366" t="s">
        <v>234</v>
      </c>
      <c r="R58" s="366" t="s">
        <v>528</v>
      </c>
      <c r="S58" s="368"/>
    </row>
    <row r="59" spans="1:19" s="375" customFormat="1" ht="21.75" customHeight="1">
      <c r="A59" s="391">
        <v>56</v>
      </c>
      <c r="B59" s="366" t="s">
        <v>542</v>
      </c>
      <c r="C59" s="366" t="s">
        <v>529</v>
      </c>
      <c r="D59" s="368">
        <v>763</v>
      </c>
      <c r="E59" s="366" t="s">
        <v>527</v>
      </c>
      <c r="F59" s="366" t="s">
        <v>72</v>
      </c>
      <c r="G59" s="392"/>
      <c r="H59" s="393">
        <v>7</v>
      </c>
      <c r="I59" s="393"/>
      <c r="J59" s="393"/>
      <c r="K59" s="368">
        <f t="shared" si="5"/>
        <v>2555</v>
      </c>
      <c r="L59" s="368">
        <v>2563</v>
      </c>
      <c r="M59" s="366">
        <f t="shared" si="6"/>
        <v>8</v>
      </c>
      <c r="N59" s="394">
        <v>1.0354166666666667</v>
      </c>
      <c r="O59" s="394">
        <v>4.7222222222222221E-2</v>
      </c>
      <c r="P59" s="366" t="s">
        <v>547</v>
      </c>
      <c r="Q59" s="366" t="s">
        <v>234</v>
      </c>
      <c r="R59" s="366" t="s">
        <v>528</v>
      </c>
      <c r="S59" s="368"/>
    </row>
    <row r="60" spans="1:19" s="375" customFormat="1" ht="21.75" customHeight="1">
      <c r="A60" s="391">
        <v>57</v>
      </c>
      <c r="B60" s="366" t="s">
        <v>542</v>
      </c>
      <c r="C60" s="366" t="s">
        <v>543</v>
      </c>
      <c r="D60" s="368">
        <v>764</v>
      </c>
      <c r="E60" s="366" t="s">
        <v>527</v>
      </c>
      <c r="F60" s="366" t="s">
        <v>72</v>
      </c>
      <c r="G60" s="392"/>
      <c r="H60" s="393">
        <v>7</v>
      </c>
      <c r="I60" s="393"/>
      <c r="J60" s="393"/>
      <c r="K60" s="368">
        <f t="shared" si="5"/>
        <v>2555</v>
      </c>
      <c r="L60" s="368">
        <v>2561</v>
      </c>
      <c r="M60" s="366">
        <f t="shared" si="6"/>
        <v>6</v>
      </c>
      <c r="N60" s="394">
        <v>4.8611111111111112E-2</v>
      </c>
      <c r="O60" s="394">
        <v>6.9444444444444434E-2</v>
      </c>
      <c r="P60" s="366" t="s">
        <v>547</v>
      </c>
      <c r="Q60" s="366" t="s">
        <v>234</v>
      </c>
      <c r="R60" s="366" t="s">
        <v>528</v>
      </c>
      <c r="S60" s="368"/>
    </row>
    <row r="61" spans="1:19" s="375" customFormat="1" ht="21.75" customHeight="1">
      <c r="A61" s="391">
        <v>58</v>
      </c>
      <c r="B61" s="366" t="s">
        <v>542</v>
      </c>
      <c r="C61" s="366" t="s">
        <v>544</v>
      </c>
      <c r="D61" s="368">
        <v>765</v>
      </c>
      <c r="E61" s="366" t="s">
        <v>527</v>
      </c>
      <c r="F61" s="366" t="s">
        <v>72</v>
      </c>
      <c r="G61" s="392"/>
      <c r="H61" s="393">
        <v>7</v>
      </c>
      <c r="I61" s="393"/>
      <c r="J61" s="393"/>
      <c r="K61" s="368">
        <f t="shared" si="5"/>
        <v>2555</v>
      </c>
      <c r="L61" s="368">
        <v>2552</v>
      </c>
      <c r="M61" s="366">
        <f t="shared" si="6"/>
        <v>-3</v>
      </c>
      <c r="N61" s="394">
        <v>7.1527777777777787E-2</v>
      </c>
      <c r="O61" s="394">
        <v>8.819444444444445E-2</v>
      </c>
      <c r="P61" s="366" t="s">
        <v>547</v>
      </c>
      <c r="Q61" s="366" t="s">
        <v>234</v>
      </c>
      <c r="R61" s="366" t="s">
        <v>528</v>
      </c>
      <c r="S61" s="368"/>
    </row>
    <row r="62" spans="1:19" s="375" customFormat="1" ht="21.75" customHeight="1">
      <c r="A62" s="391">
        <v>59</v>
      </c>
      <c r="B62" s="366" t="s">
        <v>542</v>
      </c>
      <c r="C62" s="366" t="s">
        <v>545</v>
      </c>
      <c r="D62" s="368">
        <v>766</v>
      </c>
      <c r="E62" s="366" t="s">
        <v>527</v>
      </c>
      <c r="F62" s="366" t="s">
        <v>72</v>
      </c>
      <c r="G62" s="392"/>
      <c r="H62" s="393">
        <v>7</v>
      </c>
      <c r="I62" s="393"/>
      <c r="J62" s="393"/>
      <c r="K62" s="368">
        <f t="shared" si="5"/>
        <v>2555</v>
      </c>
      <c r="L62" s="368">
        <v>2566</v>
      </c>
      <c r="M62" s="366">
        <f t="shared" si="6"/>
        <v>11</v>
      </c>
      <c r="N62" s="394">
        <v>9.0277777777777776E-2</v>
      </c>
      <c r="O62" s="394">
        <v>0.11666666666666665</v>
      </c>
      <c r="P62" s="366" t="s">
        <v>547</v>
      </c>
      <c r="Q62" s="366" t="s">
        <v>234</v>
      </c>
      <c r="R62" s="366" t="s">
        <v>528</v>
      </c>
      <c r="S62" s="368"/>
    </row>
    <row r="63" spans="1:19" s="375" customFormat="1" ht="21.75" customHeight="1">
      <c r="A63" s="391">
        <v>60</v>
      </c>
      <c r="B63" s="366" t="s">
        <v>542</v>
      </c>
      <c r="C63" s="366" t="s">
        <v>552</v>
      </c>
      <c r="D63" s="368">
        <v>905350017</v>
      </c>
      <c r="E63" s="366" t="s">
        <v>527</v>
      </c>
      <c r="F63" s="366" t="s">
        <v>72</v>
      </c>
      <c r="G63" s="392"/>
      <c r="H63" s="393">
        <v>7</v>
      </c>
      <c r="I63" s="393"/>
      <c r="J63" s="393"/>
      <c r="K63" s="368">
        <f t="shared" si="5"/>
        <v>2555</v>
      </c>
      <c r="L63" s="368">
        <v>2554</v>
      </c>
      <c r="M63" s="366">
        <f t="shared" si="6"/>
        <v>-1</v>
      </c>
      <c r="N63" s="394">
        <v>9.0972222222222218E-2</v>
      </c>
      <c r="O63" s="394">
        <v>0.10347222222222223</v>
      </c>
      <c r="P63" s="366" t="s">
        <v>547</v>
      </c>
      <c r="Q63" s="366" t="s">
        <v>234</v>
      </c>
      <c r="R63" s="366" t="s">
        <v>551</v>
      </c>
      <c r="S63" s="368"/>
    </row>
    <row r="64" spans="1:19" s="375" customFormat="1" ht="21.75" customHeight="1">
      <c r="A64" s="391">
        <v>61</v>
      </c>
      <c r="B64" s="366" t="s">
        <v>542</v>
      </c>
      <c r="C64" s="366" t="s">
        <v>553</v>
      </c>
      <c r="D64" s="368">
        <v>905350018</v>
      </c>
      <c r="E64" s="366" t="s">
        <v>527</v>
      </c>
      <c r="F64" s="366" t="s">
        <v>72</v>
      </c>
      <c r="G64" s="392"/>
      <c r="H64" s="393">
        <v>7</v>
      </c>
      <c r="I64" s="393"/>
      <c r="J64" s="393"/>
      <c r="K64" s="368">
        <f t="shared" si="5"/>
        <v>2555</v>
      </c>
      <c r="L64" s="368">
        <v>2556</v>
      </c>
      <c r="M64" s="366">
        <f t="shared" si="6"/>
        <v>1</v>
      </c>
      <c r="N64" s="394">
        <v>0.10902777777777778</v>
      </c>
      <c r="O64" s="394">
        <v>0.12013888888888889</v>
      </c>
      <c r="P64" s="366" t="s">
        <v>547</v>
      </c>
      <c r="Q64" s="366" t="s">
        <v>234</v>
      </c>
      <c r="R64" s="366" t="s">
        <v>551</v>
      </c>
      <c r="S64" s="368"/>
    </row>
    <row r="65" spans="1:19" s="375" customFormat="1" ht="21.75" customHeight="1">
      <c r="A65" s="391">
        <v>62</v>
      </c>
      <c r="B65" s="366" t="s">
        <v>542</v>
      </c>
      <c r="C65" s="366" t="s">
        <v>554</v>
      </c>
      <c r="D65" s="368">
        <v>905350019</v>
      </c>
      <c r="E65" s="366" t="s">
        <v>527</v>
      </c>
      <c r="F65" s="366" t="s">
        <v>72</v>
      </c>
      <c r="G65" s="392"/>
      <c r="H65" s="393">
        <v>7</v>
      </c>
      <c r="I65" s="393"/>
      <c r="J65" s="393"/>
      <c r="K65" s="368">
        <f t="shared" si="5"/>
        <v>2555</v>
      </c>
      <c r="L65" s="368">
        <v>2553</v>
      </c>
      <c r="M65" s="366">
        <f t="shared" si="6"/>
        <v>-2</v>
      </c>
      <c r="N65" s="394">
        <v>0.12361111111111112</v>
      </c>
      <c r="O65" s="394">
        <v>0.13472222222222222</v>
      </c>
      <c r="P65" s="366" t="s">
        <v>547</v>
      </c>
      <c r="Q65" s="366" t="s">
        <v>234</v>
      </c>
      <c r="R65" s="366" t="s">
        <v>551</v>
      </c>
      <c r="S65" s="368"/>
    </row>
    <row r="66" spans="1:19" s="375" customFormat="1" ht="21.75" customHeight="1">
      <c r="A66" s="391">
        <v>63</v>
      </c>
      <c r="B66" s="366" t="s">
        <v>542</v>
      </c>
      <c r="C66" s="366" t="s">
        <v>555</v>
      </c>
      <c r="D66" s="368">
        <v>905350020</v>
      </c>
      <c r="E66" s="366" t="s">
        <v>527</v>
      </c>
      <c r="F66" s="366" t="s">
        <v>72</v>
      </c>
      <c r="G66" s="392"/>
      <c r="H66" s="393">
        <v>7</v>
      </c>
      <c r="I66" s="393"/>
      <c r="J66" s="393"/>
      <c r="K66" s="368">
        <f t="shared" si="5"/>
        <v>2555</v>
      </c>
      <c r="L66" s="368">
        <v>2557</v>
      </c>
      <c r="M66" s="366">
        <f t="shared" si="6"/>
        <v>2</v>
      </c>
      <c r="N66" s="394">
        <v>0.14375000000000002</v>
      </c>
      <c r="O66" s="394">
        <v>0.15277777777777776</v>
      </c>
      <c r="P66" s="366" t="s">
        <v>547</v>
      </c>
      <c r="Q66" s="366" t="s">
        <v>234</v>
      </c>
      <c r="R66" s="366" t="s">
        <v>551</v>
      </c>
      <c r="S66" s="368"/>
    </row>
    <row r="67" spans="1:19" s="375" customFormat="1" ht="21.75" customHeight="1">
      <c r="A67" s="391">
        <v>64</v>
      </c>
      <c r="B67" s="366" t="s">
        <v>542</v>
      </c>
      <c r="C67" s="366" t="s">
        <v>556</v>
      </c>
      <c r="D67" s="368">
        <v>905350021</v>
      </c>
      <c r="E67" s="366" t="s">
        <v>527</v>
      </c>
      <c r="F67" s="366" t="s">
        <v>72</v>
      </c>
      <c r="G67" s="392"/>
      <c r="H67" s="393">
        <v>7</v>
      </c>
      <c r="I67" s="393"/>
      <c r="J67" s="393"/>
      <c r="K67" s="368">
        <f t="shared" si="5"/>
        <v>2555</v>
      </c>
      <c r="L67" s="368">
        <v>2556</v>
      </c>
      <c r="M67" s="366">
        <f t="shared" si="6"/>
        <v>1</v>
      </c>
      <c r="N67" s="394">
        <v>0.16250000000000001</v>
      </c>
      <c r="O67" s="394">
        <v>0.19166666666666665</v>
      </c>
      <c r="P67" s="366" t="s">
        <v>547</v>
      </c>
      <c r="Q67" s="366" t="s">
        <v>234</v>
      </c>
      <c r="R67" s="366" t="s">
        <v>551</v>
      </c>
      <c r="S67" s="368"/>
    </row>
    <row r="68" spans="1:19" s="375" customFormat="1" ht="21.75" customHeight="1">
      <c r="A68" s="391">
        <v>65</v>
      </c>
      <c r="B68" s="366" t="s">
        <v>542</v>
      </c>
      <c r="C68" s="366" t="s">
        <v>552</v>
      </c>
      <c r="D68" s="368">
        <v>905350022</v>
      </c>
      <c r="E68" s="366" t="s">
        <v>527</v>
      </c>
      <c r="F68" s="366" t="s">
        <v>72</v>
      </c>
      <c r="G68" s="392"/>
      <c r="H68" s="393">
        <v>7</v>
      </c>
      <c r="I68" s="393"/>
      <c r="J68" s="393"/>
      <c r="K68" s="368">
        <f t="shared" si="5"/>
        <v>2555</v>
      </c>
      <c r="L68" s="368">
        <v>2552</v>
      </c>
      <c r="M68" s="366">
        <f t="shared" si="6"/>
        <v>-3</v>
      </c>
      <c r="N68" s="394">
        <v>0.19791666666666666</v>
      </c>
      <c r="O68" s="394">
        <v>0.21041666666666667</v>
      </c>
      <c r="P68" s="366" t="s">
        <v>547</v>
      </c>
      <c r="Q68" s="366" t="s">
        <v>234</v>
      </c>
      <c r="R68" s="366" t="s">
        <v>551</v>
      </c>
      <c r="S68" s="368"/>
    </row>
    <row r="69" spans="1:19" s="375" customFormat="1" ht="21.75" customHeight="1">
      <c r="A69" s="391">
        <v>66</v>
      </c>
      <c r="B69" s="366" t="s">
        <v>542</v>
      </c>
      <c r="C69" s="366" t="s">
        <v>553</v>
      </c>
      <c r="D69" s="368">
        <v>905350023</v>
      </c>
      <c r="E69" s="366" t="s">
        <v>527</v>
      </c>
      <c r="F69" s="366" t="s">
        <v>72</v>
      </c>
      <c r="G69" s="392"/>
      <c r="H69" s="393">
        <v>7</v>
      </c>
      <c r="I69" s="393"/>
      <c r="J69" s="393"/>
      <c r="K69" s="368">
        <f t="shared" si="5"/>
        <v>2555</v>
      </c>
      <c r="L69" s="368">
        <v>2553</v>
      </c>
      <c r="M69" s="366">
        <f t="shared" si="6"/>
        <v>-2</v>
      </c>
      <c r="N69" s="394">
        <v>0.21527777777777779</v>
      </c>
      <c r="O69" s="394">
        <v>0.2298611111111111</v>
      </c>
      <c r="P69" s="366" t="s">
        <v>547</v>
      </c>
      <c r="Q69" s="366" t="s">
        <v>234</v>
      </c>
      <c r="R69" s="366" t="s">
        <v>551</v>
      </c>
      <c r="S69" s="368"/>
    </row>
    <row r="70" spans="1:19" s="375" customFormat="1" ht="21.75" customHeight="1">
      <c r="A70" s="391">
        <v>67</v>
      </c>
      <c r="B70" s="366" t="s">
        <v>542</v>
      </c>
      <c r="C70" s="366" t="s">
        <v>554</v>
      </c>
      <c r="D70" s="368">
        <v>905350024</v>
      </c>
      <c r="E70" s="366" t="s">
        <v>527</v>
      </c>
      <c r="F70" s="366" t="s">
        <v>72</v>
      </c>
      <c r="G70" s="392"/>
      <c r="H70" s="393">
        <v>7</v>
      </c>
      <c r="I70" s="393"/>
      <c r="J70" s="393"/>
      <c r="K70" s="368">
        <f t="shared" si="5"/>
        <v>2555</v>
      </c>
      <c r="L70" s="368">
        <v>2555</v>
      </c>
      <c r="M70" s="366">
        <f t="shared" si="6"/>
        <v>0</v>
      </c>
      <c r="N70" s="394">
        <v>0.23333333333333331</v>
      </c>
      <c r="O70" s="394">
        <v>0.24374999999999999</v>
      </c>
      <c r="P70" s="366" t="s">
        <v>547</v>
      </c>
      <c r="Q70" s="366" t="s">
        <v>234</v>
      </c>
      <c r="R70" s="366" t="s">
        <v>551</v>
      </c>
      <c r="S70" s="368"/>
    </row>
    <row r="71" spans="1:19" s="375" customFormat="1" ht="21.75" customHeight="1">
      <c r="A71" s="391">
        <v>68</v>
      </c>
      <c r="B71" s="366" t="s">
        <v>548</v>
      </c>
      <c r="C71" s="366" t="s">
        <v>549</v>
      </c>
      <c r="D71" s="368">
        <v>767</v>
      </c>
      <c r="E71" s="366" t="s">
        <v>527</v>
      </c>
      <c r="F71" s="366" t="s">
        <v>72</v>
      </c>
      <c r="G71" s="392"/>
      <c r="H71" s="393">
        <v>7</v>
      </c>
      <c r="I71" s="393"/>
      <c r="J71" s="393"/>
      <c r="K71" s="368">
        <f t="shared" si="5"/>
        <v>2555</v>
      </c>
      <c r="L71" s="368">
        <v>2562</v>
      </c>
      <c r="M71" s="366">
        <f t="shared" si="6"/>
        <v>7</v>
      </c>
      <c r="N71" s="394">
        <v>0.13125000000000001</v>
      </c>
      <c r="O71" s="394">
        <v>0.14791666666666667</v>
      </c>
      <c r="P71" s="366" t="s">
        <v>547</v>
      </c>
      <c r="Q71" s="366" t="s">
        <v>234</v>
      </c>
      <c r="R71" s="366" t="s">
        <v>528</v>
      </c>
      <c r="S71" s="368"/>
    </row>
    <row r="72" spans="1:19" s="375" customFormat="1" ht="21.75" customHeight="1">
      <c r="A72" s="391">
        <v>69</v>
      </c>
      <c r="B72" s="366" t="s">
        <v>548</v>
      </c>
      <c r="C72" s="366" t="s">
        <v>546</v>
      </c>
      <c r="D72" s="368">
        <v>768</v>
      </c>
      <c r="E72" s="366" t="s">
        <v>527</v>
      </c>
      <c r="F72" s="366" t="s">
        <v>72</v>
      </c>
      <c r="G72" s="392"/>
      <c r="H72" s="393">
        <v>7</v>
      </c>
      <c r="I72" s="393"/>
      <c r="J72" s="393"/>
      <c r="K72" s="368">
        <f t="shared" si="5"/>
        <v>2555</v>
      </c>
      <c r="L72" s="368">
        <v>2558</v>
      </c>
      <c r="M72" s="366">
        <f t="shared" si="6"/>
        <v>3</v>
      </c>
      <c r="N72" s="394">
        <v>0.15486111111111112</v>
      </c>
      <c r="O72" s="394">
        <v>0.17430555555555557</v>
      </c>
      <c r="P72" s="366" t="s">
        <v>547</v>
      </c>
      <c r="Q72" s="366" t="s">
        <v>234</v>
      </c>
      <c r="R72" s="366" t="s">
        <v>528</v>
      </c>
      <c r="S72" s="368"/>
    </row>
    <row r="73" spans="1:19" s="375" customFormat="1" ht="21.75" customHeight="1">
      <c r="A73" s="391">
        <v>70</v>
      </c>
      <c r="B73" s="366" t="s">
        <v>548</v>
      </c>
      <c r="C73" s="366" t="s">
        <v>544</v>
      </c>
      <c r="D73" s="368">
        <v>771</v>
      </c>
      <c r="E73" s="366" t="s">
        <v>527</v>
      </c>
      <c r="F73" s="366" t="s">
        <v>72</v>
      </c>
      <c r="G73" s="392"/>
      <c r="H73" s="393">
        <v>7</v>
      </c>
      <c r="I73" s="393"/>
      <c r="J73" s="393"/>
      <c r="K73" s="368">
        <f t="shared" si="5"/>
        <v>2555</v>
      </c>
      <c r="L73" s="368">
        <v>2565</v>
      </c>
      <c r="M73" s="366">
        <f t="shared" si="6"/>
        <v>10</v>
      </c>
      <c r="N73" s="394">
        <v>0.4513888888888889</v>
      </c>
      <c r="O73" s="394">
        <v>0.46249999999999997</v>
      </c>
      <c r="P73" s="366" t="s">
        <v>547</v>
      </c>
      <c r="Q73" s="366" t="s">
        <v>234</v>
      </c>
      <c r="R73" s="366" t="s">
        <v>528</v>
      </c>
      <c r="S73" s="368"/>
    </row>
    <row r="74" spans="1:19" s="375" customFormat="1" ht="21.75" customHeight="1">
      <c r="A74" s="391">
        <v>71</v>
      </c>
      <c r="B74" s="366" t="s">
        <v>548</v>
      </c>
      <c r="C74" s="366" t="s">
        <v>549</v>
      </c>
      <c r="D74" s="368">
        <v>772</v>
      </c>
      <c r="E74" s="366" t="s">
        <v>527</v>
      </c>
      <c r="F74" s="366" t="s">
        <v>72</v>
      </c>
      <c r="G74" s="392"/>
      <c r="H74" s="393">
        <v>7</v>
      </c>
      <c r="I74" s="393"/>
      <c r="J74" s="393"/>
      <c r="K74" s="368">
        <f t="shared" si="5"/>
        <v>2555</v>
      </c>
      <c r="L74" s="368">
        <v>2562</v>
      </c>
      <c r="M74" s="366">
        <f t="shared" si="6"/>
        <v>7</v>
      </c>
      <c r="N74" s="394">
        <v>0.47013888888888888</v>
      </c>
      <c r="O74" s="394">
        <v>0.48541666666666666</v>
      </c>
      <c r="P74" s="366" t="s">
        <v>547</v>
      </c>
      <c r="Q74" s="366" t="s">
        <v>234</v>
      </c>
      <c r="R74" s="366" t="s">
        <v>528</v>
      </c>
      <c r="S74" s="368"/>
    </row>
    <row r="75" spans="1:19" s="375" customFormat="1" ht="21.75" customHeight="1">
      <c r="A75" s="391">
        <v>72</v>
      </c>
      <c r="B75" s="366" t="s">
        <v>548</v>
      </c>
      <c r="C75" s="366" t="s">
        <v>543</v>
      </c>
      <c r="D75" s="368">
        <v>773</v>
      </c>
      <c r="E75" s="366" t="s">
        <v>527</v>
      </c>
      <c r="F75" s="366" t="s">
        <v>72</v>
      </c>
      <c r="G75" s="392"/>
      <c r="H75" s="393">
        <v>7</v>
      </c>
      <c r="I75" s="393"/>
      <c r="J75" s="393"/>
      <c r="K75" s="368">
        <f t="shared" si="5"/>
        <v>2555</v>
      </c>
      <c r="L75" s="368">
        <v>2561</v>
      </c>
      <c r="M75" s="366">
        <f t="shared" si="6"/>
        <v>6</v>
      </c>
      <c r="N75" s="394">
        <v>0.4861111111111111</v>
      </c>
      <c r="O75" s="394">
        <v>0.50069444444444444</v>
      </c>
      <c r="P75" s="366" t="s">
        <v>547</v>
      </c>
      <c r="Q75" s="366" t="s">
        <v>234</v>
      </c>
      <c r="R75" s="366" t="s">
        <v>528</v>
      </c>
      <c r="S75" s="368"/>
    </row>
    <row r="76" spans="1:19" s="375" customFormat="1" ht="21.75" customHeight="1">
      <c r="A76" s="391">
        <v>73</v>
      </c>
      <c r="B76" s="366" t="s">
        <v>548</v>
      </c>
      <c r="C76" s="366" t="s">
        <v>546</v>
      </c>
      <c r="D76" s="368">
        <v>774</v>
      </c>
      <c r="E76" s="366" t="s">
        <v>527</v>
      </c>
      <c r="F76" s="366" t="s">
        <v>72</v>
      </c>
      <c r="G76" s="392"/>
      <c r="H76" s="393">
        <v>7</v>
      </c>
      <c r="I76" s="393"/>
      <c r="J76" s="393"/>
      <c r="K76" s="368">
        <f t="shared" si="5"/>
        <v>2555</v>
      </c>
      <c r="L76" s="368">
        <v>2565</v>
      </c>
      <c r="M76" s="366">
        <f t="shared" si="6"/>
        <v>10</v>
      </c>
      <c r="N76" s="394">
        <v>0.50208333333333333</v>
      </c>
      <c r="O76" s="394">
        <v>0.51111111111111118</v>
      </c>
      <c r="P76" s="366" t="s">
        <v>547</v>
      </c>
      <c r="Q76" s="366" t="s">
        <v>234</v>
      </c>
      <c r="R76" s="366" t="s">
        <v>528</v>
      </c>
      <c r="S76" s="368"/>
    </row>
    <row r="77" spans="1:19" s="375" customFormat="1" ht="21.75" customHeight="1">
      <c r="A77" s="391">
        <v>74</v>
      </c>
      <c r="B77" s="366" t="s">
        <v>548</v>
      </c>
      <c r="C77" s="366" t="s">
        <v>530</v>
      </c>
      <c r="D77" s="368">
        <v>775</v>
      </c>
      <c r="E77" s="366" t="s">
        <v>527</v>
      </c>
      <c r="F77" s="366" t="s">
        <v>72</v>
      </c>
      <c r="G77" s="392"/>
      <c r="H77" s="393">
        <v>7</v>
      </c>
      <c r="I77" s="393"/>
      <c r="J77" s="393"/>
      <c r="K77" s="368">
        <f t="shared" si="5"/>
        <v>2555</v>
      </c>
      <c r="L77" s="368">
        <v>2563</v>
      </c>
      <c r="M77" s="366">
        <f t="shared" si="6"/>
        <v>8</v>
      </c>
      <c r="N77" s="394">
        <v>0.51944444444444449</v>
      </c>
      <c r="O77" s="394">
        <v>0.52708333333333335</v>
      </c>
      <c r="P77" s="366" t="s">
        <v>547</v>
      </c>
      <c r="Q77" s="366" t="s">
        <v>234</v>
      </c>
      <c r="R77" s="366" t="s">
        <v>528</v>
      </c>
      <c r="S77" s="368"/>
    </row>
    <row r="78" spans="1:19" s="375" customFormat="1" ht="21.75" customHeight="1">
      <c r="A78" s="391">
        <v>75</v>
      </c>
      <c r="B78" s="366" t="s">
        <v>548</v>
      </c>
      <c r="C78" s="366" t="s">
        <v>538</v>
      </c>
      <c r="D78" s="368">
        <v>776</v>
      </c>
      <c r="E78" s="366" t="s">
        <v>527</v>
      </c>
      <c r="F78" s="366" t="s">
        <v>72</v>
      </c>
      <c r="G78" s="392"/>
      <c r="H78" s="393">
        <v>7</v>
      </c>
      <c r="I78" s="393"/>
      <c r="J78" s="393"/>
      <c r="K78" s="368">
        <f t="shared" si="5"/>
        <v>2555</v>
      </c>
      <c r="L78" s="368">
        <v>2565</v>
      </c>
      <c r="M78" s="366">
        <f t="shared" si="6"/>
        <v>10</v>
      </c>
      <c r="N78" s="394">
        <v>0.5541666666666667</v>
      </c>
      <c r="O78" s="394">
        <v>0.56388888888888888</v>
      </c>
      <c r="P78" s="366" t="s">
        <v>547</v>
      </c>
      <c r="Q78" s="366" t="s">
        <v>234</v>
      </c>
      <c r="R78" s="366" t="s">
        <v>528</v>
      </c>
      <c r="S78" s="368"/>
    </row>
    <row r="79" spans="1:19" s="375" customFormat="1" ht="21.75" customHeight="1">
      <c r="A79" s="391">
        <v>76</v>
      </c>
      <c r="B79" s="366" t="s">
        <v>548</v>
      </c>
      <c r="C79" s="366" t="s">
        <v>546</v>
      </c>
      <c r="D79" s="368">
        <v>777</v>
      </c>
      <c r="E79" s="366" t="s">
        <v>527</v>
      </c>
      <c r="F79" s="366" t="s">
        <v>72</v>
      </c>
      <c r="G79" s="392"/>
      <c r="H79" s="393">
        <v>7</v>
      </c>
      <c r="I79" s="393"/>
      <c r="J79" s="393"/>
      <c r="K79" s="368">
        <f t="shared" si="5"/>
        <v>2555</v>
      </c>
      <c r="L79" s="368">
        <v>2557</v>
      </c>
      <c r="M79" s="366">
        <f t="shared" si="6"/>
        <v>2</v>
      </c>
      <c r="N79" s="394">
        <v>0.56597222222222221</v>
      </c>
      <c r="O79" s="394">
        <v>0.58611111111111114</v>
      </c>
      <c r="P79" s="366" t="s">
        <v>547</v>
      </c>
      <c r="Q79" s="366" t="s">
        <v>234</v>
      </c>
      <c r="R79" s="366" t="s">
        <v>528</v>
      </c>
      <c r="S79" s="368"/>
    </row>
    <row r="80" spans="1:19" s="375" customFormat="1" ht="21.75" customHeight="1">
      <c r="A80" s="391">
        <v>77</v>
      </c>
      <c r="B80" s="366" t="s">
        <v>548</v>
      </c>
      <c r="C80" s="366" t="s">
        <v>549</v>
      </c>
      <c r="D80" s="368">
        <v>778</v>
      </c>
      <c r="E80" s="366" t="s">
        <v>527</v>
      </c>
      <c r="F80" s="366" t="s">
        <v>72</v>
      </c>
      <c r="G80" s="392"/>
      <c r="H80" s="393">
        <v>7</v>
      </c>
      <c r="I80" s="393"/>
      <c r="J80" s="393"/>
      <c r="K80" s="368">
        <f t="shared" si="5"/>
        <v>2555</v>
      </c>
      <c r="L80" s="368">
        <v>2558</v>
      </c>
      <c r="M80" s="366">
        <f t="shared" si="6"/>
        <v>3</v>
      </c>
      <c r="N80" s="394">
        <v>0.58958333333333335</v>
      </c>
      <c r="O80" s="394">
        <v>0.61041666666666672</v>
      </c>
      <c r="P80" s="366" t="s">
        <v>547</v>
      </c>
      <c r="Q80" s="366" t="s">
        <v>234</v>
      </c>
      <c r="R80" s="366" t="s">
        <v>528</v>
      </c>
      <c r="S80" s="368"/>
    </row>
    <row r="81" spans="1:19" s="375" customFormat="1" ht="21.75" customHeight="1">
      <c r="A81" s="391">
        <v>78</v>
      </c>
      <c r="B81" s="366" t="s">
        <v>548</v>
      </c>
      <c r="C81" s="366" t="s">
        <v>543</v>
      </c>
      <c r="D81" s="368">
        <v>779</v>
      </c>
      <c r="E81" s="366" t="s">
        <v>527</v>
      </c>
      <c r="F81" s="366" t="s">
        <v>72</v>
      </c>
      <c r="G81" s="392"/>
      <c r="H81" s="393">
        <v>7</v>
      </c>
      <c r="I81" s="393"/>
      <c r="J81" s="393"/>
      <c r="K81" s="368">
        <f t="shared" si="5"/>
        <v>2555</v>
      </c>
      <c r="L81" s="368">
        <v>2566</v>
      </c>
      <c r="M81" s="366">
        <f t="shared" si="6"/>
        <v>11</v>
      </c>
      <c r="N81" s="394">
        <v>0.6118055555555556</v>
      </c>
      <c r="O81" s="394">
        <v>0.62638888888888888</v>
      </c>
      <c r="P81" s="366" t="s">
        <v>547</v>
      </c>
      <c r="Q81" s="366" t="s">
        <v>234</v>
      </c>
      <c r="R81" s="366" t="s">
        <v>528</v>
      </c>
      <c r="S81" s="368"/>
    </row>
    <row r="82" spans="1:19" s="375" customFormat="1" ht="21.75" customHeight="1">
      <c r="A82" s="391">
        <v>79</v>
      </c>
      <c r="B82" s="366" t="s">
        <v>548</v>
      </c>
      <c r="C82" s="366" t="s">
        <v>544</v>
      </c>
      <c r="D82" s="368">
        <v>780</v>
      </c>
      <c r="E82" s="366" t="s">
        <v>527</v>
      </c>
      <c r="F82" s="366" t="s">
        <v>72</v>
      </c>
      <c r="G82" s="392"/>
      <c r="H82" s="393">
        <v>7</v>
      </c>
      <c r="I82" s="393"/>
      <c r="J82" s="393"/>
      <c r="K82" s="368">
        <f t="shared" si="5"/>
        <v>2555</v>
      </c>
      <c r="L82" s="368">
        <v>2571</v>
      </c>
      <c r="M82" s="366">
        <f t="shared" si="6"/>
        <v>16</v>
      </c>
      <c r="N82" s="394">
        <v>0.63263888888888886</v>
      </c>
      <c r="O82" s="394">
        <v>0.65</v>
      </c>
      <c r="P82" s="366" t="s">
        <v>547</v>
      </c>
      <c r="Q82" s="366" t="s">
        <v>234</v>
      </c>
      <c r="R82" s="366" t="s">
        <v>528</v>
      </c>
      <c r="S82" s="368"/>
    </row>
    <row r="83" spans="1:19" s="375" customFormat="1" ht="21.75" customHeight="1">
      <c r="A83" s="391">
        <v>80</v>
      </c>
      <c r="B83" s="366" t="s">
        <v>548</v>
      </c>
      <c r="C83" s="366" t="s">
        <v>545</v>
      </c>
      <c r="D83" s="368">
        <v>781</v>
      </c>
      <c r="E83" s="366" t="s">
        <v>527</v>
      </c>
      <c r="F83" s="366" t="s">
        <v>72</v>
      </c>
      <c r="G83" s="392"/>
      <c r="H83" s="393">
        <v>7</v>
      </c>
      <c r="I83" s="393"/>
      <c r="J83" s="393"/>
      <c r="K83" s="368">
        <f t="shared" si="5"/>
        <v>2555</v>
      </c>
      <c r="L83" s="368">
        <v>2560</v>
      </c>
      <c r="M83" s="366">
        <f t="shared" si="6"/>
        <v>5</v>
      </c>
      <c r="N83" s="394">
        <v>0.65138888888888891</v>
      </c>
      <c r="O83" s="394">
        <v>0.68611111111111101</v>
      </c>
      <c r="P83" s="366" t="s">
        <v>547</v>
      </c>
      <c r="Q83" s="366" t="s">
        <v>234</v>
      </c>
      <c r="R83" s="366" t="s">
        <v>528</v>
      </c>
      <c r="S83" s="368"/>
    </row>
    <row r="84" spans="1:19" s="375" customFormat="1" ht="21.75" customHeight="1">
      <c r="A84" s="391">
        <v>81</v>
      </c>
      <c r="B84" s="366" t="s">
        <v>548</v>
      </c>
      <c r="C84" s="366" t="s">
        <v>530</v>
      </c>
      <c r="D84" s="368">
        <v>782</v>
      </c>
      <c r="E84" s="366" t="s">
        <v>527</v>
      </c>
      <c r="F84" s="366" t="s">
        <v>72</v>
      </c>
      <c r="G84" s="392"/>
      <c r="H84" s="393">
        <v>7</v>
      </c>
      <c r="I84" s="393"/>
      <c r="J84" s="393"/>
      <c r="K84" s="368">
        <f t="shared" si="5"/>
        <v>2555</v>
      </c>
      <c r="L84" s="368">
        <v>2554</v>
      </c>
      <c r="M84" s="366">
        <f t="shared" si="6"/>
        <v>-1</v>
      </c>
      <c r="N84" s="394">
        <v>0.6875</v>
      </c>
      <c r="O84" s="394">
        <v>0.70833333333333337</v>
      </c>
      <c r="P84" s="366" t="s">
        <v>547</v>
      </c>
      <c r="Q84" s="366" t="s">
        <v>234</v>
      </c>
      <c r="R84" s="366" t="s">
        <v>528</v>
      </c>
      <c r="S84" s="368"/>
    </row>
    <row r="85" spans="1:19" s="375" customFormat="1" ht="21.75" customHeight="1">
      <c r="A85" s="391">
        <v>82</v>
      </c>
      <c r="B85" s="366" t="s">
        <v>548</v>
      </c>
      <c r="C85" s="366" t="s">
        <v>538</v>
      </c>
      <c r="D85" s="368">
        <v>783</v>
      </c>
      <c r="E85" s="366" t="s">
        <v>527</v>
      </c>
      <c r="F85" s="366" t="s">
        <v>72</v>
      </c>
      <c r="G85" s="392"/>
      <c r="H85" s="393">
        <v>7</v>
      </c>
      <c r="I85" s="393"/>
      <c r="J85" s="393"/>
      <c r="K85" s="368">
        <f t="shared" si="5"/>
        <v>2555</v>
      </c>
      <c r="L85" s="368">
        <v>2558</v>
      </c>
      <c r="M85" s="366">
        <f t="shared" si="6"/>
        <v>3</v>
      </c>
      <c r="N85" s="394">
        <v>0.72083333333333333</v>
      </c>
      <c r="O85" s="394">
        <v>0.73055555555555562</v>
      </c>
      <c r="P85" s="366" t="s">
        <v>547</v>
      </c>
      <c r="Q85" s="366" t="s">
        <v>234</v>
      </c>
      <c r="R85" s="366" t="s">
        <v>528</v>
      </c>
      <c r="S85" s="368"/>
    </row>
    <row r="86" spans="1:19" s="375" customFormat="1" ht="21.75" customHeight="1">
      <c r="A86" s="391">
        <v>83</v>
      </c>
      <c r="B86" s="366" t="s">
        <v>548</v>
      </c>
      <c r="C86" s="366" t="s">
        <v>546</v>
      </c>
      <c r="D86" s="368">
        <v>784</v>
      </c>
      <c r="E86" s="366" t="s">
        <v>527</v>
      </c>
      <c r="F86" s="366" t="s">
        <v>72</v>
      </c>
      <c r="G86" s="392"/>
      <c r="H86" s="393">
        <v>7</v>
      </c>
      <c r="I86" s="393"/>
      <c r="J86" s="393"/>
      <c r="K86" s="368">
        <f t="shared" si="5"/>
        <v>2555</v>
      </c>
      <c r="L86" s="368">
        <v>2560</v>
      </c>
      <c r="M86" s="366">
        <f t="shared" si="6"/>
        <v>5</v>
      </c>
      <c r="N86" s="394">
        <v>0.73819444444444438</v>
      </c>
      <c r="O86" s="394">
        <v>0.74513888888888891</v>
      </c>
      <c r="P86" s="366" t="s">
        <v>547</v>
      </c>
      <c r="Q86" s="366" t="s">
        <v>234</v>
      </c>
      <c r="R86" s="366" t="s">
        <v>528</v>
      </c>
      <c r="S86" s="368"/>
    </row>
    <row r="87" spans="1:19" s="375" customFormat="1" ht="21.75" customHeight="1">
      <c r="A87" s="391">
        <v>84</v>
      </c>
      <c r="B87" s="366" t="s">
        <v>548</v>
      </c>
      <c r="C87" s="366" t="s">
        <v>529</v>
      </c>
      <c r="D87" s="368">
        <v>785</v>
      </c>
      <c r="E87" s="366" t="s">
        <v>527</v>
      </c>
      <c r="F87" s="366" t="s">
        <v>72</v>
      </c>
      <c r="G87" s="392"/>
      <c r="H87" s="393">
        <v>7</v>
      </c>
      <c r="I87" s="393"/>
      <c r="J87" s="393"/>
      <c r="K87" s="368">
        <f t="shared" si="5"/>
        <v>2555</v>
      </c>
      <c r="L87" s="368">
        <v>2562</v>
      </c>
      <c r="M87" s="366">
        <f t="shared" si="6"/>
        <v>7</v>
      </c>
      <c r="N87" s="394">
        <v>0.75</v>
      </c>
      <c r="O87" s="394">
        <v>0.78819444444444453</v>
      </c>
      <c r="P87" s="366" t="s">
        <v>547</v>
      </c>
      <c r="Q87" s="366" t="s">
        <v>234</v>
      </c>
      <c r="R87" s="366" t="s">
        <v>528</v>
      </c>
      <c r="S87" s="368"/>
    </row>
    <row r="88" spans="1:19" s="375" customFormat="1" ht="21.75" customHeight="1">
      <c r="A88" s="391">
        <v>85</v>
      </c>
      <c r="B88" s="366" t="s">
        <v>548</v>
      </c>
      <c r="C88" s="366" t="s">
        <v>544</v>
      </c>
      <c r="D88" s="368">
        <v>786</v>
      </c>
      <c r="E88" s="366" t="s">
        <v>527</v>
      </c>
      <c r="F88" s="366" t="s">
        <v>72</v>
      </c>
      <c r="G88" s="392"/>
      <c r="H88" s="393">
        <v>7</v>
      </c>
      <c r="I88" s="393"/>
      <c r="J88" s="393"/>
      <c r="K88" s="368">
        <f t="shared" si="5"/>
        <v>2555</v>
      </c>
      <c r="L88" s="368">
        <v>2564</v>
      </c>
      <c r="M88" s="366">
        <f t="shared" si="6"/>
        <v>9</v>
      </c>
      <c r="N88" s="394">
        <v>0.79513888888888884</v>
      </c>
      <c r="O88" s="394">
        <v>0.80208333333333337</v>
      </c>
      <c r="P88" s="366" t="s">
        <v>547</v>
      </c>
      <c r="Q88" s="366" t="s">
        <v>234</v>
      </c>
      <c r="R88" s="366" t="s">
        <v>528</v>
      </c>
      <c r="S88" s="368"/>
    </row>
    <row r="89" spans="1:19" s="375" customFormat="1" ht="21.75" customHeight="1">
      <c r="A89" s="391">
        <v>86</v>
      </c>
      <c r="B89" s="366" t="s">
        <v>548</v>
      </c>
      <c r="C89" s="366" t="s">
        <v>543</v>
      </c>
      <c r="D89" s="368">
        <v>787</v>
      </c>
      <c r="E89" s="366" t="s">
        <v>527</v>
      </c>
      <c r="F89" s="366" t="s">
        <v>72</v>
      </c>
      <c r="G89" s="392"/>
      <c r="H89" s="393">
        <v>7</v>
      </c>
      <c r="I89" s="393"/>
      <c r="J89" s="393"/>
      <c r="K89" s="368">
        <f t="shared" si="5"/>
        <v>2555</v>
      </c>
      <c r="L89" s="368">
        <v>2566</v>
      </c>
      <c r="M89" s="366">
        <f t="shared" si="6"/>
        <v>11</v>
      </c>
      <c r="N89" s="394">
        <v>0.80555555555555547</v>
      </c>
      <c r="O89" s="394">
        <v>0.81388888888888899</v>
      </c>
      <c r="P89" s="366" t="s">
        <v>547</v>
      </c>
      <c r="Q89" s="366" t="s">
        <v>234</v>
      </c>
      <c r="R89" s="366" t="s">
        <v>528</v>
      </c>
      <c r="S89" s="368"/>
    </row>
    <row r="90" spans="1:19" s="375" customFormat="1" ht="21.75" customHeight="1">
      <c r="A90" s="391">
        <v>87</v>
      </c>
      <c r="B90" s="366" t="s">
        <v>548</v>
      </c>
      <c r="C90" s="366" t="s">
        <v>544</v>
      </c>
      <c r="D90" s="368">
        <v>788</v>
      </c>
      <c r="E90" s="366" t="s">
        <v>527</v>
      </c>
      <c r="F90" s="366" t="s">
        <v>72</v>
      </c>
      <c r="G90" s="392"/>
      <c r="H90" s="393">
        <v>7</v>
      </c>
      <c r="I90" s="393"/>
      <c r="J90" s="393"/>
      <c r="K90" s="368">
        <f t="shared" si="5"/>
        <v>2555</v>
      </c>
      <c r="L90" s="368">
        <v>2560</v>
      </c>
      <c r="M90" s="366">
        <f t="shared" si="6"/>
        <v>5</v>
      </c>
      <c r="N90" s="394">
        <v>0.81874999999999998</v>
      </c>
      <c r="O90" s="394">
        <v>0.82986111111111116</v>
      </c>
      <c r="P90" s="366" t="s">
        <v>547</v>
      </c>
      <c r="Q90" s="366" t="s">
        <v>234</v>
      </c>
      <c r="R90" s="366" t="s">
        <v>528</v>
      </c>
      <c r="S90" s="368"/>
    </row>
    <row r="91" spans="1:19" s="375" customFormat="1" ht="21.75" customHeight="1">
      <c r="A91" s="391">
        <v>88</v>
      </c>
      <c r="B91" s="366" t="s">
        <v>548</v>
      </c>
      <c r="C91" s="366" t="s">
        <v>545</v>
      </c>
      <c r="D91" s="368">
        <v>789</v>
      </c>
      <c r="E91" s="366" t="s">
        <v>527</v>
      </c>
      <c r="F91" s="366" t="s">
        <v>72</v>
      </c>
      <c r="G91" s="392"/>
      <c r="H91" s="393">
        <v>7</v>
      </c>
      <c r="I91" s="393"/>
      <c r="J91" s="393"/>
      <c r="K91" s="368">
        <f t="shared" ref="K91:K118" si="7">H91*365</f>
        <v>2555</v>
      </c>
      <c r="L91" s="368">
        <v>2556</v>
      </c>
      <c r="M91" s="366">
        <f t="shared" si="6"/>
        <v>1</v>
      </c>
      <c r="N91" s="394">
        <v>0.8305555555555556</v>
      </c>
      <c r="O91" s="394">
        <v>0.84444444444444444</v>
      </c>
      <c r="P91" s="366" t="s">
        <v>547</v>
      </c>
      <c r="Q91" s="366" t="s">
        <v>234</v>
      </c>
      <c r="R91" s="366" t="s">
        <v>528</v>
      </c>
      <c r="S91" s="368"/>
    </row>
    <row r="92" spans="1:19" s="375" customFormat="1" ht="21.75" customHeight="1">
      <c r="A92" s="391">
        <v>89</v>
      </c>
      <c r="B92" s="366" t="s">
        <v>548</v>
      </c>
      <c r="C92" s="366" t="s">
        <v>530</v>
      </c>
      <c r="D92" s="368">
        <v>790</v>
      </c>
      <c r="E92" s="366" t="s">
        <v>527</v>
      </c>
      <c r="F92" s="366" t="s">
        <v>72</v>
      </c>
      <c r="G92" s="392"/>
      <c r="H92" s="393">
        <v>7</v>
      </c>
      <c r="I92" s="393"/>
      <c r="J92" s="393"/>
      <c r="K92" s="368">
        <f t="shared" si="7"/>
        <v>2555</v>
      </c>
      <c r="L92" s="368">
        <v>2566</v>
      </c>
      <c r="M92" s="366">
        <f t="shared" si="6"/>
        <v>11</v>
      </c>
      <c r="N92" s="394">
        <v>0.8569444444444444</v>
      </c>
      <c r="O92" s="394">
        <v>0.87083333333333324</v>
      </c>
      <c r="P92" s="366" t="s">
        <v>547</v>
      </c>
      <c r="Q92" s="366" t="s">
        <v>234</v>
      </c>
      <c r="R92" s="366" t="s">
        <v>528</v>
      </c>
      <c r="S92" s="368"/>
    </row>
    <row r="93" spans="1:19" s="375" customFormat="1" ht="21.75" customHeight="1">
      <c r="A93" s="391">
        <v>90</v>
      </c>
      <c r="B93" s="366" t="s">
        <v>548</v>
      </c>
      <c r="C93" s="366" t="s">
        <v>538</v>
      </c>
      <c r="D93" s="368">
        <v>791</v>
      </c>
      <c r="E93" s="366" t="s">
        <v>527</v>
      </c>
      <c r="F93" s="366" t="s">
        <v>72</v>
      </c>
      <c r="G93" s="392"/>
      <c r="H93" s="393">
        <v>7</v>
      </c>
      <c r="I93" s="393"/>
      <c r="J93" s="393"/>
      <c r="K93" s="368">
        <f t="shared" si="7"/>
        <v>2555</v>
      </c>
      <c r="L93" s="368">
        <v>2560</v>
      </c>
      <c r="M93" s="366">
        <f t="shared" si="6"/>
        <v>5</v>
      </c>
      <c r="N93" s="394">
        <v>0.87847222222222221</v>
      </c>
      <c r="O93" s="394">
        <v>0.90277777777777779</v>
      </c>
      <c r="P93" s="366" t="s">
        <v>547</v>
      </c>
      <c r="Q93" s="366" t="s">
        <v>234</v>
      </c>
      <c r="R93" s="366" t="s">
        <v>528</v>
      </c>
      <c r="S93" s="368"/>
    </row>
    <row r="94" spans="1:19" s="375" customFormat="1" ht="21.75" customHeight="1">
      <c r="A94" s="391">
        <v>91</v>
      </c>
      <c r="B94" s="366" t="s">
        <v>548</v>
      </c>
      <c r="C94" s="366" t="s">
        <v>529</v>
      </c>
      <c r="D94" s="368">
        <v>792</v>
      </c>
      <c r="E94" s="366" t="s">
        <v>527</v>
      </c>
      <c r="F94" s="366" t="s">
        <v>72</v>
      </c>
      <c r="G94" s="392"/>
      <c r="H94" s="393">
        <v>7</v>
      </c>
      <c r="I94" s="393"/>
      <c r="J94" s="393"/>
      <c r="K94" s="368">
        <f t="shared" si="7"/>
        <v>2555</v>
      </c>
      <c r="L94" s="368">
        <v>2566</v>
      </c>
      <c r="M94" s="366">
        <f t="shared" si="6"/>
        <v>11</v>
      </c>
      <c r="N94" s="394">
        <v>0.91666666666666663</v>
      </c>
      <c r="O94" s="394">
        <v>0.9375</v>
      </c>
      <c r="P94" s="366" t="s">
        <v>547</v>
      </c>
      <c r="Q94" s="366" t="s">
        <v>234</v>
      </c>
      <c r="R94" s="366" t="s">
        <v>528</v>
      </c>
      <c r="S94" s="368"/>
    </row>
    <row r="95" spans="1:19" s="375" customFormat="1" ht="21.75" customHeight="1">
      <c r="A95" s="391">
        <v>92</v>
      </c>
      <c r="B95" s="366" t="s">
        <v>548</v>
      </c>
      <c r="C95" s="366" t="s">
        <v>549</v>
      </c>
      <c r="D95" s="368">
        <v>793</v>
      </c>
      <c r="E95" s="366" t="s">
        <v>527</v>
      </c>
      <c r="F95" s="366" t="s">
        <v>72</v>
      </c>
      <c r="G95" s="392"/>
      <c r="H95" s="393">
        <v>7</v>
      </c>
      <c r="I95" s="393"/>
      <c r="J95" s="393"/>
      <c r="K95" s="368">
        <f t="shared" si="7"/>
        <v>2555</v>
      </c>
      <c r="L95" s="368">
        <v>2556</v>
      </c>
      <c r="M95" s="366">
        <f t="shared" si="6"/>
        <v>1</v>
      </c>
      <c r="N95" s="394">
        <v>0.94097222222222221</v>
      </c>
      <c r="O95" s="394">
        <v>0.97430555555555554</v>
      </c>
      <c r="P95" s="366" t="s">
        <v>547</v>
      </c>
      <c r="Q95" s="366" t="s">
        <v>234</v>
      </c>
      <c r="R95" s="366" t="s">
        <v>528</v>
      </c>
      <c r="S95" s="368"/>
    </row>
    <row r="96" spans="1:19" s="375" customFormat="1" ht="21.75" customHeight="1">
      <c r="A96" s="391">
        <v>93</v>
      </c>
      <c r="B96" s="366" t="s">
        <v>548</v>
      </c>
      <c r="C96" s="366" t="s">
        <v>546</v>
      </c>
      <c r="D96" s="368">
        <v>794</v>
      </c>
      <c r="E96" s="366" t="s">
        <v>527</v>
      </c>
      <c r="F96" s="366" t="s">
        <v>72</v>
      </c>
      <c r="G96" s="392"/>
      <c r="H96" s="393">
        <v>7</v>
      </c>
      <c r="I96" s="393"/>
      <c r="J96" s="393"/>
      <c r="K96" s="368">
        <f t="shared" si="7"/>
        <v>2555</v>
      </c>
      <c r="L96" s="368">
        <v>2565</v>
      </c>
      <c r="M96" s="366">
        <f t="shared" si="6"/>
        <v>10</v>
      </c>
      <c r="N96" s="394">
        <v>0.97777777777777775</v>
      </c>
      <c r="O96" s="394">
        <v>0.99097222222222225</v>
      </c>
      <c r="P96" s="366" t="s">
        <v>547</v>
      </c>
      <c r="Q96" s="366" t="s">
        <v>234</v>
      </c>
      <c r="R96" s="366" t="s">
        <v>528</v>
      </c>
      <c r="S96" s="368"/>
    </row>
    <row r="97" spans="1:19" s="375" customFormat="1" ht="21.75" customHeight="1">
      <c r="A97" s="391">
        <v>94</v>
      </c>
      <c r="B97" s="366" t="s">
        <v>548</v>
      </c>
      <c r="C97" s="368" t="s">
        <v>556</v>
      </c>
      <c r="D97" s="368">
        <v>905350025</v>
      </c>
      <c r="E97" s="366" t="s">
        <v>527</v>
      </c>
      <c r="F97" s="366" t="s">
        <v>72</v>
      </c>
      <c r="G97" s="392"/>
      <c r="H97" s="393">
        <v>7</v>
      </c>
      <c r="I97" s="393"/>
      <c r="J97" s="393"/>
      <c r="K97" s="368">
        <f t="shared" si="7"/>
        <v>2555</v>
      </c>
      <c r="L97" s="368">
        <v>2556</v>
      </c>
      <c r="M97" s="366">
        <f t="shared" si="6"/>
        <v>1</v>
      </c>
      <c r="N97" s="394">
        <v>6.0416666666666667E-2</v>
      </c>
      <c r="O97" s="394">
        <v>8.6805555555555566E-2</v>
      </c>
      <c r="P97" s="366" t="s">
        <v>547</v>
      </c>
      <c r="Q97" s="366" t="s">
        <v>234</v>
      </c>
      <c r="R97" s="368" t="s">
        <v>551</v>
      </c>
      <c r="S97" s="368"/>
    </row>
    <row r="98" spans="1:19" s="375" customFormat="1" ht="21.75" customHeight="1">
      <c r="A98" s="391">
        <v>95</v>
      </c>
      <c r="B98" s="366" t="s">
        <v>548</v>
      </c>
      <c r="C98" s="368" t="s">
        <v>553</v>
      </c>
      <c r="D98" s="368">
        <v>905350026</v>
      </c>
      <c r="E98" s="366" t="s">
        <v>527</v>
      </c>
      <c r="F98" s="366" t="s">
        <v>72</v>
      </c>
      <c r="G98" s="392"/>
      <c r="H98" s="393">
        <v>7</v>
      </c>
      <c r="I98" s="393"/>
      <c r="J98" s="393"/>
      <c r="K98" s="368">
        <f t="shared" si="7"/>
        <v>2555</v>
      </c>
      <c r="L98" s="368">
        <v>2556</v>
      </c>
      <c r="M98" s="366">
        <f t="shared" si="6"/>
        <v>1</v>
      </c>
      <c r="N98" s="394">
        <v>9.0277777777777776E-2</v>
      </c>
      <c r="O98" s="394">
        <v>0.10833333333333334</v>
      </c>
      <c r="P98" s="366" t="s">
        <v>547</v>
      </c>
      <c r="Q98" s="366" t="s">
        <v>234</v>
      </c>
      <c r="R98" s="368" t="s">
        <v>551</v>
      </c>
      <c r="S98" s="368"/>
    </row>
    <row r="99" spans="1:19" s="375" customFormat="1" ht="21.75" customHeight="1">
      <c r="A99" s="391">
        <v>96</v>
      </c>
      <c r="B99" s="366" t="s">
        <v>548</v>
      </c>
      <c r="C99" s="368" t="s">
        <v>554</v>
      </c>
      <c r="D99" s="368">
        <v>905350028</v>
      </c>
      <c r="E99" s="366" t="s">
        <v>527</v>
      </c>
      <c r="F99" s="366" t="s">
        <v>72</v>
      </c>
      <c r="G99" s="392"/>
      <c r="H99" s="393">
        <v>7</v>
      </c>
      <c r="I99" s="393"/>
      <c r="J99" s="393"/>
      <c r="K99" s="368">
        <f t="shared" si="7"/>
        <v>2555</v>
      </c>
      <c r="L99" s="368">
        <v>2556</v>
      </c>
      <c r="M99" s="366">
        <f t="shared" si="6"/>
        <v>1</v>
      </c>
      <c r="N99" s="394">
        <v>0.45694444444444443</v>
      </c>
      <c r="O99" s="394">
        <v>0.47916666666666669</v>
      </c>
      <c r="P99" s="366" t="s">
        <v>547</v>
      </c>
      <c r="Q99" s="366" t="s">
        <v>234</v>
      </c>
      <c r="R99" s="368" t="s">
        <v>551</v>
      </c>
      <c r="S99" s="368"/>
    </row>
    <row r="100" spans="1:19" s="375" customFormat="1" ht="21.75" customHeight="1">
      <c r="A100" s="391">
        <v>97</v>
      </c>
      <c r="B100" s="366" t="s">
        <v>548</v>
      </c>
      <c r="C100" s="368" t="s">
        <v>552</v>
      </c>
      <c r="D100" s="368">
        <v>905350029</v>
      </c>
      <c r="E100" s="366" t="s">
        <v>527</v>
      </c>
      <c r="F100" s="366" t="s">
        <v>72</v>
      </c>
      <c r="G100" s="392"/>
      <c r="H100" s="393">
        <v>7</v>
      </c>
      <c r="I100" s="393"/>
      <c r="J100" s="393"/>
      <c r="K100" s="368">
        <f t="shared" si="7"/>
        <v>2555</v>
      </c>
      <c r="L100" s="368">
        <v>2555</v>
      </c>
      <c r="M100" s="366">
        <f t="shared" si="6"/>
        <v>0</v>
      </c>
      <c r="N100" s="394">
        <v>0.5131944444444444</v>
      </c>
      <c r="O100" s="394">
        <v>0.5541666666666667</v>
      </c>
      <c r="P100" s="366" t="s">
        <v>547</v>
      </c>
      <c r="Q100" s="366" t="s">
        <v>234</v>
      </c>
      <c r="R100" s="368" t="s">
        <v>551</v>
      </c>
      <c r="S100" s="368"/>
    </row>
    <row r="101" spans="1:19" s="375" customFormat="1" ht="21.75" customHeight="1">
      <c r="A101" s="391">
        <v>98</v>
      </c>
      <c r="B101" s="366" t="s">
        <v>548</v>
      </c>
      <c r="C101" s="368" t="s">
        <v>555</v>
      </c>
      <c r="D101" s="368">
        <v>905350030</v>
      </c>
      <c r="E101" s="366" t="s">
        <v>527</v>
      </c>
      <c r="F101" s="366" t="s">
        <v>72</v>
      </c>
      <c r="G101" s="392"/>
      <c r="H101" s="393">
        <v>7</v>
      </c>
      <c r="I101" s="393"/>
      <c r="J101" s="393"/>
      <c r="K101" s="368">
        <f t="shared" si="7"/>
        <v>2555</v>
      </c>
      <c r="L101" s="368">
        <v>2553</v>
      </c>
      <c r="M101" s="366">
        <f t="shared" si="6"/>
        <v>-2</v>
      </c>
      <c r="N101" s="394">
        <v>0.49305555555555558</v>
      </c>
      <c r="O101" s="394">
        <v>0.50555555555555554</v>
      </c>
      <c r="P101" s="366" t="s">
        <v>547</v>
      </c>
      <c r="Q101" s="366" t="s">
        <v>234</v>
      </c>
      <c r="R101" s="368" t="s">
        <v>551</v>
      </c>
      <c r="S101" s="368"/>
    </row>
    <row r="102" spans="1:19" s="375" customFormat="1" ht="21.75" customHeight="1">
      <c r="A102" s="391">
        <v>99</v>
      </c>
      <c r="B102" s="366" t="s">
        <v>548</v>
      </c>
      <c r="C102" s="368" t="s">
        <v>556</v>
      </c>
      <c r="D102" s="368">
        <v>905350031</v>
      </c>
      <c r="E102" s="366" t="s">
        <v>527</v>
      </c>
      <c r="F102" s="366" t="s">
        <v>72</v>
      </c>
      <c r="G102" s="392"/>
      <c r="H102" s="393">
        <v>7</v>
      </c>
      <c r="I102" s="393"/>
      <c r="J102" s="393"/>
      <c r="K102" s="368">
        <f t="shared" si="7"/>
        <v>2555</v>
      </c>
      <c r="L102" s="368">
        <v>2552</v>
      </c>
      <c r="M102" s="366">
        <f t="shared" si="6"/>
        <v>-3</v>
      </c>
      <c r="N102" s="394">
        <v>0.56111111111111112</v>
      </c>
      <c r="O102" s="394">
        <v>0.58194444444444449</v>
      </c>
      <c r="P102" s="366" t="s">
        <v>547</v>
      </c>
      <c r="Q102" s="366" t="s">
        <v>234</v>
      </c>
      <c r="R102" s="368" t="s">
        <v>551</v>
      </c>
      <c r="S102" s="368"/>
    </row>
    <row r="103" spans="1:19" s="375" customFormat="1" ht="21.75" customHeight="1">
      <c r="A103" s="391">
        <v>100</v>
      </c>
      <c r="B103" s="366" t="s">
        <v>548</v>
      </c>
      <c r="C103" s="368" t="s">
        <v>553</v>
      </c>
      <c r="D103" s="368">
        <v>905350032</v>
      </c>
      <c r="E103" s="366" t="s">
        <v>527</v>
      </c>
      <c r="F103" s="366" t="s">
        <v>72</v>
      </c>
      <c r="G103" s="392"/>
      <c r="H103" s="393">
        <v>7</v>
      </c>
      <c r="I103" s="393"/>
      <c r="J103" s="393"/>
      <c r="K103" s="368">
        <f t="shared" si="7"/>
        <v>2555</v>
      </c>
      <c r="L103" s="368">
        <v>2554</v>
      </c>
      <c r="M103" s="366">
        <f t="shared" si="6"/>
        <v>-1</v>
      </c>
      <c r="N103" s="394">
        <v>0.58819444444444446</v>
      </c>
      <c r="O103" s="394">
        <v>0.60972222222222217</v>
      </c>
      <c r="P103" s="366" t="s">
        <v>547</v>
      </c>
      <c r="Q103" s="366" t="s">
        <v>234</v>
      </c>
      <c r="R103" s="368" t="s">
        <v>551</v>
      </c>
      <c r="S103" s="368"/>
    </row>
    <row r="104" spans="1:19" s="375" customFormat="1" ht="21.75" customHeight="1">
      <c r="A104" s="391">
        <v>101</v>
      </c>
      <c r="B104" s="366" t="s">
        <v>548</v>
      </c>
      <c r="C104" s="368" t="s">
        <v>554</v>
      </c>
      <c r="D104" s="368">
        <v>905350033</v>
      </c>
      <c r="E104" s="366" t="s">
        <v>527</v>
      </c>
      <c r="F104" s="366" t="s">
        <v>72</v>
      </c>
      <c r="G104" s="392"/>
      <c r="H104" s="393">
        <v>7</v>
      </c>
      <c r="I104" s="393"/>
      <c r="J104" s="393"/>
      <c r="K104" s="368">
        <f t="shared" si="7"/>
        <v>2555</v>
      </c>
      <c r="L104" s="368">
        <v>2555</v>
      </c>
      <c r="M104" s="366">
        <f t="shared" si="6"/>
        <v>0</v>
      </c>
      <c r="N104" s="394">
        <v>0.61319444444444449</v>
      </c>
      <c r="O104" s="394">
        <v>0.64166666666666672</v>
      </c>
      <c r="P104" s="366" t="s">
        <v>547</v>
      </c>
      <c r="Q104" s="366" t="s">
        <v>234</v>
      </c>
      <c r="R104" s="368" t="s">
        <v>551</v>
      </c>
      <c r="S104" s="368"/>
    </row>
    <row r="105" spans="1:19" s="375" customFormat="1" ht="21.75" customHeight="1">
      <c r="A105" s="391">
        <v>102</v>
      </c>
      <c r="B105" s="366" t="s">
        <v>548</v>
      </c>
      <c r="C105" s="368" t="s">
        <v>555</v>
      </c>
      <c r="D105" s="368">
        <v>905350034</v>
      </c>
      <c r="E105" s="366" t="s">
        <v>527</v>
      </c>
      <c r="F105" s="366" t="s">
        <v>72</v>
      </c>
      <c r="G105" s="392"/>
      <c r="H105" s="393">
        <v>7</v>
      </c>
      <c r="I105" s="393"/>
      <c r="J105" s="393"/>
      <c r="K105" s="368">
        <f t="shared" si="7"/>
        <v>2555</v>
      </c>
      <c r="L105" s="368">
        <v>2555</v>
      </c>
      <c r="M105" s="366">
        <f t="shared" si="6"/>
        <v>0</v>
      </c>
      <c r="N105" s="394">
        <v>0.64652777777777781</v>
      </c>
      <c r="O105" s="394">
        <v>0.65833333333333333</v>
      </c>
      <c r="P105" s="366" t="s">
        <v>547</v>
      </c>
      <c r="Q105" s="366" t="s">
        <v>234</v>
      </c>
      <c r="R105" s="368" t="s">
        <v>551</v>
      </c>
      <c r="S105" s="368"/>
    </row>
    <row r="106" spans="1:19" s="375" customFormat="1" ht="21.75" customHeight="1">
      <c r="A106" s="391">
        <v>103</v>
      </c>
      <c r="B106" s="366" t="s">
        <v>548</v>
      </c>
      <c r="C106" s="368" t="s">
        <v>552</v>
      </c>
      <c r="D106" s="368">
        <v>905350035</v>
      </c>
      <c r="E106" s="366" t="s">
        <v>527</v>
      </c>
      <c r="F106" s="366" t="s">
        <v>72</v>
      </c>
      <c r="G106" s="392"/>
      <c r="H106" s="393">
        <v>7</v>
      </c>
      <c r="I106" s="393"/>
      <c r="J106" s="393"/>
      <c r="K106" s="368">
        <f t="shared" si="7"/>
        <v>2555</v>
      </c>
      <c r="L106" s="368">
        <v>2555</v>
      </c>
      <c r="M106" s="366">
        <f t="shared" si="6"/>
        <v>0</v>
      </c>
      <c r="N106" s="394">
        <v>0.66249999999999998</v>
      </c>
      <c r="O106" s="394">
        <v>0.6777777777777777</v>
      </c>
      <c r="P106" s="366" t="s">
        <v>547</v>
      </c>
      <c r="Q106" s="366" t="s">
        <v>234</v>
      </c>
      <c r="R106" s="368" t="s">
        <v>551</v>
      </c>
      <c r="S106" s="368"/>
    </row>
    <row r="107" spans="1:19" s="375" customFormat="1" ht="21.75" customHeight="1">
      <c r="A107" s="391">
        <v>104</v>
      </c>
      <c r="B107" s="366" t="s">
        <v>548</v>
      </c>
      <c r="C107" s="368" t="s">
        <v>556</v>
      </c>
      <c r="D107" s="368">
        <v>905350036</v>
      </c>
      <c r="E107" s="366" t="s">
        <v>527</v>
      </c>
      <c r="F107" s="366" t="s">
        <v>72</v>
      </c>
      <c r="G107" s="392"/>
      <c r="H107" s="393">
        <v>7</v>
      </c>
      <c r="I107" s="393"/>
      <c r="J107" s="393"/>
      <c r="K107" s="368">
        <f t="shared" si="7"/>
        <v>2555</v>
      </c>
      <c r="L107" s="368">
        <v>2555</v>
      </c>
      <c r="M107" s="366">
        <f t="shared" si="6"/>
        <v>0</v>
      </c>
      <c r="N107" s="394">
        <v>0.68541666666666667</v>
      </c>
      <c r="O107" s="394">
        <v>0.70000000000000007</v>
      </c>
      <c r="P107" s="366" t="s">
        <v>547</v>
      </c>
      <c r="Q107" s="366" t="s">
        <v>234</v>
      </c>
      <c r="R107" s="368" t="s">
        <v>551</v>
      </c>
      <c r="S107" s="368"/>
    </row>
    <row r="108" spans="1:19" s="375" customFormat="1" ht="21.75" customHeight="1">
      <c r="A108" s="391">
        <v>105</v>
      </c>
      <c r="B108" s="366" t="s">
        <v>548</v>
      </c>
      <c r="C108" s="368" t="s">
        <v>553</v>
      </c>
      <c r="D108" s="368">
        <v>905350037</v>
      </c>
      <c r="E108" s="366" t="s">
        <v>527</v>
      </c>
      <c r="F108" s="366" t="s">
        <v>72</v>
      </c>
      <c r="G108" s="392"/>
      <c r="H108" s="393">
        <v>7</v>
      </c>
      <c r="I108" s="393"/>
      <c r="J108" s="393"/>
      <c r="K108" s="368">
        <f t="shared" si="7"/>
        <v>2555</v>
      </c>
      <c r="L108" s="368">
        <v>2554</v>
      </c>
      <c r="M108" s="366">
        <f t="shared" si="6"/>
        <v>-1</v>
      </c>
      <c r="N108" s="394">
        <v>0.70416666666666661</v>
      </c>
      <c r="O108" s="394">
        <v>0.73125000000000007</v>
      </c>
      <c r="P108" s="366" t="s">
        <v>547</v>
      </c>
      <c r="Q108" s="366" t="s">
        <v>234</v>
      </c>
      <c r="R108" s="368" t="s">
        <v>551</v>
      </c>
      <c r="S108" s="368"/>
    </row>
    <row r="109" spans="1:19" s="375" customFormat="1" ht="21.75" customHeight="1">
      <c r="A109" s="391">
        <v>106</v>
      </c>
      <c r="B109" s="366" t="s">
        <v>548</v>
      </c>
      <c r="C109" s="368" t="s">
        <v>554</v>
      </c>
      <c r="D109" s="368">
        <v>905350038</v>
      </c>
      <c r="E109" s="366" t="s">
        <v>527</v>
      </c>
      <c r="F109" s="366" t="s">
        <v>72</v>
      </c>
      <c r="G109" s="392"/>
      <c r="H109" s="393">
        <v>7</v>
      </c>
      <c r="I109" s="393"/>
      <c r="J109" s="393"/>
      <c r="K109" s="368">
        <f t="shared" si="7"/>
        <v>2555</v>
      </c>
      <c r="L109" s="368">
        <v>2555</v>
      </c>
      <c r="M109" s="366">
        <f t="shared" ref="M109:M118" si="8">L109-K109</f>
        <v>0</v>
      </c>
      <c r="N109" s="394">
        <v>0.73541666666666661</v>
      </c>
      <c r="O109" s="394">
        <v>0.7729166666666667</v>
      </c>
      <c r="P109" s="366" t="s">
        <v>547</v>
      </c>
      <c r="Q109" s="366" t="s">
        <v>234</v>
      </c>
      <c r="R109" s="368" t="s">
        <v>551</v>
      </c>
      <c r="S109" s="368"/>
    </row>
    <row r="110" spans="1:19" s="375" customFormat="1" ht="21.75" customHeight="1">
      <c r="A110" s="391">
        <v>107</v>
      </c>
      <c r="B110" s="366" t="s">
        <v>548</v>
      </c>
      <c r="C110" s="368" t="s">
        <v>555</v>
      </c>
      <c r="D110" s="368">
        <v>905350039</v>
      </c>
      <c r="E110" s="366" t="s">
        <v>527</v>
      </c>
      <c r="F110" s="366" t="s">
        <v>72</v>
      </c>
      <c r="G110" s="392"/>
      <c r="H110" s="393">
        <v>7</v>
      </c>
      <c r="I110" s="393"/>
      <c r="J110" s="393"/>
      <c r="K110" s="368">
        <f t="shared" si="7"/>
        <v>2555</v>
      </c>
      <c r="L110" s="368">
        <v>2554</v>
      </c>
      <c r="M110" s="366">
        <f t="shared" si="8"/>
        <v>-1</v>
      </c>
      <c r="N110" s="394">
        <v>0.77708333333333324</v>
      </c>
      <c r="O110" s="394">
        <v>0.79513888888888884</v>
      </c>
      <c r="P110" s="366" t="s">
        <v>547</v>
      </c>
      <c r="Q110" s="366" t="s">
        <v>234</v>
      </c>
      <c r="R110" s="368" t="s">
        <v>551</v>
      </c>
      <c r="S110" s="368"/>
    </row>
    <row r="111" spans="1:19" s="375" customFormat="1" ht="21.75" customHeight="1">
      <c r="A111" s="391">
        <v>108</v>
      </c>
      <c r="B111" s="366" t="s">
        <v>548</v>
      </c>
      <c r="C111" s="368" t="s">
        <v>552</v>
      </c>
      <c r="D111" s="368">
        <v>905350041</v>
      </c>
      <c r="E111" s="366" t="s">
        <v>527</v>
      </c>
      <c r="F111" s="366" t="s">
        <v>72</v>
      </c>
      <c r="G111" s="392"/>
      <c r="H111" s="393">
        <v>7</v>
      </c>
      <c r="I111" s="393"/>
      <c r="J111" s="393"/>
      <c r="K111" s="368">
        <f t="shared" si="7"/>
        <v>2555</v>
      </c>
      <c r="L111" s="368">
        <v>2555</v>
      </c>
      <c r="M111" s="366">
        <f t="shared" si="8"/>
        <v>0</v>
      </c>
      <c r="N111" s="394">
        <v>0.79861111111111116</v>
      </c>
      <c r="O111" s="394">
        <v>0.81319444444444444</v>
      </c>
      <c r="P111" s="366" t="s">
        <v>547</v>
      </c>
      <c r="Q111" s="366" t="s">
        <v>234</v>
      </c>
      <c r="R111" s="368" t="s">
        <v>551</v>
      </c>
      <c r="S111" s="368"/>
    </row>
    <row r="112" spans="1:19" s="375" customFormat="1" ht="21.75" customHeight="1">
      <c r="A112" s="391">
        <v>109</v>
      </c>
      <c r="B112" s="366" t="s">
        <v>548</v>
      </c>
      <c r="C112" s="391" t="s">
        <v>556</v>
      </c>
      <c r="D112" s="368">
        <v>905350042</v>
      </c>
      <c r="E112" s="366" t="s">
        <v>527</v>
      </c>
      <c r="F112" s="366" t="s">
        <v>72</v>
      </c>
      <c r="G112" s="392"/>
      <c r="H112" s="393">
        <v>7</v>
      </c>
      <c r="I112" s="393"/>
      <c r="J112" s="393"/>
      <c r="K112" s="368">
        <f t="shared" si="7"/>
        <v>2555</v>
      </c>
      <c r="L112" s="391">
        <v>2555</v>
      </c>
      <c r="M112" s="366">
        <f t="shared" si="8"/>
        <v>0</v>
      </c>
      <c r="N112" s="394">
        <v>0.81666666666666676</v>
      </c>
      <c r="O112" s="394">
        <v>0.84444444444444444</v>
      </c>
      <c r="P112" s="366" t="s">
        <v>547</v>
      </c>
      <c r="Q112" s="366" t="s">
        <v>234</v>
      </c>
      <c r="R112" s="368" t="s">
        <v>551</v>
      </c>
      <c r="S112" s="368"/>
    </row>
    <row r="113" spans="1:19" s="375" customFormat="1" ht="21.75" customHeight="1">
      <c r="A113" s="391">
        <v>110</v>
      </c>
      <c r="B113" s="366" t="s">
        <v>548</v>
      </c>
      <c r="C113" s="391" t="s">
        <v>553</v>
      </c>
      <c r="D113" s="368">
        <v>905350043</v>
      </c>
      <c r="E113" s="366" t="s">
        <v>527</v>
      </c>
      <c r="F113" s="366" t="s">
        <v>72</v>
      </c>
      <c r="G113" s="392"/>
      <c r="H113" s="393">
        <v>7</v>
      </c>
      <c r="I113" s="393"/>
      <c r="J113" s="393"/>
      <c r="K113" s="368">
        <f t="shared" si="7"/>
        <v>2555</v>
      </c>
      <c r="L113" s="391">
        <v>2553</v>
      </c>
      <c r="M113" s="366">
        <f t="shared" si="8"/>
        <v>-2</v>
      </c>
      <c r="N113" s="394">
        <v>0.85069444444444453</v>
      </c>
      <c r="O113" s="394">
        <v>0.875</v>
      </c>
      <c r="P113" s="366" t="s">
        <v>547</v>
      </c>
      <c r="Q113" s="366" t="s">
        <v>234</v>
      </c>
      <c r="R113" s="368" t="s">
        <v>551</v>
      </c>
      <c r="S113" s="368"/>
    </row>
    <row r="114" spans="1:19" s="375" customFormat="1" ht="21.75" customHeight="1">
      <c r="A114" s="391">
        <v>111</v>
      </c>
      <c r="B114" s="366" t="s">
        <v>548</v>
      </c>
      <c r="C114" s="391" t="s">
        <v>554</v>
      </c>
      <c r="D114" s="368">
        <v>905350044</v>
      </c>
      <c r="E114" s="366" t="s">
        <v>527</v>
      </c>
      <c r="F114" s="366" t="s">
        <v>72</v>
      </c>
      <c r="G114" s="392"/>
      <c r="H114" s="393">
        <v>7</v>
      </c>
      <c r="I114" s="393"/>
      <c r="J114" s="393"/>
      <c r="K114" s="368">
        <f t="shared" si="7"/>
        <v>2555</v>
      </c>
      <c r="L114" s="368">
        <v>2554</v>
      </c>
      <c r="M114" s="366">
        <f t="shared" si="8"/>
        <v>-1</v>
      </c>
      <c r="N114" s="394">
        <v>0.88055555555555554</v>
      </c>
      <c r="O114" s="394">
        <v>0.90277777777777779</v>
      </c>
      <c r="P114" s="366" t="s">
        <v>547</v>
      </c>
      <c r="Q114" s="366" t="s">
        <v>234</v>
      </c>
      <c r="R114" s="368" t="s">
        <v>551</v>
      </c>
      <c r="S114" s="368"/>
    </row>
    <row r="115" spans="1:19" s="375" customFormat="1" ht="21.75" customHeight="1">
      <c r="A115" s="391">
        <v>112</v>
      </c>
      <c r="B115" s="366" t="s">
        <v>548</v>
      </c>
      <c r="C115" s="391" t="s">
        <v>555</v>
      </c>
      <c r="D115" s="368">
        <v>905350045</v>
      </c>
      <c r="E115" s="366" t="s">
        <v>527</v>
      </c>
      <c r="F115" s="366" t="s">
        <v>72</v>
      </c>
      <c r="G115" s="392"/>
      <c r="H115" s="393">
        <v>7</v>
      </c>
      <c r="I115" s="393"/>
      <c r="J115" s="393"/>
      <c r="K115" s="368">
        <f t="shared" si="7"/>
        <v>2555</v>
      </c>
      <c r="L115" s="368">
        <v>2553</v>
      </c>
      <c r="M115" s="366">
        <f t="shared" si="8"/>
        <v>-2</v>
      </c>
      <c r="N115" s="394">
        <v>0.91666666666666663</v>
      </c>
      <c r="O115" s="394">
        <v>0.93402777777777779</v>
      </c>
      <c r="P115" s="366" t="s">
        <v>547</v>
      </c>
      <c r="Q115" s="366" t="s">
        <v>234</v>
      </c>
      <c r="R115" s="368" t="s">
        <v>551</v>
      </c>
      <c r="S115" s="368"/>
    </row>
    <row r="116" spans="1:19" s="375" customFormat="1" ht="21.75" customHeight="1">
      <c r="A116" s="391">
        <v>113</v>
      </c>
      <c r="B116" s="366" t="s">
        <v>548</v>
      </c>
      <c r="C116" s="391" t="s">
        <v>552</v>
      </c>
      <c r="D116" s="368">
        <v>905350046</v>
      </c>
      <c r="E116" s="366" t="s">
        <v>527</v>
      </c>
      <c r="F116" s="366" t="s">
        <v>72</v>
      </c>
      <c r="G116" s="392"/>
      <c r="H116" s="393">
        <v>7</v>
      </c>
      <c r="I116" s="393"/>
      <c r="J116" s="393"/>
      <c r="K116" s="368">
        <f t="shared" si="7"/>
        <v>2555</v>
      </c>
      <c r="L116" s="391">
        <v>2553</v>
      </c>
      <c r="M116" s="366">
        <f t="shared" si="8"/>
        <v>-2</v>
      </c>
      <c r="N116" s="394">
        <v>0.93611111111111101</v>
      </c>
      <c r="O116" s="394">
        <v>0.96180555555555547</v>
      </c>
      <c r="P116" s="366" t="s">
        <v>547</v>
      </c>
      <c r="Q116" s="366" t="s">
        <v>234</v>
      </c>
      <c r="R116" s="368" t="s">
        <v>551</v>
      </c>
      <c r="S116" s="368"/>
    </row>
    <row r="117" spans="1:19" s="375" customFormat="1" ht="21.75" customHeight="1">
      <c r="A117" s="391">
        <v>114</v>
      </c>
      <c r="B117" s="366" t="s">
        <v>548</v>
      </c>
      <c r="C117" s="391" t="s">
        <v>556</v>
      </c>
      <c r="D117" s="368">
        <v>905350047</v>
      </c>
      <c r="E117" s="366" t="s">
        <v>527</v>
      </c>
      <c r="F117" s="366" t="s">
        <v>72</v>
      </c>
      <c r="G117" s="392"/>
      <c r="H117" s="393">
        <v>7</v>
      </c>
      <c r="I117" s="393"/>
      <c r="J117" s="393"/>
      <c r="K117" s="368">
        <f t="shared" si="7"/>
        <v>2555</v>
      </c>
      <c r="L117" s="368">
        <v>2554</v>
      </c>
      <c r="M117" s="366">
        <f t="shared" si="8"/>
        <v>-1</v>
      </c>
      <c r="N117" s="394">
        <v>0.99305555555555547</v>
      </c>
      <c r="O117" s="394">
        <v>4.9999999999999996E-2</v>
      </c>
      <c r="P117" s="366" t="s">
        <v>547</v>
      </c>
      <c r="Q117" s="366" t="s">
        <v>234</v>
      </c>
      <c r="R117" s="368" t="s">
        <v>551</v>
      </c>
      <c r="S117" s="368"/>
    </row>
    <row r="118" spans="1:19" s="375" customFormat="1" ht="21.75" customHeight="1">
      <c r="A118" s="391">
        <v>115</v>
      </c>
      <c r="B118" s="366" t="s">
        <v>548</v>
      </c>
      <c r="C118" s="391" t="s">
        <v>553</v>
      </c>
      <c r="D118" s="368">
        <v>905350048</v>
      </c>
      <c r="E118" s="366" t="s">
        <v>527</v>
      </c>
      <c r="F118" s="366" t="s">
        <v>72</v>
      </c>
      <c r="G118" s="392"/>
      <c r="H118" s="393">
        <v>7</v>
      </c>
      <c r="I118" s="393"/>
      <c r="J118" s="393"/>
      <c r="K118" s="368">
        <f t="shared" si="7"/>
        <v>2555</v>
      </c>
      <c r="L118" s="368">
        <v>2554</v>
      </c>
      <c r="M118" s="366">
        <f t="shared" si="8"/>
        <v>-1</v>
      </c>
      <c r="N118" s="394">
        <v>0.99652777777777779</v>
      </c>
      <c r="O118" s="394">
        <v>4.9999999999999996E-2</v>
      </c>
      <c r="P118" s="366" t="s">
        <v>547</v>
      </c>
      <c r="Q118" s="366" t="s">
        <v>234</v>
      </c>
      <c r="R118" s="368" t="s">
        <v>551</v>
      </c>
      <c r="S118" s="368"/>
    </row>
    <row r="119" spans="1:19" s="375" customFormat="1" ht="21.75" customHeight="1">
      <c r="A119" s="391">
        <v>116</v>
      </c>
      <c r="B119" s="366" t="s">
        <v>548</v>
      </c>
      <c r="C119" s="391" t="s">
        <v>554</v>
      </c>
      <c r="D119" s="391">
        <v>905350049</v>
      </c>
      <c r="E119" s="366" t="s">
        <v>527</v>
      </c>
      <c r="F119" s="366" t="s">
        <v>72</v>
      </c>
      <c r="G119" s="392"/>
      <c r="H119" s="393">
        <v>7</v>
      </c>
      <c r="I119" s="393"/>
      <c r="J119" s="393"/>
      <c r="K119" s="391">
        <f t="shared" ref="K119" si="9">H119*365</f>
        <v>2555</v>
      </c>
      <c r="L119" s="391">
        <v>2554</v>
      </c>
      <c r="M119" s="366">
        <f t="shared" ref="M119" si="10">L119-K119</f>
        <v>-1</v>
      </c>
      <c r="N119" s="394">
        <v>5.5555555555555552E-2</v>
      </c>
      <c r="O119" s="394">
        <v>6.25E-2</v>
      </c>
      <c r="P119" s="366" t="s">
        <v>547</v>
      </c>
      <c r="Q119" s="366" t="s">
        <v>234</v>
      </c>
      <c r="R119" s="391" t="s">
        <v>551</v>
      </c>
      <c r="S119" s="391"/>
    </row>
    <row r="120" spans="1:19" s="375" customFormat="1" ht="21.75" customHeight="1">
      <c r="A120" s="391">
        <v>117</v>
      </c>
      <c r="B120" s="366" t="s">
        <v>548</v>
      </c>
      <c r="C120" s="391" t="s">
        <v>555</v>
      </c>
      <c r="D120" s="391">
        <v>905350050</v>
      </c>
      <c r="E120" s="366" t="s">
        <v>527</v>
      </c>
      <c r="F120" s="366" t="s">
        <v>72</v>
      </c>
      <c r="G120" s="392"/>
      <c r="H120" s="393">
        <v>7</v>
      </c>
      <c r="I120" s="393"/>
      <c r="J120" s="393"/>
      <c r="K120" s="391">
        <f t="shared" ref="K120" si="11">H120*365</f>
        <v>2555</v>
      </c>
      <c r="L120" s="391">
        <v>2553</v>
      </c>
      <c r="M120" s="366">
        <f t="shared" ref="M120" si="12">L120-K120</f>
        <v>-2</v>
      </c>
      <c r="N120" s="394">
        <v>6.5972222222222224E-2</v>
      </c>
      <c r="O120" s="394">
        <v>7.2916666666666671E-2</v>
      </c>
      <c r="P120" s="366" t="s">
        <v>547</v>
      </c>
      <c r="Q120" s="366" t="s">
        <v>234</v>
      </c>
      <c r="R120" s="391" t="s">
        <v>551</v>
      </c>
      <c r="S120" s="391"/>
    </row>
    <row r="121" spans="1:19" s="375" customFormat="1" ht="21.75" customHeight="1">
      <c r="A121" s="391">
        <v>118</v>
      </c>
      <c r="B121" s="366" t="s">
        <v>548</v>
      </c>
      <c r="C121" s="391" t="s">
        <v>552</v>
      </c>
      <c r="D121" s="391">
        <v>905350051</v>
      </c>
      <c r="E121" s="366" t="s">
        <v>527</v>
      </c>
      <c r="F121" s="366" t="s">
        <v>72</v>
      </c>
      <c r="G121" s="392"/>
      <c r="H121" s="393">
        <v>7</v>
      </c>
      <c r="I121" s="393"/>
      <c r="J121" s="393"/>
      <c r="K121" s="391">
        <f t="shared" ref="K121" si="13">H121*365</f>
        <v>2555</v>
      </c>
      <c r="L121" s="391">
        <v>2553</v>
      </c>
      <c r="M121" s="366">
        <f t="shared" ref="M121" si="14">L121-K121</f>
        <v>-2</v>
      </c>
      <c r="N121" s="394">
        <v>7.9861111111111105E-2</v>
      </c>
      <c r="O121" s="394">
        <v>9.375E-2</v>
      </c>
      <c r="P121" s="366" t="s">
        <v>547</v>
      </c>
      <c r="Q121" s="366" t="s">
        <v>234</v>
      </c>
      <c r="R121" s="391" t="s">
        <v>551</v>
      </c>
      <c r="S121" s="391"/>
    </row>
    <row r="122" spans="1:19" s="375" customFormat="1" ht="21.75" customHeight="1">
      <c r="A122" s="408">
        <v>118</v>
      </c>
      <c r="B122" s="366" t="s">
        <v>548</v>
      </c>
      <c r="C122" s="408" t="s">
        <v>556</v>
      </c>
      <c r="D122" s="408">
        <v>905350052</v>
      </c>
      <c r="E122" s="366" t="s">
        <v>527</v>
      </c>
      <c r="F122" s="366" t="s">
        <v>72</v>
      </c>
      <c r="G122" s="392"/>
      <c r="H122" s="393">
        <v>7</v>
      </c>
      <c r="I122" s="393"/>
      <c r="J122" s="393"/>
      <c r="K122" s="408">
        <f t="shared" ref="K122" si="15">H122*365</f>
        <v>2555</v>
      </c>
      <c r="L122" s="408">
        <v>2554</v>
      </c>
      <c r="M122" s="366">
        <f t="shared" ref="M122" si="16">L122-K122</f>
        <v>-1</v>
      </c>
      <c r="N122" s="394">
        <v>8.3333333333333329E-2</v>
      </c>
      <c r="O122" s="394">
        <v>9.7222222222222224E-2</v>
      </c>
      <c r="P122" s="366" t="s">
        <v>547</v>
      </c>
      <c r="Q122" s="366" t="s">
        <v>234</v>
      </c>
      <c r="R122" s="408" t="s">
        <v>551</v>
      </c>
      <c r="S122" s="408"/>
    </row>
    <row r="123" spans="1:19" ht="22.5" customHeight="1">
      <c r="A123" s="368"/>
      <c r="B123" s="368"/>
      <c r="C123" s="369"/>
      <c r="D123" s="368"/>
      <c r="E123" s="369"/>
      <c r="F123" s="368"/>
      <c r="G123" s="370"/>
      <c r="H123" s="371"/>
      <c r="I123" s="371"/>
      <c r="J123" s="371"/>
      <c r="K123" s="369"/>
      <c r="L123" s="369"/>
      <c r="M123" s="369"/>
      <c r="N123" s="369"/>
      <c r="O123" s="368"/>
      <c r="P123" s="368"/>
      <c r="Q123" s="368"/>
      <c r="R123" s="368"/>
      <c r="S123" s="368"/>
    </row>
    <row r="124" spans="1:19" s="374" customFormat="1" ht="30" customHeight="1">
      <c r="A124" s="366"/>
      <c r="B124" s="504" t="s">
        <v>531</v>
      </c>
      <c r="C124" s="505"/>
      <c r="D124" s="372"/>
      <c r="E124" s="373"/>
      <c r="F124" s="373"/>
      <c r="G124" s="378">
        <f>SUM(G3:G123)</f>
        <v>57.5</v>
      </c>
      <c r="H124" s="378">
        <f t="shared" ref="H124:J124" si="17">SUM(H3:H123)</f>
        <v>763</v>
      </c>
      <c r="I124" s="378">
        <f t="shared" si="17"/>
        <v>0</v>
      </c>
      <c r="J124" s="378">
        <f t="shared" si="17"/>
        <v>0</v>
      </c>
      <c r="K124" s="379">
        <f>SUM(K3:K123)</f>
        <v>291145</v>
      </c>
      <c r="L124" s="379">
        <f>SUM(L3:L123)</f>
        <v>289936</v>
      </c>
      <c r="M124" s="379">
        <f>SUM(M3:M123)</f>
        <v>-1209</v>
      </c>
      <c r="N124" s="373"/>
      <c r="O124" s="372"/>
      <c r="P124" s="372"/>
      <c r="Q124" s="372"/>
      <c r="R124" s="372"/>
      <c r="S124" s="366"/>
    </row>
    <row r="125" spans="1:19" s="383" customFormat="1" ht="24.75" customHeight="1">
      <c r="A125" s="384"/>
      <c r="B125" s="385"/>
      <c r="C125" s="385"/>
      <c r="D125" s="386"/>
      <c r="E125" s="387"/>
      <c r="F125" s="387"/>
      <c r="G125" s="506">
        <f>SUM(G124:J124)</f>
        <v>820.5</v>
      </c>
      <c r="H125" s="506"/>
      <c r="I125" s="506"/>
      <c r="J125" s="506"/>
      <c r="K125" s="380">
        <f>K124/50</f>
        <v>5822.9</v>
      </c>
      <c r="L125" s="381">
        <f>L124/50</f>
        <v>5798.72</v>
      </c>
      <c r="M125" s="382" t="s">
        <v>532</v>
      </c>
      <c r="N125" s="387"/>
      <c r="O125" s="386"/>
      <c r="P125" s="386"/>
      <c r="Q125" s="386"/>
      <c r="R125" s="386"/>
      <c r="S125" s="387"/>
    </row>
  </sheetData>
  <autoFilter ref="A2:S122"/>
  <mergeCells count="4">
    <mergeCell ref="A1:R1"/>
    <mergeCell ref="B124:C124"/>
    <mergeCell ref="G125:J125"/>
    <mergeCell ref="A17:A18"/>
  </mergeCells>
  <printOptions horizontalCentered="1"/>
  <pageMargins left="0.45" right="0.45" top="0.75" bottom="0.75" header="0.3" footer="0.3"/>
  <pageSetup scale="49" fitToHeight="0" orientation="landscape" r:id="rId1"/>
  <headerFooter>
    <oddHeader>&amp;A</oddHead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topLeftCell="A16" zoomScaleSheetLayoutView="100" workbookViewId="0">
      <selection activeCell="I23" sqref="I23"/>
    </sheetView>
  </sheetViews>
  <sheetFormatPr defaultRowHeight="15"/>
  <cols>
    <col min="2" max="2" width="19.140625" customWidth="1"/>
    <col min="9" max="9" width="9.85546875" customWidth="1"/>
    <col min="10" max="10" width="11.140625" customWidth="1"/>
  </cols>
  <sheetData>
    <row r="1" spans="1:10">
      <c r="A1" s="73" t="s">
        <v>187</v>
      </c>
      <c r="B1" s="74"/>
      <c r="C1" s="74"/>
      <c r="D1" s="74"/>
      <c r="E1" s="74"/>
      <c r="F1" s="74"/>
      <c r="G1" s="74"/>
      <c r="H1" s="74"/>
      <c r="I1" s="74"/>
      <c r="J1" s="75"/>
    </row>
    <row r="2" spans="1:10">
      <c r="A2" s="76" t="s">
        <v>188</v>
      </c>
      <c r="B2" s="27"/>
      <c r="C2" s="27"/>
      <c r="D2" s="27"/>
      <c r="E2" s="27"/>
      <c r="F2" s="27"/>
      <c r="G2" s="27"/>
      <c r="H2" s="27"/>
      <c r="I2" s="27"/>
      <c r="J2" s="77"/>
    </row>
    <row r="3" spans="1:10">
      <c r="A3" s="76" t="s">
        <v>189</v>
      </c>
      <c r="B3" s="27"/>
      <c r="C3" s="27"/>
      <c r="D3" s="27"/>
      <c r="E3" s="27"/>
      <c r="F3" s="27"/>
      <c r="G3" s="27"/>
      <c r="H3" s="27"/>
      <c r="I3" s="27"/>
      <c r="J3" s="77"/>
    </row>
    <row r="4" spans="1:10">
      <c r="A4" s="76" t="s">
        <v>203</v>
      </c>
      <c r="B4" s="27"/>
      <c r="C4" s="27"/>
      <c r="D4" s="27"/>
      <c r="E4" s="27"/>
      <c r="F4" s="27"/>
      <c r="G4" s="27"/>
      <c r="H4" s="27"/>
      <c r="I4" s="27"/>
      <c r="J4" s="77"/>
    </row>
    <row r="5" spans="1:10">
      <c r="A5" s="78"/>
      <c r="B5" s="79"/>
      <c r="C5" s="79"/>
      <c r="D5" s="79"/>
      <c r="E5" s="79"/>
      <c r="F5" s="79"/>
      <c r="G5" s="79"/>
      <c r="H5" s="79"/>
      <c r="I5" s="79"/>
      <c r="J5" s="80"/>
    </row>
    <row r="6" spans="1:10">
      <c r="A6" s="478" t="s">
        <v>1</v>
      </c>
      <c r="B6" s="473" t="s">
        <v>191</v>
      </c>
      <c r="C6" s="473" t="s">
        <v>3</v>
      </c>
      <c r="D6" s="473" t="s">
        <v>64</v>
      </c>
      <c r="E6" s="473" t="s">
        <v>64</v>
      </c>
      <c r="F6" s="473" t="s">
        <v>192</v>
      </c>
      <c r="G6" s="473"/>
      <c r="H6" s="473"/>
      <c r="I6" s="473" t="s">
        <v>193</v>
      </c>
      <c r="J6" s="474" t="s">
        <v>21</v>
      </c>
    </row>
    <row r="7" spans="1:10">
      <c r="A7" s="478"/>
      <c r="B7" s="473"/>
      <c r="C7" s="473"/>
      <c r="D7" s="473"/>
      <c r="E7" s="473"/>
      <c r="F7" s="81" t="s">
        <v>61</v>
      </c>
      <c r="G7" s="81" t="s">
        <v>62</v>
      </c>
      <c r="H7" s="81" t="s">
        <v>194</v>
      </c>
      <c r="I7" s="473"/>
      <c r="J7" s="474"/>
    </row>
    <row r="8" spans="1:10">
      <c r="A8" s="82"/>
      <c r="B8" s="83" t="s">
        <v>200</v>
      </c>
      <c r="C8" s="84"/>
      <c r="D8" s="84"/>
      <c r="E8" s="84"/>
      <c r="F8" s="84"/>
      <c r="G8" s="84"/>
      <c r="H8" s="84"/>
      <c r="I8" s="84"/>
      <c r="J8" s="85"/>
    </row>
    <row r="9" spans="1:10">
      <c r="A9" s="82">
        <v>1</v>
      </c>
      <c r="B9" s="84" t="s">
        <v>196</v>
      </c>
      <c r="C9" s="84" t="s">
        <v>72</v>
      </c>
      <c r="D9" s="84">
        <v>1</v>
      </c>
      <c r="E9" s="84">
        <v>1</v>
      </c>
      <c r="F9" s="410">
        <f>31.935+0.115+0.115</f>
        <v>32.164999999999999</v>
      </c>
      <c r="G9" s="410">
        <f>36.895+0.115+0.115</f>
        <v>37.125000000000007</v>
      </c>
      <c r="H9" s="410">
        <v>0.1</v>
      </c>
      <c r="I9" s="87">
        <f t="shared" ref="I9:I20" si="0">PRODUCT(D9:H9)</f>
        <v>119.41256250000002</v>
      </c>
      <c r="J9" s="85"/>
    </row>
    <row r="10" spans="1:10">
      <c r="A10" s="82">
        <v>2</v>
      </c>
      <c r="B10" s="84"/>
      <c r="C10" s="84" t="s">
        <v>72</v>
      </c>
      <c r="D10" s="84">
        <v>1</v>
      </c>
      <c r="E10" s="84">
        <v>1</v>
      </c>
      <c r="F10" s="410">
        <f>8.78+0.115+0.115</f>
        <v>9.01</v>
      </c>
      <c r="G10" s="410">
        <v>0.51500000000000001</v>
      </c>
      <c r="H10" s="410">
        <v>0.1</v>
      </c>
      <c r="I10" s="87">
        <f t="shared" si="0"/>
        <v>0.46401500000000007</v>
      </c>
      <c r="J10" s="85"/>
    </row>
    <row r="11" spans="1:10">
      <c r="A11" s="82">
        <v>3</v>
      </c>
      <c r="B11" s="84" t="s">
        <v>197</v>
      </c>
      <c r="C11" s="84" t="s">
        <v>72</v>
      </c>
      <c r="D11" s="84">
        <v>-1</v>
      </c>
      <c r="E11" s="84">
        <v>1</v>
      </c>
      <c r="F11" s="410">
        <v>11.005000000000001</v>
      </c>
      <c r="G11" s="410">
        <v>12.414999999999999</v>
      </c>
      <c r="H11" s="410">
        <v>0.1</v>
      </c>
      <c r="I11" s="87">
        <f t="shared" si="0"/>
        <v>-13.6627075</v>
      </c>
      <c r="J11" s="85"/>
    </row>
    <row r="12" spans="1:10">
      <c r="A12" s="82">
        <v>4</v>
      </c>
      <c r="B12" s="84" t="s">
        <v>198</v>
      </c>
      <c r="C12" s="84" t="s">
        <v>72</v>
      </c>
      <c r="D12" s="84">
        <v>-1</v>
      </c>
      <c r="E12" s="84">
        <v>1</v>
      </c>
      <c r="F12" s="410">
        <v>11.09</v>
      </c>
      <c r="G12" s="410">
        <v>10.285</v>
      </c>
      <c r="H12" s="410">
        <v>0.1</v>
      </c>
      <c r="I12" s="87">
        <f t="shared" si="0"/>
        <v>-11.406065</v>
      </c>
      <c r="J12" s="85"/>
    </row>
    <row r="13" spans="1:10">
      <c r="A13" s="82">
        <v>5</v>
      </c>
      <c r="B13" s="475" t="s">
        <v>199</v>
      </c>
      <c r="C13" s="84" t="s">
        <v>72</v>
      </c>
      <c r="D13" s="84">
        <v>-1</v>
      </c>
      <c r="E13" s="84">
        <v>1</v>
      </c>
      <c r="F13" s="410">
        <v>11.285</v>
      </c>
      <c r="G13" s="410">
        <v>3.72</v>
      </c>
      <c r="H13" s="410">
        <v>0.1</v>
      </c>
      <c r="I13" s="87">
        <f t="shared" si="0"/>
        <v>-4.1980200000000005</v>
      </c>
      <c r="J13" s="85"/>
    </row>
    <row r="14" spans="1:10">
      <c r="A14" s="82">
        <v>6</v>
      </c>
      <c r="B14" s="476"/>
      <c r="C14" s="84" t="s">
        <v>72</v>
      </c>
      <c r="D14" s="84">
        <v>-1</v>
      </c>
      <c r="E14" s="84">
        <v>1</v>
      </c>
      <c r="F14" s="410">
        <v>1.6950000000000001</v>
      </c>
      <c r="G14" s="410">
        <v>2.3149999999999999</v>
      </c>
      <c r="H14" s="410">
        <v>0.1</v>
      </c>
      <c r="I14" s="87">
        <f t="shared" si="0"/>
        <v>-0.39239250000000003</v>
      </c>
      <c r="J14" s="85"/>
    </row>
    <row r="15" spans="1:10">
      <c r="A15" s="82">
        <v>7</v>
      </c>
      <c r="B15" s="477"/>
      <c r="C15" s="84" t="s">
        <v>72</v>
      </c>
      <c r="D15" s="84">
        <v>-1</v>
      </c>
      <c r="E15" s="84">
        <v>1</v>
      </c>
      <c r="F15" s="410">
        <v>3.95</v>
      </c>
      <c r="G15" s="410">
        <v>1.5</v>
      </c>
      <c r="H15" s="410">
        <v>0.1</v>
      </c>
      <c r="I15" s="87">
        <f t="shared" si="0"/>
        <v>-0.59250000000000014</v>
      </c>
      <c r="J15" s="85"/>
    </row>
    <row r="16" spans="1:10">
      <c r="A16" s="82"/>
      <c r="B16" s="409"/>
      <c r="C16" s="84"/>
      <c r="D16" s="84">
        <v>-1</v>
      </c>
      <c r="E16" s="84">
        <v>1</v>
      </c>
      <c r="F16" s="410">
        <v>15.8</v>
      </c>
      <c r="G16" s="410">
        <f>0.115</f>
        <v>0.115</v>
      </c>
      <c r="H16" s="410">
        <v>0.1</v>
      </c>
      <c r="I16" s="87">
        <f t="shared" ref="I16" si="1">PRODUCT(D16:H16)</f>
        <v>-0.18170000000000003</v>
      </c>
      <c r="J16" s="85"/>
    </row>
    <row r="17" spans="1:10">
      <c r="A17" s="82">
        <v>8</v>
      </c>
      <c r="B17" s="475" t="s">
        <v>201</v>
      </c>
      <c r="C17" s="84" t="s">
        <v>72</v>
      </c>
      <c r="D17" s="84">
        <v>-1</v>
      </c>
      <c r="E17" s="84">
        <v>1</v>
      </c>
      <c r="F17" s="410">
        <v>9</v>
      </c>
      <c r="G17" s="410">
        <f>5.8+0.115</f>
        <v>5.915</v>
      </c>
      <c r="H17" s="410">
        <v>0.1</v>
      </c>
      <c r="I17" s="87">
        <f t="shared" si="0"/>
        <v>-5.3235000000000001</v>
      </c>
      <c r="J17" s="85"/>
    </row>
    <row r="18" spans="1:10">
      <c r="A18" s="82">
        <v>9</v>
      </c>
      <c r="B18" s="476"/>
      <c r="C18" s="84" t="s">
        <v>72</v>
      </c>
      <c r="D18" s="84">
        <v>-1</v>
      </c>
      <c r="E18" s="84">
        <v>1</v>
      </c>
      <c r="F18" s="410">
        <v>19.05</v>
      </c>
      <c r="G18" s="410">
        <v>10</v>
      </c>
      <c r="H18" s="410">
        <v>0.1</v>
      </c>
      <c r="I18" s="87">
        <f t="shared" si="0"/>
        <v>-19.05</v>
      </c>
      <c r="J18" s="85"/>
    </row>
    <row r="19" spans="1:10">
      <c r="A19" s="82">
        <v>10</v>
      </c>
      <c r="B19" s="476"/>
      <c r="C19" s="84" t="s">
        <v>72</v>
      </c>
      <c r="D19" s="84">
        <v>-1</v>
      </c>
      <c r="E19" s="84">
        <v>1</v>
      </c>
      <c r="F19" s="410">
        <v>6.2</v>
      </c>
      <c r="G19" s="410">
        <v>6.2</v>
      </c>
      <c r="H19" s="410">
        <v>0.1</v>
      </c>
      <c r="I19" s="87">
        <f t="shared" si="0"/>
        <v>-3.8440000000000007</v>
      </c>
      <c r="J19" s="85"/>
    </row>
    <row r="20" spans="1:10">
      <c r="A20" s="82">
        <v>11</v>
      </c>
      <c r="B20" s="477"/>
      <c r="C20" s="84" t="s">
        <v>72</v>
      </c>
      <c r="D20" s="84">
        <v>-1</v>
      </c>
      <c r="E20" s="84">
        <v>1</v>
      </c>
      <c r="F20" s="410">
        <f>11.7-6.2</f>
        <v>5.4999999999999991</v>
      </c>
      <c r="G20" s="410">
        <v>8.0500000000000007</v>
      </c>
      <c r="H20" s="410">
        <v>0.1</v>
      </c>
      <c r="I20" s="87">
        <f t="shared" si="0"/>
        <v>-4.4275000000000002</v>
      </c>
      <c r="J20" s="85"/>
    </row>
    <row r="21" spans="1:10">
      <c r="A21" s="82"/>
      <c r="B21" s="84"/>
      <c r="C21" s="84"/>
      <c r="D21" s="84"/>
      <c r="E21" s="84"/>
      <c r="F21" s="84"/>
      <c r="G21" s="84"/>
      <c r="H21" s="86"/>
      <c r="I21" s="87"/>
      <c r="J21" s="85"/>
    </row>
    <row r="22" spans="1:10">
      <c r="A22" s="82"/>
      <c r="B22" s="84"/>
      <c r="C22" s="84"/>
      <c r="D22" s="84"/>
      <c r="E22" s="84"/>
      <c r="F22" s="84"/>
      <c r="G22" s="84"/>
      <c r="H22" s="84"/>
      <c r="I22" s="87"/>
      <c r="J22" s="85"/>
    </row>
    <row r="23" spans="1:10">
      <c r="A23" s="82"/>
      <c r="B23" s="84"/>
      <c r="C23" s="84"/>
      <c r="D23" s="84"/>
      <c r="E23" s="84"/>
      <c r="F23" s="84"/>
      <c r="G23" s="84"/>
      <c r="H23" s="88" t="s">
        <v>57</v>
      </c>
      <c r="I23" s="89">
        <f>SUM(I8:I22)</f>
        <v>56.798192500000027</v>
      </c>
      <c r="J23" s="85"/>
    </row>
    <row r="24" spans="1:10" ht="15.75" thickBot="1">
      <c r="A24" s="90"/>
      <c r="B24" s="91"/>
      <c r="C24" s="91"/>
      <c r="D24" s="91"/>
      <c r="E24" s="91"/>
      <c r="F24" s="91"/>
      <c r="G24" s="91"/>
      <c r="H24" s="91"/>
      <c r="I24" s="91"/>
      <c r="J24" s="92"/>
    </row>
    <row r="25" spans="1:10">
      <c r="A25" s="478" t="s">
        <v>1</v>
      </c>
      <c r="B25" s="473" t="s">
        <v>191</v>
      </c>
      <c r="C25" s="473" t="s">
        <v>3</v>
      </c>
      <c r="D25" s="473" t="s">
        <v>64</v>
      </c>
      <c r="E25" s="473" t="s">
        <v>64</v>
      </c>
      <c r="F25" s="473" t="s">
        <v>192</v>
      </c>
      <c r="G25" s="473"/>
      <c r="H25" s="473"/>
      <c r="I25" s="473" t="s">
        <v>193</v>
      </c>
      <c r="J25" s="474" t="s">
        <v>21</v>
      </c>
    </row>
    <row r="26" spans="1:10">
      <c r="A26" s="478"/>
      <c r="B26" s="473"/>
      <c r="C26" s="473"/>
      <c r="D26" s="473"/>
      <c r="E26" s="473"/>
      <c r="F26" s="81" t="s">
        <v>61</v>
      </c>
      <c r="G26" s="81" t="s">
        <v>62</v>
      </c>
      <c r="H26" s="81" t="s">
        <v>194</v>
      </c>
      <c r="I26" s="473"/>
      <c r="J26" s="474"/>
    </row>
    <row r="27" spans="1:10">
      <c r="A27" s="82"/>
      <c r="B27" s="83" t="s">
        <v>202</v>
      </c>
      <c r="C27" s="84"/>
      <c r="D27" s="84"/>
      <c r="E27" s="84"/>
      <c r="F27" s="84"/>
      <c r="G27" s="84"/>
      <c r="H27" s="84"/>
      <c r="I27" s="84"/>
      <c r="J27" s="85"/>
    </row>
    <row r="28" spans="1:10">
      <c r="A28" s="82">
        <v>1</v>
      </c>
      <c r="B28" s="84" t="s">
        <v>196</v>
      </c>
      <c r="C28" s="84" t="s">
        <v>72</v>
      </c>
      <c r="D28" s="84">
        <v>1</v>
      </c>
      <c r="E28" s="84">
        <v>1</v>
      </c>
      <c r="F28" s="410">
        <f>31.935</f>
        <v>31.934999999999999</v>
      </c>
      <c r="G28" s="410">
        <f>36.895</f>
        <v>36.895000000000003</v>
      </c>
      <c r="H28" s="410">
        <v>0.85</v>
      </c>
      <c r="I28" s="87">
        <f t="shared" ref="I28:I34" si="2">PRODUCT(D28:H28)</f>
        <v>1001.5055512500001</v>
      </c>
      <c r="J28" s="85"/>
    </row>
    <row r="29" spans="1:10">
      <c r="A29" s="82">
        <v>2</v>
      </c>
      <c r="B29" s="84"/>
      <c r="C29" s="84" t="s">
        <v>72</v>
      </c>
      <c r="D29" s="84">
        <v>1</v>
      </c>
      <c r="E29" s="84">
        <v>1</v>
      </c>
      <c r="F29" s="410">
        <f>8.78</f>
        <v>8.7799999999999994</v>
      </c>
      <c r="G29" s="410">
        <v>0.51500000000000001</v>
      </c>
      <c r="H29" s="410">
        <v>0.85</v>
      </c>
      <c r="I29" s="87">
        <f t="shared" si="2"/>
        <v>3.843445</v>
      </c>
      <c r="J29" s="85"/>
    </row>
    <row r="30" spans="1:10">
      <c r="A30" s="82">
        <v>3</v>
      </c>
      <c r="B30" s="84" t="s">
        <v>197</v>
      </c>
      <c r="C30" s="84" t="s">
        <v>72</v>
      </c>
      <c r="D30" s="84">
        <v>-1</v>
      </c>
      <c r="E30" s="84">
        <v>1</v>
      </c>
      <c r="F30" s="410">
        <v>11.005000000000001</v>
      </c>
      <c r="G30" s="410">
        <v>12.414999999999999</v>
      </c>
      <c r="H30" s="410">
        <v>0.85</v>
      </c>
      <c r="I30" s="87">
        <f t="shared" si="2"/>
        <v>-116.13301374999999</v>
      </c>
      <c r="J30" s="85"/>
    </row>
    <row r="31" spans="1:10">
      <c r="A31" s="82">
        <v>4</v>
      </c>
      <c r="B31" s="84" t="s">
        <v>198</v>
      </c>
      <c r="C31" s="84" t="s">
        <v>72</v>
      </c>
      <c r="D31" s="84">
        <v>-1</v>
      </c>
      <c r="E31" s="84">
        <v>1</v>
      </c>
      <c r="F31" s="410">
        <v>11.09</v>
      </c>
      <c r="G31" s="410">
        <v>10.285</v>
      </c>
      <c r="H31" s="410">
        <v>0.85</v>
      </c>
      <c r="I31" s="87">
        <f t="shared" si="2"/>
        <v>-96.951552499999991</v>
      </c>
      <c r="J31" s="85"/>
    </row>
    <row r="32" spans="1:10">
      <c r="A32" s="82">
        <v>5</v>
      </c>
      <c r="B32" s="475" t="s">
        <v>199</v>
      </c>
      <c r="C32" s="84" t="s">
        <v>72</v>
      </c>
      <c r="D32" s="84">
        <v>-1</v>
      </c>
      <c r="E32" s="84">
        <v>1</v>
      </c>
      <c r="F32" s="410">
        <v>11.285</v>
      </c>
      <c r="G32" s="410">
        <v>3.72</v>
      </c>
      <c r="H32" s="410">
        <v>0.85</v>
      </c>
      <c r="I32" s="87">
        <f t="shared" si="2"/>
        <v>-35.683170000000004</v>
      </c>
      <c r="J32" s="85"/>
    </row>
    <row r="33" spans="1:10">
      <c r="A33" s="82">
        <v>6</v>
      </c>
      <c r="B33" s="476"/>
      <c r="C33" s="84" t="s">
        <v>72</v>
      </c>
      <c r="D33" s="84">
        <v>-1</v>
      </c>
      <c r="E33" s="84">
        <v>1</v>
      </c>
      <c r="F33" s="410">
        <v>1.6950000000000001</v>
      </c>
      <c r="G33" s="410">
        <v>2.3149999999999999</v>
      </c>
      <c r="H33" s="410">
        <v>0.85</v>
      </c>
      <c r="I33" s="87">
        <f t="shared" si="2"/>
        <v>-3.3353362500000001</v>
      </c>
      <c r="J33" s="85"/>
    </row>
    <row r="34" spans="1:10">
      <c r="A34" s="82">
        <v>7</v>
      </c>
      <c r="B34" s="477"/>
      <c r="C34" s="84" t="s">
        <v>72</v>
      </c>
      <c r="D34" s="84">
        <v>-1</v>
      </c>
      <c r="E34" s="84">
        <v>1</v>
      </c>
      <c r="F34" s="410">
        <v>3.95</v>
      </c>
      <c r="G34" s="410">
        <v>1.5</v>
      </c>
      <c r="H34" s="410">
        <v>0.85</v>
      </c>
      <c r="I34" s="87">
        <f t="shared" si="2"/>
        <v>-5.0362500000000008</v>
      </c>
      <c r="J34" s="85"/>
    </row>
    <row r="35" spans="1:10">
      <c r="A35" s="82"/>
      <c r="B35" s="84"/>
      <c r="C35" s="84"/>
      <c r="D35" s="84"/>
      <c r="E35" s="84"/>
      <c r="F35" s="84"/>
      <c r="G35" s="84"/>
      <c r="H35" s="86"/>
      <c r="I35" s="87"/>
      <c r="J35" s="85"/>
    </row>
    <row r="36" spans="1:10">
      <c r="A36" s="82"/>
      <c r="B36" s="84"/>
      <c r="C36" s="84"/>
      <c r="D36" s="84"/>
      <c r="E36" s="84"/>
      <c r="F36" s="84"/>
      <c r="G36" s="84"/>
      <c r="H36" s="84"/>
      <c r="I36" s="87"/>
      <c r="J36" s="85"/>
    </row>
    <row r="37" spans="1:10">
      <c r="A37" s="82"/>
      <c r="B37" s="84"/>
      <c r="C37" s="84"/>
      <c r="D37" s="84"/>
      <c r="E37" s="84"/>
      <c r="F37" s="84"/>
      <c r="G37" s="84"/>
      <c r="H37" s="88" t="s">
        <v>57</v>
      </c>
      <c r="I37" s="89">
        <f>SUM(I27:I36)</f>
        <v>748.20967374999998</v>
      </c>
      <c r="J37" s="85"/>
    </row>
  </sheetData>
  <mergeCells count="19">
    <mergeCell ref="I25:I26"/>
    <mergeCell ref="J25:J26"/>
    <mergeCell ref="B32:B34"/>
    <mergeCell ref="I6:I7"/>
    <mergeCell ref="J6:J7"/>
    <mergeCell ref="B13:B15"/>
    <mergeCell ref="B17:B20"/>
    <mergeCell ref="F25:H25"/>
    <mergeCell ref="F6:H6"/>
    <mergeCell ref="A25:A26"/>
    <mergeCell ref="B25:B26"/>
    <mergeCell ref="C25:C26"/>
    <mergeCell ref="D25:D26"/>
    <mergeCell ref="E25:E26"/>
    <mergeCell ref="A6:A7"/>
    <mergeCell ref="B6:B7"/>
    <mergeCell ref="C6:C7"/>
    <mergeCell ref="D6:D7"/>
    <mergeCell ref="E6:E7"/>
  </mergeCells>
  <pageMargins left="0.7" right="0.7" top="0.75" bottom="0.75" header="0.3" footer="0.3"/>
  <pageSetup paperSize="9" scale="83"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selection activeCell="D5" sqref="D5"/>
    </sheetView>
  </sheetViews>
  <sheetFormatPr defaultRowHeight="15"/>
  <cols>
    <col min="2" max="2" width="56.5703125" customWidth="1"/>
  </cols>
  <sheetData>
    <row r="1" spans="1:10">
      <c r="A1" s="479" t="s">
        <v>509</v>
      </c>
      <c r="B1" s="479"/>
      <c r="C1" s="479"/>
      <c r="D1" s="479"/>
      <c r="E1" s="479"/>
      <c r="F1" s="479"/>
      <c r="G1" s="479"/>
      <c r="H1" s="479"/>
      <c r="I1" s="479"/>
      <c r="J1" s="479"/>
    </row>
    <row r="2" spans="1:10">
      <c r="A2" s="178"/>
      <c r="B2" s="178"/>
      <c r="C2" s="178"/>
      <c r="D2" s="479" t="s">
        <v>52</v>
      </c>
      <c r="E2" s="479"/>
      <c r="F2" s="479"/>
      <c r="G2" s="479"/>
      <c r="H2" s="479"/>
      <c r="I2" s="479"/>
      <c r="J2" s="480" t="s">
        <v>57</v>
      </c>
    </row>
    <row r="3" spans="1:10">
      <c r="A3" s="32">
        <v>3</v>
      </c>
      <c r="B3" s="33" t="s">
        <v>98</v>
      </c>
      <c r="C3" s="173"/>
      <c r="D3" s="180" t="s">
        <v>503</v>
      </c>
      <c r="E3" s="180" t="s">
        <v>504</v>
      </c>
      <c r="F3" s="180" t="s">
        <v>505</v>
      </c>
      <c r="G3" s="180" t="s">
        <v>506</v>
      </c>
      <c r="H3" s="180" t="s">
        <v>507</v>
      </c>
      <c r="I3" s="180" t="s">
        <v>508</v>
      </c>
      <c r="J3" s="480"/>
    </row>
    <row r="4" spans="1:10" ht="109.9" customHeight="1">
      <c r="A4" s="32"/>
      <c r="B4" s="38" t="s">
        <v>164</v>
      </c>
      <c r="C4" s="173"/>
      <c r="D4" s="180"/>
      <c r="E4" s="180"/>
      <c r="F4" s="180"/>
      <c r="G4" s="180"/>
      <c r="H4" s="180"/>
      <c r="I4" s="180"/>
      <c r="J4" s="180"/>
    </row>
    <row r="5" spans="1:10" ht="38.25">
      <c r="A5" s="32" t="s">
        <v>99</v>
      </c>
      <c r="B5" s="39" t="s">
        <v>100</v>
      </c>
      <c r="C5" s="173" t="s">
        <v>9</v>
      </c>
      <c r="D5" s="272">
        <f>'SHUTTERING WORK MB'!I37</f>
        <v>90.136500000000012</v>
      </c>
      <c r="E5" s="180"/>
      <c r="F5" s="180"/>
      <c r="G5" s="180"/>
      <c r="H5" s="180"/>
      <c r="I5" s="180"/>
      <c r="J5" s="272">
        <f>SUM(D5:I5)</f>
        <v>90.136500000000012</v>
      </c>
    </row>
    <row r="6" spans="1:10" ht="63.75">
      <c r="A6" s="32" t="s">
        <v>101</v>
      </c>
      <c r="B6" s="39" t="s">
        <v>84</v>
      </c>
      <c r="C6" s="173"/>
      <c r="D6" s="180"/>
      <c r="E6" s="180"/>
      <c r="F6" s="180"/>
      <c r="G6" s="180"/>
      <c r="H6" s="180"/>
      <c r="I6" s="180"/>
      <c r="J6" s="180"/>
    </row>
    <row r="7" spans="1:10">
      <c r="A7" s="32" t="s">
        <v>102</v>
      </c>
      <c r="B7" s="39" t="s">
        <v>86</v>
      </c>
      <c r="C7" s="173" t="s">
        <v>9</v>
      </c>
      <c r="D7" s="180"/>
      <c r="E7" s="180"/>
      <c r="F7" s="180"/>
      <c r="G7" s="180"/>
      <c r="H7" s="180"/>
      <c r="I7" s="180"/>
      <c r="J7" s="272">
        <f>SUM(D7:I7)</f>
        <v>0</v>
      </c>
    </row>
    <row r="8" spans="1:10" ht="25.5">
      <c r="A8" s="32" t="s">
        <v>103</v>
      </c>
      <c r="B8" s="39" t="s">
        <v>88</v>
      </c>
      <c r="C8" s="173" t="s">
        <v>9</v>
      </c>
      <c r="D8" s="180"/>
      <c r="E8" s="180"/>
      <c r="F8" s="180"/>
      <c r="G8" s="180"/>
      <c r="H8" s="180"/>
      <c r="I8" s="180"/>
      <c r="J8" s="272">
        <f t="shared" ref="J8:J9" si="0">SUM(D8:I8)</f>
        <v>0</v>
      </c>
    </row>
    <row r="9" spans="1:10" ht="25.5">
      <c r="A9" s="32" t="s">
        <v>104</v>
      </c>
      <c r="B9" s="39" t="s">
        <v>90</v>
      </c>
      <c r="C9" s="173" t="s">
        <v>9</v>
      </c>
      <c r="D9" s="180"/>
      <c r="E9" s="180"/>
      <c r="F9" s="180"/>
      <c r="G9" s="180"/>
      <c r="H9" s="180"/>
      <c r="I9" s="180"/>
      <c r="J9" s="272">
        <f t="shared" si="0"/>
        <v>0</v>
      </c>
    </row>
    <row r="10" spans="1:10">
      <c r="A10" s="32"/>
      <c r="B10" s="40"/>
      <c r="C10" s="173"/>
      <c r="D10" s="180"/>
      <c r="E10" s="180"/>
      <c r="F10" s="180"/>
      <c r="G10" s="180"/>
      <c r="H10" s="180"/>
      <c r="I10" s="180"/>
      <c r="J10" s="180"/>
    </row>
    <row r="11" spans="1:10" ht="51">
      <c r="A11" s="32" t="s">
        <v>105</v>
      </c>
      <c r="B11" s="39" t="s">
        <v>92</v>
      </c>
      <c r="C11" s="173"/>
      <c r="D11" s="180"/>
      <c r="E11" s="180"/>
      <c r="F11" s="180"/>
      <c r="G11" s="180"/>
      <c r="H11" s="180"/>
      <c r="I11" s="180"/>
      <c r="J11" s="180"/>
    </row>
    <row r="12" spans="1:10">
      <c r="A12" s="32" t="s">
        <v>106</v>
      </c>
      <c r="B12" s="39" t="s">
        <v>86</v>
      </c>
      <c r="C12" s="173" t="s">
        <v>9</v>
      </c>
      <c r="D12" s="180"/>
      <c r="E12" s="180"/>
      <c r="F12" s="180"/>
      <c r="G12" s="180"/>
      <c r="H12" s="180"/>
      <c r="I12" s="180"/>
      <c r="J12" s="272">
        <f t="shared" ref="J12:J16" si="1">SUM(D12:I12)</f>
        <v>0</v>
      </c>
    </row>
    <row r="13" spans="1:10" ht="25.5">
      <c r="A13" s="32" t="s">
        <v>107</v>
      </c>
      <c r="B13" s="39" t="s">
        <v>88</v>
      </c>
      <c r="C13" s="173" t="s">
        <v>9</v>
      </c>
      <c r="D13" s="180"/>
      <c r="E13" s="180"/>
      <c r="F13" s="180"/>
      <c r="G13" s="180"/>
      <c r="H13" s="180"/>
      <c r="I13" s="180"/>
      <c r="J13" s="272">
        <f t="shared" si="1"/>
        <v>0</v>
      </c>
    </row>
    <row r="14" spans="1:10" ht="25.5">
      <c r="A14" s="32" t="s">
        <v>108</v>
      </c>
      <c r="B14" s="39" t="s">
        <v>90</v>
      </c>
      <c r="C14" s="173" t="s">
        <v>9</v>
      </c>
      <c r="D14" s="180"/>
      <c r="E14" s="180"/>
      <c r="F14" s="180"/>
      <c r="G14" s="180"/>
      <c r="H14" s="180"/>
      <c r="I14" s="180"/>
      <c r="J14" s="272">
        <f t="shared" si="1"/>
        <v>0</v>
      </c>
    </row>
    <row r="15" spans="1:10">
      <c r="A15" s="32"/>
      <c r="B15" s="39"/>
      <c r="C15" s="173"/>
      <c r="D15" s="180"/>
      <c r="E15" s="180"/>
      <c r="F15" s="180"/>
      <c r="G15" s="180"/>
      <c r="H15" s="180"/>
      <c r="I15" s="180"/>
      <c r="J15" s="180"/>
    </row>
    <row r="16" spans="1:10" ht="63.75">
      <c r="A16" s="32" t="s">
        <v>109</v>
      </c>
      <c r="B16" s="39" t="s">
        <v>165</v>
      </c>
      <c r="C16" s="173" t="s">
        <v>9</v>
      </c>
      <c r="D16" s="180"/>
      <c r="E16" s="180"/>
      <c r="F16" s="180"/>
      <c r="G16" s="180"/>
      <c r="H16" s="180"/>
      <c r="I16" s="180"/>
      <c r="J16" s="272">
        <f t="shared" si="1"/>
        <v>0</v>
      </c>
    </row>
    <row r="17" spans="1:10">
      <c r="A17" s="178"/>
      <c r="B17" s="178"/>
      <c r="C17" s="180"/>
      <c r="D17" s="180"/>
      <c r="E17" s="180"/>
      <c r="F17" s="180"/>
      <c r="G17" s="180"/>
      <c r="H17" s="180"/>
      <c r="I17" s="180"/>
      <c r="J17" s="180"/>
    </row>
    <row r="18" spans="1:10">
      <c r="A18" s="178"/>
      <c r="B18" s="178"/>
      <c r="C18" s="180"/>
      <c r="D18" s="180"/>
      <c r="E18" s="180"/>
      <c r="F18" s="180"/>
      <c r="G18" s="180"/>
      <c r="H18" s="180"/>
      <c r="I18" s="182" t="s">
        <v>57</v>
      </c>
      <c r="J18" s="320">
        <f>SUM(J4:J17)</f>
        <v>90.136500000000012</v>
      </c>
    </row>
    <row r="19" spans="1:10">
      <c r="A19" s="178"/>
      <c r="B19" s="178"/>
      <c r="C19" s="180"/>
      <c r="D19" s="180"/>
      <c r="E19" s="180"/>
      <c r="F19" s="180"/>
      <c r="G19" s="180"/>
      <c r="H19" s="180"/>
      <c r="I19" s="180"/>
      <c r="J19" s="180"/>
    </row>
  </sheetData>
  <mergeCells count="3">
    <mergeCell ref="D2:I2"/>
    <mergeCell ref="J2:J3"/>
    <mergeCell ref="A1:J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topLeftCell="A19" workbookViewId="0">
      <selection activeCell="H35" sqref="H35"/>
    </sheetView>
  </sheetViews>
  <sheetFormatPr defaultRowHeight="15"/>
  <cols>
    <col min="2" max="2" width="19.140625" customWidth="1"/>
    <col min="9" max="9" width="9.85546875" customWidth="1"/>
    <col min="10" max="10" width="11.140625" customWidth="1"/>
  </cols>
  <sheetData>
    <row r="1" spans="1:10">
      <c r="A1" s="73" t="s">
        <v>187</v>
      </c>
      <c r="B1" s="74"/>
      <c r="C1" s="74"/>
      <c r="D1" s="74"/>
      <c r="E1" s="74"/>
      <c r="F1" s="74"/>
      <c r="G1" s="74"/>
      <c r="H1" s="74"/>
      <c r="I1" s="74"/>
      <c r="J1" s="75"/>
    </row>
    <row r="2" spans="1:10">
      <c r="A2" s="76" t="s">
        <v>188</v>
      </c>
      <c r="B2" s="27"/>
      <c r="C2" s="27"/>
      <c r="D2" s="27"/>
      <c r="E2" s="27"/>
      <c r="F2" s="27"/>
      <c r="G2" s="27"/>
      <c r="H2" s="27"/>
      <c r="I2" s="27"/>
      <c r="J2" s="77"/>
    </row>
    <row r="3" spans="1:10">
      <c r="A3" s="76" t="s">
        <v>189</v>
      </c>
      <c r="B3" s="27"/>
      <c r="C3" s="27"/>
      <c r="D3" s="27"/>
      <c r="E3" s="27"/>
      <c r="F3" s="27"/>
      <c r="G3" s="27"/>
      <c r="H3" s="27"/>
      <c r="I3" s="27"/>
      <c r="J3" s="77"/>
    </row>
    <row r="4" spans="1:10">
      <c r="A4" s="76" t="s">
        <v>204</v>
      </c>
      <c r="B4" s="27"/>
      <c r="C4" s="27"/>
      <c r="D4" s="27"/>
      <c r="E4" s="27"/>
      <c r="F4" s="27"/>
      <c r="G4" s="27"/>
      <c r="H4" s="27"/>
      <c r="I4" s="27"/>
      <c r="J4" s="77"/>
    </row>
    <row r="5" spans="1:10">
      <c r="A5" s="78"/>
      <c r="B5" s="79"/>
      <c r="C5" s="79"/>
      <c r="D5" s="79"/>
      <c r="E5" s="79"/>
      <c r="F5" s="79"/>
      <c r="G5" s="79"/>
      <c r="H5" s="79"/>
      <c r="I5" s="79"/>
      <c r="J5" s="80"/>
    </row>
    <row r="6" spans="1:10">
      <c r="A6" s="478" t="s">
        <v>1</v>
      </c>
      <c r="B6" s="473" t="s">
        <v>191</v>
      </c>
      <c r="C6" s="473" t="s">
        <v>3</v>
      </c>
      <c r="D6" s="473" t="s">
        <v>64</v>
      </c>
      <c r="E6" s="473" t="s">
        <v>64</v>
      </c>
      <c r="F6" s="473" t="s">
        <v>192</v>
      </c>
      <c r="G6" s="473"/>
      <c r="H6" s="473"/>
      <c r="I6" s="473" t="s">
        <v>193</v>
      </c>
      <c r="J6" s="474" t="s">
        <v>21</v>
      </c>
    </row>
    <row r="7" spans="1:10">
      <c r="A7" s="478"/>
      <c r="B7" s="473"/>
      <c r="C7" s="473"/>
      <c r="D7" s="473"/>
      <c r="E7" s="473"/>
      <c r="F7" s="81" t="s">
        <v>61</v>
      </c>
      <c r="G7" s="81" t="s">
        <v>62</v>
      </c>
      <c r="H7" s="81" t="s">
        <v>194</v>
      </c>
      <c r="I7" s="473"/>
      <c r="J7" s="474"/>
    </row>
    <row r="8" spans="1:10">
      <c r="A8" s="82"/>
      <c r="B8" s="88" t="s">
        <v>205</v>
      </c>
      <c r="C8" s="84"/>
      <c r="D8" s="84"/>
      <c r="E8" s="84"/>
      <c r="F8" s="84"/>
      <c r="G8" s="84"/>
      <c r="H8" s="84"/>
      <c r="I8" s="84"/>
      <c r="J8" s="85"/>
    </row>
    <row r="9" spans="1:10" s="125" customFormat="1">
      <c r="A9" s="412">
        <v>1</v>
      </c>
      <c r="B9" s="84" t="s">
        <v>565</v>
      </c>
      <c r="C9" s="84" t="s">
        <v>9</v>
      </c>
      <c r="D9" s="84">
        <v>1</v>
      </c>
      <c r="E9" s="84">
        <v>1</v>
      </c>
      <c r="F9" s="410">
        <v>0.7</v>
      </c>
      <c r="G9" s="86"/>
      <c r="H9" s="86">
        <v>0.1</v>
      </c>
      <c r="I9" s="87">
        <f t="shared" ref="I9" si="0">PRODUCT(D9:H9)</f>
        <v>6.9999999999999993E-2</v>
      </c>
      <c r="J9" s="413"/>
    </row>
    <row r="10" spans="1:10">
      <c r="A10" s="82">
        <v>2</v>
      </c>
      <c r="B10" s="84" t="s">
        <v>207</v>
      </c>
      <c r="C10" s="84" t="s">
        <v>9</v>
      </c>
      <c r="D10" s="84">
        <v>1</v>
      </c>
      <c r="E10" s="84">
        <v>1</v>
      </c>
      <c r="F10" s="410">
        <f>25.89+0.515+0.515</f>
        <v>26.92</v>
      </c>
      <c r="G10" s="86"/>
      <c r="H10" s="86">
        <v>0.1</v>
      </c>
      <c r="I10" s="87">
        <f t="shared" ref="I10:I20" si="1">PRODUCT(D10:H10)</f>
        <v>2.6920000000000002</v>
      </c>
      <c r="J10" s="85"/>
    </row>
    <row r="11" spans="1:10">
      <c r="A11" s="82">
        <v>3</v>
      </c>
      <c r="B11" s="84" t="s">
        <v>208</v>
      </c>
      <c r="C11" s="84" t="s">
        <v>9</v>
      </c>
      <c r="D11" s="84">
        <v>1</v>
      </c>
      <c r="E11" s="84">
        <v>1</v>
      </c>
      <c r="F11" s="410">
        <v>21.65</v>
      </c>
      <c r="G11" s="86"/>
      <c r="H11" s="86">
        <v>0.1</v>
      </c>
      <c r="I11" s="87">
        <f t="shared" si="1"/>
        <v>2.165</v>
      </c>
      <c r="J11" s="85"/>
    </row>
    <row r="12" spans="1:10">
      <c r="A12" s="82">
        <v>4</v>
      </c>
      <c r="B12" s="84" t="s">
        <v>209</v>
      </c>
      <c r="C12" s="84" t="s">
        <v>9</v>
      </c>
      <c r="D12" s="84">
        <v>1</v>
      </c>
      <c r="E12" s="84">
        <v>1</v>
      </c>
      <c r="F12" s="410">
        <v>11.09</v>
      </c>
      <c r="G12" s="86"/>
      <c r="H12" s="86">
        <v>0.1</v>
      </c>
      <c r="I12" s="87">
        <f t="shared" si="1"/>
        <v>1.109</v>
      </c>
      <c r="J12" s="85"/>
    </row>
    <row r="13" spans="1:10">
      <c r="A13" s="82">
        <v>5</v>
      </c>
      <c r="B13" s="84" t="s">
        <v>210</v>
      </c>
      <c r="C13" s="84" t="s">
        <v>9</v>
      </c>
      <c r="D13" s="84">
        <v>1</v>
      </c>
      <c r="E13" s="84">
        <v>1</v>
      </c>
      <c r="F13" s="410">
        <v>10.285</v>
      </c>
      <c r="G13" s="86"/>
      <c r="H13" s="86">
        <v>0.1</v>
      </c>
      <c r="I13" s="87">
        <f t="shared" si="1"/>
        <v>1.0285</v>
      </c>
      <c r="J13" s="85"/>
    </row>
    <row r="14" spans="1:10">
      <c r="A14" s="82">
        <v>6</v>
      </c>
      <c r="B14" s="84" t="s">
        <v>211</v>
      </c>
      <c r="C14" s="84" t="s">
        <v>9</v>
      </c>
      <c r="D14" s="84">
        <v>1</v>
      </c>
      <c r="E14" s="84">
        <v>1</v>
      </c>
      <c r="F14" s="410">
        <v>8.875</v>
      </c>
      <c r="G14" s="86"/>
      <c r="H14" s="86">
        <v>0.1</v>
      </c>
      <c r="I14" s="87">
        <f t="shared" si="1"/>
        <v>0.88750000000000007</v>
      </c>
      <c r="J14" s="85"/>
    </row>
    <row r="15" spans="1:10">
      <c r="A15" s="82">
        <v>7</v>
      </c>
      <c r="B15" s="84" t="s">
        <v>212</v>
      </c>
      <c r="C15" s="84" t="s">
        <v>9</v>
      </c>
      <c r="D15" s="84">
        <v>1</v>
      </c>
      <c r="E15" s="84">
        <v>1</v>
      </c>
      <c r="F15" s="410">
        <v>1.5</v>
      </c>
      <c r="G15" s="86"/>
      <c r="H15" s="86">
        <v>0.1</v>
      </c>
      <c r="I15" s="87">
        <f t="shared" si="1"/>
        <v>0.15000000000000002</v>
      </c>
      <c r="J15" s="85"/>
    </row>
    <row r="16" spans="1:10">
      <c r="A16" s="82">
        <v>8</v>
      </c>
      <c r="B16" s="84" t="s">
        <v>213</v>
      </c>
      <c r="C16" s="84" t="s">
        <v>9</v>
      </c>
      <c r="D16" s="84">
        <v>1</v>
      </c>
      <c r="E16" s="84">
        <v>1</v>
      </c>
      <c r="F16" s="410">
        <v>3.95</v>
      </c>
      <c r="G16" s="86"/>
      <c r="H16" s="86">
        <v>0.1</v>
      </c>
      <c r="I16" s="87">
        <f t="shared" si="1"/>
        <v>0.39500000000000002</v>
      </c>
      <c r="J16" s="85"/>
    </row>
    <row r="17" spans="1:10">
      <c r="A17" s="82">
        <v>9</v>
      </c>
      <c r="B17" s="84" t="s">
        <v>214</v>
      </c>
      <c r="C17" s="84" t="s">
        <v>9</v>
      </c>
      <c r="D17" s="84">
        <v>1</v>
      </c>
      <c r="E17" s="84">
        <v>1</v>
      </c>
      <c r="F17" s="410">
        <v>0.81499999999999995</v>
      </c>
      <c r="G17" s="86"/>
      <c r="H17" s="86">
        <v>0.1</v>
      </c>
      <c r="I17" s="87">
        <f t="shared" si="1"/>
        <v>8.1500000000000003E-2</v>
      </c>
      <c r="J17" s="85"/>
    </row>
    <row r="18" spans="1:10">
      <c r="A18" s="82">
        <v>10</v>
      </c>
      <c r="B18" s="84" t="s">
        <v>215</v>
      </c>
      <c r="C18" s="84" t="s">
        <v>9</v>
      </c>
      <c r="D18" s="84">
        <v>1</v>
      </c>
      <c r="E18" s="84">
        <v>1</v>
      </c>
      <c r="F18" s="410">
        <v>1.6950000000000001</v>
      </c>
      <c r="G18" s="86"/>
      <c r="H18" s="86">
        <v>0.1</v>
      </c>
      <c r="I18" s="87">
        <f t="shared" si="1"/>
        <v>0.16950000000000001</v>
      </c>
      <c r="J18" s="85"/>
    </row>
    <row r="19" spans="1:10">
      <c r="A19" s="82">
        <v>11</v>
      </c>
      <c r="B19" s="84" t="s">
        <v>216</v>
      </c>
      <c r="C19" s="84" t="s">
        <v>9</v>
      </c>
      <c r="D19" s="84">
        <v>1</v>
      </c>
      <c r="E19" s="84">
        <v>1</v>
      </c>
      <c r="F19" s="410">
        <v>1.405</v>
      </c>
      <c r="G19" s="86"/>
      <c r="H19" s="86">
        <v>0.1</v>
      </c>
      <c r="I19" s="87">
        <f t="shared" si="1"/>
        <v>0.14050000000000001</v>
      </c>
      <c r="J19" s="85"/>
    </row>
    <row r="20" spans="1:10" ht="30">
      <c r="A20" s="82">
        <v>12</v>
      </c>
      <c r="B20" s="84" t="s">
        <v>217</v>
      </c>
      <c r="C20" s="84" t="s">
        <v>9</v>
      </c>
      <c r="D20" s="84">
        <v>1</v>
      </c>
      <c r="E20" s="84">
        <v>1</v>
      </c>
      <c r="F20" s="410">
        <f>11.285-9</f>
        <v>2.2850000000000001</v>
      </c>
      <c r="G20" s="86"/>
      <c r="H20" s="86">
        <v>0.1</v>
      </c>
      <c r="I20" s="87">
        <f t="shared" si="1"/>
        <v>0.22850000000000004</v>
      </c>
      <c r="J20" s="411" t="s">
        <v>564</v>
      </c>
    </row>
    <row r="21" spans="1:10">
      <c r="A21" s="82"/>
      <c r="B21" s="88" t="s">
        <v>218</v>
      </c>
      <c r="C21" s="84"/>
      <c r="D21" s="84"/>
      <c r="E21" s="84"/>
      <c r="F21" s="84"/>
      <c r="G21" s="84"/>
      <c r="H21" s="84"/>
      <c r="I21" s="84"/>
      <c r="J21" s="85"/>
    </row>
    <row r="22" spans="1:10">
      <c r="A22" s="82">
        <v>1</v>
      </c>
      <c r="B22" s="84" t="s">
        <v>206</v>
      </c>
      <c r="C22" s="84" t="s">
        <v>9</v>
      </c>
      <c r="D22" s="84">
        <v>1</v>
      </c>
      <c r="E22" s="84">
        <v>1</v>
      </c>
      <c r="F22" s="410">
        <v>11.005000000000001</v>
      </c>
      <c r="G22" s="86"/>
      <c r="H22" s="86">
        <f t="shared" ref="H22:H34" si="2">0.85-0.3</f>
        <v>0.55000000000000004</v>
      </c>
      <c r="I22" s="87">
        <f t="shared" ref="I22:I35" si="3">PRODUCT(D22:H22)</f>
        <v>6.0527500000000005</v>
      </c>
      <c r="J22" s="85"/>
    </row>
    <row r="23" spans="1:10">
      <c r="A23" s="82">
        <f>+A22+1</f>
        <v>2</v>
      </c>
      <c r="B23" s="84" t="s">
        <v>566</v>
      </c>
      <c r="C23" s="84" t="s">
        <v>9</v>
      </c>
      <c r="D23" s="84">
        <v>1</v>
      </c>
      <c r="E23" s="84">
        <v>1</v>
      </c>
      <c r="F23" s="410">
        <v>12.414999999999999</v>
      </c>
      <c r="G23" s="86"/>
      <c r="H23" s="86">
        <f t="shared" si="2"/>
        <v>0.55000000000000004</v>
      </c>
      <c r="I23" s="87">
        <f t="shared" ref="I23" si="4">PRODUCT(D23:H23)</f>
        <v>6.8282499999999997</v>
      </c>
      <c r="J23" s="85"/>
    </row>
    <row r="24" spans="1:10">
      <c r="A24" s="82">
        <f t="shared" ref="A24:A35" si="5">+A23+1</f>
        <v>3</v>
      </c>
      <c r="B24" s="84" t="s">
        <v>207</v>
      </c>
      <c r="C24" s="84" t="s">
        <v>9</v>
      </c>
      <c r="D24" s="84">
        <v>1</v>
      </c>
      <c r="E24" s="84">
        <v>1</v>
      </c>
      <c r="F24" s="410">
        <f>25.89+0.515+0.515</f>
        <v>26.92</v>
      </c>
      <c r="G24" s="86"/>
      <c r="H24" s="86">
        <f t="shared" si="2"/>
        <v>0.55000000000000004</v>
      </c>
      <c r="I24" s="87">
        <f t="shared" si="3"/>
        <v>14.806000000000003</v>
      </c>
      <c r="J24" s="85"/>
    </row>
    <row r="25" spans="1:10">
      <c r="A25" s="82">
        <f t="shared" si="5"/>
        <v>4</v>
      </c>
      <c r="B25" s="84" t="s">
        <v>208</v>
      </c>
      <c r="C25" s="84" t="s">
        <v>9</v>
      </c>
      <c r="D25" s="84">
        <v>1</v>
      </c>
      <c r="E25" s="84">
        <v>1</v>
      </c>
      <c r="F25" s="410">
        <v>21.65</v>
      </c>
      <c r="G25" s="86"/>
      <c r="H25" s="86">
        <f t="shared" si="2"/>
        <v>0.55000000000000004</v>
      </c>
      <c r="I25" s="87">
        <f t="shared" si="3"/>
        <v>11.907500000000001</v>
      </c>
      <c r="J25" s="85"/>
    </row>
    <row r="26" spans="1:10">
      <c r="A26" s="82">
        <f t="shared" si="5"/>
        <v>5</v>
      </c>
      <c r="B26" s="84" t="s">
        <v>209</v>
      </c>
      <c r="C26" s="84" t="s">
        <v>9</v>
      </c>
      <c r="D26" s="84">
        <v>1</v>
      </c>
      <c r="E26" s="84">
        <v>1</v>
      </c>
      <c r="F26" s="410">
        <v>11.09</v>
      </c>
      <c r="G26" s="86"/>
      <c r="H26" s="86">
        <f t="shared" si="2"/>
        <v>0.55000000000000004</v>
      </c>
      <c r="I26" s="87">
        <f t="shared" si="3"/>
        <v>6.0995000000000008</v>
      </c>
      <c r="J26" s="85"/>
    </row>
    <row r="27" spans="1:10">
      <c r="A27" s="82">
        <f t="shared" si="5"/>
        <v>6</v>
      </c>
      <c r="B27" s="84" t="s">
        <v>210</v>
      </c>
      <c r="C27" s="84" t="s">
        <v>9</v>
      </c>
      <c r="D27" s="84">
        <v>1</v>
      </c>
      <c r="E27" s="84">
        <v>1</v>
      </c>
      <c r="F27" s="410">
        <v>10.285</v>
      </c>
      <c r="G27" s="86"/>
      <c r="H27" s="86">
        <f t="shared" si="2"/>
        <v>0.55000000000000004</v>
      </c>
      <c r="I27" s="87">
        <f t="shared" si="3"/>
        <v>5.6567500000000006</v>
      </c>
      <c r="J27" s="85"/>
    </row>
    <row r="28" spans="1:10">
      <c r="A28" s="82">
        <f t="shared" si="5"/>
        <v>7</v>
      </c>
      <c r="B28" s="84" t="s">
        <v>211</v>
      </c>
      <c r="C28" s="84" t="s">
        <v>9</v>
      </c>
      <c r="D28" s="84">
        <v>1</v>
      </c>
      <c r="E28" s="84">
        <v>1</v>
      </c>
      <c r="F28" s="410">
        <v>8.875</v>
      </c>
      <c r="G28" s="86"/>
      <c r="H28" s="86">
        <f t="shared" si="2"/>
        <v>0.55000000000000004</v>
      </c>
      <c r="I28" s="87">
        <f t="shared" si="3"/>
        <v>4.8812500000000005</v>
      </c>
      <c r="J28" s="85"/>
    </row>
    <row r="29" spans="1:10">
      <c r="A29" s="82">
        <f t="shared" si="5"/>
        <v>8</v>
      </c>
      <c r="B29" s="84" t="s">
        <v>212</v>
      </c>
      <c r="C29" s="84" t="s">
        <v>9</v>
      </c>
      <c r="D29" s="84">
        <v>1</v>
      </c>
      <c r="E29" s="84">
        <v>1</v>
      </c>
      <c r="F29" s="410">
        <v>1.5</v>
      </c>
      <c r="G29" s="86"/>
      <c r="H29" s="86">
        <f t="shared" si="2"/>
        <v>0.55000000000000004</v>
      </c>
      <c r="I29" s="87">
        <f t="shared" si="3"/>
        <v>0.82500000000000007</v>
      </c>
      <c r="J29" s="85"/>
    </row>
    <row r="30" spans="1:10">
      <c r="A30" s="82">
        <f t="shared" si="5"/>
        <v>9</v>
      </c>
      <c r="B30" s="84" t="s">
        <v>213</v>
      </c>
      <c r="C30" s="84" t="s">
        <v>9</v>
      </c>
      <c r="D30" s="84">
        <v>1</v>
      </c>
      <c r="E30" s="84">
        <v>1</v>
      </c>
      <c r="F30" s="410">
        <v>3.95</v>
      </c>
      <c r="G30" s="86"/>
      <c r="H30" s="86">
        <f t="shared" si="2"/>
        <v>0.55000000000000004</v>
      </c>
      <c r="I30" s="87">
        <f t="shared" si="3"/>
        <v>2.1725000000000003</v>
      </c>
      <c r="J30" s="85"/>
    </row>
    <row r="31" spans="1:10">
      <c r="A31" s="82">
        <f t="shared" si="5"/>
        <v>10</v>
      </c>
      <c r="B31" s="84" t="s">
        <v>214</v>
      </c>
      <c r="C31" s="84" t="s">
        <v>9</v>
      </c>
      <c r="D31" s="84">
        <v>1</v>
      </c>
      <c r="E31" s="84">
        <v>1</v>
      </c>
      <c r="F31" s="410">
        <v>0.81499999999999995</v>
      </c>
      <c r="G31" s="86"/>
      <c r="H31" s="86">
        <f t="shared" si="2"/>
        <v>0.55000000000000004</v>
      </c>
      <c r="I31" s="87">
        <f t="shared" si="3"/>
        <v>0.44824999999999998</v>
      </c>
      <c r="J31" s="85"/>
    </row>
    <row r="32" spans="1:10">
      <c r="A32" s="82">
        <f t="shared" si="5"/>
        <v>11</v>
      </c>
      <c r="B32" s="84" t="s">
        <v>215</v>
      </c>
      <c r="C32" s="84" t="s">
        <v>9</v>
      </c>
      <c r="D32" s="84">
        <v>1</v>
      </c>
      <c r="E32" s="84">
        <v>1</v>
      </c>
      <c r="F32" s="410">
        <v>1.6950000000000001</v>
      </c>
      <c r="G32" s="86"/>
      <c r="H32" s="86">
        <f t="shared" si="2"/>
        <v>0.55000000000000004</v>
      </c>
      <c r="I32" s="87">
        <f t="shared" si="3"/>
        <v>0.93225000000000013</v>
      </c>
      <c r="J32" s="85"/>
    </row>
    <row r="33" spans="1:10">
      <c r="A33" s="82">
        <f t="shared" si="5"/>
        <v>12</v>
      </c>
      <c r="B33" s="84" t="s">
        <v>216</v>
      </c>
      <c r="C33" s="84" t="s">
        <v>9</v>
      </c>
      <c r="D33" s="84">
        <v>1</v>
      </c>
      <c r="E33" s="84">
        <v>1</v>
      </c>
      <c r="F33" s="410">
        <v>1.405</v>
      </c>
      <c r="G33" s="86"/>
      <c r="H33" s="86">
        <f t="shared" si="2"/>
        <v>0.55000000000000004</v>
      </c>
      <c r="I33" s="87">
        <f t="shared" si="3"/>
        <v>0.77275000000000005</v>
      </c>
      <c r="J33" s="85"/>
    </row>
    <row r="34" spans="1:10">
      <c r="A34" s="82">
        <f t="shared" si="5"/>
        <v>13</v>
      </c>
      <c r="B34" s="84" t="s">
        <v>217</v>
      </c>
      <c r="C34" s="84" t="s">
        <v>9</v>
      </c>
      <c r="D34" s="84">
        <v>1</v>
      </c>
      <c r="E34" s="84">
        <v>1</v>
      </c>
      <c r="F34" s="410">
        <v>11.285</v>
      </c>
      <c r="G34" s="86"/>
      <c r="H34" s="86">
        <f t="shared" si="2"/>
        <v>0.55000000000000004</v>
      </c>
      <c r="I34" s="87">
        <f t="shared" si="3"/>
        <v>6.2067500000000004</v>
      </c>
      <c r="J34" s="85"/>
    </row>
    <row r="35" spans="1:10">
      <c r="A35" s="82">
        <f t="shared" si="5"/>
        <v>14</v>
      </c>
      <c r="B35" s="84" t="s">
        <v>217</v>
      </c>
      <c r="C35" s="84" t="s">
        <v>9</v>
      </c>
      <c r="D35" s="84">
        <v>1</v>
      </c>
      <c r="E35" s="84">
        <v>1</v>
      </c>
      <c r="F35" s="410">
        <f>15.8</f>
        <v>15.8</v>
      </c>
      <c r="G35" s="86"/>
      <c r="H35" s="414">
        <v>0.85</v>
      </c>
      <c r="I35" s="87">
        <f t="shared" si="3"/>
        <v>13.43</v>
      </c>
      <c r="J35" s="85"/>
    </row>
    <row r="36" spans="1:10">
      <c r="A36" s="82"/>
      <c r="B36" s="84"/>
      <c r="C36" s="84"/>
      <c r="D36" s="84"/>
      <c r="E36" s="84"/>
      <c r="F36" s="84"/>
      <c r="G36" s="84"/>
      <c r="H36" s="84"/>
      <c r="I36" s="87"/>
      <c r="J36" s="85"/>
    </row>
    <row r="37" spans="1:10">
      <c r="A37" s="82"/>
      <c r="B37" s="84"/>
      <c r="C37" s="84"/>
      <c r="D37" s="84"/>
      <c r="E37" s="84"/>
      <c r="F37" s="84"/>
      <c r="G37" s="84"/>
      <c r="H37" s="88" t="s">
        <v>57</v>
      </c>
      <c r="I37" s="89">
        <f>SUM(I8:I36)</f>
        <v>90.136500000000012</v>
      </c>
      <c r="J37" s="85"/>
    </row>
    <row r="38" spans="1:10" ht="15.75" thickBot="1">
      <c r="A38" s="90"/>
      <c r="B38" s="91"/>
      <c r="C38" s="91"/>
      <c r="D38" s="91"/>
      <c r="E38" s="91"/>
      <c r="F38" s="91"/>
      <c r="G38" s="91"/>
      <c r="H38" s="91"/>
      <c r="I38" s="91"/>
      <c r="J38" s="92"/>
    </row>
    <row r="39" spans="1:10">
      <c r="A39" s="93"/>
      <c r="B39" s="93"/>
      <c r="C39" s="93"/>
      <c r="D39" s="93"/>
      <c r="E39" s="93"/>
      <c r="F39" s="93"/>
      <c r="G39" s="93"/>
      <c r="H39" s="93"/>
      <c r="I39" s="93"/>
      <c r="J39" s="93"/>
    </row>
  </sheetData>
  <mergeCells count="8">
    <mergeCell ref="I6:I7"/>
    <mergeCell ref="J6:J7"/>
    <mergeCell ref="A6:A7"/>
    <mergeCell ref="B6:B7"/>
    <mergeCell ref="C6:C7"/>
    <mergeCell ref="D6:D7"/>
    <mergeCell ref="E6:E7"/>
    <mergeCell ref="F6:H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2"/>
  <sheetViews>
    <sheetView topLeftCell="A6" workbookViewId="0">
      <selection activeCell="J9" sqref="J9"/>
    </sheetView>
  </sheetViews>
  <sheetFormatPr defaultRowHeight="15"/>
  <cols>
    <col min="2" max="2" width="48.7109375" customWidth="1"/>
  </cols>
  <sheetData>
    <row r="2" spans="1:10">
      <c r="A2" s="479" t="s">
        <v>510</v>
      </c>
      <c r="B2" s="479"/>
      <c r="C2" s="479"/>
      <c r="D2" s="479"/>
      <c r="E2" s="479"/>
      <c r="F2" s="479"/>
      <c r="G2" s="479"/>
      <c r="H2" s="479"/>
      <c r="I2" s="479"/>
      <c r="J2" s="479"/>
    </row>
    <row r="3" spans="1:10">
      <c r="A3" s="178"/>
      <c r="B3" s="178"/>
      <c r="C3" s="178"/>
      <c r="D3" s="479" t="s">
        <v>52</v>
      </c>
      <c r="E3" s="479"/>
      <c r="F3" s="479"/>
      <c r="G3" s="479"/>
      <c r="H3" s="479"/>
      <c r="I3" s="479"/>
      <c r="J3" s="480" t="s">
        <v>57</v>
      </c>
    </row>
    <row r="4" spans="1:10">
      <c r="A4" s="32">
        <v>5</v>
      </c>
      <c r="B4" s="33" t="s">
        <v>121</v>
      </c>
      <c r="C4" s="174"/>
      <c r="D4" s="357" t="s">
        <v>503</v>
      </c>
      <c r="E4" s="357" t="s">
        <v>504</v>
      </c>
      <c r="F4" s="357" t="s">
        <v>505</v>
      </c>
      <c r="G4" s="357" t="s">
        <v>506</v>
      </c>
      <c r="H4" s="357" t="s">
        <v>507</v>
      </c>
      <c r="I4" s="357" t="s">
        <v>508</v>
      </c>
      <c r="J4" s="480"/>
    </row>
    <row r="5" spans="1:10" ht="63.75">
      <c r="A5" s="32"/>
      <c r="B5" s="39" t="s">
        <v>122</v>
      </c>
      <c r="C5" s="174"/>
      <c r="D5" s="357"/>
      <c r="E5" s="357"/>
      <c r="F5" s="357"/>
      <c r="G5" s="357"/>
      <c r="H5" s="357"/>
      <c r="I5" s="357"/>
      <c r="J5" s="357"/>
    </row>
    <row r="6" spans="1:10">
      <c r="A6" s="32" t="s">
        <v>123</v>
      </c>
      <c r="B6" s="33" t="s">
        <v>124</v>
      </c>
      <c r="C6" s="174"/>
      <c r="D6" s="272"/>
      <c r="E6" s="357"/>
      <c r="F6" s="357"/>
      <c r="G6" s="357"/>
      <c r="H6" s="357"/>
      <c r="I6" s="357"/>
      <c r="J6" s="272"/>
    </row>
    <row r="7" spans="1:10" ht="76.5">
      <c r="A7" s="32"/>
      <c r="B7" s="39" t="s">
        <v>125</v>
      </c>
      <c r="C7" s="174" t="s">
        <v>72</v>
      </c>
      <c r="D7" s="357"/>
      <c r="E7" s="357"/>
      <c r="F7" s="357"/>
      <c r="G7" s="357"/>
      <c r="H7" s="357"/>
      <c r="I7" s="357"/>
      <c r="J7" s="272">
        <f t="shared" ref="J7:J19" si="0">SUM(D7:I7)</f>
        <v>0</v>
      </c>
    </row>
    <row r="8" spans="1:10">
      <c r="A8" s="32" t="s">
        <v>126</v>
      </c>
      <c r="B8" s="33" t="s">
        <v>124</v>
      </c>
      <c r="C8" s="174"/>
      <c r="D8" s="357"/>
      <c r="E8" s="357"/>
      <c r="F8" s="357"/>
      <c r="G8" s="357"/>
      <c r="H8" s="357"/>
      <c r="I8" s="357"/>
      <c r="J8" s="272"/>
    </row>
    <row r="9" spans="1:10" ht="112.9" customHeight="1">
      <c r="A9" s="32"/>
      <c r="B9" s="39" t="s">
        <v>167</v>
      </c>
      <c r="C9" s="174" t="s">
        <v>9</v>
      </c>
      <c r="D9" s="272">
        <f>'BRICK WORK MB'!I24</f>
        <v>36.867000000000004</v>
      </c>
      <c r="E9" s="357"/>
      <c r="F9" s="357"/>
      <c r="G9" s="357"/>
      <c r="H9" s="357"/>
      <c r="I9" s="357"/>
      <c r="J9" s="272">
        <f t="shared" si="0"/>
        <v>36.867000000000004</v>
      </c>
    </row>
    <row r="10" spans="1:10">
      <c r="A10" s="32" t="s">
        <v>127</v>
      </c>
      <c r="B10" s="33" t="s">
        <v>128</v>
      </c>
      <c r="C10" s="174"/>
      <c r="D10" s="357"/>
      <c r="E10" s="357"/>
      <c r="F10" s="357"/>
      <c r="G10" s="357"/>
      <c r="H10" s="357"/>
      <c r="I10" s="357"/>
      <c r="J10" s="272"/>
    </row>
    <row r="11" spans="1:10" ht="76.5">
      <c r="A11" s="32" t="s">
        <v>129</v>
      </c>
      <c r="B11" s="39" t="s">
        <v>130</v>
      </c>
      <c r="C11" s="174"/>
      <c r="D11" s="357"/>
      <c r="E11" s="357"/>
      <c r="F11" s="357"/>
      <c r="G11" s="357"/>
      <c r="H11" s="357"/>
      <c r="I11" s="357"/>
      <c r="J11" s="272"/>
    </row>
    <row r="12" spans="1:10">
      <c r="A12" s="32" t="s">
        <v>131</v>
      </c>
      <c r="B12" s="39" t="s">
        <v>86</v>
      </c>
      <c r="C12" s="174" t="s">
        <v>72</v>
      </c>
      <c r="D12" s="357"/>
      <c r="E12" s="357"/>
      <c r="F12" s="357"/>
      <c r="G12" s="357"/>
      <c r="H12" s="357"/>
      <c r="I12" s="357"/>
      <c r="J12" s="272">
        <f t="shared" si="0"/>
        <v>0</v>
      </c>
    </row>
    <row r="13" spans="1:10" ht="25.5">
      <c r="A13" s="32" t="s">
        <v>132</v>
      </c>
      <c r="B13" s="39" t="s">
        <v>88</v>
      </c>
      <c r="C13" s="174" t="s">
        <v>72</v>
      </c>
      <c r="D13" s="357"/>
      <c r="E13" s="357"/>
      <c r="F13" s="357"/>
      <c r="G13" s="357"/>
      <c r="H13" s="357"/>
      <c r="I13" s="357"/>
      <c r="J13" s="272">
        <f t="shared" si="0"/>
        <v>0</v>
      </c>
    </row>
    <row r="14" spans="1:10">
      <c r="A14" s="32" t="s">
        <v>133</v>
      </c>
      <c r="B14" s="33" t="s">
        <v>128</v>
      </c>
      <c r="C14" s="174"/>
      <c r="D14" s="357"/>
      <c r="E14" s="357"/>
      <c r="F14" s="357"/>
      <c r="G14" s="357"/>
      <c r="H14" s="357"/>
      <c r="I14" s="357"/>
      <c r="J14" s="272"/>
    </row>
    <row r="15" spans="1:10" ht="114.75">
      <c r="A15" s="32" t="s">
        <v>134</v>
      </c>
      <c r="B15" s="39" t="s">
        <v>168</v>
      </c>
      <c r="C15" s="174"/>
      <c r="D15" s="357"/>
      <c r="E15" s="357"/>
      <c r="F15" s="357"/>
      <c r="G15" s="357"/>
      <c r="H15" s="357"/>
      <c r="I15" s="357"/>
      <c r="J15" s="272"/>
    </row>
    <row r="16" spans="1:10">
      <c r="A16" s="32" t="s">
        <v>131</v>
      </c>
      <c r="B16" s="39" t="s">
        <v>86</v>
      </c>
      <c r="C16" s="174" t="s">
        <v>9</v>
      </c>
      <c r="D16" s="357"/>
      <c r="E16" s="357"/>
      <c r="F16" s="357"/>
      <c r="G16" s="357"/>
      <c r="H16" s="357"/>
      <c r="I16" s="357"/>
      <c r="J16" s="272">
        <f t="shared" si="0"/>
        <v>0</v>
      </c>
    </row>
    <row r="17" spans="1:10" ht="25.5">
      <c r="A17" s="32" t="s">
        <v>132</v>
      </c>
      <c r="B17" s="39" t="s">
        <v>88</v>
      </c>
      <c r="C17" s="174" t="s">
        <v>9</v>
      </c>
      <c r="D17" s="357"/>
      <c r="E17" s="357"/>
      <c r="F17" s="357"/>
      <c r="G17" s="357"/>
      <c r="H17" s="357"/>
      <c r="I17" s="357"/>
      <c r="J17" s="272">
        <f t="shared" si="0"/>
        <v>0</v>
      </c>
    </row>
    <row r="18" spans="1:10">
      <c r="A18" s="32" t="s">
        <v>135</v>
      </c>
      <c r="B18" s="33" t="s">
        <v>169</v>
      </c>
      <c r="C18" s="174"/>
      <c r="D18" s="357"/>
      <c r="E18" s="357"/>
      <c r="F18" s="357"/>
      <c r="G18" s="357"/>
      <c r="H18" s="357"/>
      <c r="I18" s="357"/>
      <c r="J18" s="272"/>
    </row>
    <row r="19" spans="1:10" ht="63.75">
      <c r="A19" s="32"/>
      <c r="B19" s="39" t="s">
        <v>136</v>
      </c>
      <c r="C19" s="174" t="s">
        <v>72</v>
      </c>
      <c r="D19" s="357"/>
      <c r="E19" s="357"/>
      <c r="F19" s="357"/>
      <c r="G19" s="357"/>
      <c r="H19" s="357"/>
      <c r="I19" s="355"/>
      <c r="J19" s="272">
        <f t="shared" si="0"/>
        <v>0</v>
      </c>
    </row>
    <row r="20" spans="1:10">
      <c r="A20" s="178"/>
      <c r="B20" s="178"/>
      <c r="C20" s="178"/>
      <c r="D20" s="357"/>
      <c r="E20" s="357"/>
      <c r="F20" s="357"/>
      <c r="G20" s="357"/>
      <c r="H20" s="357"/>
      <c r="I20" s="357"/>
      <c r="J20" s="357"/>
    </row>
    <row r="21" spans="1:10">
      <c r="A21" s="178"/>
      <c r="B21" s="178"/>
      <c r="C21" s="178"/>
      <c r="D21" s="178"/>
      <c r="E21" s="178"/>
      <c r="F21" s="178"/>
      <c r="G21" s="178"/>
      <c r="H21" s="178"/>
      <c r="I21" s="182" t="s">
        <v>57</v>
      </c>
      <c r="J21" s="320">
        <f>SUM(J7:J20)</f>
        <v>36.867000000000004</v>
      </c>
    </row>
    <row r="22" spans="1:10">
      <c r="A22" s="178"/>
      <c r="B22" s="178"/>
      <c r="C22" s="178"/>
      <c r="D22" s="178"/>
      <c r="E22" s="178"/>
      <c r="F22" s="178"/>
      <c r="G22" s="178"/>
      <c r="H22" s="178"/>
      <c r="I22" s="178"/>
      <c r="J22" s="178"/>
    </row>
  </sheetData>
  <mergeCells count="3">
    <mergeCell ref="D3:I3"/>
    <mergeCell ref="J3:J4"/>
    <mergeCell ref="A2:J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topLeftCell="A9" workbookViewId="0">
      <selection activeCell="F31" sqref="F31"/>
    </sheetView>
  </sheetViews>
  <sheetFormatPr defaultRowHeight="15"/>
  <cols>
    <col min="2" max="2" width="19.140625" customWidth="1"/>
    <col min="9" max="9" width="9.85546875" customWidth="1"/>
    <col min="10" max="10" width="11.140625" customWidth="1"/>
  </cols>
  <sheetData>
    <row r="1" spans="1:10">
      <c r="A1" s="73" t="s">
        <v>187</v>
      </c>
      <c r="B1" s="74"/>
      <c r="C1" s="74"/>
      <c r="D1" s="74"/>
      <c r="E1" s="74"/>
      <c r="F1" s="74"/>
      <c r="G1" s="74"/>
      <c r="H1" s="74"/>
      <c r="I1" s="74"/>
      <c r="J1" s="75"/>
    </row>
    <row r="2" spans="1:10">
      <c r="A2" s="76" t="s">
        <v>188</v>
      </c>
      <c r="B2" s="27"/>
      <c r="C2" s="27"/>
      <c r="D2" s="27"/>
      <c r="E2" s="27"/>
      <c r="F2" s="27"/>
      <c r="G2" s="27"/>
      <c r="H2" s="27"/>
      <c r="I2" s="27"/>
      <c r="J2" s="77"/>
    </row>
    <row r="3" spans="1:10">
      <c r="A3" s="76" t="s">
        <v>189</v>
      </c>
      <c r="B3" s="27"/>
      <c r="C3" s="27"/>
      <c r="D3" s="27"/>
      <c r="E3" s="27"/>
      <c r="F3" s="27"/>
      <c r="G3" s="27"/>
      <c r="H3" s="27"/>
      <c r="I3" s="27"/>
      <c r="J3" s="77"/>
    </row>
    <row r="4" spans="1:10">
      <c r="A4" s="76" t="s">
        <v>417</v>
      </c>
      <c r="B4" s="27"/>
      <c r="C4" s="27"/>
      <c r="D4" s="27"/>
      <c r="E4" s="27"/>
      <c r="F4" s="27"/>
      <c r="G4" s="27"/>
      <c r="H4" s="27"/>
      <c r="I4" s="27"/>
      <c r="J4" s="77"/>
    </row>
    <row r="5" spans="1:10">
      <c r="A5" s="172"/>
      <c r="B5" s="79"/>
      <c r="C5" s="79"/>
      <c r="D5" s="79"/>
      <c r="E5" s="79"/>
      <c r="F5" s="79"/>
      <c r="G5" s="79"/>
      <c r="H5" s="79"/>
      <c r="I5" s="79"/>
      <c r="J5" s="80"/>
    </row>
    <row r="6" spans="1:10">
      <c r="A6" s="478" t="s">
        <v>1</v>
      </c>
      <c r="B6" s="473" t="s">
        <v>191</v>
      </c>
      <c r="C6" s="473" t="s">
        <v>3</v>
      </c>
      <c r="D6" s="473" t="s">
        <v>64</v>
      </c>
      <c r="E6" s="473" t="s">
        <v>64</v>
      </c>
      <c r="F6" s="473" t="s">
        <v>192</v>
      </c>
      <c r="G6" s="473"/>
      <c r="H6" s="473"/>
      <c r="I6" s="473" t="s">
        <v>193</v>
      </c>
      <c r="J6" s="474" t="s">
        <v>21</v>
      </c>
    </row>
    <row r="7" spans="1:10">
      <c r="A7" s="478"/>
      <c r="B7" s="473"/>
      <c r="C7" s="473"/>
      <c r="D7" s="473"/>
      <c r="E7" s="473"/>
      <c r="F7" s="81" t="s">
        <v>61</v>
      </c>
      <c r="G7" s="81" t="s">
        <v>62</v>
      </c>
      <c r="H7" s="81" t="s">
        <v>194</v>
      </c>
      <c r="I7" s="473"/>
      <c r="J7" s="474"/>
    </row>
    <row r="8" spans="1:10" ht="35.25" customHeight="1">
      <c r="A8" s="82"/>
      <c r="B8" s="83" t="s">
        <v>416</v>
      </c>
      <c r="C8" s="84"/>
      <c r="D8" s="84"/>
      <c r="E8" s="84"/>
      <c r="F8" s="84"/>
      <c r="G8" s="84"/>
      <c r="H8" s="84"/>
      <c r="I8" s="84"/>
      <c r="J8" s="85"/>
    </row>
    <row r="9" spans="1:10">
      <c r="A9" s="82">
        <v>1</v>
      </c>
      <c r="B9" s="84" t="s">
        <v>206</v>
      </c>
      <c r="C9" s="84" t="s">
        <v>9</v>
      </c>
      <c r="D9" s="84">
        <v>1</v>
      </c>
      <c r="E9" s="84">
        <v>1</v>
      </c>
      <c r="F9" s="410">
        <v>11.005000000000001</v>
      </c>
      <c r="G9" s="86"/>
      <c r="H9" s="86">
        <v>0.3</v>
      </c>
      <c r="I9" s="87">
        <f t="shared" ref="I9:I21" si="0">PRODUCT(D9:H9)</f>
        <v>3.3015000000000003</v>
      </c>
      <c r="J9" s="85"/>
    </row>
    <row r="10" spans="1:10">
      <c r="A10" s="82">
        <f>+A9+1</f>
        <v>2</v>
      </c>
      <c r="B10" s="84" t="s">
        <v>566</v>
      </c>
      <c r="C10" s="84" t="s">
        <v>9</v>
      </c>
      <c r="D10" s="84">
        <v>1</v>
      </c>
      <c r="E10" s="84">
        <v>1</v>
      </c>
      <c r="F10" s="410">
        <v>12.414999999999999</v>
      </c>
      <c r="G10" s="86"/>
      <c r="H10" s="86">
        <v>0.3</v>
      </c>
      <c r="I10" s="87">
        <f t="shared" si="0"/>
        <v>3.7244999999999995</v>
      </c>
      <c r="J10" s="85"/>
    </row>
    <row r="11" spans="1:10">
      <c r="A11" s="82">
        <f t="shared" ref="A11:A21" si="1">+A10+1</f>
        <v>3</v>
      </c>
      <c r="B11" s="84" t="s">
        <v>207</v>
      </c>
      <c r="C11" s="84" t="s">
        <v>9</v>
      </c>
      <c r="D11" s="84">
        <v>1</v>
      </c>
      <c r="E11" s="84">
        <v>1</v>
      </c>
      <c r="F11" s="410">
        <f>25.89+0.515+0.515</f>
        <v>26.92</v>
      </c>
      <c r="G11" s="86"/>
      <c r="H11" s="86">
        <v>0.3</v>
      </c>
      <c r="I11" s="87">
        <f t="shared" si="0"/>
        <v>8.0760000000000005</v>
      </c>
      <c r="J11" s="85"/>
    </row>
    <row r="12" spans="1:10">
      <c r="A12" s="82">
        <f t="shared" si="1"/>
        <v>4</v>
      </c>
      <c r="B12" s="84" t="s">
        <v>208</v>
      </c>
      <c r="C12" s="84" t="s">
        <v>9</v>
      </c>
      <c r="D12" s="84">
        <v>1</v>
      </c>
      <c r="E12" s="84">
        <v>1</v>
      </c>
      <c r="F12" s="410">
        <v>21.65</v>
      </c>
      <c r="G12" s="86"/>
      <c r="H12" s="86">
        <v>0.3</v>
      </c>
      <c r="I12" s="87">
        <f t="shared" si="0"/>
        <v>6.4949999999999992</v>
      </c>
      <c r="J12" s="85"/>
    </row>
    <row r="13" spans="1:10">
      <c r="A13" s="82">
        <f t="shared" si="1"/>
        <v>5</v>
      </c>
      <c r="B13" s="84" t="s">
        <v>209</v>
      </c>
      <c r="C13" s="84" t="s">
        <v>9</v>
      </c>
      <c r="D13" s="84">
        <v>1</v>
      </c>
      <c r="E13" s="84">
        <v>1</v>
      </c>
      <c r="F13" s="410">
        <v>11.09</v>
      </c>
      <c r="G13" s="86"/>
      <c r="H13" s="86">
        <v>0.3</v>
      </c>
      <c r="I13" s="87">
        <f t="shared" si="0"/>
        <v>3.327</v>
      </c>
      <c r="J13" s="85"/>
    </row>
    <row r="14" spans="1:10">
      <c r="A14" s="82">
        <f t="shared" si="1"/>
        <v>6</v>
      </c>
      <c r="B14" s="84" t="s">
        <v>210</v>
      </c>
      <c r="C14" s="84" t="s">
        <v>9</v>
      </c>
      <c r="D14" s="84">
        <v>1</v>
      </c>
      <c r="E14" s="84">
        <v>1</v>
      </c>
      <c r="F14" s="410">
        <v>10.285</v>
      </c>
      <c r="G14" s="86"/>
      <c r="H14" s="86">
        <v>0.3</v>
      </c>
      <c r="I14" s="87">
        <f t="shared" si="0"/>
        <v>3.0855000000000001</v>
      </c>
      <c r="J14" s="85"/>
    </row>
    <row r="15" spans="1:10">
      <c r="A15" s="82">
        <f t="shared" si="1"/>
        <v>7</v>
      </c>
      <c r="B15" s="84" t="s">
        <v>211</v>
      </c>
      <c r="C15" s="84" t="s">
        <v>9</v>
      </c>
      <c r="D15" s="84">
        <v>1</v>
      </c>
      <c r="E15" s="84">
        <v>1</v>
      </c>
      <c r="F15" s="410">
        <v>8.875</v>
      </c>
      <c r="G15" s="86"/>
      <c r="H15" s="86">
        <v>0.3</v>
      </c>
      <c r="I15" s="87">
        <f t="shared" si="0"/>
        <v>2.6625000000000001</v>
      </c>
      <c r="J15" s="85"/>
    </row>
    <row r="16" spans="1:10">
      <c r="A16" s="82">
        <f t="shared" si="1"/>
        <v>8</v>
      </c>
      <c r="B16" s="84" t="s">
        <v>212</v>
      </c>
      <c r="C16" s="84" t="s">
        <v>9</v>
      </c>
      <c r="D16" s="84">
        <v>1</v>
      </c>
      <c r="E16" s="84">
        <v>1</v>
      </c>
      <c r="F16" s="410">
        <v>1.5</v>
      </c>
      <c r="G16" s="86"/>
      <c r="H16" s="86">
        <v>0.3</v>
      </c>
      <c r="I16" s="87">
        <f t="shared" si="0"/>
        <v>0.44999999999999996</v>
      </c>
      <c r="J16" s="85"/>
    </row>
    <row r="17" spans="1:10">
      <c r="A17" s="82">
        <f t="shared" si="1"/>
        <v>9</v>
      </c>
      <c r="B17" s="84" t="s">
        <v>213</v>
      </c>
      <c r="C17" s="84" t="s">
        <v>9</v>
      </c>
      <c r="D17" s="84">
        <v>1</v>
      </c>
      <c r="E17" s="84">
        <v>1</v>
      </c>
      <c r="F17" s="410">
        <v>3.95</v>
      </c>
      <c r="G17" s="86"/>
      <c r="H17" s="86">
        <v>0.3</v>
      </c>
      <c r="I17" s="87">
        <f t="shared" si="0"/>
        <v>1.1850000000000001</v>
      </c>
      <c r="J17" s="85"/>
    </row>
    <row r="18" spans="1:10">
      <c r="A18" s="82">
        <f t="shared" si="1"/>
        <v>10</v>
      </c>
      <c r="B18" s="84" t="s">
        <v>214</v>
      </c>
      <c r="C18" s="84" t="s">
        <v>9</v>
      </c>
      <c r="D18" s="84">
        <v>1</v>
      </c>
      <c r="E18" s="84">
        <v>1</v>
      </c>
      <c r="F18" s="410">
        <v>0.81499999999999995</v>
      </c>
      <c r="G18" s="86"/>
      <c r="H18" s="86">
        <v>0.3</v>
      </c>
      <c r="I18" s="87">
        <f t="shared" si="0"/>
        <v>0.24449999999999997</v>
      </c>
      <c r="J18" s="85"/>
    </row>
    <row r="19" spans="1:10">
      <c r="A19" s="82">
        <f t="shared" si="1"/>
        <v>11</v>
      </c>
      <c r="B19" s="84" t="s">
        <v>215</v>
      </c>
      <c r="C19" s="84" t="s">
        <v>9</v>
      </c>
      <c r="D19" s="84">
        <v>1</v>
      </c>
      <c r="E19" s="84">
        <v>1</v>
      </c>
      <c r="F19" s="410">
        <v>1.6950000000000001</v>
      </c>
      <c r="G19" s="86"/>
      <c r="H19" s="86">
        <v>0.3</v>
      </c>
      <c r="I19" s="87">
        <f t="shared" si="0"/>
        <v>0.50849999999999995</v>
      </c>
      <c r="J19" s="85"/>
    </row>
    <row r="20" spans="1:10">
      <c r="A20" s="82">
        <f t="shared" si="1"/>
        <v>12</v>
      </c>
      <c r="B20" s="84" t="s">
        <v>216</v>
      </c>
      <c r="C20" s="84" t="s">
        <v>9</v>
      </c>
      <c r="D20" s="84">
        <v>1</v>
      </c>
      <c r="E20" s="84">
        <v>1</v>
      </c>
      <c r="F20" s="410">
        <v>1.405</v>
      </c>
      <c r="G20" s="86"/>
      <c r="H20" s="86">
        <v>0.3</v>
      </c>
      <c r="I20" s="87">
        <f t="shared" si="0"/>
        <v>0.42149999999999999</v>
      </c>
      <c r="J20" s="85"/>
    </row>
    <row r="21" spans="1:10">
      <c r="A21" s="82">
        <f t="shared" si="1"/>
        <v>13</v>
      </c>
      <c r="B21" s="84" t="s">
        <v>217</v>
      </c>
      <c r="C21" s="84" t="s">
        <v>9</v>
      </c>
      <c r="D21" s="84">
        <v>1</v>
      </c>
      <c r="E21" s="84">
        <v>1</v>
      </c>
      <c r="F21" s="410">
        <v>11.285</v>
      </c>
      <c r="G21" s="86"/>
      <c r="H21" s="86">
        <v>0.3</v>
      </c>
      <c r="I21" s="87">
        <f t="shared" si="0"/>
        <v>3.3855</v>
      </c>
      <c r="J21" s="85"/>
    </row>
    <row r="22" spans="1:10">
      <c r="A22" s="82"/>
      <c r="B22" s="84"/>
      <c r="C22" s="84"/>
      <c r="D22" s="84"/>
      <c r="E22" s="84"/>
      <c r="F22" s="84"/>
      <c r="G22" s="84"/>
      <c r="H22" s="86"/>
      <c r="I22" s="87"/>
      <c r="J22" s="85"/>
    </row>
    <row r="23" spans="1:10">
      <c r="A23" s="82"/>
      <c r="B23" s="84"/>
      <c r="C23" s="84"/>
      <c r="D23" s="84"/>
      <c r="E23" s="84"/>
      <c r="F23" s="84"/>
      <c r="G23" s="84"/>
      <c r="H23" s="84"/>
      <c r="I23" s="87"/>
      <c r="J23" s="85"/>
    </row>
    <row r="24" spans="1:10">
      <c r="A24" s="82"/>
      <c r="B24" s="84"/>
      <c r="C24" s="84"/>
      <c r="D24" s="84"/>
      <c r="E24" s="84"/>
      <c r="F24" s="84"/>
      <c r="G24" s="84"/>
      <c r="H24" s="88" t="s">
        <v>57</v>
      </c>
      <c r="I24" s="89">
        <f>SUM(I8:I23)</f>
        <v>36.867000000000004</v>
      </c>
      <c r="J24" s="85"/>
    </row>
    <row r="25" spans="1:10" ht="15.75" thickBot="1">
      <c r="A25" s="90"/>
      <c r="B25" s="91"/>
      <c r="C25" s="91"/>
      <c r="D25" s="91"/>
      <c r="E25" s="91"/>
      <c r="F25" s="91"/>
      <c r="G25" s="91"/>
      <c r="H25" s="91"/>
      <c r="I25" s="91"/>
      <c r="J25" s="92"/>
    </row>
    <row r="26" spans="1:10">
      <c r="A26" s="93"/>
      <c r="B26" s="93"/>
      <c r="C26" s="93"/>
      <c r="D26" s="93"/>
      <c r="E26" s="93"/>
      <c r="F26" s="93"/>
      <c r="G26" s="93"/>
      <c r="H26" s="93"/>
      <c r="I26" s="93"/>
      <c r="J26" s="93"/>
    </row>
  </sheetData>
  <mergeCells count="8">
    <mergeCell ref="I6:I7"/>
    <mergeCell ref="J6:J7"/>
    <mergeCell ref="A6:A7"/>
    <mergeCell ref="B6:B7"/>
    <mergeCell ref="C6:C7"/>
    <mergeCell ref="D6:D7"/>
    <mergeCell ref="E6:E7"/>
    <mergeCell ref="F6:H6"/>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topLeftCell="A7" workbookViewId="0">
      <selection activeCell="B23" sqref="B23"/>
    </sheetView>
  </sheetViews>
  <sheetFormatPr defaultRowHeight="15"/>
  <cols>
    <col min="1" max="1" width="8.85546875" style="93"/>
    <col min="2" max="2" width="41.28515625" customWidth="1"/>
    <col min="3" max="4" width="13.85546875" style="240" customWidth="1"/>
    <col min="5" max="11" width="13.85546875" customWidth="1"/>
  </cols>
  <sheetData>
    <row r="1" spans="1:12" ht="18.75">
      <c r="A1" s="509" t="s">
        <v>436</v>
      </c>
      <c r="B1" s="509"/>
      <c r="C1" s="509"/>
      <c r="D1" s="509"/>
      <c r="E1" s="509"/>
      <c r="F1" s="509"/>
      <c r="G1" s="509"/>
      <c r="H1" s="509"/>
      <c r="I1" s="509"/>
      <c r="J1" s="509"/>
      <c r="K1" s="509"/>
    </row>
    <row r="2" spans="1:12" ht="18.75">
      <c r="A2" s="510" t="s">
        <v>465</v>
      </c>
      <c r="B2" s="510"/>
      <c r="C2" s="510"/>
      <c r="D2" s="510"/>
      <c r="E2" s="510"/>
      <c r="F2" s="510"/>
      <c r="G2" s="510"/>
      <c r="H2" s="510"/>
      <c r="I2" s="510"/>
      <c r="J2" s="510"/>
      <c r="K2" s="510"/>
    </row>
    <row r="3" spans="1:12" ht="18.75">
      <c r="A3" s="511" t="s">
        <v>437</v>
      </c>
      <c r="B3" s="511"/>
      <c r="C3" s="511"/>
      <c r="D3" s="511"/>
      <c r="E3" s="511"/>
      <c r="F3" s="511"/>
      <c r="G3" s="511"/>
      <c r="H3" s="511"/>
      <c r="I3" s="511"/>
      <c r="J3" s="511"/>
      <c r="K3" s="511"/>
    </row>
    <row r="4" spans="1:12" ht="15.75">
      <c r="A4" s="512" t="s">
        <v>1</v>
      </c>
      <c r="B4" s="516" t="s">
        <v>51</v>
      </c>
      <c r="C4" s="518" t="s">
        <v>60</v>
      </c>
      <c r="D4" s="514" t="s">
        <v>438</v>
      </c>
      <c r="E4" s="515"/>
      <c r="F4" s="515"/>
      <c r="G4" s="515"/>
      <c r="H4" s="515"/>
      <c r="I4" s="515"/>
      <c r="J4" s="516"/>
      <c r="K4" s="520" t="s">
        <v>58</v>
      </c>
      <c r="L4" s="203"/>
    </row>
    <row r="5" spans="1:12" ht="15.75">
      <c r="A5" s="513"/>
      <c r="B5" s="517"/>
      <c r="C5" s="519"/>
      <c r="D5" s="204" t="s">
        <v>456</v>
      </c>
      <c r="E5" s="204" t="s">
        <v>235</v>
      </c>
      <c r="F5" s="204" t="s">
        <v>236</v>
      </c>
      <c r="G5" s="204" t="s">
        <v>237</v>
      </c>
      <c r="H5" s="204" t="s">
        <v>238</v>
      </c>
      <c r="I5" s="204" t="s">
        <v>239</v>
      </c>
      <c r="J5" s="204" t="s">
        <v>240</v>
      </c>
      <c r="K5" s="521"/>
      <c r="L5" s="203"/>
    </row>
    <row r="6" spans="1:12" ht="15.75">
      <c r="A6" s="180" t="s">
        <v>233</v>
      </c>
      <c r="B6" s="263" t="s">
        <v>439</v>
      </c>
      <c r="C6" s="207" t="s">
        <v>440</v>
      </c>
      <c r="D6" s="207">
        <f>'TMT STEEL REC.'!D12</f>
        <v>0</v>
      </c>
      <c r="E6" s="207">
        <f>'TMT STEEL REC.'!E12</f>
        <v>9070</v>
      </c>
      <c r="F6" s="207">
        <f>'TMT STEEL REC.'!F12</f>
        <v>6840</v>
      </c>
      <c r="G6" s="207">
        <f>'TMT STEEL REC.'!G12</f>
        <v>7700</v>
      </c>
      <c r="H6" s="207">
        <f>'TMT STEEL REC.'!H12</f>
        <v>67471</v>
      </c>
      <c r="I6" s="207">
        <f>'TMT STEEL REC.'!I12</f>
        <v>29380</v>
      </c>
      <c r="J6" s="207">
        <f>'TMT STEEL REC.'!J12</f>
        <v>15324</v>
      </c>
      <c r="K6" s="248">
        <f>SUM(E6:J6)</f>
        <v>135785</v>
      </c>
      <c r="L6" s="203"/>
    </row>
    <row r="7" spans="1:12" ht="15.75">
      <c r="A7" s="180"/>
      <c r="B7" s="264"/>
      <c r="C7" s="207"/>
      <c r="D7" s="207"/>
      <c r="E7" s="241"/>
      <c r="F7" s="241"/>
      <c r="G7" s="241"/>
      <c r="H7" s="241"/>
      <c r="I7" s="242"/>
      <c r="J7" s="243"/>
      <c r="K7" s="244"/>
      <c r="L7" s="203"/>
    </row>
    <row r="8" spans="1:12" ht="15.75">
      <c r="A8" s="180" t="s">
        <v>62</v>
      </c>
      <c r="B8" s="265" t="s">
        <v>441</v>
      </c>
      <c r="C8" s="205"/>
      <c r="D8" s="205"/>
      <c r="E8" s="245"/>
      <c r="F8" s="245"/>
      <c r="G8" s="245"/>
      <c r="H8" s="245"/>
      <c r="I8" s="245"/>
      <c r="J8" s="246"/>
      <c r="K8" s="244"/>
      <c r="L8" s="203"/>
    </row>
    <row r="9" spans="1:12" ht="15.75">
      <c r="A9" s="180" t="s">
        <v>498</v>
      </c>
      <c r="B9" s="253" t="s">
        <v>452</v>
      </c>
      <c r="C9" s="207" t="s">
        <v>440</v>
      </c>
      <c r="D9" s="271">
        <f>'TMT SUMMARY'!F9</f>
        <v>0</v>
      </c>
      <c r="E9" s="271">
        <f>'TMT SUMMARY'!G9</f>
        <v>0</v>
      </c>
      <c r="F9" s="271">
        <f>'TMT SUMMARY'!H9</f>
        <v>1205.438867110935</v>
      </c>
      <c r="G9" s="271">
        <f>'TMT SUMMARY'!I9</f>
        <v>1461.0184079999997</v>
      </c>
      <c r="H9" s="271">
        <f>'TMT SUMMARY'!J9</f>
        <v>25667.401780000004</v>
      </c>
      <c r="I9" s="271">
        <f>'TMT SUMMARY'!K9</f>
        <v>16032.784814999992</v>
      </c>
      <c r="J9" s="271">
        <f>'TMT SUMMARY'!L9</f>
        <v>8560.5933600000008</v>
      </c>
      <c r="K9" s="248">
        <f>SUM(E9:J9)</f>
        <v>52927.237230110928</v>
      </c>
      <c r="L9" s="203"/>
    </row>
    <row r="10" spans="1:12" ht="31.5">
      <c r="A10" s="180" t="s">
        <v>499</v>
      </c>
      <c r="B10" s="253" t="s">
        <v>118</v>
      </c>
      <c r="C10" s="207" t="s">
        <v>440</v>
      </c>
      <c r="D10" s="207">
        <f>'TMT SUMMARY'!F14</f>
        <v>0</v>
      </c>
      <c r="E10" s="207">
        <f>'TMT SUMMARY'!G14</f>
        <v>0</v>
      </c>
      <c r="F10" s="207">
        <f>'TMT SUMMARY'!H14</f>
        <v>0</v>
      </c>
      <c r="G10" s="207">
        <f>'TMT SUMMARY'!I14</f>
        <v>0</v>
      </c>
      <c r="H10" s="207">
        <f>'TMT SUMMARY'!J14</f>
        <v>0</v>
      </c>
      <c r="I10" s="207">
        <f>'TMT SUMMARY'!K14</f>
        <v>0</v>
      </c>
      <c r="J10" s="207">
        <f>'TMT SUMMARY'!L14</f>
        <v>0</v>
      </c>
      <c r="K10" s="248">
        <f>SUM(E10:J10)</f>
        <v>0</v>
      </c>
      <c r="L10" s="203"/>
    </row>
    <row r="11" spans="1:12" ht="63">
      <c r="A11" s="180" t="s">
        <v>500</v>
      </c>
      <c r="B11" s="266" t="s">
        <v>90</v>
      </c>
      <c r="C11" s="207" t="s">
        <v>440</v>
      </c>
      <c r="D11" s="207">
        <f>'TMT SUMMARY'!F19</f>
        <v>0</v>
      </c>
      <c r="E11" s="207">
        <f>'TMT SUMMARY'!G19</f>
        <v>0</v>
      </c>
      <c r="F11" s="207">
        <f>'TMT SUMMARY'!H19</f>
        <v>0</v>
      </c>
      <c r="G11" s="207">
        <f>'TMT SUMMARY'!I19</f>
        <v>0</v>
      </c>
      <c r="H11" s="207">
        <f>'TMT SUMMARY'!J19</f>
        <v>0</v>
      </c>
      <c r="I11" s="207">
        <f>'TMT SUMMARY'!K19</f>
        <v>0</v>
      </c>
      <c r="J11" s="207">
        <f>'TMT SUMMARY'!L19</f>
        <v>0</v>
      </c>
      <c r="K11" s="248">
        <f>SUM(E11:J11)</f>
        <v>0</v>
      </c>
      <c r="L11" s="203"/>
    </row>
    <row r="12" spans="1:12" ht="15.75">
      <c r="A12" s="180"/>
      <c r="B12" s="267"/>
      <c r="C12" s="207"/>
      <c r="D12" s="207"/>
      <c r="E12" s="247"/>
      <c r="F12" s="247"/>
      <c r="G12" s="247"/>
      <c r="H12" s="247"/>
      <c r="I12" s="247"/>
      <c r="J12" s="247"/>
      <c r="K12" s="248"/>
      <c r="L12" s="203"/>
    </row>
    <row r="13" spans="1:12" ht="18.75">
      <c r="A13" s="180" t="s">
        <v>459</v>
      </c>
      <c r="B13" s="268" t="s">
        <v>442</v>
      </c>
      <c r="C13" s="239"/>
      <c r="D13" s="259">
        <f t="shared" ref="D13:K13" si="0">SUM(D9:D12)</f>
        <v>0</v>
      </c>
      <c r="E13" s="259">
        <f t="shared" si="0"/>
        <v>0</v>
      </c>
      <c r="F13" s="259">
        <f t="shared" si="0"/>
        <v>1205.438867110935</v>
      </c>
      <c r="G13" s="259">
        <f t="shared" si="0"/>
        <v>1461.0184079999997</v>
      </c>
      <c r="H13" s="259">
        <f t="shared" si="0"/>
        <v>25667.401780000004</v>
      </c>
      <c r="I13" s="259">
        <f t="shared" si="0"/>
        <v>16032.784814999992</v>
      </c>
      <c r="J13" s="259">
        <f t="shared" si="0"/>
        <v>8560.5933600000008</v>
      </c>
      <c r="K13" s="248">
        <f t="shared" si="0"/>
        <v>52927.237230110928</v>
      </c>
      <c r="L13" s="206"/>
    </row>
    <row r="14" spans="1:12" ht="15.75">
      <c r="A14" s="180" t="s">
        <v>460</v>
      </c>
      <c r="B14" s="268" t="s">
        <v>443</v>
      </c>
      <c r="C14" s="207" t="s">
        <v>440</v>
      </c>
      <c r="D14" s="258">
        <f t="shared" ref="D14:J14" si="1">D6-D13</f>
        <v>0</v>
      </c>
      <c r="E14" s="258">
        <f t="shared" si="1"/>
        <v>9070</v>
      </c>
      <c r="F14" s="258">
        <f t="shared" si="1"/>
        <v>5634.5611328890645</v>
      </c>
      <c r="G14" s="258">
        <f t="shared" si="1"/>
        <v>6238.9815920000001</v>
      </c>
      <c r="H14" s="258">
        <f t="shared" si="1"/>
        <v>41803.59822</v>
      </c>
      <c r="I14" s="258">
        <f t="shared" si="1"/>
        <v>13347.215185000008</v>
      </c>
      <c r="J14" s="258">
        <f t="shared" si="1"/>
        <v>6763.4066399999992</v>
      </c>
      <c r="K14" s="262">
        <f>SUM(E14:J14)</f>
        <v>82857.762769889072</v>
      </c>
      <c r="L14" s="203"/>
    </row>
    <row r="15" spans="1:12" ht="15.75">
      <c r="A15" s="180" t="s">
        <v>461</v>
      </c>
      <c r="B15" s="268" t="s">
        <v>444</v>
      </c>
      <c r="C15" s="207" t="s">
        <v>440</v>
      </c>
      <c r="D15" s="207"/>
      <c r="E15" s="281">
        <v>9070</v>
      </c>
      <c r="F15" s="281">
        <v>5560</v>
      </c>
      <c r="G15" s="281">
        <v>6180</v>
      </c>
      <c r="H15" s="281">
        <v>41450</v>
      </c>
      <c r="I15" s="281">
        <v>13300</v>
      </c>
      <c r="J15" s="281">
        <v>6650</v>
      </c>
      <c r="K15" s="262">
        <f>SUM(E15:J15)</f>
        <v>82210</v>
      </c>
      <c r="L15" s="208"/>
    </row>
    <row r="16" spans="1:12" ht="31.5">
      <c r="A16" s="180" t="s">
        <v>462</v>
      </c>
      <c r="B16" s="268" t="s">
        <v>445</v>
      </c>
      <c r="C16" s="207" t="s">
        <v>440</v>
      </c>
      <c r="D16" s="207"/>
      <c r="E16" s="241"/>
      <c r="F16" s="241"/>
      <c r="G16" s="241"/>
      <c r="H16" s="241"/>
      <c r="I16" s="241"/>
      <c r="J16" s="241"/>
      <c r="K16" s="262">
        <f>SUM(E16:J16)</f>
        <v>0</v>
      </c>
      <c r="L16" s="203"/>
    </row>
    <row r="17" spans="1:12" ht="15.75">
      <c r="A17" s="180"/>
      <c r="B17" s="269"/>
      <c r="C17" s="207"/>
      <c r="D17" s="207"/>
      <c r="E17" s="247"/>
      <c r="F17" s="247"/>
      <c r="G17" s="247"/>
      <c r="H17" s="247"/>
      <c r="I17" s="247"/>
      <c r="J17" s="249"/>
      <c r="K17" s="262">
        <f>SUM(E17:J17)</f>
        <v>0</v>
      </c>
      <c r="L17" s="203"/>
    </row>
    <row r="18" spans="1:12" ht="18.75">
      <c r="A18" s="180" t="s">
        <v>463</v>
      </c>
      <c r="B18" s="263" t="s">
        <v>446</v>
      </c>
      <c r="C18" s="207" t="s">
        <v>440</v>
      </c>
      <c r="D18" s="259">
        <f>SUM(D16:D17)</f>
        <v>0</v>
      </c>
      <c r="E18" s="259">
        <f>SUM(E16:E17)</f>
        <v>0</v>
      </c>
      <c r="F18" s="259">
        <f t="shared" ref="F18:J18" si="2">SUM(F16:F17)</f>
        <v>0</v>
      </c>
      <c r="G18" s="259">
        <f t="shared" si="2"/>
        <v>0</v>
      </c>
      <c r="H18" s="259">
        <f t="shared" si="2"/>
        <v>0</v>
      </c>
      <c r="I18" s="259">
        <f t="shared" si="2"/>
        <v>0</v>
      </c>
      <c r="J18" s="259">
        <f t="shared" si="2"/>
        <v>0</v>
      </c>
      <c r="K18" s="248">
        <f>SUM(E18:J18)</f>
        <v>0</v>
      </c>
      <c r="L18" s="206"/>
    </row>
    <row r="19" spans="1:12" ht="18.75">
      <c r="A19" s="180"/>
      <c r="B19" s="270"/>
      <c r="C19" s="239"/>
      <c r="D19" s="260"/>
      <c r="E19" s="259"/>
      <c r="F19" s="259"/>
      <c r="G19" s="259"/>
      <c r="H19" s="259"/>
      <c r="I19" s="259"/>
      <c r="J19" s="261"/>
      <c r="K19" s="248"/>
      <c r="L19" s="206"/>
    </row>
    <row r="20" spans="1:12" ht="18.75">
      <c r="A20" s="180"/>
      <c r="B20" s="270"/>
      <c r="C20" s="239"/>
      <c r="D20" s="260"/>
      <c r="E20" s="259"/>
      <c r="F20" s="259"/>
      <c r="G20" s="259"/>
      <c r="H20" s="259"/>
      <c r="I20" s="259"/>
      <c r="J20" s="259"/>
      <c r="K20" s="248"/>
      <c r="L20" s="206"/>
    </row>
    <row r="21" spans="1:12" ht="15.75">
      <c r="A21" s="180" t="s">
        <v>63</v>
      </c>
      <c r="B21" s="263" t="s">
        <v>464</v>
      </c>
      <c r="C21" s="207" t="s">
        <v>440</v>
      </c>
      <c r="D21" s="258">
        <f>D14-D15-D16</f>
        <v>0</v>
      </c>
      <c r="E21" s="258">
        <f>E14-E15-E16</f>
        <v>0</v>
      </c>
      <c r="F21" s="258">
        <f t="shared" ref="F21:G21" si="3">F14-F15-F16</f>
        <v>74.561132889064538</v>
      </c>
      <c r="G21" s="258">
        <f t="shared" si="3"/>
        <v>58.981592000000092</v>
      </c>
      <c r="H21" s="258">
        <f>H14-H15-H16</f>
        <v>353.59821999999986</v>
      </c>
      <c r="I21" s="258">
        <f t="shared" ref="I21:J21" si="4">I14-I15-I16</f>
        <v>47.215185000008205</v>
      </c>
      <c r="J21" s="258">
        <f t="shared" si="4"/>
        <v>113.40663999999924</v>
      </c>
      <c r="K21" s="250">
        <f>SUM(E21:J21)</f>
        <v>647.76276988907193</v>
      </c>
      <c r="L21" s="282">
        <f>+K21/K13</f>
        <v>1.2238741407808682E-2</v>
      </c>
    </row>
    <row r="22" spans="1:12" ht="15.75">
      <c r="A22" s="180"/>
      <c r="B22" s="264" t="s">
        <v>457</v>
      </c>
      <c r="C22" s="207"/>
      <c r="D22" s="207"/>
      <c r="E22" s="241"/>
      <c r="F22" s="241"/>
      <c r="G22" s="241"/>
      <c r="H22" s="241"/>
      <c r="I22" s="241"/>
      <c r="J22" s="251"/>
      <c r="K22" s="250">
        <v>0</v>
      </c>
      <c r="L22" s="209"/>
    </row>
    <row r="23" spans="1:12" ht="15.75">
      <c r="A23" s="180"/>
      <c r="B23" s="264" t="s">
        <v>466</v>
      </c>
      <c r="C23" s="207" t="s">
        <v>440</v>
      </c>
      <c r="D23" s="207"/>
      <c r="E23" s="245"/>
      <c r="F23" s="245"/>
      <c r="G23" s="245"/>
      <c r="H23" s="245"/>
      <c r="I23" s="242"/>
      <c r="J23" s="243"/>
      <c r="K23" s="252">
        <f>K13*2.5%</f>
        <v>1323.1809307527733</v>
      </c>
      <c r="L23" s="203"/>
    </row>
  </sheetData>
  <mergeCells count="8">
    <mergeCell ref="A1:K1"/>
    <mergeCell ref="A2:K2"/>
    <mergeCell ref="A3:K3"/>
    <mergeCell ref="A4:A5"/>
    <mergeCell ref="D4:J4"/>
    <mergeCell ref="B4:B5"/>
    <mergeCell ref="C4:C5"/>
    <mergeCell ref="K4:K5"/>
  </mergeCells>
  <pageMargins left="0.7" right="0.7" top="0.75" bottom="0.75" header="0.3" footer="0.3"/>
  <ignoredErrors>
    <ignoredError sqref="E18:J18"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E5" sqref="E5:K8"/>
    </sheetView>
  </sheetViews>
  <sheetFormatPr defaultColWidth="9.140625" defaultRowHeight="12.75"/>
  <cols>
    <col min="1" max="1" width="9.140625" style="211"/>
    <col min="2" max="2" width="38.140625" style="211" customWidth="1"/>
    <col min="3" max="3" width="7.28515625" style="211" customWidth="1"/>
    <col min="4" max="4" width="13.28515625" style="211" bestFit="1" customWidth="1"/>
    <col min="5" max="5" width="11.28515625" style="211" customWidth="1"/>
    <col min="6" max="7" width="10.85546875" style="211" customWidth="1"/>
    <col min="8" max="8" width="11.5703125" style="211" customWidth="1"/>
    <col min="9" max="9" width="11.42578125" style="211" bestFit="1" customWidth="1"/>
    <col min="10" max="10" width="10.28515625" style="211" customWidth="1"/>
    <col min="11" max="11" width="12" style="211" bestFit="1" customWidth="1"/>
    <col min="12" max="12" width="10.42578125" style="210" customWidth="1"/>
    <col min="13" max="16384" width="9.140625" style="211"/>
  </cols>
  <sheetData>
    <row r="1" spans="1:13" ht="15">
      <c r="A1" s="522" t="s">
        <v>425</v>
      </c>
      <c r="B1" s="522"/>
      <c r="C1" s="522"/>
      <c r="D1" s="522"/>
      <c r="E1" s="522"/>
      <c r="F1" s="522"/>
      <c r="G1" s="522"/>
      <c r="H1" s="522"/>
      <c r="I1" s="522"/>
      <c r="J1" s="522"/>
      <c r="K1" s="522"/>
      <c r="L1" s="523"/>
    </row>
    <row r="2" spans="1:13" ht="15">
      <c r="A2" s="522" t="s">
        <v>450</v>
      </c>
      <c r="B2" s="522"/>
      <c r="C2" s="522"/>
      <c r="D2" s="522"/>
      <c r="E2" s="522"/>
      <c r="F2" s="522"/>
      <c r="G2" s="522"/>
      <c r="H2" s="522"/>
      <c r="I2" s="522"/>
      <c r="J2" s="522"/>
      <c r="K2" s="522"/>
      <c r="L2" s="523"/>
    </row>
    <row r="3" spans="1:13" ht="30">
      <c r="A3" s="222" t="s">
        <v>1</v>
      </c>
      <c r="B3" s="233" t="s">
        <v>447</v>
      </c>
      <c r="C3" s="233" t="s">
        <v>60</v>
      </c>
      <c r="D3" s="233" t="s">
        <v>451</v>
      </c>
      <c r="E3" s="215" t="s">
        <v>419</v>
      </c>
      <c r="F3" s="215" t="s">
        <v>420</v>
      </c>
      <c r="G3" s="215" t="s">
        <v>421</v>
      </c>
      <c r="H3" s="215" t="s">
        <v>422</v>
      </c>
      <c r="I3" s="215" t="s">
        <v>423</v>
      </c>
      <c r="J3" s="234" t="s">
        <v>424</v>
      </c>
      <c r="K3" s="234" t="s">
        <v>57</v>
      </c>
      <c r="L3" s="234" t="s">
        <v>448</v>
      </c>
    </row>
    <row r="4" spans="1:13" ht="15">
      <c r="A4" s="236"/>
      <c r="B4" s="235"/>
      <c r="C4" s="212"/>
      <c r="D4" s="212"/>
      <c r="E4" s="213"/>
      <c r="F4" s="214"/>
      <c r="G4" s="213"/>
      <c r="H4" s="215"/>
      <c r="I4" s="215"/>
      <c r="J4" s="216"/>
      <c r="K4" s="216"/>
      <c r="L4" s="216"/>
    </row>
    <row r="5" spans="1:13" ht="15">
      <c r="A5" s="232">
        <v>1</v>
      </c>
      <c r="B5" s="180" t="s">
        <v>453</v>
      </c>
      <c r="C5" s="212" t="s">
        <v>59</v>
      </c>
      <c r="D5" s="212"/>
      <c r="E5" s="273">
        <v>9070</v>
      </c>
      <c r="F5" s="273">
        <v>6840</v>
      </c>
      <c r="G5" s="273"/>
      <c r="H5" s="273"/>
      <c r="I5" s="273">
        <v>20010</v>
      </c>
      <c r="J5" s="273"/>
      <c r="K5" s="277">
        <f t="shared" ref="K5:K9" si="0">SUM(E5:J5)</f>
        <v>35920</v>
      </c>
      <c r="L5" s="277">
        <f>K5</f>
        <v>35920</v>
      </c>
    </row>
    <row r="6" spans="1:13" ht="15">
      <c r="A6" s="232">
        <v>2</v>
      </c>
      <c r="B6" s="180" t="s">
        <v>454</v>
      </c>
      <c r="C6" s="212" t="s">
        <v>59</v>
      </c>
      <c r="D6" s="212"/>
      <c r="E6" s="273"/>
      <c r="F6" s="273"/>
      <c r="G6" s="273">
        <v>7700</v>
      </c>
      <c r="H6" s="273">
        <v>37621</v>
      </c>
      <c r="I6" s="273">
        <v>9370</v>
      </c>
      <c r="J6" s="273">
        <v>5474</v>
      </c>
      <c r="K6" s="277">
        <f t="shared" si="0"/>
        <v>60165</v>
      </c>
      <c r="L6" s="277">
        <f>L5+K6</f>
        <v>96085</v>
      </c>
    </row>
    <row r="7" spans="1:13" ht="15">
      <c r="A7" s="232">
        <v>3</v>
      </c>
      <c r="B7" s="180" t="s">
        <v>455</v>
      </c>
      <c r="C7" s="212" t="s">
        <v>59</v>
      </c>
      <c r="D7" s="212"/>
      <c r="E7" s="273"/>
      <c r="F7" s="273"/>
      <c r="G7" s="273"/>
      <c r="H7" s="273">
        <v>29850</v>
      </c>
      <c r="I7" s="273"/>
      <c r="J7" s="273">
        <v>9850</v>
      </c>
      <c r="K7" s="277">
        <f t="shared" si="0"/>
        <v>39700</v>
      </c>
      <c r="L7" s="277">
        <f t="shared" ref="L7:L9" si="1">L6+K7</f>
        <v>135785</v>
      </c>
    </row>
    <row r="8" spans="1:13" ht="15">
      <c r="A8" s="216"/>
      <c r="B8" s="235"/>
      <c r="C8" s="212"/>
      <c r="D8" s="212"/>
      <c r="E8" s="274"/>
      <c r="F8" s="274"/>
      <c r="G8" s="274"/>
      <c r="H8" s="275"/>
      <c r="I8" s="276"/>
      <c r="J8" s="277"/>
      <c r="K8" s="277">
        <f t="shared" si="0"/>
        <v>0</v>
      </c>
      <c r="L8" s="277">
        <f>L7+K8</f>
        <v>135785</v>
      </c>
    </row>
    <row r="9" spans="1:13" ht="15">
      <c r="A9" s="216"/>
      <c r="B9" s="235"/>
      <c r="C9" s="212"/>
      <c r="D9" s="212"/>
      <c r="E9" s="213"/>
      <c r="F9" s="213"/>
      <c r="G9" s="213"/>
      <c r="H9" s="217"/>
      <c r="I9" s="214"/>
      <c r="J9" s="216"/>
      <c r="K9" s="277">
        <f t="shared" si="0"/>
        <v>0</v>
      </c>
      <c r="L9" s="277">
        <f t="shared" si="1"/>
        <v>135785</v>
      </c>
    </row>
    <row r="10" spans="1:13" ht="15">
      <c r="A10" s="216"/>
      <c r="B10" s="237"/>
      <c r="C10" s="220"/>
      <c r="D10" s="220"/>
      <c r="E10" s="221"/>
      <c r="F10" s="221"/>
      <c r="G10" s="221"/>
      <c r="H10" s="215"/>
      <c r="I10" s="221"/>
      <c r="J10" s="219"/>
      <c r="K10" s="257"/>
      <c r="L10" s="257"/>
    </row>
    <row r="11" spans="1:13" ht="15">
      <c r="A11" s="216"/>
      <c r="B11" s="219"/>
      <c r="C11" s="218"/>
      <c r="D11" s="218"/>
      <c r="E11" s="214"/>
      <c r="F11" s="214"/>
      <c r="G11" s="214"/>
      <c r="H11" s="217"/>
      <c r="I11" s="214"/>
      <c r="J11" s="219"/>
      <c r="K11" s="222"/>
      <c r="L11" s="255"/>
    </row>
    <row r="12" spans="1:13" s="225" customFormat="1" ht="18.75">
      <c r="A12" s="256"/>
      <c r="B12" s="238" t="s">
        <v>449</v>
      </c>
      <c r="C12" s="238"/>
      <c r="D12" s="238">
        <f t="shared" ref="D12:K12" si="2">SUM(D4:D11)</f>
        <v>0</v>
      </c>
      <c r="E12" s="238">
        <f t="shared" si="2"/>
        <v>9070</v>
      </c>
      <c r="F12" s="238">
        <f t="shared" si="2"/>
        <v>6840</v>
      </c>
      <c r="G12" s="238">
        <f t="shared" si="2"/>
        <v>7700</v>
      </c>
      <c r="H12" s="238">
        <f t="shared" si="2"/>
        <v>67471</v>
      </c>
      <c r="I12" s="238">
        <f t="shared" si="2"/>
        <v>29380</v>
      </c>
      <c r="J12" s="238">
        <f t="shared" si="2"/>
        <v>15324</v>
      </c>
      <c r="K12" s="238">
        <f t="shared" si="2"/>
        <v>135785</v>
      </c>
      <c r="L12" s="256" t="s">
        <v>59</v>
      </c>
      <c r="M12" s="224"/>
    </row>
    <row r="13" spans="1:13" s="225" customFormat="1" ht="18.75">
      <c r="B13" s="226"/>
      <c r="C13" s="226"/>
      <c r="D13" s="226"/>
      <c r="E13" s="226"/>
      <c r="F13" s="226"/>
      <c r="G13" s="226"/>
      <c r="H13" s="226"/>
      <c r="I13" s="226"/>
      <c r="J13" s="226"/>
      <c r="K13" s="226"/>
      <c r="L13" s="223"/>
      <c r="M13" s="224"/>
    </row>
    <row r="14" spans="1:13" ht="18.75">
      <c r="B14" s="227"/>
      <c r="C14" s="227"/>
      <c r="D14" s="227"/>
      <c r="E14" s="227"/>
      <c r="F14" s="228"/>
      <c r="G14" s="229"/>
      <c r="H14" s="230"/>
      <c r="I14" s="231"/>
    </row>
  </sheetData>
  <mergeCells count="2">
    <mergeCell ref="A1:L1"/>
    <mergeCell ref="A2:L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G6" sqref="G6:L6"/>
    </sheetView>
  </sheetViews>
  <sheetFormatPr defaultRowHeight="15"/>
  <cols>
    <col min="1" max="1" width="8.85546875" style="93"/>
    <col min="2" max="2" width="41.28515625" customWidth="1"/>
    <col min="3" max="3" width="24.7109375" bestFit="1" customWidth="1"/>
    <col min="6" max="7" width="9" bestFit="1" customWidth="1"/>
    <col min="8" max="9" width="9.28515625" bestFit="1" customWidth="1"/>
    <col min="10" max="11" width="10.42578125" bestFit="1" customWidth="1"/>
    <col min="12" max="12" width="9.28515625" bestFit="1" customWidth="1"/>
    <col min="13" max="13" width="10.42578125" bestFit="1" customWidth="1"/>
  </cols>
  <sheetData>
    <row r="1" spans="1:13" ht="22.15" customHeight="1">
      <c r="A1" s="524" t="s">
        <v>425</v>
      </c>
      <c r="B1" s="525"/>
      <c r="C1" s="525"/>
      <c r="D1" s="525"/>
      <c r="E1" s="525"/>
      <c r="F1" s="525"/>
      <c r="G1" s="525"/>
      <c r="H1" s="525"/>
      <c r="I1" s="525"/>
      <c r="J1" s="525"/>
      <c r="K1" s="525"/>
      <c r="L1" s="525"/>
      <c r="M1" s="526"/>
    </row>
    <row r="2" spans="1:13" ht="19.899999999999999" customHeight="1">
      <c r="A2" s="527" t="s">
        <v>426</v>
      </c>
      <c r="B2" s="528"/>
      <c r="C2" s="528"/>
      <c r="D2" s="528"/>
      <c r="E2" s="528"/>
      <c r="F2" s="528"/>
      <c r="G2" s="528"/>
      <c r="H2" s="528"/>
      <c r="I2" s="528"/>
      <c r="J2" s="528"/>
      <c r="K2" s="528"/>
      <c r="L2" s="528"/>
      <c r="M2" s="529"/>
    </row>
    <row r="3" spans="1:13" ht="30">
      <c r="A3" s="189" t="s">
        <v>1</v>
      </c>
      <c r="B3" s="184" t="s">
        <v>191</v>
      </c>
      <c r="C3" s="176" t="s">
        <v>418</v>
      </c>
      <c r="D3" s="176" t="s">
        <v>60</v>
      </c>
      <c r="E3" s="176" t="s">
        <v>64</v>
      </c>
      <c r="F3" s="177" t="s">
        <v>458</v>
      </c>
      <c r="G3" s="177" t="s">
        <v>419</v>
      </c>
      <c r="H3" s="177" t="s">
        <v>420</v>
      </c>
      <c r="I3" s="177" t="s">
        <v>421</v>
      </c>
      <c r="J3" s="177" t="s">
        <v>422</v>
      </c>
      <c r="K3" s="177" t="s">
        <v>423</v>
      </c>
      <c r="L3" s="175" t="s">
        <v>424</v>
      </c>
      <c r="M3" s="190" t="s">
        <v>57</v>
      </c>
    </row>
    <row r="4" spans="1:13">
      <c r="A4" s="189"/>
      <c r="B4" s="233" t="s">
        <v>501</v>
      </c>
      <c r="C4" s="176"/>
      <c r="D4" s="176"/>
      <c r="E4" s="176"/>
      <c r="F4" s="177"/>
      <c r="G4" s="177"/>
      <c r="H4" s="177"/>
      <c r="I4" s="177"/>
      <c r="J4" s="177"/>
      <c r="K4" s="177"/>
      <c r="L4" s="175"/>
      <c r="M4" s="190"/>
    </row>
    <row r="5" spans="1:13">
      <c r="A5" s="191" t="s">
        <v>114</v>
      </c>
      <c r="B5" s="186" t="s">
        <v>435</v>
      </c>
      <c r="C5" s="180"/>
      <c r="D5" s="180"/>
      <c r="E5" s="180"/>
      <c r="F5" s="180"/>
      <c r="G5" s="180"/>
      <c r="H5" s="180"/>
      <c r="I5" s="180"/>
      <c r="J5" s="180"/>
      <c r="K5" s="180"/>
      <c r="L5" s="180"/>
      <c r="M5" s="202"/>
    </row>
    <row r="6" spans="1:13">
      <c r="A6" s="191">
        <v>1</v>
      </c>
      <c r="B6" s="185" t="s">
        <v>427</v>
      </c>
      <c r="C6" s="181" t="s">
        <v>428</v>
      </c>
      <c r="D6" s="180" t="s">
        <v>59</v>
      </c>
      <c r="E6" s="180">
        <v>1</v>
      </c>
      <c r="F6" s="180"/>
      <c r="G6" s="254">
        <f>'COLUMN BBS'!P590*$E$6</f>
        <v>0</v>
      </c>
      <c r="H6" s="254">
        <f>'COLUMN BBS'!Q590*$E$6</f>
        <v>631.19079711093491</v>
      </c>
      <c r="I6" s="254">
        <f>'COLUMN BBS'!R590*$E$6</f>
        <v>322.9620479999997</v>
      </c>
      <c r="J6" s="254">
        <f>'COLUMN BBS'!S590*$E$6</f>
        <v>773.44475999999997</v>
      </c>
      <c r="K6" s="254">
        <f>'COLUMN BBS'!T590*$E$6</f>
        <v>656.77868999999998</v>
      </c>
      <c r="L6" s="254">
        <f>'COLUMN BBS'!U590*$E$6</f>
        <v>76.619879999999995</v>
      </c>
      <c r="M6" s="278">
        <f>SUM(F6:L6)</f>
        <v>2460.9961751109349</v>
      </c>
    </row>
    <row r="7" spans="1:13">
      <c r="A7" s="191">
        <v>2</v>
      </c>
      <c r="B7" s="185" t="s">
        <v>429</v>
      </c>
      <c r="C7" s="181" t="s">
        <v>430</v>
      </c>
      <c r="D7" s="180" t="s">
        <v>59</v>
      </c>
      <c r="E7" s="180">
        <v>1</v>
      </c>
      <c r="F7" s="180"/>
      <c r="G7" s="254">
        <f>'RAFT BBS'!Q786*$E$7</f>
        <v>0</v>
      </c>
      <c r="H7" s="254">
        <f>'RAFT BBS'!R786*$E$7</f>
        <v>574.2480700000001</v>
      </c>
      <c r="I7" s="254">
        <f>'RAFT BBS'!S786*$E$7</f>
        <v>1138.05636</v>
      </c>
      <c r="J7" s="254">
        <f>'RAFT BBS'!T786*$E$7</f>
        <v>24893.957020000005</v>
      </c>
      <c r="K7" s="254">
        <f>'RAFT BBS'!U786*$E$7</f>
        <v>15376.006124999993</v>
      </c>
      <c r="L7" s="254">
        <f>'RAFT BBS'!V786*$E$7</f>
        <v>8483.9734800000006</v>
      </c>
      <c r="M7" s="278">
        <f>SUM(F7:L7)</f>
        <v>50466.241054999999</v>
      </c>
    </row>
    <row r="8" spans="1:13">
      <c r="A8" s="191"/>
      <c r="B8" s="185"/>
      <c r="C8" s="181"/>
      <c r="D8" s="180"/>
      <c r="E8" s="180"/>
      <c r="F8" s="180"/>
      <c r="G8" s="180"/>
      <c r="H8" s="180"/>
      <c r="I8" s="180"/>
      <c r="J8" s="180"/>
      <c r="K8" s="180"/>
      <c r="L8" s="180"/>
      <c r="M8" s="192"/>
    </row>
    <row r="9" spans="1:13" ht="20.45" customHeight="1">
      <c r="A9" s="191"/>
      <c r="B9" s="185"/>
      <c r="C9" s="181"/>
      <c r="D9" s="180"/>
      <c r="E9" s="201"/>
      <c r="F9" s="279">
        <f>SUM(F6:F8)</f>
        <v>0</v>
      </c>
      <c r="G9" s="279">
        <f>SUM(G6:G8)</f>
        <v>0</v>
      </c>
      <c r="H9" s="279">
        <f t="shared" ref="H9:L9" si="0">SUM(H6:H8)</f>
        <v>1205.438867110935</v>
      </c>
      <c r="I9" s="279">
        <f t="shared" si="0"/>
        <v>1461.0184079999997</v>
      </c>
      <c r="J9" s="279">
        <f t="shared" si="0"/>
        <v>25667.401780000004</v>
      </c>
      <c r="K9" s="279">
        <f t="shared" si="0"/>
        <v>16032.784814999992</v>
      </c>
      <c r="L9" s="279">
        <f t="shared" si="0"/>
        <v>8560.5933600000008</v>
      </c>
      <c r="M9" s="280">
        <f>SUM(M6:M8)</f>
        <v>52927.237230110935</v>
      </c>
    </row>
    <row r="10" spans="1:13" ht="30">
      <c r="A10" s="191" t="s">
        <v>117</v>
      </c>
      <c r="B10" s="187" t="s">
        <v>118</v>
      </c>
      <c r="C10" s="181"/>
      <c r="D10" s="180"/>
      <c r="E10" s="180"/>
      <c r="F10" s="180"/>
      <c r="G10" s="180"/>
      <c r="H10" s="180"/>
      <c r="I10" s="180"/>
      <c r="J10" s="180"/>
      <c r="K10" s="180"/>
      <c r="L10" s="180"/>
      <c r="M10" s="202"/>
    </row>
    <row r="11" spans="1:13">
      <c r="A11" s="191">
        <v>1</v>
      </c>
      <c r="B11" s="199"/>
      <c r="C11" s="181"/>
      <c r="D11" s="180"/>
      <c r="E11" s="180"/>
      <c r="F11" s="180"/>
      <c r="G11" s="180"/>
      <c r="H11" s="180"/>
      <c r="I11" s="180"/>
      <c r="J11" s="180"/>
      <c r="K11" s="180"/>
      <c r="L11" s="180"/>
      <c r="M11" s="192">
        <f>SUM(F11:L11)</f>
        <v>0</v>
      </c>
    </row>
    <row r="12" spans="1:13">
      <c r="A12" s="191">
        <v>2</v>
      </c>
      <c r="B12" s="199"/>
      <c r="C12" s="181"/>
      <c r="D12" s="180"/>
      <c r="E12" s="180"/>
      <c r="F12" s="180"/>
      <c r="G12" s="180"/>
      <c r="H12" s="180"/>
      <c r="I12" s="180"/>
      <c r="J12" s="180"/>
      <c r="K12" s="180"/>
      <c r="L12" s="180"/>
      <c r="M12" s="192">
        <f>SUM(F12:L12)</f>
        <v>0</v>
      </c>
    </row>
    <row r="13" spans="1:13">
      <c r="A13" s="191"/>
      <c r="B13" s="199"/>
      <c r="C13" s="181"/>
      <c r="D13" s="180"/>
      <c r="E13" s="180"/>
      <c r="F13" s="180"/>
      <c r="G13" s="180"/>
      <c r="H13" s="180"/>
      <c r="I13" s="180"/>
      <c r="J13" s="180"/>
      <c r="K13" s="180"/>
      <c r="L13" s="180"/>
      <c r="M13" s="192"/>
    </row>
    <row r="14" spans="1:13" ht="20.45" customHeight="1">
      <c r="A14" s="191"/>
      <c r="B14" s="185"/>
      <c r="C14" s="181"/>
      <c r="D14" s="180"/>
      <c r="E14" s="201"/>
      <c r="F14" s="183">
        <f>SUM(F11:F13)</f>
        <v>0</v>
      </c>
      <c r="G14" s="183">
        <f>SUM(G11:G13)</f>
        <v>0</v>
      </c>
      <c r="H14" s="183">
        <f t="shared" ref="H14:L14" si="1">SUM(H11:H13)</f>
        <v>0</v>
      </c>
      <c r="I14" s="183">
        <f t="shared" si="1"/>
        <v>0</v>
      </c>
      <c r="J14" s="183">
        <f t="shared" si="1"/>
        <v>0</v>
      </c>
      <c r="K14" s="183">
        <f t="shared" si="1"/>
        <v>0</v>
      </c>
      <c r="L14" s="183">
        <f t="shared" si="1"/>
        <v>0</v>
      </c>
      <c r="M14" s="193">
        <f>SUM(M11:M13)</f>
        <v>0</v>
      </c>
    </row>
    <row r="15" spans="1:13" ht="38.25">
      <c r="A15" s="191" t="s">
        <v>119</v>
      </c>
      <c r="B15" s="188" t="s">
        <v>90</v>
      </c>
      <c r="C15" s="181"/>
      <c r="D15" s="180"/>
      <c r="E15" s="180"/>
      <c r="F15" s="180"/>
      <c r="G15" s="180"/>
      <c r="H15" s="180"/>
      <c r="I15" s="180"/>
      <c r="J15" s="180"/>
      <c r="K15" s="180"/>
      <c r="L15" s="180"/>
      <c r="M15" s="202"/>
    </row>
    <row r="16" spans="1:13">
      <c r="A16" s="191">
        <v>1</v>
      </c>
      <c r="B16" s="200"/>
      <c r="C16" s="181"/>
      <c r="D16" s="180"/>
      <c r="E16" s="180"/>
      <c r="F16" s="180"/>
      <c r="G16" s="180"/>
      <c r="H16" s="180"/>
      <c r="I16" s="180"/>
      <c r="J16" s="180"/>
      <c r="K16" s="180"/>
      <c r="L16" s="180"/>
      <c r="M16" s="192">
        <f>SUM(F16:L16)</f>
        <v>0</v>
      </c>
    </row>
    <row r="17" spans="1:13">
      <c r="A17" s="191">
        <v>2</v>
      </c>
      <c r="B17" s="200"/>
      <c r="C17" s="181"/>
      <c r="D17" s="180"/>
      <c r="E17" s="180"/>
      <c r="F17" s="180"/>
      <c r="G17" s="180"/>
      <c r="H17" s="180"/>
      <c r="I17" s="180"/>
      <c r="J17" s="180"/>
      <c r="K17" s="180"/>
      <c r="L17" s="180"/>
      <c r="M17" s="192">
        <f>SUM(F17:L17)</f>
        <v>0</v>
      </c>
    </row>
    <row r="18" spans="1:13">
      <c r="A18" s="191"/>
      <c r="B18" s="185"/>
      <c r="C18" s="181"/>
      <c r="D18" s="180"/>
      <c r="E18" s="180"/>
      <c r="F18" s="180"/>
      <c r="G18" s="180"/>
      <c r="H18" s="180"/>
      <c r="I18" s="180"/>
      <c r="J18" s="180"/>
      <c r="K18" s="180"/>
      <c r="L18" s="180"/>
      <c r="M18" s="192"/>
    </row>
    <row r="19" spans="1:13" ht="20.45" customHeight="1">
      <c r="A19" s="191"/>
      <c r="B19" s="185"/>
      <c r="C19" s="181"/>
      <c r="D19" s="180"/>
      <c r="E19" s="201"/>
      <c r="F19" s="183">
        <f>SUM(F16:F18)</f>
        <v>0</v>
      </c>
      <c r="G19" s="183">
        <f>SUM(G16:G18)</f>
        <v>0</v>
      </c>
      <c r="H19" s="183">
        <f t="shared" ref="H19:M19" si="2">SUM(H16:H18)</f>
        <v>0</v>
      </c>
      <c r="I19" s="183">
        <f t="shared" si="2"/>
        <v>0</v>
      </c>
      <c r="J19" s="183">
        <f t="shared" si="2"/>
        <v>0</v>
      </c>
      <c r="K19" s="183">
        <f t="shared" si="2"/>
        <v>0</v>
      </c>
      <c r="L19" s="183">
        <f t="shared" si="2"/>
        <v>0</v>
      </c>
      <c r="M19" s="193">
        <f t="shared" si="2"/>
        <v>0</v>
      </c>
    </row>
    <row r="20" spans="1:13" ht="15.75" thickBot="1">
      <c r="A20" s="194"/>
      <c r="B20" s="195"/>
      <c r="C20" s="196"/>
      <c r="D20" s="197"/>
      <c r="E20" s="197"/>
      <c r="F20" s="197"/>
      <c r="G20" s="197"/>
      <c r="H20" s="197"/>
      <c r="I20" s="197"/>
      <c r="J20" s="197"/>
      <c r="K20" s="197"/>
      <c r="L20" s="197"/>
      <c r="M20" s="198"/>
    </row>
    <row r="21" spans="1:13">
      <c r="C21" s="93"/>
      <c r="D21" s="93"/>
      <c r="E21" s="93"/>
      <c r="F21" s="93"/>
      <c r="G21" s="93"/>
      <c r="H21" s="93"/>
      <c r="I21" s="93"/>
      <c r="J21" s="93"/>
      <c r="K21" s="93"/>
      <c r="L21" s="93"/>
      <c r="M21" s="93"/>
    </row>
  </sheetData>
  <mergeCells count="2">
    <mergeCell ref="A1:M1"/>
    <mergeCell ref="A2:M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789"/>
  <sheetViews>
    <sheetView view="pageBreakPreview" zoomScale="85" zoomScaleNormal="85" zoomScaleSheetLayoutView="85" workbookViewId="0">
      <pane xSplit="1" ySplit="4" topLeftCell="B571" activePane="bottomRight" state="frozen"/>
      <selection pane="topRight" activeCell="B1" sqref="B1"/>
      <selection pane="bottomLeft" activeCell="A5" sqref="A5"/>
      <selection pane="bottomRight" activeCell="D576" sqref="D576:E576"/>
    </sheetView>
  </sheetViews>
  <sheetFormatPr defaultRowHeight="15"/>
  <cols>
    <col min="1" max="1" width="6.85546875" customWidth="1"/>
    <col min="2" max="2" width="30.28515625" customWidth="1"/>
    <col min="3" max="5" width="7.5703125" customWidth="1"/>
    <col min="6" max="6" width="8.5703125" customWidth="1"/>
    <col min="7" max="10" width="8.85546875" customWidth="1"/>
    <col min="11" max="11" width="8.85546875" style="142" customWidth="1"/>
    <col min="12" max="12" width="6.7109375" customWidth="1"/>
    <col min="13" max="13" width="8.85546875" customWidth="1"/>
    <col min="14" max="14" width="10" customWidth="1"/>
    <col min="15" max="15" width="8.85546875" customWidth="1"/>
    <col min="16" max="16" width="11.85546875" bestFit="1" customWidth="1"/>
    <col min="17" max="22" width="9.5703125" customWidth="1"/>
  </cols>
  <sheetData>
    <row r="1" spans="1:23" ht="18.75">
      <c r="A1" s="532" t="s">
        <v>219</v>
      </c>
      <c r="B1" s="532"/>
      <c r="C1" s="94"/>
      <c r="D1" s="94"/>
      <c r="E1" s="94"/>
      <c r="F1" s="94"/>
      <c r="G1" s="94"/>
      <c r="H1" s="94"/>
      <c r="I1" s="94"/>
      <c r="J1" s="94"/>
      <c r="K1" s="95"/>
      <c r="L1" s="94"/>
      <c r="M1" s="94"/>
      <c r="N1" s="94"/>
      <c r="O1" s="94"/>
      <c r="P1" s="94"/>
      <c r="Q1" s="94"/>
      <c r="R1" s="94"/>
      <c r="S1" s="94"/>
      <c r="T1" s="94"/>
      <c r="U1" s="94"/>
      <c r="V1" s="94"/>
      <c r="W1" s="94"/>
    </row>
    <row r="2" spans="1:23" ht="15.75">
      <c r="A2" s="96"/>
      <c r="B2" s="97"/>
      <c r="C2" s="97"/>
      <c r="D2" s="97"/>
      <c r="E2" s="97"/>
      <c r="F2" s="97"/>
      <c r="G2" s="96"/>
      <c r="H2" s="97"/>
      <c r="I2" s="97"/>
      <c r="J2" s="97"/>
      <c r="K2" s="98"/>
      <c r="L2" s="97"/>
      <c r="M2" s="97"/>
      <c r="N2" s="97"/>
      <c r="O2" s="97"/>
      <c r="P2" s="97"/>
      <c r="Q2" s="97"/>
      <c r="R2" s="97"/>
      <c r="S2" s="97"/>
      <c r="T2" s="97"/>
      <c r="U2" s="97"/>
      <c r="V2" s="97"/>
      <c r="W2" s="97"/>
    </row>
    <row r="3" spans="1:23" ht="54.75" customHeight="1">
      <c r="A3" s="99" t="s">
        <v>50</v>
      </c>
      <c r="B3" s="99" t="s">
        <v>51</v>
      </c>
      <c r="C3" s="533" t="s">
        <v>220</v>
      </c>
      <c r="D3" s="533"/>
      <c r="E3" s="533"/>
      <c r="F3" s="534"/>
      <c r="G3" s="100" t="s">
        <v>221</v>
      </c>
      <c r="H3" s="100" t="s">
        <v>222</v>
      </c>
      <c r="I3" s="100" t="s">
        <v>223</v>
      </c>
      <c r="J3" s="100" t="s">
        <v>224</v>
      </c>
      <c r="K3" s="100" t="s">
        <v>225</v>
      </c>
      <c r="L3" s="99" t="s">
        <v>226</v>
      </c>
      <c r="M3" s="100" t="s">
        <v>227</v>
      </c>
      <c r="N3" s="100" t="s">
        <v>228</v>
      </c>
      <c r="O3" s="100" t="s">
        <v>229</v>
      </c>
      <c r="P3" s="99" t="s">
        <v>230</v>
      </c>
      <c r="Q3" s="534" t="s">
        <v>231</v>
      </c>
      <c r="R3" s="535"/>
      <c r="S3" s="535"/>
      <c r="T3" s="535"/>
      <c r="U3" s="535"/>
      <c r="V3" s="536"/>
      <c r="W3" s="99" t="s">
        <v>232</v>
      </c>
    </row>
    <row r="4" spans="1:23">
      <c r="A4" s="101" t="s">
        <v>233</v>
      </c>
      <c r="B4" s="102" t="s">
        <v>234</v>
      </c>
      <c r="C4" s="103"/>
      <c r="D4" s="104"/>
      <c r="E4" s="104"/>
      <c r="F4" s="105"/>
      <c r="G4" s="106"/>
      <c r="H4" s="107"/>
      <c r="I4" s="108"/>
      <c r="J4" s="108"/>
      <c r="K4" s="109"/>
      <c r="L4" s="108"/>
      <c r="M4" s="108"/>
      <c r="N4" s="108"/>
      <c r="O4" s="108"/>
      <c r="P4" s="110"/>
      <c r="Q4" s="111" t="s">
        <v>235</v>
      </c>
      <c r="R4" s="111" t="s">
        <v>236</v>
      </c>
      <c r="S4" s="111" t="s">
        <v>237</v>
      </c>
      <c r="T4" s="111" t="s">
        <v>238</v>
      </c>
      <c r="U4" s="111" t="s">
        <v>239</v>
      </c>
      <c r="V4" s="111" t="s">
        <v>240</v>
      </c>
      <c r="W4" s="111"/>
    </row>
    <row r="5" spans="1:23">
      <c r="A5" s="101"/>
      <c r="B5" s="112" t="s">
        <v>241</v>
      </c>
      <c r="C5" s="103"/>
      <c r="D5" s="104"/>
      <c r="E5" s="104"/>
      <c r="F5" s="105"/>
      <c r="G5" s="106"/>
      <c r="H5" s="107"/>
      <c r="I5" s="108"/>
      <c r="J5" s="108"/>
      <c r="K5" s="109"/>
      <c r="L5" s="108"/>
      <c r="M5" s="108"/>
      <c r="N5" s="108"/>
      <c r="O5" s="108"/>
      <c r="P5" s="110"/>
      <c r="Q5" s="113" t="str">
        <f>IF($H5=8,$P5,"")</f>
        <v/>
      </c>
      <c r="R5" s="113" t="str">
        <f>IF($H5=10,$P5,"")</f>
        <v/>
      </c>
      <c r="S5" s="113" t="str">
        <f>IF($H5=12,$P5,"")</f>
        <v/>
      </c>
      <c r="T5" s="113" t="str">
        <f>IF($H5=16,$P5,"")</f>
        <v/>
      </c>
      <c r="U5" s="113" t="str">
        <f>IF($H5=20,$P5,"")</f>
        <v/>
      </c>
      <c r="V5" s="113" t="str">
        <f>IF($H5=25,$P5,"")</f>
        <v/>
      </c>
      <c r="W5" s="114"/>
    </row>
    <row r="6" spans="1:23">
      <c r="A6" s="101">
        <v>1</v>
      </c>
      <c r="B6" s="115" t="s">
        <v>242</v>
      </c>
      <c r="C6" s="103"/>
      <c r="D6" s="104"/>
      <c r="E6" s="104"/>
      <c r="F6" s="105"/>
      <c r="G6" s="106"/>
      <c r="H6" s="107"/>
      <c r="I6" s="108"/>
      <c r="J6" s="108"/>
      <c r="K6" s="109"/>
      <c r="L6" s="108"/>
      <c r="M6" s="108"/>
      <c r="N6" s="108"/>
      <c r="O6" s="108"/>
      <c r="P6" s="110"/>
      <c r="Q6" s="113" t="str">
        <f t="shared" ref="Q6:Q108" si="0">IF($H6=8,$P6,"")</f>
        <v/>
      </c>
      <c r="R6" s="113" t="str">
        <f t="shared" ref="R6:R108" si="1">IF($H6=10,$P6,"")</f>
        <v/>
      </c>
      <c r="S6" s="113" t="str">
        <f t="shared" ref="S6:S108" si="2">IF($H6=12,$P6,"")</f>
        <v/>
      </c>
      <c r="T6" s="113" t="str">
        <f t="shared" ref="T6:T108" si="3">IF($H6=16,$P6,"")</f>
        <v/>
      </c>
      <c r="U6" s="113" t="str">
        <f t="shared" ref="U6:U108" si="4">IF($H6=20,$P6,"")</f>
        <v/>
      </c>
      <c r="V6" s="113" t="str">
        <f t="shared" ref="V6:V108" si="5">IF($H6=25,$P6,"")</f>
        <v/>
      </c>
      <c r="W6" s="114"/>
    </row>
    <row r="7" spans="1:23">
      <c r="A7" s="101"/>
      <c r="B7" t="s">
        <v>243</v>
      </c>
      <c r="C7" s="116">
        <v>0.5</v>
      </c>
      <c r="D7" s="530">
        <f>21.65-2*0.05</f>
        <v>21.549999999999997</v>
      </c>
      <c r="E7" s="531"/>
      <c r="F7" s="116">
        <v>0.5</v>
      </c>
      <c r="G7" s="117">
        <v>0.25</v>
      </c>
      <c r="H7" s="107">
        <v>16</v>
      </c>
      <c r="I7" s="108">
        <v>1</v>
      </c>
      <c r="J7" s="110">
        <f>ROUNDDOWN(8.855/G7/2+1,0)</f>
        <v>18</v>
      </c>
      <c r="K7" s="118">
        <f>D7</f>
        <v>21.549999999999997</v>
      </c>
      <c r="L7" s="119">
        <f>IF(O7&lt;12,"0",0.049*H7)*2</f>
        <v>1.5680000000000001</v>
      </c>
      <c r="M7" s="120">
        <v>2</v>
      </c>
      <c r="N7" s="108">
        <f>M7*2*H7/1000</f>
        <v>6.4000000000000001E-2</v>
      </c>
      <c r="O7" s="121">
        <f>(D7+C7+F7)-N7</f>
        <v>22.485999999999997</v>
      </c>
      <c r="P7" s="121">
        <f>(I7*J7*O7)+L7</f>
        <v>406.31599999999992</v>
      </c>
      <c r="Q7" s="113" t="str">
        <f t="shared" si="0"/>
        <v/>
      </c>
      <c r="R7" s="113" t="str">
        <f t="shared" si="1"/>
        <v/>
      </c>
      <c r="S7" s="113" t="str">
        <f t="shared" si="2"/>
        <v/>
      </c>
      <c r="T7" s="113">
        <f t="shared" si="3"/>
        <v>406.31599999999992</v>
      </c>
      <c r="U7" s="113" t="str">
        <f t="shared" si="4"/>
        <v/>
      </c>
      <c r="V7" s="113" t="str">
        <f t="shared" si="5"/>
        <v/>
      </c>
      <c r="W7" s="114"/>
    </row>
    <row r="8" spans="1:23">
      <c r="A8" s="101"/>
      <c r="B8" s="114"/>
      <c r="C8" s="103"/>
      <c r="D8" s="104"/>
      <c r="E8" s="104"/>
      <c r="F8" s="105"/>
      <c r="G8" s="106"/>
      <c r="H8" s="107"/>
      <c r="I8" s="108"/>
      <c r="J8" s="108"/>
      <c r="K8" s="118"/>
      <c r="L8" s="121"/>
      <c r="M8" s="121"/>
      <c r="N8" s="108"/>
      <c r="O8" s="121"/>
      <c r="P8" s="121"/>
      <c r="Q8" s="113" t="str">
        <f t="shared" si="0"/>
        <v/>
      </c>
      <c r="R8" s="113" t="str">
        <f t="shared" si="1"/>
        <v/>
      </c>
      <c r="S8" s="113" t="str">
        <f t="shared" si="2"/>
        <v/>
      </c>
      <c r="T8" s="113" t="str">
        <f t="shared" si="3"/>
        <v/>
      </c>
      <c r="U8" s="113" t="str">
        <f t="shared" si="4"/>
        <v/>
      </c>
      <c r="V8" s="113" t="str">
        <f t="shared" si="5"/>
        <v/>
      </c>
      <c r="W8" s="114"/>
    </row>
    <row r="9" spans="1:23">
      <c r="A9" s="101">
        <v>1</v>
      </c>
      <c r="B9" s="115" t="s">
        <v>242</v>
      </c>
      <c r="C9" s="103"/>
      <c r="D9" s="104"/>
      <c r="E9" s="104"/>
      <c r="F9" s="105"/>
      <c r="G9" s="106"/>
      <c r="H9" s="107"/>
      <c r="I9" s="108"/>
      <c r="J9" s="108"/>
      <c r="K9" s="109"/>
      <c r="L9" s="108"/>
      <c r="M9" s="108"/>
      <c r="N9" s="108"/>
      <c r="O9" s="108"/>
      <c r="P9" s="110"/>
      <c r="Q9" s="113" t="str">
        <f t="shared" si="0"/>
        <v/>
      </c>
      <c r="R9" s="113" t="str">
        <f t="shared" si="1"/>
        <v/>
      </c>
      <c r="S9" s="113" t="str">
        <f t="shared" si="2"/>
        <v/>
      </c>
      <c r="T9" s="113" t="str">
        <f t="shared" si="3"/>
        <v/>
      </c>
      <c r="U9" s="113" t="str">
        <f t="shared" si="4"/>
        <v/>
      </c>
      <c r="V9" s="113" t="str">
        <f t="shared" si="5"/>
        <v/>
      </c>
      <c r="W9" s="114"/>
    </row>
    <row r="10" spans="1:23">
      <c r="A10" s="101"/>
      <c r="B10" t="s">
        <v>243</v>
      </c>
      <c r="C10" s="116">
        <v>0.5</v>
      </c>
      <c r="D10" s="530">
        <f>21.65-2*0.05</f>
        <v>21.549999999999997</v>
      </c>
      <c r="E10" s="531"/>
      <c r="F10" s="116">
        <v>0.5</v>
      </c>
      <c r="G10" s="117">
        <v>0.25</v>
      </c>
      <c r="H10" s="107">
        <v>16</v>
      </c>
      <c r="I10" s="108">
        <v>1</v>
      </c>
      <c r="J10" s="110">
        <f>ROUNDDOWN(8.855/G10/2,0)</f>
        <v>17</v>
      </c>
      <c r="K10" s="118">
        <f>D10</f>
        <v>21.549999999999997</v>
      </c>
      <c r="L10" s="119">
        <f>IF(O10&lt;12,"0",0.049*H10)</f>
        <v>0.78400000000000003</v>
      </c>
      <c r="M10" s="120">
        <v>2</v>
      </c>
      <c r="N10" s="108">
        <f>M10*2*H10/1000</f>
        <v>6.4000000000000001E-2</v>
      </c>
      <c r="O10" s="121">
        <f>(D10+C10+F10)-N10</f>
        <v>22.485999999999997</v>
      </c>
      <c r="P10" s="121">
        <f>(I10*J10*O10)+L10</f>
        <v>383.04599999999994</v>
      </c>
      <c r="Q10" s="113" t="str">
        <f t="shared" si="0"/>
        <v/>
      </c>
      <c r="R10" s="113" t="str">
        <f t="shared" si="1"/>
        <v/>
      </c>
      <c r="S10" s="113" t="str">
        <f t="shared" si="2"/>
        <v/>
      </c>
      <c r="T10" s="113">
        <f t="shared" si="3"/>
        <v>383.04599999999994</v>
      </c>
      <c r="U10" s="113" t="str">
        <f t="shared" si="4"/>
        <v/>
      </c>
      <c r="V10" s="113" t="str">
        <f t="shared" si="5"/>
        <v/>
      </c>
      <c r="W10" s="114"/>
    </row>
    <row r="11" spans="1:23">
      <c r="A11" s="101"/>
      <c r="B11" s="114"/>
      <c r="C11" s="103"/>
      <c r="D11" s="104"/>
      <c r="E11" s="104"/>
      <c r="F11" s="105"/>
      <c r="G11" s="106"/>
      <c r="H11" s="107"/>
      <c r="I11" s="108"/>
      <c r="J11" s="108"/>
      <c r="K11" s="118"/>
      <c r="L11" s="121"/>
      <c r="M11" s="121"/>
      <c r="N11" s="108"/>
      <c r="O11" s="121"/>
      <c r="P11" s="121"/>
      <c r="Q11" s="113" t="str">
        <f t="shared" si="0"/>
        <v/>
      </c>
      <c r="R11" s="113" t="str">
        <f t="shared" si="1"/>
        <v/>
      </c>
      <c r="S11" s="113" t="str">
        <f t="shared" si="2"/>
        <v/>
      </c>
      <c r="T11" s="113" t="str">
        <f t="shared" si="3"/>
        <v/>
      </c>
      <c r="U11" s="113" t="str">
        <f t="shared" si="4"/>
        <v/>
      </c>
      <c r="V11" s="113" t="str">
        <f t="shared" si="5"/>
        <v/>
      </c>
      <c r="W11" s="114"/>
    </row>
    <row r="12" spans="1:23">
      <c r="A12" s="101">
        <v>2</v>
      </c>
      <c r="B12" s="115" t="s">
        <v>244</v>
      </c>
      <c r="C12" s="103"/>
      <c r="D12" s="104"/>
      <c r="E12" s="104"/>
      <c r="F12" s="105"/>
      <c r="G12" s="106"/>
      <c r="H12" s="107"/>
      <c r="I12" s="108"/>
      <c r="J12" s="108"/>
      <c r="K12" s="109"/>
      <c r="L12" s="108"/>
      <c r="M12" s="108"/>
      <c r="N12" s="108"/>
      <c r="O12" s="108"/>
      <c r="P12" s="110"/>
      <c r="Q12" s="113" t="str">
        <f t="shared" si="0"/>
        <v/>
      </c>
      <c r="R12" s="113" t="str">
        <f t="shared" si="1"/>
        <v/>
      </c>
      <c r="S12" s="113" t="str">
        <f t="shared" si="2"/>
        <v/>
      </c>
      <c r="T12" s="113" t="str">
        <f t="shared" si="3"/>
        <v/>
      </c>
      <c r="U12" s="113" t="str">
        <f t="shared" si="4"/>
        <v/>
      </c>
      <c r="V12" s="113" t="str">
        <f t="shared" si="5"/>
        <v/>
      </c>
      <c r="W12" s="114"/>
    </row>
    <row r="13" spans="1:23">
      <c r="A13" s="101"/>
      <c r="B13" t="s">
        <v>243</v>
      </c>
      <c r="C13" s="116">
        <v>0.5</v>
      </c>
      <c r="D13" s="530">
        <f>21.65+0.515-2*0.05</f>
        <v>22.064999999999998</v>
      </c>
      <c r="E13" s="531"/>
      <c r="F13" s="116">
        <v>0.5</v>
      </c>
      <c r="G13" s="117">
        <v>0.25</v>
      </c>
      <c r="H13" s="107">
        <v>16</v>
      </c>
      <c r="I13" s="108">
        <v>1</v>
      </c>
      <c r="J13" s="110">
        <f>ROUNDDOWN(2.535/G13/2+1,0)</f>
        <v>6</v>
      </c>
      <c r="K13" s="118">
        <f>D13</f>
        <v>22.064999999999998</v>
      </c>
      <c r="L13" s="121">
        <f>IF(O13&lt;12,"0",0.049*H13)*2</f>
        <v>1.5680000000000001</v>
      </c>
      <c r="M13" s="120">
        <v>2</v>
      </c>
      <c r="N13" s="108">
        <f>M13*2*H13/1000</f>
        <v>6.4000000000000001E-2</v>
      </c>
      <c r="O13" s="121">
        <f>(D13+C13+F13)-N13</f>
        <v>23.000999999999998</v>
      </c>
      <c r="P13" s="121">
        <f>(I13*J13*O13)+L13</f>
        <v>139.57399999999998</v>
      </c>
      <c r="Q13" s="113" t="str">
        <f t="shared" si="0"/>
        <v/>
      </c>
      <c r="R13" s="113" t="str">
        <f t="shared" si="1"/>
        <v/>
      </c>
      <c r="S13" s="113" t="str">
        <f t="shared" si="2"/>
        <v/>
      </c>
      <c r="T13" s="113">
        <f t="shared" si="3"/>
        <v>139.57399999999998</v>
      </c>
      <c r="U13" s="113" t="str">
        <f t="shared" si="4"/>
        <v/>
      </c>
      <c r="V13" s="113" t="str">
        <f t="shared" si="5"/>
        <v/>
      </c>
      <c r="W13" s="114"/>
    </row>
    <row r="14" spans="1:23">
      <c r="A14" s="101"/>
      <c r="B14" s="114"/>
      <c r="C14" s="103"/>
      <c r="D14" s="104"/>
      <c r="E14" s="104"/>
      <c r="F14" s="105"/>
      <c r="G14" s="106"/>
      <c r="H14" s="107"/>
      <c r="I14" s="108"/>
      <c r="J14" s="108"/>
      <c r="K14" s="109"/>
      <c r="L14" s="108"/>
      <c r="M14" s="108"/>
      <c r="N14" s="108"/>
      <c r="O14" s="108"/>
      <c r="P14" s="110"/>
      <c r="Q14" s="113" t="str">
        <f t="shared" si="0"/>
        <v/>
      </c>
      <c r="R14" s="113" t="str">
        <f t="shared" si="1"/>
        <v/>
      </c>
      <c r="S14" s="113" t="str">
        <f t="shared" si="2"/>
        <v/>
      </c>
      <c r="T14" s="113" t="str">
        <f t="shared" si="3"/>
        <v/>
      </c>
      <c r="U14" s="113" t="str">
        <f t="shared" si="4"/>
        <v/>
      </c>
      <c r="V14" s="113" t="str">
        <f t="shared" si="5"/>
        <v/>
      </c>
      <c r="W14" s="114"/>
    </row>
    <row r="15" spans="1:23">
      <c r="A15" s="101">
        <v>2</v>
      </c>
      <c r="B15" s="115" t="s">
        <v>244</v>
      </c>
      <c r="C15" s="103"/>
      <c r="D15" s="104"/>
      <c r="E15" s="104"/>
      <c r="F15" s="105"/>
      <c r="G15" s="106"/>
      <c r="H15" s="107"/>
      <c r="I15" s="108"/>
      <c r="J15" s="108"/>
      <c r="K15" s="109"/>
      <c r="L15" s="108"/>
      <c r="M15" s="108"/>
      <c r="N15" s="108"/>
      <c r="O15" s="108"/>
      <c r="P15" s="110"/>
      <c r="Q15" s="113" t="str">
        <f t="shared" si="0"/>
        <v/>
      </c>
      <c r="R15" s="113" t="str">
        <f t="shared" si="1"/>
        <v/>
      </c>
      <c r="S15" s="113" t="str">
        <f t="shared" si="2"/>
        <v/>
      </c>
      <c r="T15" s="113" t="str">
        <f t="shared" si="3"/>
        <v/>
      </c>
      <c r="U15" s="113" t="str">
        <f t="shared" si="4"/>
        <v/>
      </c>
      <c r="V15" s="113" t="str">
        <f t="shared" si="5"/>
        <v/>
      </c>
      <c r="W15" s="114"/>
    </row>
    <row r="16" spans="1:23">
      <c r="A16" s="101"/>
      <c r="B16" t="s">
        <v>243</v>
      </c>
      <c r="C16" s="116">
        <v>0.5</v>
      </c>
      <c r="D16" s="530">
        <f>21.65+0.515-2*0.05</f>
        <v>22.064999999999998</v>
      </c>
      <c r="E16" s="531"/>
      <c r="F16" s="116">
        <v>0.5</v>
      </c>
      <c r="G16" s="117">
        <v>0.25</v>
      </c>
      <c r="H16" s="107">
        <v>16</v>
      </c>
      <c r="I16" s="108">
        <v>1</v>
      </c>
      <c r="J16" s="110">
        <f>ROUNDDOWN(2.535/G16/2,0)</f>
        <v>5</v>
      </c>
      <c r="K16" s="118">
        <f>D16</f>
        <v>22.064999999999998</v>
      </c>
      <c r="L16" s="121">
        <f>IF(O16&lt;12,"0",0.049*H16)</f>
        <v>0.78400000000000003</v>
      </c>
      <c r="M16" s="120">
        <v>2</v>
      </c>
      <c r="N16" s="108">
        <f>M16*2*H16/1000</f>
        <v>6.4000000000000001E-2</v>
      </c>
      <c r="O16" s="121">
        <f>(D16+C16+F16)-N16</f>
        <v>23.000999999999998</v>
      </c>
      <c r="P16" s="121">
        <f>(I16*J16*O16)+L16</f>
        <v>115.789</v>
      </c>
      <c r="Q16" s="113" t="str">
        <f t="shared" si="0"/>
        <v/>
      </c>
      <c r="R16" s="113" t="str">
        <f t="shared" si="1"/>
        <v/>
      </c>
      <c r="S16" s="113" t="str">
        <f t="shared" si="2"/>
        <v/>
      </c>
      <c r="T16" s="113">
        <f t="shared" si="3"/>
        <v>115.789</v>
      </c>
      <c r="U16" s="113" t="str">
        <f t="shared" si="4"/>
        <v/>
      </c>
      <c r="V16" s="113" t="str">
        <f t="shared" si="5"/>
        <v/>
      </c>
      <c r="W16" s="114"/>
    </row>
    <row r="17" spans="1:23">
      <c r="A17" s="101"/>
      <c r="B17" s="114"/>
      <c r="C17" s="103"/>
      <c r="D17" s="104"/>
      <c r="E17" s="104"/>
      <c r="F17" s="105"/>
      <c r="G17" s="106"/>
      <c r="H17" s="107"/>
      <c r="I17" s="108"/>
      <c r="J17" s="108"/>
      <c r="K17" s="109"/>
      <c r="L17" s="108"/>
      <c r="M17" s="108"/>
      <c r="N17" s="108"/>
      <c r="O17" s="108"/>
      <c r="P17" s="110"/>
      <c r="Q17" s="113" t="str">
        <f t="shared" si="0"/>
        <v/>
      </c>
      <c r="R17" s="113" t="str">
        <f t="shared" si="1"/>
        <v/>
      </c>
      <c r="S17" s="113" t="str">
        <f t="shared" si="2"/>
        <v/>
      </c>
      <c r="T17" s="113" t="str">
        <f t="shared" si="3"/>
        <v/>
      </c>
      <c r="U17" s="113" t="str">
        <f t="shared" si="4"/>
        <v/>
      </c>
      <c r="V17" s="113" t="str">
        <f t="shared" si="5"/>
        <v/>
      </c>
      <c r="W17" s="114"/>
    </row>
    <row r="18" spans="1:23">
      <c r="A18" s="101">
        <v>3</v>
      </c>
      <c r="B18" s="115" t="s">
        <v>245</v>
      </c>
      <c r="C18" s="103"/>
      <c r="D18" s="104"/>
      <c r="E18" s="104"/>
      <c r="F18" s="105"/>
      <c r="G18" s="106"/>
      <c r="H18" s="107"/>
      <c r="I18" s="108"/>
      <c r="J18" s="108"/>
      <c r="K18" s="109"/>
      <c r="L18" s="108"/>
      <c r="M18" s="108"/>
      <c r="N18" s="108"/>
      <c r="O18" s="108"/>
      <c r="P18" s="110"/>
      <c r="Q18" s="113" t="str">
        <f t="shared" si="0"/>
        <v/>
      </c>
      <c r="R18" s="113" t="str">
        <f t="shared" si="1"/>
        <v/>
      </c>
      <c r="S18" s="113" t="str">
        <f t="shared" si="2"/>
        <v/>
      </c>
      <c r="T18" s="113" t="str">
        <f t="shared" si="3"/>
        <v/>
      </c>
      <c r="U18" s="113" t="str">
        <f t="shared" si="4"/>
        <v/>
      </c>
      <c r="V18" s="113" t="str">
        <f t="shared" si="5"/>
        <v/>
      </c>
      <c r="W18" s="114"/>
    </row>
    <row r="19" spans="1:23">
      <c r="A19" s="101"/>
      <c r="B19" t="s">
        <v>243</v>
      </c>
      <c r="C19" s="116">
        <v>0.5</v>
      </c>
      <c r="D19" s="530">
        <f>32.45-2*0.05</f>
        <v>32.35</v>
      </c>
      <c r="E19" s="531"/>
      <c r="F19" s="116">
        <v>0.5</v>
      </c>
      <c r="G19" s="117">
        <v>0.25</v>
      </c>
      <c r="H19" s="107">
        <v>16</v>
      </c>
      <c r="I19" s="108">
        <v>1</v>
      </c>
      <c r="J19" s="110">
        <f>ROUND(6.245/G19/2+1,0)</f>
        <v>13</v>
      </c>
      <c r="K19" s="118">
        <f>D19</f>
        <v>32.35</v>
      </c>
      <c r="L19" s="121">
        <f>IF(O19&lt;12,"0",0.049*H19)*3</f>
        <v>2.3520000000000003</v>
      </c>
      <c r="M19" s="120">
        <v>2</v>
      </c>
      <c r="N19" s="108">
        <f>M19*2*H19/1000</f>
        <v>6.4000000000000001E-2</v>
      </c>
      <c r="O19" s="121">
        <f>(D19+C19+F19)-N19</f>
        <v>33.286000000000001</v>
      </c>
      <c r="P19" s="121">
        <f>(I19*J19*O19)+L19</f>
        <v>435.07</v>
      </c>
      <c r="Q19" s="113" t="str">
        <f t="shared" si="0"/>
        <v/>
      </c>
      <c r="R19" s="113" t="str">
        <f t="shared" si="1"/>
        <v/>
      </c>
      <c r="S19" s="113" t="str">
        <f t="shared" si="2"/>
        <v/>
      </c>
      <c r="T19" s="113">
        <f t="shared" si="3"/>
        <v>435.07</v>
      </c>
      <c r="U19" s="113" t="str">
        <f t="shared" si="4"/>
        <v/>
      </c>
      <c r="V19" s="113" t="str">
        <f t="shared" si="5"/>
        <v/>
      </c>
      <c r="W19" s="114"/>
    </row>
    <row r="20" spans="1:23">
      <c r="A20" s="101"/>
      <c r="B20" s="122"/>
      <c r="C20" s="103"/>
      <c r="D20" s="104"/>
      <c r="E20" s="123"/>
      <c r="F20" s="105"/>
      <c r="G20" s="106"/>
      <c r="H20" s="107"/>
      <c r="I20" s="108"/>
      <c r="J20" s="108"/>
      <c r="K20" s="109"/>
      <c r="L20" s="108"/>
      <c r="M20" s="108"/>
      <c r="N20" s="108"/>
      <c r="O20" s="108"/>
      <c r="P20" s="110"/>
      <c r="Q20" s="113" t="str">
        <f t="shared" si="0"/>
        <v/>
      </c>
      <c r="R20" s="113" t="str">
        <f t="shared" si="1"/>
        <v/>
      </c>
      <c r="S20" s="113" t="str">
        <f t="shared" si="2"/>
        <v/>
      </c>
      <c r="T20" s="113" t="str">
        <f t="shared" si="3"/>
        <v/>
      </c>
      <c r="U20" s="113" t="str">
        <f t="shared" si="4"/>
        <v/>
      </c>
      <c r="V20" s="113" t="str">
        <f t="shared" si="5"/>
        <v/>
      </c>
      <c r="W20" s="114"/>
    </row>
    <row r="21" spans="1:23">
      <c r="A21" s="101">
        <v>3</v>
      </c>
      <c r="B21" s="115" t="s">
        <v>245</v>
      </c>
      <c r="C21" s="103"/>
      <c r="D21" s="104"/>
      <c r="E21" s="104"/>
      <c r="F21" s="105"/>
      <c r="G21" s="106"/>
      <c r="H21" s="107"/>
      <c r="I21" s="108"/>
      <c r="J21" s="108"/>
      <c r="K21" s="109"/>
      <c r="L21" s="108"/>
      <c r="M21" s="108"/>
      <c r="N21" s="108"/>
      <c r="O21" s="108"/>
      <c r="P21" s="110"/>
      <c r="Q21" s="113" t="str">
        <f t="shared" si="0"/>
        <v/>
      </c>
      <c r="R21" s="113" t="str">
        <f t="shared" si="1"/>
        <v/>
      </c>
      <c r="S21" s="113" t="str">
        <f t="shared" si="2"/>
        <v/>
      </c>
      <c r="T21" s="113" t="str">
        <f t="shared" si="3"/>
        <v/>
      </c>
      <c r="U21" s="113" t="str">
        <f t="shared" si="4"/>
        <v/>
      </c>
      <c r="V21" s="113" t="str">
        <f t="shared" si="5"/>
        <v/>
      </c>
      <c r="W21" s="114"/>
    </row>
    <row r="22" spans="1:23">
      <c r="A22" s="101"/>
      <c r="B22" t="s">
        <v>243</v>
      </c>
      <c r="C22" s="116">
        <v>0.5</v>
      </c>
      <c r="D22" s="530">
        <f>32.45-2*0.05</f>
        <v>32.35</v>
      </c>
      <c r="E22" s="531"/>
      <c r="F22" s="116">
        <v>0.5</v>
      </c>
      <c r="G22" s="117">
        <v>0.25</v>
      </c>
      <c r="H22" s="107">
        <v>16</v>
      </c>
      <c r="I22" s="108">
        <v>1</v>
      </c>
      <c r="J22" s="110">
        <f>ROUND(6.245/G22/2+0,0)</f>
        <v>12</v>
      </c>
      <c r="K22" s="118">
        <f>D22</f>
        <v>32.35</v>
      </c>
      <c r="L22" s="415">
        <f>IF(O22&lt;12,"0",0.049*H22)*2</f>
        <v>1.5680000000000001</v>
      </c>
      <c r="M22" s="120">
        <v>2</v>
      </c>
      <c r="N22" s="108">
        <f>M22*2*H22/1000</f>
        <v>6.4000000000000001E-2</v>
      </c>
      <c r="O22" s="121">
        <f>(D22+C22+F22)-N22</f>
        <v>33.286000000000001</v>
      </c>
      <c r="P22" s="121">
        <f>(I22*J22*O22)+L22</f>
        <v>401</v>
      </c>
      <c r="Q22" s="113" t="str">
        <f t="shared" si="0"/>
        <v/>
      </c>
      <c r="R22" s="113" t="str">
        <f t="shared" si="1"/>
        <v/>
      </c>
      <c r="S22" s="113" t="str">
        <f t="shared" si="2"/>
        <v/>
      </c>
      <c r="T22" s="113">
        <f t="shared" si="3"/>
        <v>401</v>
      </c>
      <c r="U22" s="113" t="str">
        <f t="shared" si="4"/>
        <v/>
      </c>
      <c r="V22" s="113" t="str">
        <f t="shared" si="5"/>
        <v/>
      </c>
      <c r="W22" s="114"/>
    </row>
    <row r="23" spans="1:23">
      <c r="A23" s="101"/>
      <c r="B23" s="122"/>
      <c r="C23" s="103"/>
      <c r="D23" s="104"/>
      <c r="E23" s="123"/>
      <c r="F23" s="105"/>
      <c r="G23" s="106"/>
      <c r="H23" s="107"/>
      <c r="I23" s="108"/>
      <c r="J23" s="108"/>
      <c r="K23" s="109"/>
      <c r="L23" s="108"/>
      <c r="M23" s="108"/>
      <c r="N23" s="108"/>
      <c r="O23" s="108"/>
      <c r="P23" s="110"/>
      <c r="Q23" s="113" t="str">
        <f t="shared" si="0"/>
        <v/>
      </c>
      <c r="R23" s="113" t="str">
        <f t="shared" si="1"/>
        <v/>
      </c>
      <c r="S23" s="113" t="str">
        <f t="shared" si="2"/>
        <v/>
      </c>
      <c r="T23" s="113" t="str">
        <f t="shared" si="3"/>
        <v/>
      </c>
      <c r="U23" s="113" t="str">
        <f t="shared" si="4"/>
        <v/>
      </c>
      <c r="V23" s="113" t="str">
        <f t="shared" si="5"/>
        <v/>
      </c>
      <c r="W23" s="114"/>
    </row>
    <row r="24" spans="1:23">
      <c r="A24" s="101">
        <v>4</v>
      </c>
      <c r="B24" s="115" t="s">
        <v>246</v>
      </c>
      <c r="C24" s="103"/>
      <c r="D24" s="104"/>
      <c r="E24" s="104"/>
      <c r="F24" s="105"/>
      <c r="G24" s="106"/>
      <c r="H24" s="107"/>
      <c r="I24" s="108"/>
      <c r="J24" s="108"/>
      <c r="K24" s="109"/>
      <c r="L24" s="108"/>
      <c r="M24" s="108"/>
      <c r="N24" s="108"/>
      <c r="O24" s="108"/>
      <c r="P24" s="110"/>
      <c r="Q24" s="113" t="str">
        <f t="shared" si="0"/>
        <v/>
      </c>
      <c r="R24" s="113" t="str">
        <f t="shared" si="1"/>
        <v/>
      </c>
      <c r="S24" s="113" t="str">
        <f t="shared" si="2"/>
        <v/>
      </c>
      <c r="T24" s="113" t="str">
        <f t="shared" si="3"/>
        <v/>
      </c>
      <c r="U24" s="113" t="str">
        <f t="shared" si="4"/>
        <v/>
      </c>
      <c r="V24" s="113" t="str">
        <f t="shared" si="5"/>
        <v/>
      </c>
      <c r="W24" s="114"/>
    </row>
    <row r="25" spans="1:23">
      <c r="A25" s="101"/>
      <c r="B25" t="s">
        <v>243</v>
      </c>
      <c r="C25" s="116">
        <v>0.5</v>
      </c>
      <c r="D25" s="530">
        <f>31.935-2*0.05</f>
        <v>31.834999999999997</v>
      </c>
      <c r="E25" s="531"/>
      <c r="F25" s="116">
        <v>0.5</v>
      </c>
      <c r="G25" s="117">
        <v>0.25</v>
      </c>
      <c r="H25" s="107">
        <v>16</v>
      </c>
      <c r="I25" s="108">
        <v>1</v>
      </c>
      <c r="J25" s="110">
        <f>ROUND(2.63/G25/2+1,0)</f>
        <v>6</v>
      </c>
      <c r="K25" s="118">
        <f>D25</f>
        <v>31.834999999999997</v>
      </c>
      <c r="L25" s="121">
        <f>IF(O25&lt;12,"0",0.049*H25)*3</f>
        <v>2.3520000000000003</v>
      </c>
      <c r="M25" s="120">
        <v>2</v>
      </c>
      <c r="N25" s="108">
        <f>M25*2*H25/1000</f>
        <v>6.4000000000000001E-2</v>
      </c>
      <c r="O25" s="121">
        <f>(D25+C25+F25)-N25</f>
        <v>32.770999999999994</v>
      </c>
      <c r="P25" s="121">
        <f>(I25*J25*O25)+L25</f>
        <v>198.97799999999998</v>
      </c>
      <c r="Q25" s="113" t="str">
        <f t="shared" si="0"/>
        <v/>
      </c>
      <c r="R25" s="113" t="str">
        <f t="shared" si="1"/>
        <v/>
      </c>
      <c r="S25" s="113" t="str">
        <f t="shared" si="2"/>
        <v/>
      </c>
      <c r="T25" s="113">
        <f t="shared" si="3"/>
        <v>198.97799999999998</v>
      </c>
      <c r="U25" s="113" t="str">
        <f t="shared" si="4"/>
        <v/>
      </c>
      <c r="V25" s="113" t="str">
        <f t="shared" si="5"/>
        <v/>
      </c>
      <c r="W25" s="114"/>
    </row>
    <row r="26" spans="1:23">
      <c r="A26" s="101"/>
      <c r="B26" s="122"/>
      <c r="C26" s="103"/>
      <c r="D26" s="104"/>
      <c r="E26" s="123"/>
      <c r="F26" s="105"/>
      <c r="G26" s="106"/>
      <c r="H26" s="107"/>
      <c r="I26" s="108"/>
      <c r="J26" s="108"/>
      <c r="K26" s="109"/>
      <c r="L26" s="108"/>
      <c r="M26" s="108"/>
      <c r="N26" s="108"/>
      <c r="O26" s="108"/>
      <c r="P26" s="110"/>
      <c r="Q26" s="113" t="str">
        <f t="shared" si="0"/>
        <v/>
      </c>
      <c r="R26" s="113" t="str">
        <f t="shared" si="1"/>
        <v/>
      </c>
      <c r="S26" s="113" t="str">
        <f t="shared" si="2"/>
        <v/>
      </c>
      <c r="T26" s="113" t="str">
        <f t="shared" si="3"/>
        <v/>
      </c>
      <c r="U26" s="113" t="str">
        <f t="shared" si="4"/>
        <v/>
      </c>
      <c r="V26" s="113" t="str">
        <f t="shared" si="5"/>
        <v/>
      </c>
      <c r="W26" s="114"/>
    </row>
    <row r="27" spans="1:23">
      <c r="A27" s="101">
        <v>4</v>
      </c>
      <c r="B27" s="115" t="s">
        <v>246</v>
      </c>
      <c r="C27" s="103"/>
      <c r="D27" s="104"/>
      <c r="E27" s="104"/>
      <c r="F27" s="105"/>
      <c r="G27" s="106"/>
      <c r="H27" s="107"/>
      <c r="I27" s="108"/>
      <c r="J27" s="108"/>
      <c r="K27" s="109"/>
      <c r="L27" s="108"/>
      <c r="M27" s="108"/>
      <c r="N27" s="108"/>
      <c r="O27" s="108"/>
      <c r="P27" s="110"/>
      <c r="Q27" s="113" t="str">
        <f t="shared" si="0"/>
        <v/>
      </c>
      <c r="R27" s="113" t="str">
        <f t="shared" si="1"/>
        <v/>
      </c>
      <c r="S27" s="113" t="str">
        <f t="shared" si="2"/>
        <v/>
      </c>
      <c r="T27" s="113" t="str">
        <f t="shared" si="3"/>
        <v/>
      </c>
      <c r="U27" s="113" t="str">
        <f t="shared" si="4"/>
        <v/>
      </c>
      <c r="V27" s="113" t="str">
        <f t="shared" si="5"/>
        <v/>
      </c>
      <c r="W27" s="114"/>
    </row>
    <row r="28" spans="1:23">
      <c r="A28" s="101"/>
      <c r="B28" t="s">
        <v>243</v>
      </c>
      <c r="C28" s="116">
        <v>0.5</v>
      </c>
      <c r="D28" s="530">
        <f>31.935-2*0.05</f>
        <v>31.834999999999997</v>
      </c>
      <c r="E28" s="531"/>
      <c r="F28" s="116">
        <v>0.5</v>
      </c>
      <c r="G28" s="117">
        <v>0.25</v>
      </c>
      <c r="H28" s="107">
        <v>16</v>
      </c>
      <c r="I28" s="108">
        <v>1</v>
      </c>
      <c r="J28" s="110">
        <f>ROUND(2.63/G28/2,0)</f>
        <v>5</v>
      </c>
      <c r="K28" s="118">
        <f>D28</f>
        <v>31.834999999999997</v>
      </c>
      <c r="L28" s="121">
        <f>IF(O28&lt;12,"0",0.049*H28)*2</f>
        <v>1.5680000000000001</v>
      </c>
      <c r="M28" s="120">
        <v>2</v>
      </c>
      <c r="N28" s="108">
        <f>M28*2*H28/1000</f>
        <v>6.4000000000000001E-2</v>
      </c>
      <c r="O28" s="121">
        <f>(D28+C28+F28)-N28</f>
        <v>32.770999999999994</v>
      </c>
      <c r="P28" s="121">
        <f>(I28*J28*O28)+L28</f>
        <v>165.42299999999997</v>
      </c>
      <c r="Q28" s="113" t="str">
        <f t="shared" si="0"/>
        <v/>
      </c>
      <c r="R28" s="113" t="str">
        <f t="shared" si="1"/>
        <v/>
      </c>
      <c r="S28" s="113" t="str">
        <f t="shared" si="2"/>
        <v/>
      </c>
      <c r="T28" s="113">
        <f t="shared" si="3"/>
        <v>165.42299999999997</v>
      </c>
      <c r="U28" s="113" t="str">
        <f t="shared" si="4"/>
        <v/>
      </c>
      <c r="V28" s="113" t="str">
        <f t="shared" si="5"/>
        <v/>
      </c>
      <c r="W28" s="114"/>
    </row>
    <row r="29" spans="1:23">
      <c r="A29" s="101"/>
      <c r="B29" s="122"/>
      <c r="C29" s="103"/>
      <c r="D29" s="104"/>
      <c r="E29" s="123"/>
      <c r="F29" s="105"/>
      <c r="G29" s="106"/>
      <c r="H29" s="107"/>
      <c r="I29" s="108"/>
      <c r="J29" s="108"/>
      <c r="K29" s="109"/>
      <c r="L29" s="108"/>
      <c r="M29" s="108"/>
      <c r="N29" s="108"/>
      <c r="O29" s="108"/>
      <c r="P29" s="110"/>
      <c r="Q29" s="113" t="str">
        <f t="shared" si="0"/>
        <v/>
      </c>
      <c r="R29" s="113" t="str">
        <f t="shared" si="1"/>
        <v/>
      </c>
      <c r="S29" s="113" t="str">
        <f t="shared" si="2"/>
        <v/>
      </c>
      <c r="T29" s="113" t="str">
        <f t="shared" si="3"/>
        <v/>
      </c>
      <c r="U29" s="113" t="str">
        <f t="shared" si="4"/>
        <v/>
      </c>
      <c r="V29" s="113" t="str">
        <f t="shared" si="5"/>
        <v/>
      </c>
      <c r="W29" s="114"/>
    </row>
    <row r="30" spans="1:23">
      <c r="A30" s="101">
        <v>5</v>
      </c>
      <c r="B30" s="115" t="s">
        <v>247</v>
      </c>
      <c r="C30" s="103"/>
      <c r="D30" s="104"/>
      <c r="E30" s="104"/>
      <c r="F30" s="105"/>
      <c r="G30" s="106"/>
      <c r="H30" s="107"/>
      <c r="I30" s="108"/>
      <c r="J30" s="108"/>
      <c r="K30" s="109"/>
      <c r="L30" s="108"/>
      <c r="M30" s="108"/>
      <c r="N30" s="108"/>
      <c r="O30" s="108"/>
      <c r="P30" s="110"/>
      <c r="Q30" s="113" t="str">
        <f t="shared" si="0"/>
        <v/>
      </c>
      <c r="R30" s="113" t="str">
        <f t="shared" si="1"/>
        <v/>
      </c>
      <c r="S30" s="113" t="str">
        <f t="shared" si="2"/>
        <v/>
      </c>
      <c r="T30" s="113" t="str">
        <f t="shared" si="3"/>
        <v/>
      </c>
      <c r="U30" s="113" t="str">
        <f t="shared" si="4"/>
        <v/>
      </c>
      <c r="V30" s="113" t="str">
        <f t="shared" si="5"/>
        <v/>
      </c>
      <c r="W30" s="114"/>
    </row>
    <row r="31" spans="1:23">
      <c r="A31" s="101"/>
      <c r="B31" t="s">
        <v>243</v>
      </c>
      <c r="C31" s="116">
        <v>0.5</v>
      </c>
      <c r="D31" s="530">
        <f>31.95-2*0.05-1.5</f>
        <v>30.349999999999998</v>
      </c>
      <c r="E31" s="531"/>
      <c r="F31" s="116">
        <v>0.5</v>
      </c>
      <c r="G31" s="117">
        <v>0.25</v>
      </c>
      <c r="H31" s="107">
        <v>16</v>
      </c>
      <c r="I31" s="108">
        <v>1</v>
      </c>
      <c r="J31" s="110">
        <f>ROUND(3.95/G31/2+1,0)</f>
        <v>9</v>
      </c>
      <c r="K31" s="118">
        <f>D31</f>
        <v>30.349999999999998</v>
      </c>
      <c r="L31" s="121">
        <f>IF(O31&lt;12,"0",0.049*H31)*3</f>
        <v>2.3520000000000003</v>
      </c>
      <c r="M31" s="120">
        <v>2</v>
      </c>
      <c r="N31" s="108">
        <f>M31*2*H31/1000</f>
        <v>6.4000000000000001E-2</v>
      </c>
      <c r="O31" s="121">
        <f>(D31+C31+F31)-N31</f>
        <v>31.285999999999998</v>
      </c>
      <c r="P31" s="121">
        <f>(I31*J31*O31)+L31</f>
        <v>283.92599999999993</v>
      </c>
      <c r="Q31" s="113" t="str">
        <f t="shared" si="0"/>
        <v/>
      </c>
      <c r="R31" s="113" t="str">
        <f t="shared" si="1"/>
        <v/>
      </c>
      <c r="S31" s="113" t="str">
        <f t="shared" si="2"/>
        <v/>
      </c>
      <c r="T31" s="113">
        <f t="shared" si="3"/>
        <v>283.92599999999993</v>
      </c>
      <c r="U31" s="113" t="str">
        <f t="shared" si="4"/>
        <v/>
      </c>
      <c r="V31" s="113" t="str">
        <f t="shared" si="5"/>
        <v/>
      </c>
      <c r="W31" s="114"/>
    </row>
    <row r="32" spans="1:23">
      <c r="A32" s="101"/>
      <c r="B32" s="122"/>
      <c r="C32" s="103"/>
      <c r="D32" s="104"/>
      <c r="E32" s="123"/>
      <c r="F32" s="105"/>
      <c r="G32" s="106"/>
      <c r="H32" s="107"/>
      <c r="I32" s="108"/>
      <c r="J32" s="108"/>
      <c r="K32" s="109"/>
      <c r="L32" s="108"/>
      <c r="M32" s="108"/>
      <c r="N32" s="108"/>
      <c r="O32" s="108"/>
      <c r="P32" s="110"/>
      <c r="Q32" s="113" t="str">
        <f t="shared" si="0"/>
        <v/>
      </c>
      <c r="R32" s="113" t="str">
        <f t="shared" si="1"/>
        <v/>
      </c>
      <c r="S32" s="113" t="str">
        <f t="shared" si="2"/>
        <v/>
      </c>
      <c r="T32" s="113" t="str">
        <f t="shared" si="3"/>
        <v/>
      </c>
      <c r="U32" s="113" t="str">
        <f t="shared" si="4"/>
        <v/>
      </c>
      <c r="V32" s="113" t="str">
        <f t="shared" si="5"/>
        <v/>
      </c>
      <c r="W32" s="114"/>
    </row>
    <row r="33" spans="1:23">
      <c r="A33" s="101">
        <v>5</v>
      </c>
      <c r="B33" s="115" t="s">
        <v>247</v>
      </c>
      <c r="C33" s="103"/>
      <c r="D33" s="104"/>
      <c r="E33" s="104"/>
      <c r="F33" s="105"/>
      <c r="G33" s="106"/>
      <c r="H33" s="107"/>
      <c r="I33" s="108"/>
      <c r="J33" s="108"/>
      <c r="K33" s="109"/>
      <c r="L33" s="108"/>
      <c r="M33" s="108"/>
      <c r="N33" s="108"/>
      <c r="O33" s="108"/>
      <c r="P33" s="110"/>
      <c r="Q33" s="113" t="str">
        <f t="shared" si="0"/>
        <v/>
      </c>
      <c r="R33" s="113" t="str">
        <f t="shared" si="1"/>
        <v/>
      </c>
      <c r="S33" s="113" t="str">
        <f t="shared" si="2"/>
        <v/>
      </c>
      <c r="T33" s="113" t="str">
        <f t="shared" si="3"/>
        <v/>
      </c>
      <c r="U33" s="113" t="str">
        <f t="shared" si="4"/>
        <v/>
      </c>
      <c r="V33" s="113" t="str">
        <f t="shared" si="5"/>
        <v/>
      </c>
      <c r="W33" s="114"/>
    </row>
    <row r="34" spans="1:23">
      <c r="A34" s="101"/>
      <c r="B34" t="s">
        <v>243</v>
      </c>
      <c r="C34" s="116">
        <v>0.5</v>
      </c>
      <c r="D34" s="530">
        <f>31.95-2*0.05-1.5</f>
        <v>30.349999999999998</v>
      </c>
      <c r="E34" s="531"/>
      <c r="F34" s="116">
        <v>0.5</v>
      </c>
      <c r="G34" s="117">
        <v>0.25</v>
      </c>
      <c r="H34" s="107">
        <v>16</v>
      </c>
      <c r="I34" s="108">
        <v>1</v>
      </c>
      <c r="J34" s="110">
        <f>ROUND(3.95/G34/2,0)</f>
        <v>8</v>
      </c>
      <c r="K34" s="118">
        <f>D34</f>
        <v>30.349999999999998</v>
      </c>
      <c r="L34" s="121">
        <f>IF(O34&lt;12,"0",0.049*H34)*2</f>
        <v>1.5680000000000001</v>
      </c>
      <c r="M34" s="120">
        <v>2</v>
      </c>
      <c r="N34" s="108">
        <f>M34*2*H34/1000</f>
        <v>6.4000000000000001E-2</v>
      </c>
      <c r="O34" s="121">
        <f>(D34+C34+F34)-N34</f>
        <v>31.285999999999998</v>
      </c>
      <c r="P34" s="121">
        <f>(I34*J34*O34)+L34</f>
        <v>251.85599999999999</v>
      </c>
      <c r="Q34" s="113" t="str">
        <f t="shared" si="0"/>
        <v/>
      </c>
      <c r="R34" s="113" t="str">
        <f t="shared" si="1"/>
        <v/>
      </c>
      <c r="S34" s="113" t="str">
        <f t="shared" si="2"/>
        <v/>
      </c>
      <c r="T34" s="113">
        <f t="shared" si="3"/>
        <v>251.85599999999999</v>
      </c>
      <c r="U34" s="113" t="str">
        <f t="shared" si="4"/>
        <v/>
      </c>
      <c r="V34" s="113" t="str">
        <f t="shared" si="5"/>
        <v/>
      </c>
      <c r="W34" s="114"/>
    </row>
    <row r="35" spans="1:23">
      <c r="A35" s="101"/>
      <c r="B35" s="122"/>
      <c r="C35" s="103"/>
      <c r="D35" s="104"/>
      <c r="E35" s="123"/>
      <c r="F35" s="105"/>
      <c r="G35" s="106"/>
      <c r="H35" s="107"/>
      <c r="I35" s="108"/>
      <c r="J35" s="108"/>
      <c r="K35" s="109"/>
      <c r="L35" s="108"/>
      <c r="M35" s="108"/>
      <c r="N35" s="108"/>
      <c r="O35" s="108"/>
      <c r="P35" s="110"/>
      <c r="Q35" s="113" t="str">
        <f t="shared" si="0"/>
        <v/>
      </c>
      <c r="R35" s="113" t="str">
        <f t="shared" si="1"/>
        <v/>
      </c>
      <c r="S35" s="113" t="str">
        <f t="shared" si="2"/>
        <v/>
      </c>
      <c r="T35" s="113" t="str">
        <f t="shared" si="3"/>
        <v/>
      </c>
      <c r="U35" s="113" t="str">
        <f t="shared" si="4"/>
        <v/>
      </c>
      <c r="V35" s="113" t="str">
        <f t="shared" si="5"/>
        <v/>
      </c>
      <c r="W35" s="114"/>
    </row>
    <row r="36" spans="1:23">
      <c r="A36" s="101">
        <v>6</v>
      </c>
      <c r="B36" s="115" t="s">
        <v>248</v>
      </c>
      <c r="C36" s="103"/>
      <c r="D36" s="104"/>
      <c r="E36" s="104"/>
      <c r="F36" s="105"/>
      <c r="G36" s="106"/>
      <c r="H36" s="107"/>
      <c r="I36" s="108"/>
      <c r="J36" s="108"/>
      <c r="K36" s="109"/>
      <c r="L36" s="108"/>
      <c r="M36" s="108"/>
      <c r="N36" s="108"/>
      <c r="O36" s="108"/>
      <c r="P36" s="110"/>
      <c r="Q36" s="113" t="str">
        <f t="shared" si="0"/>
        <v/>
      </c>
      <c r="R36" s="113" t="str">
        <f t="shared" si="1"/>
        <v/>
      </c>
      <c r="S36" s="113" t="str">
        <f t="shared" si="2"/>
        <v/>
      </c>
      <c r="T36" s="113" t="str">
        <f t="shared" si="3"/>
        <v/>
      </c>
      <c r="U36" s="113" t="str">
        <f t="shared" si="4"/>
        <v/>
      </c>
      <c r="V36" s="113" t="str">
        <f t="shared" si="5"/>
        <v/>
      </c>
      <c r="W36" s="114"/>
    </row>
    <row r="37" spans="1:23">
      <c r="A37" s="101"/>
      <c r="B37" t="s">
        <v>243</v>
      </c>
      <c r="C37" s="116">
        <v>0.5</v>
      </c>
      <c r="D37" s="530">
        <f>31.95-2*0.05-1.5-0.815</f>
        <v>29.534999999999997</v>
      </c>
      <c r="E37" s="531"/>
      <c r="F37" s="116">
        <v>0.5</v>
      </c>
      <c r="G37" s="117">
        <v>0.25</v>
      </c>
      <c r="H37" s="107">
        <v>16</v>
      </c>
      <c r="I37" s="108">
        <v>1</v>
      </c>
      <c r="J37" s="110">
        <f>ROUND(1.695/G37/2+1,0)</f>
        <v>4</v>
      </c>
      <c r="K37" s="118">
        <f>D37</f>
        <v>29.534999999999997</v>
      </c>
      <c r="L37" s="121">
        <f>IF(O37&lt;12,"0",0.049*H37)*3</f>
        <v>2.3520000000000003</v>
      </c>
      <c r="M37" s="120">
        <v>2</v>
      </c>
      <c r="N37" s="108">
        <f>M37*2*H37/1000</f>
        <v>6.4000000000000001E-2</v>
      </c>
      <c r="O37" s="121">
        <f>(D37+C37+F37)-N37</f>
        <v>30.470999999999997</v>
      </c>
      <c r="P37" s="121">
        <f>(I37*J37*O37)+L37</f>
        <v>124.23599999999999</v>
      </c>
      <c r="Q37" s="113" t="str">
        <f t="shared" si="0"/>
        <v/>
      </c>
      <c r="R37" s="113" t="str">
        <f t="shared" si="1"/>
        <v/>
      </c>
      <c r="S37" s="113" t="str">
        <f t="shared" si="2"/>
        <v/>
      </c>
      <c r="T37" s="113">
        <f t="shared" si="3"/>
        <v>124.23599999999999</v>
      </c>
      <c r="U37" s="113" t="str">
        <f t="shared" si="4"/>
        <v/>
      </c>
      <c r="V37" s="113" t="str">
        <f t="shared" si="5"/>
        <v/>
      </c>
      <c r="W37" s="114"/>
    </row>
    <row r="38" spans="1:23">
      <c r="A38" s="101"/>
      <c r="B38" s="122"/>
      <c r="C38" s="103"/>
      <c r="D38" s="104"/>
      <c r="E38" s="123"/>
      <c r="F38" s="105"/>
      <c r="G38" s="106"/>
      <c r="H38" s="107"/>
      <c r="I38" s="108"/>
      <c r="J38" s="108"/>
      <c r="K38" s="109"/>
      <c r="L38" s="108"/>
      <c r="M38" s="108"/>
      <c r="N38" s="108"/>
      <c r="O38" s="108"/>
      <c r="P38" s="110"/>
      <c r="Q38" s="113" t="str">
        <f t="shared" si="0"/>
        <v/>
      </c>
      <c r="R38" s="113" t="str">
        <f t="shared" si="1"/>
        <v/>
      </c>
      <c r="S38" s="113" t="str">
        <f t="shared" si="2"/>
        <v/>
      </c>
      <c r="T38" s="113" t="str">
        <f t="shared" si="3"/>
        <v/>
      </c>
      <c r="U38" s="113" t="str">
        <f t="shared" si="4"/>
        <v/>
      </c>
      <c r="V38" s="113" t="str">
        <f t="shared" si="5"/>
        <v/>
      </c>
      <c r="W38" s="114"/>
    </row>
    <row r="39" spans="1:23">
      <c r="A39" s="101">
        <v>6</v>
      </c>
      <c r="B39" s="115" t="s">
        <v>248</v>
      </c>
      <c r="C39" s="103"/>
      <c r="D39" s="104"/>
      <c r="E39" s="104"/>
      <c r="F39" s="105"/>
      <c r="G39" s="106"/>
      <c r="H39" s="107"/>
      <c r="I39" s="108"/>
      <c r="J39" s="108"/>
      <c r="K39" s="109"/>
      <c r="L39" s="108"/>
      <c r="M39" s="108"/>
      <c r="N39" s="108"/>
      <c r="O39" s="108"/>
      <c r="P39" s="110"/>
      <c r="Q39" s="113" t="str">
        <f t="shared" si="0"/>
        <v/>
      </c>
      <c r="R39" s="113" t="str">
        <f t="shared" si="1"/>
        <v/>
      </c>
      <c r="S39" s="113" t="str">
        <f t="shared" si="2"/>
        <v/>
      </c>
      <c r="T39" s="113" t="str">
        <f t="shared" si="3"/>
        <v/>
      </c>
      <c r="U39" s="113" t="str">
        <f t="shared" si="4"/>
        <v/>
      </c>
      <c r="V39" s="113" t="str">
        <f t="shared" si="5"/>
        <v/>
      </c>
      <c r="W39" s="114"/>
    </row>
    <row r="40" spans="1:23">
      <c r="A40" s="101"/>
      <c r="B40" t="s">
        <v>243</v>
      </c>
      <c r="C40" s="116">
        <v>0.5</v>
      </c>
      <c r="D40" s="530">
        <f>31.95-2*0.05-1.5-0.815</f>
        <v>29.534999999999997</v>
      </c>
      <c r="E40" s="531"/>
      <c r="F40" s="116">
        <v>0.5</v>
      </c>
      <c r="G40" s="117">
        <v>0.25</v>
      </c>
      <c r="H40" s="107">
        <v>16</v>
      </c>
      <c r="I40" s="108">
        <v>1</v>
      </c>
      <c r="J40" s="110">
        <f>ROUND(1.695/G40/2,0)</f>
        <v>3</v>
      </c>
      <c r="K40" s="118">
        <f>D40</f>
        <v>29.534999999999997</v>
      </c>
      <c r="L40" s="121">
        <f>IF(O40&lt;12,"0",0.049*H40)*2</f>
        <v>1.5680000000000001</v>
      </c>
      <c r="M40" s="120">
        <v>2</v>
      </c>
      <c r="N40" s="108">
        <f>M40*2*H40/1000</f>
        <v>6.4000000000000001E-2</v>
      </c>
      <c r="O40" s="121">
        <f>(D40+C40+F40)-N40</f>
        <v>30.470999999999997</v>
      </c>
      <c r="P40" s="121">
        <f>(I40*J40*O40)+L40</f>
        <v>92.98099999999998</v>
      </c>
      <c r="Q40" s="113" t="str">
        <f t="shared" si="0"/>
        <v/>
      </c>
      <c r="R40" s="113" t="str">
        <f t="shared" si="1"/>
        <v/>
      </c>
      <c r="S40" s="113" t="str">
        <f t="shared" si="2"/>
        <v/>
      </c>
      <c r="T40" s="113">
        <f t="shared" si="3"/>
        <v>92.98099999999998</v>
      </c>
      <c r="U40" s="113" t="str">
        <f t="shared" si="4"/>
        <v/>
      </c>
      <c r="V40" s="113" t="str">
        <f t="shared" si="5"/>
        <v/>
      </c>
      <c r="W40" s="114"/>
    </row>
    <row r="41" spans="1:23">
      <c r="A41" s="101"/>
      <c r="B41" s="122"/>
      <c r="C41" s="103"/>
      <c r="D41" s="104"/>
      <c r="E41" s="123"/>
      <c r="F41" s="105"/>
      <c r="G41" s="106"/>
      <c r="H41" s="107"/>
      <c r="I41" s="108"/>
      <c r="J41" s="108"/>
      <c r="K41" s="109"/>
      <c r="L41" s="108"/>
      <c r="M41" s="108"/>
      <c r="N41" s="108"/>
      <c r="O41" s="108"/>
      <c r="P41" s="110"/>
      <c r="Q41" s="113" t="str">
        <f t="shared" si="0"/>
        <v/>
      </c>
      <c r="R41" s="113" t="str">
        <f t="shared" si="1"/>
        <v/>
      </c>
      <c r="S41" s="113" t="str">
        <f t="shared" si="2"/>
        <v/>
      </c>
      <c r="T41" s="113" t="str">
        <f t="shared" si="3"/>
        <v/>
      </c>
      <c r="U41" s="113" t="str">
        <f t="shared" si="4"/>
        <v/>
      </c>
      <c r="V41" s="113" t="str">
        <f t="shared" si="5"/>
        <v/>
      </c>
      <c r="W41" s="114"/>
    </row>
    <row r="42" spans="1:23">
      <c r="A42" s="101">
        <v>7</v>
      </c>
      <c r="B42" s="115" t="s">
        <v>249</v>
      </c>
      <c r="C42" s="103"/>
      <c r="D42" s="104"/>
      <c r="E42" s="104"/>
      <c r="F42" s="105"/>
      <c r="G42" s="106"/>
      <c r="H42" s="107"/>
      <c r="I42" s="108"/>
      <c r="J42" s="108"/>
      <c r="K42" s="109"/>
      <c r="L42" s="108"/>
      <c r="M42" s="108"/>
      <c r="N42" s="108"/>
      <c r="O42" s="108"/>
      <c r="P42" s="110"/>
      <c r="Q42" s="113" t="str">
        <f t="shared" si="0"/>
        <v/>
      </c>
      <c r="R42" s="113" t="str">
        <f t="shared" si="1"/>
        <v/>
      </c>
      <c r="S42" s="113" t="str">
        <f t="shared" si="2"/>
        <v/>
      </c>
      <c r="T42" s="113" t="str">
        <f t="shared" si="3"/>
        <v/>
      </c>
      <c r="U42" s="113" t="str">
        <f t="shared" si="4"/>
        <v/>
      </c>
      <c r="V42" s="113" t="str">
        <f t="shared" si="5"/>
        <v/>
      </c>
      <c r="W42" s="114"/>
    </row>
    <row r="43" spans="1:23">
      <c r="A43" s="101"/>
      <c r="B43" t="s">
        <v>243</v>
      </c>
      <c r="C43" s="116">
        <v>0.5</v>
      </c>
      <c r="D43" s="530">
        <f>15.8-2*0.05</f>
        <v>15.700000000000001</v>
      </c>
      <c r="E43" s="531"/>
      <c r="F43" s="116">
        <v>0.5</v>
      </c>
      <c r="G43" s="117">
        <v>0.25</v>
      </c>
      <c r="H43" s="107">
        <v>16</v>
      </c>
      <c r="I43" s="108">
        <v>1</v>
      </c>
      <c r="J43" s="110">
        <f>ROUND(11.285/G43+1,0)</f>
        <v>46</v>
      </c>
      <c r="K43" s="118">
        <f>D43</f>
        <v>15.700000000000001</v>
      </c>
      <c r="L43" s="121">
        <f>IF(O43&lt;12,"0",0.049*H43)</f>
        <v>0.78400000000000003</v>
      </c>
      <c r="M43" s="120">
        <v>2</v>
      </c>
      <c r="N43" s="108">
        <f>M43*2*H43/1000</f>
        <v>6.4000000000000001E-2</v>
      </c>
      <c r="O43" s="121">
        <f>(D43+C43+F43)-N43</f>
        <v>16.636000000000003</v>
      </c>
      <c r="P43" s="121">
        <f>(I43*J43*O43)+L43</f>
        <v>766.04000000000008</v>
      </c>
      <c r="Q43" s="113" t="str">
        <f t="shared" si="0"/>
        <v/>
      </c>
      <c r="R43" s="113" t="str">
        <f t="shared" si="1"/>
        <v/>
      </c>
      <c r="S43" s="113" t="str">
        <f t="shared" si="2"/>
        <v/>
      </c>
      <c r="T43" s="113">
        <f t="shared" si="3"/>
        <v>766.04000000000008</v>
      </c>
      <c r="U43" s="113" t="str">
        <f t="shared" si="4"/>
        <v/>
      </c>
      <c r="V43" s="113" t="str">
        <f t="shared" si="5"/>
        <v/>
      </c>
      <c r="W43" s="114"/>
    </row>
    <row r="44" spans="1:23">
      <c r="A44" s="101"/>
      <c r="B44" s="122"/>
      <c r="C44" s="103"/>
      <c r="D44" s="104"/>
      <c r="E44" s="123"/>
      <c r="F44" s="105"/>
      <c r="G44" s="106"/>
      <c r="H44" s="107"/>
      <c r="I44" s="108"/>
      <c r="J44" s="108"/>
      <c r="K44" s="109"/>
      <c r="L44" s="108"/>
      <c r="M44" s="108"/>
      <c r="N44" s="108"/>
      <c r="O44" s="108"/>
      <c r="P44" s="110"/>
      <c r="Q44" s="113" t="str">
        <f t="shared" si="0"/>
        <v/>
      </c>
      <c r="R44" s="113" t="str">
        <f t="shared" si="1"/>
        <v/>
      </c>
      <c r="S44" s="113" t="str">
        <f t="shared" si="2"/>
        <v/>
      </c>
      <c r="T44" s="113" t="str">
        <f t="shared" si="3"/>
        <v/>
      </c>
      <c r="U44" s="113" t="str">
        <f t="shared" si="4"/>
        <v/>
      </c>
      <c r="V44" s="113" t="str">
        <f t="shared" si="5"/>
        <v/>
      </c>
      <c r="W44" s="114"/>
    </row>
    <row r="45" spans="1:23">
      <c r="A45" s="101"/>
      <c r="B45" s="122"/>
      <c r="C45" s="103"/>
      <c r="D45" s="104"/>
      <c r="E45" s="123"/>
      <c r="F45" s="105"/>
      <c r="G45" s="106"/>
      <c r="H45" s="107"/>
      <c r="I45" s="108"/>
      <c r="J45" s="108"/>
      <c r="K45" s="109"/>
      <c r="L45" s="108"/>
      <c r="M45" s="108"/>
      <c r="N45" s="108"/>
      <c r="O45" s="108"/>
      <c r="P45" s="110"/>
      <c r="Q45" s="113" t="str">
        <f t="shared" si="0"/>
        <v/>
      </c>
      <c r="R45" s="113" t="str">
        <f t="shared" si="1"/>
        <v/>
      </c>
      <c r="S45" s="113" t="str">
        <f t="shared" si="2"/>
        <v/>
      </c>
      <c r="T45" s="113" t="str">
        <f t="shared" si="3"/>
        <v/>
      </c>
      <c r="U45" s="113" t="str">
        <f t="shared" si="4"/>
        <v/>
      </c>
      <c r="V45" s="113" t="str">
        <f t="shared" si="5"/>
        <v/>
      </c>
      <c r="W45" s="114"/>
    </row>
    <row r="46" spans="1:23">
      <c r="A46" s="101"/>
      <c r="B46" s="112" t="s">
        <v>250</v>
      </c>
      <c r="C46" s="103"/>
      <c r="D46" s="104"/>
      <c r="E46" s="104"/>
      <c r="F46" s="105"/>
      <c r="G46" s="106"/>
      <c r="H46" s="107"/>
      <c r="I46" s="108"/>
      <c r="J46" s="108"/>
      <c r="K46" s="109"/>
      <c r="L46" s="108"/>
      <c r="M46" s="108"/>
      <c r="N46" s="108"/>
      <c r="O46" s="108"/>
      <c r="P46" s="110"/>
      <c r="Q46" s="113" t="str">
        <f t="shared" si="0"/>
        <v/>
      </c>
      <c r="R46" s="113" t="str">
        <f t="shared" si="1"/>
        <v/>
      </c>
      <c r="S46" s="113" t="str">
        <f t="shared" si="2"/>
        <v/>
      </c>
      <c r="T46" s="113" t="str">
        <f t="shared" si="3"/>
        <v/>
      </c>
      <c r="U46" s="113" t="str">
        <f t="shared" si="4"/>
        <v/>
      </c>
      <c r="V46" s="113" t="str">
        <f t="shared" si="5"/>
        <v/>
      </c>
      <c r="W46" s="114"/>
    </row>
    <row r="47" spans="1:23">
      <c r="A47" s="101">
        <v>1</v>
      </c>
      <c r="B47" s="124" t="s">
        <v>211</v>
      </c>
      <c r="C47" s="103"/>
      <c r="D47" s="104"/>
      <c r="E47" s="104"/>
      <c r="F47" s="105"/>
      <c r="G47" s="106"/>
      <c r="H47" s="107"/>
      <c r="I47" s="108"/>
      <c r="J47" s="108"/>
      <c r="K47" s="109"/>
      <c r="L47" s="108"/>
      <c r="M47" s="108"/>
      <c r="N47" s="108"/>
      <c r="O47" s="108"/>
      <c r="P47" s="110"/>
      <c r="Q47" s="113" t="str">
        <f t="shared" si="0"/>
        <v/>
      </c>
      <c r="R47" s="113" t="str">
        <f t="shared" si="1"/>
        <v/>
      </c>
      <c r="S47" s="113" t="str">
        <f t="shared" si="2"/>
        <v/>
      </c>
      <c r="T47" s="113" t="str">
        <f t="shared" si="3"/>
        <v/>
      </c>
      <c r="U47" s="113" t="str">
        <f t="shared" si="4"/>
        <v/>
      </c>
      <c r="V47" s="113" t="str">
        <f t="shared" si="5"/>
        <v/>
      </c>
      <c r="W47" s="114"/>
    </row>
    <row r="48" spans="1:23">
      <c r="A48" s="101"/>
      <c r="B48" s="125" t="s">
        <v>251</v>
      </c>
      <c r="C48" s="116">
        <v>0.5</v>
      </c>
      <c r="D48" s="530">
        <f>8.875-2*0.05</f>
        <v>8.7750000000000004</v>
      </c>
      <c r="E48" s="531"/>
      <c r="F48" s="116">
        <v>0.5</v>
      </c>
      <c r="G48" s="117">
        <v>0.25</v>
      </c>
      <c r="H48" s="107">
        <v>16</v>
      </c>
      <c r="I48" s="108">
        <v>1</v>
      </c>
      <c r="J48" s="110">
        <f>ROUND(1.5/G48+1,0)</f>
        <v>7</v>
      </c>
      <c r="K48" s="118">
        <f>D48</f>
        <v>8.7750000000000004</v>
      </c>
      <c r="L48" s="119" t="str">
        <f>IF(O48&lt;12,"0",0.049*H48)</f>
        <v>0</v>
      </c>
      <c r="M48" s="120">
        <v>2</v>
      </c>
      <c r="N48" s="108">
        <f>M48*2*H48/1000</f>
        <v>6.4000000000000001E-2</v>
      </c>
      <c r="O48" s="121">
        <f>(D48+C48+F48)-N48</f>
        <v>9.7110000000000003</v>
      </c>
      <c r="P48" s="121">
        <f>(I48*J48*O48)+L48</f>
        <v>67.977000000000004</v>
      </c>
      <c r="Q48" s="113" t="str">
        <f t="shared" si="0"/>
        <v/>
      </c>
      <c r="R48" s="113" t="str">
        <f t="shared" si="1"/>
        <v/>
      </c>
      <c r="S48" s="113" t="str">
        <f t="shared" si="2"/>
        <v/>
      </c>
      <c r="T48" s="113">
        <f t="shared" si="3"/>
        <v>67.977000000000004</v>
      </c>
      <c r="U48" s="113" t="str">
        <f t="shared" si="4"/>
        <v/>
      </c>
      <c r="V48" s="113" t="str">
        <f t="shared" si="5"/>
        <v/>
      </c>
      <c r="W48" s="114"/>
    </row>
    <row r="49" spans="1:23">
      <c r="A49" s="101"/>
      <c r="B49" s="124"/>
      <c r="C49" s="103"/>
      <c r="D49" s="104"/>
      <c r="E49" s="104"/>
      <c r="F49" s="105"/>
      <c r="G49" s="106"/>
      <c r="H49" s="107"/>
      <c r="I49" s="108"/>
      <c r="J49" s="108"/>
      <c r="K49" s="109"/>
      <c r="L49" s="108"/>
      <c r="M49" s="108"/>
      <c r="N49" s="108"/>
      <c r="O49" s="108"/>
      <c r="P49" s="110"/>
      <c r="Q49" s="113" t="str">
        <f t="shared" si="0"/>
        <v/>
      </c>
      <c r="R49" s="113" t="str">
        <f t="shared" si="1"/>
        <v/>
      </c>
      <c r="S49" s="113" t="str">
        <f t="shared" si="2"/>
        <v/>
      </c>
      <c r="T49" s="113" t="str">
        <f t="shared" si="3"/>
        <v/>
      </c>
      <c r="U49" s="113" t="str">
        <f t="shared" si="4"/>
        <v/>
      </c>
      <c r="V49" s="113" t="str">
        <f t="shared" si="5"/>
        <v/>
      </c>
      <c r="W49" s="114"/>
    </row>
    <row r="50" spans="1:23">
      <c r="A50" s="101">
        <v>2</v>
      </c>
      <c r="B50" s="124" t="s">
        <v>252</v>
      </c>
      <c r="C50" s="103"/>
      <c r="D50" s="104"/>
      <c r="E50" s="104"/>
      <c r="F50" s="105"/>
      <c r="G50" s="106"/>
      <c r="H50" s="107"/>
      <c r="I50" s="108"/>
      <c r="J50" s="108"/>
      <c r="K50" s="109"/>
      <c r="L50" s="108"/>
      <c r="M50" s="108"/>
      <c r="N50" s="108"/>
      <c r="O50" s="108"/>
      <c r="P50" s="110"/>
      <c r="Q50" s="113" t="str">
        <f t="shared" si="0"/>
        <v/>
      </c>
      <c r="R50" s="113" t="str">
        <f t="shared" si="1"/>
        <v/>
      </c>
      <c r="S50" s="113" t="str">
        <f t="shared" si="2"/>
        <v/>
      </c>
      <c r="T50" s="113" t="str">
        <f t="shared" si="3"/>
        <v/>
      </c>
      <c r="U50" s="113" t="str">
        <f t="shared" si="4"/>
        <v/>
      </c>
      <c r="V50" s="113" t="str">
        <f t="shared" si="5"/>
        <v/>
      </c>
      <c r="W50" s="114"/>
    </row>
    <row r="51" spans="1:23">
      <c r="A51" s="101"/>
      <c r="B51" s="125" t="s">
        <v>251</v>
      </c>
      <c r="C51" s="116">
        <v>0.5</v>
      </c>
      <c r="D51" s="530">
        <f>12.825-2*0.05</f>
        <v>12.725</v>
      </c>
      <c r="E51" s="531"/>
      <c r="F51" s="116">
        <v>0.5</v>
      </c>
      <c r="G51" s="117">
        <v>0.25</v>
      </c>
      <c r="H51" s="107">
        <v>16</v>
      </c>
      <c r="I51" s="108">
        <v>1</v>
      </c>
      <c r="J51" s="110">
        <f>ROUND(0.815/G51+1,0)</f>
        <v>4</v>
      </c>
      <c r="K51" s="118">
        <f>D51</f>
        <v>12.725</v>
      </c>
      <c r="L51" s="119">
        <f>IF(O51&lt;12,"0",0.049*H51)</f>
        <v>0.78400000000000003</v>
      </c>
      <c r="M51" s="120">
        <v>2</v>
      </c>
      <c r="N51" s="108">
        <f>M51*2*H51/1000</f>
        <v>6.4000000000000001E-2</v>
      </c>
      <c r="O51" s="121">
        <f>(D51+C51+F51)-N51</f>
        <v>13.661</v>
      </c>
      <c r="P51" s="121">
        <f>(I51*J51*O51)+L51</f>
        <v>55.427999999999997</v>
      </c>
      <c r="Q51" s="113" t="str">
        <f t="shared" si="0"/>
        <v/>
      </c>
      <c r="R51" s="113" t="str">
        <f t="shared" si="1"/>
        <v/>
      </c>
      <c r="S51" s="113" t="str">
        <f t="shared" si="2"/>
        <v/>
      </c>
      <c r="T51" s="113">
        <f t="shared" si="3"/>
        <v>55.427999999999997</v>
      </c>
      <c r="U51" s="113" t="str">
        <f t="shared" si="4"/>
        <v/>
      </c>
      <c r="V51" s="113" t="str">
        <f t="shared" si="5"/>
        <v/>
      </c>
      <c r="W51" s="114"/>
    </row>
    <row r="52" spans="1:23">
      <c r="A52" s="101"/>
      <c r="B52" s="125"/>
      <c r="C52" s="116"/>
      <c r="D52" s="126"/>
      <c r="E52" s="126"/>
      <c r="F52" s="127"/>
      <c r="G52" s="117"/>
      <c r="H52" s="107"/>
      <c r="I52" s="108"/>
      <c r="J52" s="110"/>
      <c r="K52" s="118"/>
      <c r="L52" s="119"/>
      <c r="M52" s="120"/>
      <c r="N52" s="108"/>
      <c r="O52" s="121"/>
      <c r="P52" s="121"/>
      <c r="Q52" s="113" t="str">
        <f t="shared" si="0"/>
        <v/>
      </c>
      <c r="R52" s="113" t="str">
        <f t="shared" si="1"/>
        <v/>
      </c>
      <c r="S52" s="113" t="str">
        <f t="shared" si="2"/>
        <v/>
      </c>
      <c r="T52" s="113" t="str">
        <f t="shared" si="3"/>
        <v/>
      </c>
      <c r="U52" s="113" t="str">
        <f t="shared" si="4"/>
        <v/>
      </c>
      <c r="V52" s="113" t="str">
        <f t="shared" si="5"/>
        <v/>
      </c>
      <c r="W52" s="114"/>
    </row>
    <row r="53" spans="1:23">
      <c r="A53" s="101">
        <v>3</v>
      </c>
      <c r="B53" s="124" t="s">
        <v>253</v>
      </c>
      <c r="C53" s="103"/>
      <c r="D53" s="104"/>
      <c r="E53" s="104"/>
      <c r="F53" s="105"/>
      <c r="G53" s="106"/>
      <c r="H53" s="107"/>
      <c r="I53" s="108"/>
      <c r="J53" s="108"/>
      <c r="K53" s="109"/>
      <c r="L53" s="108"/>
      <c r="M53" s="108"/>
      <c r="N53" s="108"/>
      <c r="O53" s="108"/>
      <c r="P53" s="110"/>
      <c r="Q53" s="113" t="str">
        <f t="shared" si="0"/>
        <v/>
      </c>
      <c r="R53" s="113" t="str">
        <f t="shared" si="1"/>
        <v/>
      </c>
      <c r="S53" s="113" t="str">
        <f t="shared" si="2"/>
        <v/>
      </c>
      <c r="T53" s="113" t="str">
        <f t="shared" si="3"/>
        <v/>
      </c>
      <c r="U53" s="113" t="str">
        <f t="shared" si="4"/>
        <v/>
      </c>
      <c r="V53" s="113" t="str">
        <f t="shared" si="5"/>
        <v/>
      </c>
      <c r="W53" s="114"/>
    </row>
    <row r="54" spans="1:23">
      <c r="A54" s="101"/>
      <c r="B54" s="125" t="s">
        <v>251</v>
      </c>
      <c r="C54" s="116">
        <v>0.5</v>
      </c>
      <c r="D54" s="530">
        <f>14.52-2*0.05</f>
        <v>14.42</v>
      </c>
      <c r="E54" s="531"/>
      <c r="F54" s="116">
        <v>0.5</v>
      </c>
      <c r="G54" s="117">
        <v>0.25</v>
      </c>
      <c r="H54" s="107">
        <v>16</v>
      </c>
      <c r="I54" s="108">
        <v>1</v>
      </c>
      <c r="J54" s="110">
        <f>ROUND(1.405/G54+1,0)</f>
        <v>7</v>
      </c>
      <c r="K54" s="118">
        <f>D54</f>
        <v>14.42</v>
      </c>
      <c r="L54" s="119">
        <f>IF(O54&lt;12,"0",0.049*H54)</f>
        <v>0.78400000000000003</v>
      </c>
      <c r="M54" s="120">
        <v>2</v>
      </c>
      <c r="N54" s="108">
        <f>M54*2*H54/1000</f>
        <v>6.4000000000000001E-2</v>
      </c>
      <c r="O54" s="121">
        <f>(D54+C54+F54)-N54</f>
        <v>15.356</v>
      </c>
      <c r="P54" s="121">
        <f>(I54*J54*O54)+L54</f>
        <v>108.27600000000001</v>
      </c>
      <c r="Q54" s="113" t="str">
        <f t="shared" si="0"/>
        <v/>
      </c>
      <c r="R54" s="113" t="str">
        <f t="shared" si="1"/>
        <v/>
      </c>
      <c r="S54" s="113" t="str">
        <f t="shared" si="2"/>
        <v/>
      </c>
      <c r="T54" s="113">
        <f t="shared" si="3"/>
        <v>108.27600000000001</v>
      </c>
      <c r="U54" s="113" t="str">
        <f t="shared" si="4"/>
        <v/>
      </c>
      <c r="V54" s="113" t="str">
        <f t="shared" si="5"/>
        <v/>
      </c>
      <c r="W54" s="114"/>
    </row>
    <row r="55" spans="1:23">
      <c r="A55" s="101"/>
      <c r="B55" s="124"/>
      <c r="C55" s="103"/>
      <c r="D55" s="104"/>
      <c r="E55" s="104"/>
      <c r="F55" s="105"/>
      <c r="G55" s="106"/>
      <c r="H55" s="107"/>
      <c r="I55" s="108"/>
      <c r="J55" s="108"/>
      <c r="K55" s="109"/>
      <c r="L55" s="108"/>
      <c r="M55" s="108"/>
      <c r="N55" s="108"/>
      <c r="O55" s="108"/>
      <c r="P55" s="110"/>
      <c r="Q55" s="113" t="str">
        <f t="shared" si="0"/>
        <v/>
      </c>
      <c r="R55" s="113" t="str">
        <f t="shared" si="1"/>
        <v/>
      </c>
      <c r="S55" s="113" t="str">
        <f t="shared" si="2"/>
        <v/>
      </c>
      <c r="T55" s="113" t="str">
        <f t="shared" si="3"/>
        <v/>
      </c>
      <c r="U55" s="113" t="str">
        <f t="shared" si="4"/>
        <v/>
      </c>
      <c r="V55" s="113" t="str">
        <f t="shared" si="5"/>
        <v/>
      </c>
      <c r="W55" s="114"/>
    </row>
    <row r="56" spans="1:23">
      <c r="A56" s="101">
        <v>4</v>
      </c>
      <c r="B56" s="124" t="s">
        <v>254</v>
      </c>
      <c r="C56" s="103"/>
      <c r="D56" s="104"/>
      <c r="E56" s="104"/>
      <c r="F56" s="105"/>
      <c r="G56" s="106"/>
      <c r="H56" s="107"/>
      <c r="I56" s="108"/>
      <c r="J56" s="108"/>
      <c r="K56" s="109"/>
      <c r="L56" s="108"/>
      <c r="M56" s="108"/>
      <c r="N56" s="108"/>
      <c r="O56" s="108"/>
      <c r="P56" s="110"/>
      <c r="Q56" s="113" t="str">
        <f t="shared" si="0"/>
        <v/>
      </c>
      <c r="R56" s="113" t="str">
        <f t="shared" si="1"/>
        <v/>
      </c>
      <c r="S56" s="113" t="str">
        <f t="shared" si="2"/>
        <v/>
      </c>
      <c r="T56" s="113" t="str">
        <f t="shared" si="3"/>
        <v/>
      </c>
      <c r="U56" s="113" t="str">
        <f t="shared" si="4"/>
        <v/>
      </c>
      <c r="V56" s="113" t="str">
        <f t="shared" si="5"/>
        <v/>
      </c>
      <c r="W56" s="114"/>
    </row>
    <row r="57" spans="1:23">
      <c r="A57" s="101"/>
      <c r="B57" s="125" t="s">
        <v>251</v>
      </c>
      <c r="C57" s="116"/>
      <c r="D57" s="530">
        <f>25.805-1*0.05</f>
        <v>25.754999999999999</v>
      </c>
      <c r="E57" s="530"/>
      <c r="F57" s="127">
        <v>0.5</v>
      </c>
      <c r="G57" s="117">
        <v>0.25</v>
      </c>
      <c r="H57" s="107">
        <v>16</v>
      </c>
      <c r="I57" s="108">
        <v>1</v>
      </c>
      <c r="J57" s="110">
        <f>ROUND(6.565/G57+1,0)</f>
        <v>27</v>
      </c>
      <c r="K57" s="118">
        <f>D57</f>
        <v>25.754999999999999</v>
      </c>
      <c r="L57" s="119">
        <f>IF(O57&lt;12,"0",0.049*H57)*2</f>
        <v>1.5680000000000001</v>
      </c>
      <c r="M57" s="120">
        <v>1</v>
      </c>
      <c r="N57" s="108">
        <f>M57*1*H57/1000</f>
        <v>1.6E-2</v>
      </c>
      <c r="O57" s="121">
        <f>(D57+C57+F57)-N57</f>
        <v>26.239000000000001</v>
      </c>
      <c r="P57" s="121">
        <f>(I57*J57*O57)+L57</f>
        <v>710.02099999999996</v>
      </c>
      <c r="Q57" s="113" t="str">
        <f t="shared" si="0"/>
        <v/>
      </c>
      <c r="R57" s="113" t="str">
        <f t="shared" si="1"/>
        <v/>
      </c>
      <c r="S57" s="113" t="str">
        <f t="shared" si="2"/>
        <v/>
      </c>
      <c r="T57" s="113">
        <f t="shared" si="3"/>
        <v>710.02099999999996</v>
      </c>
      <c r="U57" s="113" t="str">
        <f t="shared" si="4"/>
        <v/>
      </c>
      <c r="V57" s="113" t="str">
        <f t="shared" si="5"/>
        <v/>
      </c>
      <c r="W57" s="114"/>
    </row>
    <row r="58" spans="1:23">
      <c r="A58" s="101"/>
      <c r="B58" s="124"/>
      <c r="C58" s="103"/>
      <c r="D58" s="104"/>
      <c r="E58" s="104"/>
      <c r="F58" s="105"/>
      <c r="G58" s="106"/>
      <c r="H58" s="107"/>
      <c r="I58" s="108"/>
      <c r="J58" s="108"/>
      <c r="K58" s="109"/>
      <c r="L58" s="108"/>
      <c r="M58" s="108"/>
      <c r="N58" s="108"/>
      <c r="O58" s="108"/>
      <c r="P58" s="110"/>
      <c r="Q58" s="113" t="str">
        <f t="shared" si="0"/>
        <v/>
      </c>
      <c r="R58" s="113" t="str">
        <f t="shared" si="1"/>
        <v/>
      </c>
      <c r="S58" s="113" t="str">
        <f t="shared" si="2"/>
        <v/>
      </c>
      <c r="T58" s="113" t="str">
        <f t="shared" si="3"/>
        <v/>
      </c>
      <c r="U58" s="113" t="str">
        <f t="shared" si="4"/>
        <v/>
      </c>
      <c r="V58" s="113" t="str">
        <f t="shared" si="5"/>
        <v/>
      </c>
      <c r="W58" s="114"/>
    </row>
    <row r="59" spans="1:23">
      <c r="A59" s="101">
        <v>5</v>
      </c>
      <c r="B59" s="124" t="s">
        <v>255</v>
      </c>
      <c r="C59" s="103"/>
      <c r="D59" s="104"/>
      <c r="E59" s="104"/>
      <c r="F59" s="105"/>
      <c r="G59" s="106"/>
      <c r="H59" s="107"/>
      <c r="I59" s="108"/>
      <c r="J59" s="108"/>
      <c r="K59" s="109"/>
      <c r="L59" s="108"/>
      <c r="M59" s="108"/>
      <c r="N59" s="108"/>
      <c r="O59" s="108"/>
      <c r="P59" s="110"/>
      <c r="Q59" s="113" t="str">
        <f t="shared" si="0"/>
        <v/>
      </c>
      <c r="R59" s="113" t="str">
        <f t="shared" si="1"/>
        <v/>
      </c>
      <c r="S59" s="113" t="str">
        <f t="shared" si="2"/>
        <v/>
      </c>
      <c r="T59" s="113" t="str">
        <f t="shared" si="3"/>
        <v/>
      </c>
      <c r="U59" s="113" t="str">
        <f t="shared" si="4"/>
        <v/>
      </c>
      <c r="V59" s="113" t="str">
        <f t="shared" si="5"/>
        <v/>
      </c>
      <c r="W59" s="114"/>
    </row>
    <row r="60" spans="1:23">
      <c r="A60" s="101"/>
      <c r="B60" s="125" t="s">
        <v>251</v>
      </c>
      <c r="C60" s="116"/>
      <c r="D60" s="530">
        <f>36.89-1*0.05</f>
        <v>36.840000000000003</v>
      </c>
      <c r="E60" s="530"/>
      <c r="F60" s="127">
        <v>0.5</v>
      </c>
      <c r="G60" s="117">
        <v>0.25</v>
      </c>
      <c r="H60" s="107">
        <v>16</v>
      </c>
      <c r="I60" s="108">
        <v>1</v>
      </c>
      <c r="J60" s="110">
        <f>ROUND(9.235/G60+1,0)-8</f>
        <v>30</v>
      </c>
      <c r="K60" s="118">
        <f>D60</f>
        <v>36.840000000000003</v>
      </c>
      <c r="L60" s="119">
        <f>IF(O60&lt;12,"0",0.049*H60)*3</f>
        <v>2.3520000000000003</v>
      </c>
      <c r="M60" s="120">
        <v>1</v>
      </c>
      <c r="N60" s="108">
        <f>M60*1*H60/1000</f>
        <v>1.6E-2</v>
      </c>
      <c r="O60" s="121">
        <f>(D60+C60+F60)-N60</f>
        <v>37.324000000000005</v>
      </c>
      <c r="P60" s="121">
        <f>(I60*J60*O60)+L60</f>
        <v>1122.0720000000003</v>
      </c>
      <c r="Q60" s="113" t="str">
        <f t="shared" si="0"/>
        <v/>
      </c>
      <c r="R60" s="113" t="str">
        <f t="shared" si="1"/>
        <v/>
      </c>
      <c r="S60" s="113" t="str">
        <f t="shared" si="2"/>
        <v/>
      </c>
      <c r="T60" s="113">
        <f t="shared" si="3"/>
        <v>1122.0720000000003</v>
      </c>
      <c r="U60" s="113" t="str">
        <f t="shared" si="4"/>
        <v/>
      </c>
      <c r="V60" s="113" t="str">
        <f t="shared" si="5"/>
        <v/>
      </c>
      <c r="W60" s="114"/>
    </row>
    <row r="61" spans="1:23">
      <c r="A61" s="101"/>
      <c r="B61" s="124"/>
      <c r="C61" s="103"/>
      <c r="D61" s="104"/>
      <c r="E61" s="104"/>
      <c r="F61" s="105"/>
      <c r="G61" s="106"/>
      <c r="H61" s="107"/>
      <c r="I61" s="108"/>
      <c r="J61" s="108"/>
      <c r="K61" s="109"/>
      <c r="L61" s="108"/>
      <c r="M61" s="108"/>
      <c r="N61" s="108"/>
      <c r="O61" s="108"/>
      <c r="P61" s="110"/>
      <c r="Q61" s="113" t="str">
        <f t="shared" si="0"/>
        <v/>
      </c>
      <c r="R61" s="113" t="str">
        <f t="shared" si="1"/>
        <v/>
      </c>
      <c r="S61" s="113" t="str">
        <f t="shared" si="2"/>
        <v/>
      </c>
      <c r="T61" s="113" t="str">
        <f t="shared" si="3"/>
        <v/>
      </c>
      <c r="U61" s="113" t="str">
        <f t="shared" si="4"/>
        <v/>
      </c>
      <c r="V61" s="113" t="str">
        <f t="shared" si="5"/>
        <v/>
      </c>
      <c r="W61" s="114"/>
    </row>
    <row r="62" spans="1:23">
      <c r="A62" s="101">
        <v>6</v>
      </c>
      <c r="B62" s="124" t="s">
        <v>256</v>
      </c>
      <c r="C62" s="103"/>
      <c r="D62" s="104"/>
      <c r="E62" s="104"/>
      <c r="F62" s="105"/>
      <c r="G62" s="106"/>
      <c r="H62" s="107"/>
      <c r="I62" s="108"/>
      <c r="J62" s="108"/>
      <c r="K62" s="109"/>
      <c r="L62" s="108"/>
      <c r="M62" s="108"/>
      <c r="N62" s="108"/>
      <c r="O62" s="108"/>
      <c r="P62" s="110"/>
      <c r="Q62" s="113" t="str">
        <f t="shared" si="0"/>
        <v/>
      </c>
      <c r="R62" s="113" t="str">
        <f t="shared" si="1"/>
        <v/>
      </c>
      <c r="S62" s="113" t="str">
        <f t="shared" si="2"/>
        <v/>
      </c>
      <c r="T62" s="113" t="str">
        <f t="shared" si="3"/>
        <v/>
      </c>
      <c r="U62" s="113" t="str">
        <f t="shared" si="4"/>
        <v/>
      </c>
      <c r="V62" s="113" t="str">
        <f t="shared" si="5"/>
        <v/>
      </c>
      <c r="W62" s="114"/>
    </row>
    <row r="63" spans="1:23">
      <c r="A63" s="101"/>
      <c r="B63" s="125" t="s">
        <v>251</v>
      </c>
      <c r="C63" s="116">
        <v>0.5</v>
      </c>
      <c r="D63" s="530">
        <f>25.89-2*0.05</f>
        <v>25.79</v>
      </c>
      <c r="E63" s="531"/>
      <c r="F63" s="116">
        <v>0.5</v>
      </c>
      <c r="G63" s="117">
        <v>0.25</v>
      </c>
      <c r="H63" s="107">
        <v>16</v>
      </c>
      <c r="I63" s="108">
        <v>1</v>
      </c>
      <c r="J63" s="110">
        <f>ROUND(12.415/G63+1,0)</f>
        <v>51</v>
      </c>
      <c r="K63" s="118">
        <f>D63</f>
        <v>25.79</v>
      </c>
      <c r="L63" s="119">
        <f>IF(O63&lt;12,"0",0.049*H63)*2</f>
        <v>1.5680000000000001</v>
      </c>
      <c r="M63" s="120">
        <v>2</v>
      </c>
      <c r="N63" s="108">
        <f>M63*2*H63/1000</f>
        <v>6.4000000000000001E-2</v>
      </c>
      <c r="O63" s="121">
        <f>(D63+C63+F63)-N63</f>
        <v>26.725999999999999</v>
      </c>
      <c r="P63" s="121">
        <f>(I63*J63*O63)+L63</f>
        <v>1364.5939999999998</v>
      </c>
      <c r="Q63" s="113" t="str">
        <f t="shared" si="0"/>
        <v/>
      </c>
      <c r="R63" s="113" t="str">
        <f t="shared" si="1"/>
        <v/>
      </c>
      <c r="S63" s="113" t="str">
        <f t="shared" si="2"/>
        <v/>
      </c>
      <c r="T63" s="113">
        <f t="shared" si="3"/>
        <v>1364.5939999999998</v>
      </c>
      <c r="U63" s="113" t="str">
        <f t="shared" si="4"/>
        <v/>
      </c>
      <c r="V63" s="113" t="str">
        <f t="shared" si="5"/>
        <v/>
      </c>
      <c r="W63" s="114"/>
    </row>
    <row r="64" spans="1:23">
      <c r="A64" s="101"/>
      <c r="B64" s="124"/>
      <c r="C64" s="103"/>
      <c r="D64" s="104"/>
      <c r="E64" s="104"/>
      <c r="F64" s="105"/>
      <c r="G64" s="106"/>
      <c r="H64" s="107"/>
      <c r="I64" s="108"/>
      <c r="J64" s="108"/>
      <c r="K64" s="109"/>
      <c r="L64" s="108"/>
      <c r="M64" s="108"/>
      <c r="N64" s="108"/>
      <c r="O64" s="108"/>
      <c r="P64" s="110"/>
      <c r="Q64" s="113" t="str">
        <f t="shared" si="0"/>
        <v/>
      </c>
      <c r="R64" s="113" t="str">
        <f t="shared" si="1"/>
        <v/>
      </c>
      <c r="S64" s="113" t="str">
        <f t="shared" si="2"/>
        <v/>
      </c>
      <c r="T64" s="113" t="str">
        <f t="shared" si="3"/>
        <v/>
      </c>
      <c r="U64" s="113" t="str">
        <f t="shared" si="4"/>
        <v/>
      </c>
      <c r="V64" s="113" t="str">
        <f t="shared" si="5"/>
        <v/>
      </c>
      <c r="W64" s="114"/>
    </row>
    <row r="65" spans="1:23">
      <c r="A65" s="101">
        <v>7</v>
      </c>
      <c r="B65" s="124" t="s">
        <v>257</v>
      </c>
      <c r="C65" s="103"/>
      <c r="D65" s="104"/>
      <c r="E65" s="104"/>
      <c r="F65" s="105"/>
      <c r="G65" s="106"/>
      <c r="H65" s="107"/>
      <c r="I65" s="108"/>
      <c r="J65" s="108"/>
      <c r="K65" s="109"/>
      <c r="L65" s="108"/>
      <c r="M65" s="108"/>
      <c r="N65" s="108"/>
      <c r="O65" s="108"/>
      <c r="P65" s="110"/>
      <c r="Q65" s="113" t="str">
        <f>IF($H65=8,$P65,"")</f>
        <v/>
      </c>
      <c r="R65" s="113" t="str">
        <f>IF($H65=10,$P65,"")</f>
        <v/>
      </c>
      <c r="S65" s="113" t="str">
        <f>IF($H65=12,$P65,"")</f>
        <v/>
      </c>
      <c r="T65" s="113" t="str">
        <f>IF($H65=16,$P65,"")</f>
        <v/>
      </c>
      <c r="U65" s="113" t="str">
        <f>IF($H65=20,$P65,"")</f>
        <v/>
      </c>
      <c r="V65" s="113" t="str">
        <f>IF($H65=25,$P65,"")</f>
        <v/>
      </c>
      <c r="W65" s="114"/>
    </row>
    <row r="66" spans="1:23">
      <c r="A66" s="101"/>
      <c r="B66" t="s">
        <v>251</v>
      </c>
      <c r="C66" s="116">
        <v>0.5</v>
      </c>
      <c r="D66" s="530">
        <f>8.78-2*0.05</f>
        <v>8.68</v>
      </c>
      <c r="E66" s="531"/>
      <c r="F66" s="116">
        <v>0.5</v>
      </c>
      <c r="G66" s="117">
        <v>0.25</v>
      </c>
      <c r="H66" s="107">
        <v>16</v>
      </c>
      <c r="I66" s="108">
        <v>1</v>
      </c>
      <c r="J66" s="110">
        <f>ROUND(0.515/G66+1,0)</f>
        <v>3</v>
      </c>
      <c r="K66" s="118">
        <f>D66</f>
        <v>8.68</v>
      </c>
      <c r="L66" s="119" t="str">
        <f>IF(O66&lt;12,"0",0.049*H66)</f>
        <v>0</v>
      </c>
      <c r="M66" s="120">
        <v>2</v>
      </c>
      <c r="N66" s="108">
        <f>M66*2*H66/1000</f>
        <v>6.4000000000000001E-2</v>
      </c>
      <c r="O66" s="121">
        <f>(D66+C66+F66)-N66</f>
        <v>9.6159999999999997</v>
      </c>
      <c r="P66" s="121">
        <f>(I66*J66*O66)+L66</f>
        <v>28.847999999999999</v>
      </c>
      <c r="Q66" s="113" t="str">
        <f>IF($H66=8,$P66,"")</f>
        <v/>
      </c>
      <c r="R66" s="113" t="str">
        <f>IF($H66=10,$P66,"")</f>
        <v/>
      </c>
      <c r="S66" s="113" t="str">
        <f>IF($H66=12,$P66,"")</f>
        <v/>
      </c>
      <c r="T66" s="113">
        <f>IF($H66=16,$P66,"")</f>
        <v>28.847999999999999</v>
      </c>
      <c r="U66" s="113" t="str">
        <f>IF($H66=20,$P66,"")</f>
        <v/>
      </c>
      <c r="V66" s="113" t="str">
        <f>IF($H66=25,$P66,"")</f>
        <v/>
      </c>
      <c r="W66" s="114"/>
    </row>
    <row r="67" spans="1:23">
      <c r="A67" s="101"/>
      <c r="B67" s="124"/>
      <c r="C67" s="103"/>
      <c r="D67" s="104"/>
      <c r="E67" s="104"/>
      <c r="F67" s="105"/>
      <c r="G67" s="106"/>
      <c r="H67" s="107"/>
      <c r="I67" s="108"/>
      <c r="J67" s="108"/>
      <c r="K67" s="109"/>
      <c r="L67" s="108"/>
      <c r="M67" s="108"/>
      <c r="N67" s="108"/>
      <c r="O67" s="108"/>
      <c r="P67" s="110"/>
      <c r="Q67" s="113" t="str">
        <f>IF($H67=8,$P67,"")</f>
        <v/>
      </c>
      <c r="R67" s="113" t="str">
        <f>IF($H67=10,$P67,"")</f>
        <v/>
      </c>
      <c r="S67" s="113" t="str">
        <f>IF($H67=12,$P67,"")</f>
        <v/>
      </c>
      <c r="T67" s="113" t="str">
        <f>IF($H67=16,$P67,"")</f>
        <v/>
      </c>
      <c r="U67" s="113" t="str">
        <f>IF($H67=20,$P67,"")</f>
        <v/>
      </c>
      <c r="V67" s="113" t="str">
        <f>IF($H67=25,$P67,"")</f>
        <v/>
      </c>
      <c r="W67" s="114"/>
    </row>
    <row r="68" spans="1:23">
      <c r="A68" s="101"/>
      <c r="B68" s="124"/>
      <c r="C68" s="103"/>
      <c r="D68" s="104"/>
      <c r="E68" s="104"/>
      <c r="F68" s="105"/>
      <c r="G68" s="106"/>
      <c r="H68" s="107"/>
      <c r="I68" s="108"/>
      <c r="J68" s="108"/>
      <c r="K68" s="109"/>
      <c r="L68" s="108"/>
      <c r="M68" s="108"/>
      <c r="N68" s="108"/>
      <c r="O68" s="108"/>
      <c r="P68" s="110"/>
      <c r="Q68" s="113" t="str">
        <f t="shared" si="0"/>
        <v/>
      </c>
      <c r="R68" s="113" t="str">
        <f t="shared" si="1"/>
        <v/>
      </c>
      <c r="S68" s="113" t="str">
        <f t="shared" si="2"/>
        <v/>
      </c>
      <c r="T68" s="113" t="str">
        <f t="shared" si="3"/>
        <v/>
      </c>
      <c r="U68" s="113" t="str">
        <f t="shared" si="4"/>
        <v/>
      </c>
      <c r="V68" s="113" t="str">
        <f t="shared" si="5"/>
        <v/>
      </c>
      <c r="W68" s="114"/>
    </row>
    <row r="69" spans="1:23">
      <c r="A69" s="101"/>
      <c r="B69" s="112" t="s">
        <v>258</v>
      </c>
      <c r="C69" s="103"/>
      <c r="D69" s="104"/>
      <c r="E69" s="104"/>
      <c r="F69" s="105"/>
      <c r="G69" s="106"/>
      <c r="H69" s="107"/>
      <c r="I69" s="108"/>
      <c r="J69" s="108"/>
      <c r="K69" s="109"/>
      <c r="L69" s="108"/>
      <c r="M69" s="108"/>
      <c r="N69" s="108"/>
      <c r="O69" s="108"/>
      <c r="P69" s="110"/>
      <c r="Q69" s="113" t="str">
        <f t="shared" si="0"/>
        <v/>
      </c>
      <c r="R69" s="113" t="str">
        <f t="shared" si="1"/>
        <v/>
      </c>
      <c r="S69" s="113" t="str">
        <f t="shared" si="2"/>
        <v/>
      </c>
      <c r="T69" s="113" t="str">
        <f t="shared" si="3"/>
        <v/>
      </c>
      <c r="U69" s="113" t="str">
        <f t="shared" si="4"/>
        <v/>
      </c>
      <c r="V69" s="113" t="str">
        <f t="shared" si="5"/>
        <v/>
      </c>
      <c r="W69" s="114"/>
    </row>
    <row r="70" spans="1:23">
      <c r="A70" s="101">
        <v>1</v>
      </c>
      <c r="B70" s="115" t="s">
        <v>242</v>
      </c>
      <c r="C70" s="103"/>
      <c r="D70" s="104"/>
      <c r="E70" s="104"/>
      <c r="F70" s="105"/>
      <c r="G70" s="106"/>
      <c r="H70" s="107"/>
      <c r="I70" s="108"/>
      <c r="J70" s="108"/>
      <c r="K70" s="109"/>
      <c r="L70" s="108"/>
      <c r="M70" s="108"/>
      <c r="N70" s="108"/>
      <c r="O70" s="108"/>
      <c r="P70" s="110"/>
      <c r="Q70" s="113" t="str">
        <f t="shared" si="0"/>
        <v/>
      </c>
      <c r="R70" s="113" t="str">
        <f t="shared" si="1"/>
        <v/>
      </c>
      <c r="S70" s="113" t="str">
        <f t="shared" si="2"/>
        <v/>
      </c>
      <c r="T70" s="113" t="str">
        <f t="shared" si="3"/>
        <v/>
      </c>
      <c r="U70" s="113" t="str">
        <f t="shared" si="4"/>
        <v/>
      </c>
      <c r="V70" s="113" t="str">
        <f t="shared" si="5"/>
        <v/>
      </c>
      <c r="W70" s="114"/>
    </row>
    <row r="71" spans="1:23">
      <c r="A71" s="101"/>
      <c r="B71" t="s">
        <v>243</v>
      </c>
      <c r="C71" s="116">
        <v>0.5</v>
      </c>
      <c r="D71" s="530">
        <f>21.65-2*0.05</f>
        <v>21.549999999999997</v>
      </c>
      <c r="E71" s="531"/>
      <c r="F71" s="116">
        <v>0.5</v>
      </c>
      <c r="G71" s="117">
        <v>0.25</v>
      </c>
      <c r="H71" s="107">
        <v>16</v>
      </c>
      <c r="I71" s="108">
        <v>1</v>
      </c>
      <c r="J71" s="110">
        <f>ROUND(8.855/G71/2+1,0)</f>
        <v>19</v>
      </c>
      <c r="K71" s="118">
        <f>D71</f>
        <v>21.549999999999997</v>
      </c>
      <c r="L71" s="119">
        <f>IF(O71&lt;12,"0",0.049*H71)*2</f>
        <v>1.5680000000000001</v>
      </c>
      <c r="M71" s="120">
        <v>2</v>
      </c>
      <c r="N71" s="108">
        <f>M71*2*H71/1000</f>
        <v>6.4000000000000001E-2</v>
      </c>
      <c r="O71" s="121">
        <f>(D71+C71+F71)-N71</f>
        <v>22.485999999999997</v>
      </c>
      <c r="P71" s="121">
        <f>(I71*J71*O71)+L71</f>
        <v>428.80199999999991</v>
      </c>
      <c r="Q71" s="113" t="str">
        <f t="shared" si="0"/>
        <v/>
      </c>
      <c r="R71" s="113" t="str">
        <f t="shared" si="1"/>
        <v/>
      </c>
      <c r="S71" s="113" t="str">
        <f t="shared" si="2"/>
        <v/>
      </c>
      <c r="T71" s="113">
        <f t="shared" si="3"/>
        <v>428.80199999999991</v>
      </c>
      <c r="U71" s="113" t="str">
        <f t="shared" si="4"/>
        <v/>
      </c>
      <c r="V71" s="113" t="str">
        <f t="shared" si="5"/>
        <v/>
      </c>
      <c r="W71" s="114"/>
    </row>
    <row r="72" spans="1:23">
      <c r="A72" s="101"/>
      <c r="B72" s="114"/>
      <c r="C72" s="103"/>
      <c r="D72" s="104"/>
      <c r="E72" s="104"/>
      <c r="F72" s="105"/>
      <c r="G72" s="106"/>
      <c r="H72" s="107"/>
      <c r="I72" s="108"/>
      <c r="J72" s="108"/>
      <c r="K72" s="118"/>
      <c r="L72" s="121"/>
      <c r="M72" s="121"/>
      <c r="N72" s="108"/>
      <c r="O72" s="121"/>
      <c r="P72" s="121"/>
      <c r="Q72" s="113" t="str">
        <f t="shared" si="0"/>
        <v/>
      </c>
      <c r="R72" s="113" t="str">
        <f t="shared" si="1"/>
        <v/>
      </c>
      <c r="S72" s="113" t="str">
        <f t="shared" si="2"/>
        <v/>
      </c>
      <c r="T72" s="113" t="str">
        <f t="shared" si="3"/>
        <v/>
      </c>
      <c r="U72" s="113" t="str">
        <f t="shared" si="4"/>
        <v/>
      </c>
      <c r="V72" s="113" t="str">
        <f t="shared" si="5"/>
        <v/>
      </c>
      <c r="W72" s="114"/>
    </row>
    <row r="73" spans="1:23">
      <c r="A73" s="101">
        <v>1</v>
      </c>
      <c r="B73" s="115" t="s">
        <v>242</v>
      </c>
      <c r="C73" s="103"/>
      <c r="D73" s="104"/>
      <c r="E73" s="104"/>
      <c r="F73" s="105"/>
      <c r="G73" s="106"/>
      <c r="H73" s="107"/>
      <c r="I73" s="108"/>
      <c r="J73" s="108"/>
      <c r="K73" s="109"/>
      <c r="L73" s="108"/>
      <c r="M73" s="108"/>
      <c r="N73" s="108"/>
      <c r="O73" s="108"/>
      <c r="P73" s="110"/>
      <c r="Q73" s="113" t="str">
        <f t="shared" si="0"/>
        <v/>
      </c>
      <c r="R73" s="113" t="str">
        <f t="shared" si="1"/>
        <v/>
      </c>
      <c r="S73" s="113" t="str">
        <f t="shared" si="2"/>
        <v/>
      </c>
      <c r="T73" s="113" t="str">
        <f t="shared" si="3"/>
        <v/>
      </c>
      <c r="U73" s="113" t="str">
        <f t="shared" si="4"/>
        <v/>
      </c>
      <c r="V73" s="113" t="str">
        <f t="shared" si="5"/>
        <v/>
      </c>
      <c r="W73" s="114"/>
    </row>
    <row r="74" spans="1:23">
      <c r="A74" s="101"/>
      <c r="B74" t="s">
        <v>243</v>
      </c>
      <c r="C74" s="116">
        <v>0.5</v>
      </c>
      <c r="D74" s="530">
        <f>21.65-2*0.05</f>
        <v>21.549999999999997</v>
      </c>
      <c r="E74" s="531"/>
      <c r="F74" s="116">
        <v>0.5</v>
      </c>
      <c r="G74" s="117">
        <v>0.25</v>
      </c>
      <c r="H74" s="107">
        <v>16</v>
      </c>
      <c r="I74" s="108">
        <v>1</v>
      </c>
      <c r="J74" s="110">
        <f>ROUND(8.855/G74/2,0)</f>
        <v>18</v>
      </c>
      <c r="K74" s="118">
        <f>D74</f>
        <v>21.549999999999997</v>
      </c>
      <c r="L74" s="119">
        <f>IF(O74&lt;12,"0",0.049*H74)</f>
        <v>0.78400000000000003</v>
      </c>
      <c r="M74" s="120">
        <v>2</v>
      </c>
      <c r="N74" s="108">
        <f>M74*2*H74/1000</f>
        <v>6.4000000000000001E-2</v>
      </c>
      <c r="O74" s="121">
        <f>(D74+C74+F74)-N74</f>
        <v>22.485999999999997</v>
      </c>
      <c r="P74" s="121">
        <f>(I74*J74*O74)+L74</f>
        <v>405.53199999999993</v>
      </c>
      <c r="Q74" s="113" t="str">
        <f t="shared" si="0"/>
        <v/>
      </c>
      <c r="R74" s="113" t="str">
        <f t="shared" si="1"/>
        <v/>
      </c>
      <c r="S74" s="113" t="str">
        <f t="shared" si="2"/>
        <v/>
      </c>
      <c r="T74" s="113">
        <f t="shared" si="3"/>
        <v>405.53199999999993</v>
      </c>
      <c r="U74" s="113" t="str">
        <f t="shared" si="4"/>
        <v/>
      </c>
      <c r="V74" s="113" t="str">
        <f t="shared" si="5"/>
        <v/>
      </c>
      <c r="W74" s="114"/>
    </row>
    <row r="75" spans="1:23">
      <c r="A75" s="101"/>
      <c r="B75" s="114"/>
      <c r="C75" s="103"/>
      <c r="D75" s="104"/>
      <c r="E75" s="104"/>
      <c r="F75" s="105"/>
      <c r="G75" s="106"/>
      <c r="H75" s="107"/>
      <c r="I75" s="108"/>
      <c r="J75" s="108"/>
      <c r="K75" s="118"/>
      <c r="L75" s="121"/>
      <c r="M75" s="121"/>
      <c r="N75" s="108"/>
      <c r="O75" s="121"/>
      <c r="P75" s="121"/>
      <c r="Q75" s="113" t="str">
        <f t="shared" si="0"/>
        <v/>
      </c>
      <c r="R75" s="113" t="str">
        <f t="shared" si="1"/>
        <v/>
      </c>
      <c r="S75" s="113" t="str">
        <f t="shared" si="2"/>
        <v/>
      </c>
      <c r="T75" s="113" t="str">
        <f t="shared" si="3"/>
        <v/>
      </c>
      <c r="U75" s="113" t="str">
        <f t="shared" si="4"/>
        <v/>
      </c>
      <c r="V75" s="113" t="str">
        <f t="shared" si="5"/>
        <v/>
      </c>
      <c r="W75" s="114"/>
    </row>
    <row r="76" spans="1:23">
      <c r="A76" s="101">
        <v>2</v>
      </c>
      <c r="B76" s="115" t="s">
        <v>244</v>
      </c>
      <c r="C76" s="103"/>
      <c r="D76" s="104"/>
      <c r="E76" s="104"/>
      <c r="F76" s="105"/>
      <c r="G76" s="106"/>
      <c r="H76" s="107"/>
      <c r="I76" s="108"/>
      <c r="J76" s="108"/>
      <c r="K76" s="109"/>
      <c r="L76" s="108"/>
      <c r="M76" s="108"/>
      <c r="N76" s="108"/>
      <c r="O76" s="108"/>
      <c r="P76" s="110"/>
      <c r="Q76" s="113" t="str">
        <f t="shared" si="0"/>
        <v/>
      </c>
      <c r="R76" s="113" t="str">
        <f t="shared" si="1"/>
        <v/>
      </c>
      <c r="S76" s="113" t="str">
        <f t="shared" si="2"/>
        <v/>
      </c>
      <c r="T76" s="113" t="str">
        <f t="shared" si="3"/>
        <v/>
      </c>
      <c r="U76" s="113" t="str">
        <f t="shared" si="4"/>
        <v/>
      </c>
      <c r="V76" s="113" t="str">
        <f t="shared" si="5"/>
        <v/>
      </c>
      <c r="W76" s="114"/>
    </row>
    <row r="77" spans="1:23">
      <c r="A77" s="101"/>
      <c r="B77" t="s">
        <v>243</v>
      </c>
      <c r="C77" s="116">
        <v>0.5</v>
      </c>
      <c r="D77" s="530">
        <f>21.65+0.515-2*0.05</f>
        <v>22.064999999999998</v>
      </c>
      <c r="E77" s="531"/>
      <c r="F77" s="116">
        <v>0.5</v>
      </c>
      <c r="G77" s="117">
        <v>0.25</v>
      </c>
      <c r="H77" s="107">
        <v>16</v>
      </c>
      <c r="I77" s="108">
        <v>1</v>
      </c>
      <c r="J77" s="110">
        <f>ROUND(2.535/G77/2+1,0)</f>
        <v>6</v>
      </c>
      <c r="K77" s="118">
        <f>D77</f>
        <v>22.064999999999998</v>
      </c>
      <c r="L77" s="121">
        <f>IF(O77&lt;12,"0",0.049*H77)*2</f>
        <v>1.5680000000000001</v>
      </c>
      <c r="M77" s="120">
        <v>2</v>
      </c>
      <c r="N77" s="108">
        <f>M77*2*H77/1000</f>
        <v>6.4000000000000001E-2</v>
      </c>
      <c r="O77" s="121">
        <f>(D77+C77+F77)-N77</f>
        <v>23.000999999999998</v>
      </c>
      <c r="P77" s="121">
        <f>(I77*J77*O77)+L77</f>
        <v>139.57399999999998</v>
      </c>
      <c r="Q77" s="113" t="str">
        <f t="shared" si="0"/>
        <v/>
      </c>
      <c r="R77" s="113" t="str">
        <f t="shared" si="1"/>
        <v/>
      </c>
      <c r="S77" s="113" t="str">
        <f t="shared" si="2"/>
        <v/>
      </c>
      <c r="T77" s="113">
        <f t="shared" si="3"/>
        <v>139.57399999999998</v>
      </c>
      <c r="U77" s="113" t="str">
        <f t="shared" si="4"/>
        <v/>
      </c>
      <c r="V77" s="113" t="str">
        <f t="shared" si="5"/>
        <v/>
      </c>
      <c r="W77" s="114"/>
    </row>
    <row r="78" spans="1:23">
      <c r="A78" s="101"/>
      <c r="B78" s="114"/>
      <c r="C78" s="103"/>
      <c r="D78" s="104"/>
      <c r="E78" s="104"/>
      <c r="F78" s="105"/>
      <c r="G78" s="106"/>
      <c r="H78" s="107"/>
      <c r="I78" s="108"/>
      <c r="J78" s="108"/>
      <c r="K78" s="109"/>
      <c r="L78" s="108"/>
      <c r="M78" s="108"/>
      <c r="N78" s="108"/>
      <c r="O78" s="108"/>
      <c r="P78" s="110"/>
      <c r="Q78" s="113" t="str">
        <f t="shared" si="0"/>
        <v/>
      </c>
      <c r="R78" s="113" t="str">
        <f t="shared" si="1"/>
        <v/>
      </c>
      <c r="S78" s="113" t="str">
        <f t="shared" si="2"/>
        <v/>
      </c>
      <c r="T78" s="113" t="str">
        <f t="shared" si="3"/>
        <v/>
      </c>
      <c r="U78" s="113" t="str">
        <f t="shared" si="4"/>
        <v/>
      </c>
      <c r="V78" s="113" t="str">
        <f t="shared" si="5"/>
        <v/>
      </c>
      <c r="W78" s="114"/>
    </row>
    <row r="79" spans="1:23">
      <c r="A79" s="101">
        <v>2</v>
      </c>
      <c r="B79" s="115" t="s">
        <v>244</v>
      </c>
      <c r="C79" s="103"/>
      <c r="D79" s="104"/>
      <c r="E79" s="104"/>
      <c r="F79" s="105"/>
      <c r="G79" s="106"/>
      <c r="H79" s="107"/>
      <c r="I79" s="108"/>
      <c r="J79" s="108"/>
      <c r="K79" s="109"/>
      <c r="L79" s="108"/>
      <c r="M79" s="108"/>
      <c r="N79" s="108"/>
      <c r="O79" s="108"/>
      <c r="P79" s="110"/>
      <c r="Q79" s="113" t="str">
        <f t="shared" si="0"/>
        <v/>
      </c>
      <c r="R79" s="113" t="str">
        <f t="shared" si="1"/>
        <v/>
      </c>
      <c r="S79" s="113" t="str">
        <f t="shared" si="2"/>
        <v/>
      </c>
      <c r="T79" s="113" t="str">
        <f t="shared" si="3"/>
        <v/>
      </c>
      <c r="U79" s="113" t="str">
        <f t="shared" si="4"/>
        <v/>
      </c>
      <c r="V79" s="113" t="str">
        <f t="shared" si="5"/>
        <v/>
      </c>
      <c r="W79" s="114"/>
    </row>
    <row r="80" spans="1:23">
      <c r="A80" s="101"/>
      <c r="B80" t="s">
        <v>243</v>
      </c>
      <c r="C80" s="116">
        <v>0.5</v>
      </c>
      <c r="D80" s="530">
        <f>21.65+0.515-2*0.05</f>
        <v>22.064999999999998</v>
      </c>
      <c r="E80" s="531"/>
      <c r="F80" s="116">
        <v>0.5</v>
      </c>
      <c r="G80" s="117">
        <v>0.25</v>
      </c>
      <c r="H80" s="107">
        <v>16</v>
      </c>
      <c r="I80" s="108">
        <v>1</v>
      </c>
      <c r="J80" s="110">
        <f>ROUND(2.535/G80/2,0)</f>
        <v>5</v>
      </c>
      <c r="K80" s="118">
        <f>D80</f>
        <v>22.064999999999998</v>
      </c>
      <c r="L80" s="121">
        <f>IF(O80&lt;12,"0",0.049*H80)</f>
        <v>0.78400000000000003</v>
      </c>
      <c r="M80" s="120">
        <v>2</v>
      </c>
      <c r="N80" s="108">
        <f>M80*2*H80/1000</f>
        <v>6.4000000000000001E-2</v>
      </c>
      <c r="O80" s="121">
        <f>(D80+C80+F80)-N80</f>
        <v>23.000999999999998</v>
      </c>
      <c r="P80" s="121">
        <f>(I80*J80*O80)+L80</f>
        <v>115.789</v>
      </c>
      <c r="Q80" s="113" t="str">
        <f t="shared" si="0"/>
        <v/>
      </c>
      <c r="R80" s="113" t="str">
        <f t="shared" si="1"/>
        <v/>
      </c>
      <c r="S80" s="113" t="str">
        <f t="shared" si="2"/>
        <v/>
      </c>
      <c r="T80" s="113">
        <f t="shared" si="3"/>
        <v>115.789</v>
      </c>
      <c r="U80" s="113" t="str">
        <f t="shared" si="4"/>
        <v/>
      </c>
      <c r="V80" s="113" t="str">
        <f t="shared" si="5"/>
        <v/>
      </c>
      <c r="W80" s="114"/>
    </row>
    <row r="81" spans="1:23">
      <c r="A81" s="101"/>
      <c r="B81" s="114"/>
      <c r="C81" s="103"/>
      <c r="D81" s="104"/>
      <c r="E81" s="104"/>
      <c r="F81" s="105"/>
      <c r="G81" s="106"/>
      <c r="H81" s="107"/>
      <c r="I81" s="108"/>
      <c r="J81" s="108"/>
      <c r="K81" s="109"/>
      <c r="L81" s="108"/>
      <c r="M81" s="108"/>
      <c r="N81" s="108"/>
      <c r="O81" s="108"/>
      <c r="P81" s="110"/>
      <c r="Q81" s="113" t="str">
        <f t="shared" si="0"/>
        <v/>
      </c>
      <c r="R81" s="113" t="str">
        <f t="shared" si="1"/>
        <v/>
      </c>
      <c r="S81" s="113" t="str">
        <f t="shared" si="2"/>
        <v/>
      </c>
      <c r="T81" s="113" t="str">
        <f t="shared" si="3"/>
        <v/>
      </c>
      <c r="U81" s="113" t="str">
        <f t="shared" si="4"/>
        <v/>
      </c>
      <c r="V81" s="113" t="str">
        <f t="shared" si="5"/>
        <v/>
      </c>
      <c r="W81" s="114"/>
    </row>
    <row r="82" spans="1:23">
      <c r="A82" s="101">
        <v>3</v>
      </c>
      <c r="B82" s="115" t="s">
        <v>245</v>
      </c>
      <c r="C82" s="103"/>
      <c r="D82" s="104"/>
      <c r="E82" s="104"/>
      <c r="F82" s="105"/>
      <c r="G82" s="106"/>
      <c r="H82" s="107"/>
      <c r="I82" s="108"/>
      <c r="J82" s="108"/>
      <c r="K82" s="109"/>
      <c r="L82" s="108"/>
      <c r="M82" s="108"/>
      <c r="N82" s="108"/>
      <c r="O82" s="108"/>
      <c r="P82" s="110"/>
      <c r="Q82" s="113" t="str">
        <f t="shared" si="0"/>
        <v/>
      </c>
      <c r="R82" s="113" t="str">
        <f t="shared" si="1"/>
        <v/>
      </c>
      <c r="S82" s="113" t="str">
        <f t="shared" si="2"/>
        <v/>
      </c>
      <c r="T82" s="113" t="str">
        <f t="shared" si="3"/>
        <v/>
      </c>
      <c r="U82" s="113" t="str">
        <f t="shared" si="4"/>
        <v/>
      </c>
      <c r="V82" s="113" t="str">
        <f t="shared" si="5"/>
        <v/>
      </c>
      <c r="W82" s="114"/>
    </row>
    <row r="83" spans="1:23">
      <c r="A83" s="101"/>
      <c r="B83" t="s">
        <v>243</v>
      </c>
      <c r="C83" s="116">
        <v>0.5</v>
      </c>
      <c r="D83" s="530">
        <f>32.45-2*0.05</f>
        <v>32.35</v>
      </c>
      <c r="E83" s="531"/>
      <c r="F83" s="116">
        <v>0.5</v>
      </c>
      <c r="G83" s="117">
        <v>0.25</v>
      </c>
      <c r="H83" s="107">
        <v>16</v>
      </c>
      <c r="I83" s="108">
        <v>1</v>
      </c>
      <c r="J83" s="110">
        <f>ROUND(6.245/G83/2+1,0)</f>
        <v>13</v>
      </c>
      <c r="K83" s="118">
        <f>D83</f>
        <v>32.35</v>
      </c>
      <c r="L83" s="121">
        <f>IF(O83&lt;12,"0",0.049*H83)*3</f>
        <v>2.3520000000000003</v>
      </c>
      <c r="M83" s="120">
        <v>2</v>
      </c>
      <c r="N83" s="108">
        <f>M83*2*H83/1000</f>
        <v>6.4000000000000001E-2</v>
      </c>
      <c r="O83" s="121">
        <f>(D83+C83+F83)-N83</f>
        <v>33.286000000000001</v>
      </c>
      <c r="P83" s="121">
        <f>(I83*J83*O83)+L83</f>
        <v>435.07</v>
      </c>
      <c r="Q83" s="113" t="str">
        <f t="shared" si="0"/>
        <v/>
      </c>
      <c r="R83" s="113" t="str">
        <f t="shared" si="1"/>
        <v/>
      </c>
      <c r="S83" s="113" t="str">
        <f t="shared" si="2"/>
        <v/>
      </c>
      <c r="T83" s="113">
        <f t="shared" si="3"/>
        <v>435.07</v>
      </c>
      <c r="U83" s="113" t="str">
        <f t="shared" si="4"/>
        <v/>
      </c>
      <c r="V83" s="113" t="str">
        <f t="shared" si="5"/>
        <v/>
      </c>
      <c r="W83" s="114"/>
    </row>
    <row r="84" spans="1:23">
      <c r="A84" s="101"/>
      <c r="B84" s="122"/>
      <c r="C84" s="103"/>
      <c r="D84" s="104"/>
      <c r="E84" s="123"/>
      <c r="F84" s="105"/>
      <c r="G84" s="106"/>
      <c r="H84" s="107"/>
      <c r="I84" s="108"/>
      <c r="J84" s="108"/>
      <c r="K84" s="109"/>
      <c r="L84" s="108"/>
      <c r="M84" s="108"/>
      <c r="N84" s="108"/>
      <c r="O84" s="108"/>
      <c r="P84" s="110"/>
      <c r="Q84" s="113" t="str">
        <f t="shared" si="0"/>
        <v/>
      </c>
      <c r="R84" s="113" t="str">
        <f t="shared" si="1"/>
        <v/>
      </c>
      <c r="S84" s="113" t="str">
        <f t="shared" si="2"/>
        <v/>
      </c>
      <c r="T84" s="113" t="str">
        <f t="shared" si="3"/>
        <v/>
      </c>
      <c r="U84" s="113" t="str">
        <f t="shared" si="4"/>
        <v/>
      </c>
      <c r="V84" s="113" t="str">
        <f t="shared" si="5"/>
        <v/>
      </c>
      <c r="W84" s="114"/>
    </row>
    <row r="85" spans="1:23">
      <c r="A85" s="101">
        <v>3</v>
      </c>
      <c r="B85" s="115" t="s">
        <v>245</v>
      </c>
      <c r="C85" s="103"/>
      <c r="D85" s="104"/>
      <c r="E85" s="104"/>
      <c r="F85" s="105"/>
      <c r="G85" s="106"/>
      <c r="H85" s="107"/>
      <c r="I85" s="108"/>
      <c r="J85" s="108"/>
      <c r="K85" s="109"/>
      <c r="L85" s="108"/>
      <c r="M85" s="108"/>
      <c r="N85" s="108"/>
      <c r="O85" s="108"/>
      <c r="P85" s="110"/>
      <c r="Q85" s="113" t="str">
        <f t="shared" si="0"/>
        <v/>
      </c>
      <c r="R85" s="113" t="str">
        <f t="shared" si="1"/>
        <v/>
      </c>
      <c r="S85" s="113" t="str">
        <f t="shared" si="2"/>
        <v/>
      </c>
      <c r="T85" s="113" t="str">
        <f t="shared" si="3"/>
        <v/>
      </c>
      <c r="U85" s="113" t="str">
        <f t="shared" si="4"/>
        <v/>
      </c>
      <c r="V85" s="113" t="str">
        <f t="shared" si="5"/>
        <v/>
      </c>
      <c r="W85" s="114"/>
    </row>
    <row r="86" spans="1:23">
      <c r="A86" s="101"/>
      <c r="B86" t="s">
        <v>243</v>
      </c>
      <c r="C86" s="116">
        <v>0.5</v>
      </c>
      <c r="D86" s="530">
        <f>32.45-2*0.05</f>
        <v>32.35</v>
      </c>
      <c r="E86" s="531"/>
      <c r="F86" s="116">
        <v>0.5</v>
      </c>
      <c r="G86" s="117">
        <v>0.25</v>
      </c>
      <c r="H86" s="107">
        <v>16</v>
      </c>
      <c r="I86" s="108">
        <v>1</v>
      </c>
      <c r="J86" s="110">
        <f>ROUND(6.245/G86/2,0)</f>
        <v>12</v>
      </c>
      <c r="K86" s="118">
        <f>D86</f>
        <v>32.35</v>
      </c>
      <c r="L86" s="121">
        <f>IF(O86&lt;12,"0",0.049*H86)*2</f>
        <v>1.5680000000000001</v>
      </c>
      <c r="M86" s="120">
        <v>2</v>
      </c>
      <c r="N86" s="108">
        <f>M86*2*H86/1000</f>
        <v>6.4000000000000001E-2</v>
      </c>
      <c r="O86" s="121">
        <f>(D86+C86+F86)-N86</f>
        <v>33.286000000000001</v>
      </c>
      <c r="P86" s="121">
        <f>(I86*J86*O86)+L86</f>
        <v>401</v>
      </c>
      <c r="Q86" s="113" t="str">
        <f t="shared" si="0"/>
        <v/>
      </c>
      <c r="R86" s="113" t="str">
        <f t="shared" si="1"/>
        <v/>
      </c>
      <c r="S86" s="113" t="str">
        <f t="shared" si="2"/>
        <v/>
      </c>
      <c r="T86" s="113">
        <f t="shared" si="3"/>
        <v>401</v>
      </c>
      <c r="U86" s="113" t="str">
        <f t="shared" si="4"/>
        <v/>
      </c>
      <c r="V86" s="113" t="str">
        <f t="shared" si="5"/>
        <v/>
      </c>
      <c r="W86" s="114"/>
    </row>
    <row r="87" spans="1:23">
      <c r="A87" s="101"/>
      <c r="B87" s="122"/>
      <c r="C87" s="103"/>
      <c r="D87" s="104"/>
      <c r="E87" s="123"/>
      <c r="F87" s="105"/>
      <c r="G87" s="106"/>
      <c r="H87" s="107"/>
      <c r="I87" s="108"/>
      <c r="J87" s="108"/>
      <c r="K87" s="109"/>
      <c r="L87" s="108"/>
      <c r="M87" s="108"/>
      <c r="N87" s="108"/>
      <c r="O87" s="108"/>
      <c r="P87" s="110"/>
      <c r="Q87" s="113" t="str">
        <f t="shared" si="0"/>
        <v/>
      </c>
      <c r="R87" s="113" t="str">
        <f t="shared" si="1"/>
        <v/>
      </c>
      <c r="S87" s="113" t="str">
        <f t="shared" si="2"/>
        <v/>
      </c>
      <c r="T87" s="113" t="str">
        <f t="shared" si="3"/>
        <v/>
      </c>
      <c r="U87" s="113" t="str">
        <f t="shared" si="4"/>
        <v/>
      </c>
      <c r="V87" s="113" t="str">
        <f t="shared" si="5"/>
        <v/>
      </c>
      <c r="W87" s="114"/>
    </row>
    <row r="88" spans="1:23">
      <c r="A88" s="101">
        <v>4</v>
      </c>
      <c r="B88" s="115" t="s">
        <v>246</v>
      </c>
      <c r="C88" s="103"/>
      <c r="D88" s="104"/>
      <c r="E88" s="104"/>
      <c r="F88" s="105"/>
      <c r="G88" s="106"/>
      <c r="H88" s="107"/>
      <c r="I88" s="108"/>
      <c r="J88" s="108"/>
      <c r="K88" s="109"/>
      <c r="L88" s="108"/>
      <c r="M88" s="108"/>
      <c r="N88" s="108"/>
      <c r="O88" s="108"/>
      <c r="P88" s="110"/>
      <c r="Q88" s="113" t="str">
        <f t="shared" si="0"/>
        <v/>
      </c>
      <c r="R88" s="113" t="str">
        <f t="shared" si="1"/>
        <v/>
      </c>
      <c r="S88" s="113" t="str">
        <f t="shared" si="2"/>
        <v/>
      </c>
      <c r="T88" s="113" t="str">
        <f t="shared" si="3"/>
        <v/>
      </c>
      <c r="U88" s="113" t="str">
        <f t="shared" si="4"/>
        <v/>
      </c>
      <c r="V88" s="113" t="str">
        <f t="shared" si="5"/>
        <v/>
      </c>
      <c r="W88" s="114"/>
    </row>
    <row r="89" spans="1:23">
      <c r="A89" s="101"/>
      <c r="B89" t="s">
        <v>243</v>
      </c>
      <c r="C89" s="116">
        <v>0.5</v>
      </c>
      <c r="D89" s="530">
        <f>31.935-2*0.05</f>
        <v>31.834999999999997</v>
      </c>
      <c r="E89" s="531"/>
      <c r="F89" s="116">
        <v>0.5</v>
      </c>
      <c r="G89" s="117">
        <v>0.25</v>
      </c>
      <c r="H89" s="107">
        <v>16</v>
      </c>
      <c r="I89" s="108">
        <v>1</v>
      </c>
      <c r="J89" s="110">
        <f>ROUND(2.63/G89/2+1,0)</f>
        <v>6</v>
      </c>
      <c r="K89" s="118">
        <f>D89</f>
        <v>31.834999999999997</v>
      </c>
      <c r="L89" s="121">
        <f>IF(O89&lt;12,"0",0.049*H89)*3</f>
        <v>2.3520000000000003</v>
      </c>
      <c r="M89" s="120">
        <v>2</v>
      </c>
      <c r="N89" s="108">
        <f>M89*2*H89/1000</f>
        <v>6.4000000000000001E-2</v>
      </c>
      <c r="O89" s="121">
        <f>(D89+C89+F89)-N89</f>
        <v>32.770999999999994</v>
      </c>
      <c r="P89" s="121">
        <f>(I89*J89*O89)+L89</f>
        <v>198.97799999999998</v>
      </c>
      <c r="Q89" s="113" t="str">
        <f t="shared" si="0"/>
        <v/>
      </c>
      <c r="R89" s="113" t="str">
        <f t="shared" si="1"/>
        <v/>
      </c>
      <c r="S89" s="113" t="str">
        <f t="shared" si="2"/>
        <v/>
      </c>
      <c r="T89" s="113">
        <f t="shared" si="3"/>
        <v>198.97799999999998</v>
      </c>
      <c r="U89" s="113" t="str">
        <f t="shared" si="4"/>
        <v/>
      </c>
      <c r="V89" s="113" t="str">
        <f t="shared" si="5"/>
        <v/>
      </c>
      <c r="W89" s="114"/>
    </row>
    <row r="90" spans="1:23">
      <c r="A90" s="101"/>
      <c r="B90" s="122"/>
      <c r="C90" s="103"/>
      <c r="D90" s="104"/>
      <c r="E90" s="123"/>
      <c r="F90" s="105"/>
      <c r="G90" s="106"/>
      <c r="H90" s="107"/>
      <c r="I90" s="108"/>
      <c r="J90" s="108"/>
      <c r="K90" s="109"/>
      <c r="L90" s="108"/>
      <c r="M90" s="108"/>
      <c r="N90" s="108"/>
      <c r="O90" s="108"/>
      <c r="P90" s="110"/>
      <c r="Q90" s="113" t="str">
        <f t="shared" si="0"/>
        <v/>
      </c>
      <c r="R90" s="113" t="str">
        <f t="shared" si="1"/>
        <v/>
      </c>
      <c r="S90" s="113" t="str">
        <f t="shared" si="2"/>
        <v/>
      </c>
      <c r="T90" s="113" t="str">
        <f t="shared" si="3"/>
        <v/>
      </c>
      <c r="U90" s="113" t="str">
        <f t="shared" si="4"/>
        <v/>
      </c>
      <c r="V90" s="113" t="str">
        <f t="shared" si="5"/>
        <v/>
      </c>
      <c r="W90" s="114"/>
    </row>
    <row r="91" spans="1:23">
      <c r="A91" s="101">
        <v>4</v>
      </c>
      <c r="B91" s="115" t="s">
        <v>246</v>
      </c>
      <c r="C91" s="103"/>
      <c r="D91" s="104"/>
      <c r="E91" s="104"/>
      <c r="F91" s="105"/>
      <c r="G91" s="106"/>
      <c r="H91" s="107"/>
      <c r="I91" s="108"/>
      <c r="J91" s="108"/>
      <c r="K91" s="109"/>
      <c r="L91" s="108"/>
      <c r="M91" s="108"/>
      <c r="N91" s="108"/>
      <c r="O91" s="108"/>
      <c r="P91" s="110"/>
      <c r="Q91" s="113" t="str">
        <f t="shared" si="0"/>
        <v/>
      </c>
      <c r="R91" s="113" t="str">
        <f t="shared" si="1"/>
        <v/>
      </c>
      <c r="S91" s="113" t="str">
        <f t="shared" si="2"/>
        <v/>
      </c>
      <c r="T91" s="113" t="str">
        <f t="shared" si="3"/>
        <v/>
      </c>
      <c r="U91" s="113" t="str">
        <f t="shared" si="4"/>
        <v/>
      </c>
      <c r="V91" s="113" t="str">
        <f t="shared" si="5"/>
        <v/>
      </c>
      <c r="W91" s="114"/>
    </row>
    <row r="92" spans="1:23">
      <c r="A92" s="101"/>
      <c r="B92" t="s">
        <v>243</v>
      </c>
      <c r="C92" s="116">
        <v>0.5</v>
      </c>
      <c r="D92" s="530">
        <f>31.935-2*0.05</f>
        <v>31.834999999999997</v>
      </c>
      <c r="E92" s="531"/>
      <c r="F92" s="116">
        <v>0.5</v>
      </c>
      <c r="G92" s="117">
        <v>0.25</v>
      </c>
      <c r="H92" s="107">
        <v>16</v>
      </c>
      <c r="I92" s="108">
        <v>1</v>
      </c>
      <c r="J92" s="110">
        <f>ROUND(2.63/G92/2,0)</f>
        <v>5</v>
      </c>
      <c r="K92" s="118">
        <f>D92</f>
        <v>31.834999999999997</v>
      </c>
      <c r="L92" s="121">
        <f>IF(O92&lt;12,"0",0.049*H92)*2</f>
        <v>1.5680000000000001</v>
      </c>
      <c r="M92" s="120">
        <v>2</v>
      </c>
      <c r="N92" s="108">
        <f>M92*2*H92/1000</f>
        <v>6.4000000000000001E-2</v>
      </c>
      <c r="O92" s="121">
        <f>(D92+C92+F92)-N92</f>
        <v>32.770999999999994</v>
      </c>
      <c r="P92" s="121">
        <f>(I92*J92*O92)+L92</f>
        <v>165.42299999999997</v>
      </c>
      <c r="Q92" s="113" t="str">
        <f t="shared" si="0"/>
        <v/>
      </c>
      <c r="R92" s="113" t="str">
        <f t="shared" si="1"/>
        <v/>
      </c>
      <c r="S92" s="113" t="str">
        <f t="shared" si="2"/>
        <v/>
      </c>
      <c r="T92" s="113">
        <f t="shared" si="3"/>
        <v>165.42299999999997</v>
      </c>
      <c r="U92" s="113" t="str">
        <f t="shared" si="4"/>
        <v/>
      </c>
      <c r="V92" s="113" t="str">
        <f t="shared" si="5"/>
        <v/>
      </c>
      <c r="W92" s="114"/>
    </row>
    <row r="93" spans="1:23">
      <c r="A93" s="101"/>
      <c r="B93" s="122"/>
      <c r="C93" s="103"/>
      <c r="D93" s="104"/>
      <c r="E93" s="123"/>
      <c r="F93" s="105"/>
      <c r="G93" s="106"/>
      <c r="H93" s="107"/>
      <c r="I93" s="108"/>
      <c r="J93" s="108"/>
      <c r="K93" s="109"/>
      <c r="L93" s="108"/>
      <c r="M93" s="108"/>
      <c r="N93" s="108"/>
      <c r="O93" s="108"/>
      <c r="P93" s="110"/>
      <c r="Q93" s="113" t="str">
        <f t="shared" si="0"/>
        <v/>
      </c>
      <c r="R93" s="113" t="str">
        <f t="shared" si="1"/>
        <v/>
      </c>
      <c r="S93" s="113" t="str">
        <f t="shared" si="2"/>
        <v/>
      </c>
      <c r="T93" s="113" t="str">
        <f t="shared" si="3"/>
        <v/>
      </c>
      <c r="U93" s="113" t="str">
        <f t="shared" si="4"/>
        <v/>
      </c>
      <c r="V93" s="113" t="str">
        <f t="shared" si="5"/>
        <v/>
      </c>
      <c r="W93" s="114"/>
    </row>
    <row r="94" spans="1:23">
      <c r="A94" s="101">
        <v>5</v>
      </c>
      <c r="B94" s="115" t="s">
        <v>247</v>
      </c>
      <c r="C94" s="103"/>
      <c r="D94" s="104"/>
      <c r="E94" s="104"/>
      <c r="F94" s="105"/>
      <c r="G94" s="106"/>
      <c r="H94" s="107"/>
      <c r="I94" s="108"/>
      <c r="J94" s="108"/>
      <c r="K94" s="109"/>
      <c r="L94" s="108"/>
      <c r="M94" s="108"/>
      <c r="N94" s="108"/>
      <c r="O94" s="108"/>
      <c r="P94" s="110"/>
      <c r="Q94" s="113" t="str">
        <f t="shared" si="0"/>
        <v/>
      </c>
      <c r="R94" s="113" t="str">
        <f t="shared" si="1"/>
        <v/>
      </c>
      <c r="S94" s="113" t="str">
        <f t="shared" si="2"/>
        <v/>
      </c>
      <c r="T94" s="113" t="str">
        <f t="shared" si="3"/>
        <v/>
      </c>
      <c r="U94" s="113" t="str">
        <f t="shared" si="4"/>
        <v/>
      </c>
      <c r="V94" s="113" t="str">
        <f t="shared" si="5"/>
        <v/>
      </c>
      <c r="W94" s="114"/>
    </row>
    <row r="95" spans="1:23">
      <c r="A95" s="101"/>
      <c r="B95" t="s">
        <v>243</v>
      </c>
      <c r="C95" s="116">
        <v>0.5</v>
      </c>
      <c r="D95" s="530">
        <f>31.95-2*0.05-1.5</f>
        <v>30.349999999999998</v>
      </c>
      <c r="E95" s="531"/>
      <c r="F95" s="116">
        <v>0.5</v>
      </c>
      <c r="G95" s="117">
        <v>0.25</v>
      </c>
      <c r="H95" s="107">
        <v>16</v>
      </c>
      <c r="I95" s="108">
        <v>1</v>
      </c>
      <c r="J95" s="110">
        <f>ROUND(3.95/G95/2+1,0)</f>
        <v>9</v>
      </c>
      <c r="K95" s="118">
        <f>D95</f>
        <v>30.349999999999998</v>
      </c>
      <c r="L95" s="121">
        <f>IF(O95&lt;12,"0",0.049*H95)*3</f>
        <v>2.3520000000000003</v>
      </c>
      <c r="M95" s="120">
        <v>2</v>
      </c>
      <c r="N95" s="108">
        <f>M95*2*H95/1000</f>
        <v>6.4000000000000001E-2</v>
      </c>
      <c r="O95" s="121">
        <f>(D95+C95+F95)-N95</f>
        <v>31.285999999999998</v>
      </c>
      <c r="P95" s="121">
        <f>(I95*J95*O95)+L95</f>
        <v>283.92599999999993</v>
      </c>
      <c r="Q95" s="113" t="str">
        <f t="shared" si="0"/>
        <v/>
      </c>
      <c r="R95" s="113" t="str">
        <f t="shared" si="1"/>
        <v/>
      </c>
      <c r="S95" s="113" t="str">
        <f t="shared" si="2"/>
        <v/>
      </c>
      <c r="T95" s="113">
        <f t="shared" si="3"/>
        <v>283.92599999999993</v>
      </c>
      <c r="U95" s="113" t="str">
        <f t="shared" si="4"/>
        <v/>
      </c>
      <c r="V95" s="113" t="str">
        <f t="shared" si="5"/>
        <v/>
      </c>
      <c r="W95" s="114"/>
    </row>
    <row r="96" spans="1:23">
      <c r="A96" s="101"/>
      <c r="B96" s="122"/>
      <c r="C96" s="103"/>
      <c r="D96" s="104"/>
      <c r="E96" s="123"/>
      <c r="F96" s="105"/>
      <c r="G96" s="106"/>
      <c r="H96" s="107"/>
      <c r="I96" s="108"/>
      <c r="J96" s="108"/>
      <c r="K96" s="109"/>
      <c r="L96" s="108"/>
      <c r="M96" s="108"/>
      <c r="N96" s="108"/>
      <c r="O96" s="108"/>
      <c r="P96" s="110"/>
      <c r="Q96" s="113" t="str">
        <f t="shared" si="0"/>
        <v/>
      </c>
      <c r="R96" s="113" t="str">
        <f t="shared" si="1"/>
        <v/>
      </c>
      <c r="S96" s="113" t="str">
        <f t="shared" si="2"/>
        <v/>
      </c>
      <c r="T96" s="113" t="str">
        <f t="shared" si="3"/>
        <v/>
      </c>
      <c r="U96" s="113" t="str">
        <f t="shared" si="4"/>
        <v/>
      </c>
      <c r="V96" s="113" t="str">
        <f t="shared" si="5"/>
        <v/>
      </c>
      <c r="W96" s="114"/>
    </row>
    <row r="97" spans="1:23">
      <c r="A97" s="101">
        <v>5</v>
      </c>
      <c r="B97" s="115" t="s">
        <v>247</v>
      </c>
      <c r="C97" s="103"/>
      <c r="D97" s="104"/>
      <c r="E97" s="104"/>
      <c r="F97" s="105"/>
      <c r="G97" s="106"/>
      <c r="H97" s="107"/>
      <c r="I97" s="108"/>
      <c r="J97" s="108"/>
      <c r="K97" s="109"/>
      <c r="L97" s="108"/>
      <c r="M97" s="108"/>
      <c r="N97" s="108"/>
      <c r="O97" s="108"/>
      <c r="P97" s="110"/>
      <c r="Q97" s="113" t="str">
        <f t="shared" si="0"/>
        <v/>
      </c>
      <c r="R97" s="113" t="str">
        <f t="shared" si="1"/>
        <v/>
      </c>
      <c r="S97" s="113" t="str">
        <f t="shared" si="2"/>
        <v/>
      </c>
      <c r="T97" s="113" t="str">
        <f t="shared" si="3"/>
        <v/>
      </c>
      <c r="U97" s="113" t="str">
        <f t="shared" si="4"/>
        <v/>
      </c>
      <c r="V97" s="113" t="str">
        <f t="shared" si="5"/>
        <v/>
      </c>
      <c r="W97" s="114"/>
    </row>
    <row r="98" spans="1:23">
      <c r="A98" s="101"/>
      <c r="B98" t="s">
        <v>243</v>
      </c>
      <c r="C98" s="116">
        <v>0.5</v>
      </c>
      <c r="D98" s="530">
        <f>31.95-2*0.05-1.5</f>
        <v>30.349999999999998</v>
      </c>
      <c r="E98" s="531"/>
      <c r="F98" s="116">
        <v>0.5</v>
      </c>
      <c r="G98" s="117">
        <v>0.25</v>
      </c>
      <c r="H98" s="107">
        <v>16</v>
      </c>
      <c r="I98" s="108">
        <v>1</v>
      </c>
      <c r="J98" s="110">
        <f>ROUND(3.95/G98/2,0)</f>
        <v>8</v>
      </c>
      <c r="K98" s="118">
        <f>D98</f>
        <v>30.349999999999998</v>
      </c>
      <c r="L98" s="121">
        <f>IF(O98&lt;12,"0",0.049*H98)*2</f>
        <v>1.5680000000000001</v>
      </c>
      <c r="M98" s="120">
        <v>2</v>
      </c>
      <c r="N98" s="108">
        <f>M98*2*H98/1000</f>
        <v>6.4000000000000001E-2</v>
      </c>
      <c r="O98" s="121">
        <f>(D98+C98+F98)-N98</f>
        <v>31.285999999999998</v>
      </c>
      <c r="P98" s="121">
        <f>(I98*J98*O98)+L98</f>
        <v>251.85599999999999</v>
      </c>
      <c r="Q98" s="113" t="str">
        <f t="shared" si="0"/>
        <v/>
      </c>
      <c r="R98" s="113" t="str">
        <f t="shared" si="1"/>
        <v/>
      </c>
      <c r="S98" s="113" t="str">
        <f t="shared" si="2"/>
        <v/>
      </c>
      <c r="T98" s="113">
        <f t="shared" si="3"/>
        <v>251.85599999999999</v>
      </c>
      <c r="U98" s="113" t="str">
        <f t="shared" si="4"/>
        <v/>
      </c>
      <c r="V98" s="113" t="str">
        <f t="shared" si="5"/>
        <v/>
      </c>
      <c r="W98" s="114"/>
    </row>
    <row r="99" spans="1:23">
      <c r="A99" s="101"/>
      <c r="B99" s="122"/>
      <c r="C99" s="103"/>
      <c r="D99" s="104"/>
      <c r="E99" s="123"/>
      <c r="F99" s="105"/>
      <c r="G99" s="106"/>
      <c r="H99" s="107"/>
      <c r="I99" s="108"/>
      <c r="J99" s="108"/>
      <c r="K99" s="109"/>
      <c r="L99" s="108"/>
      <c r="M99" s="108"/>
      <c r="N99" s="108"/>
      <c r="O99" s="108"/>
      <c r="P99" s="110"/>
      <c r="Q99" s="113" t="str">
        <f t="shared" si="0"/>
        <v/>
      </c>
      <c r="R99" s="113" t="str">
        <f t="shared" si="1"/>
        <v/>
      </c>
      <c r="S99" s="113" t="str">
        <f t="shared" si="2"/>
        <v/>
      </c>
      <c r="T99" s="113" t="str">
        <f t="shared" si="3"/>
        <v/>
      </c>
      <c r="U99" s="113" t="str">
        <f t="shared" si="4"/>
        <v/>
      </c>
      <c r="V99" s="113" t="str">
        <f t="shared" si="5"/>
        <v/>
      </c>
      <c r="W99" s="114"/>
    </row>
    <row r="100" spans="1:23">
      <c r="A100" s="101">
        <v>6</v>
      </c>
      <c r="B100" s="115" t="s">
        <v>248</v>
      </c>
      <c r="C100" s="103"/>
      <c r="D100" s="104"/>
      <c r="E100" s="104"/>
      <c r="F100" s="105"/>
      <c r="G100" s="106"/>
      <c r="H100" s="107"/>
      <c r="I100" s="108"/>
      <c r="J100" s="108"/>
      <c r="K100" s="109"/>
      <c r="L100" s="108"/>
      <c r="M100" s="108"/>
      <c r="N100" s="108"/>
      <c r="O100" s="108"/>
      <c r="P100" s="110"/>
      <c r="Q100" s="113" t="str">
        <f t="shared" si="0"/>
        <v/>
      </c>
      <c r="R100" s="113" t="str">
        <f t="shared" si="1"/>
        <v/>
      </c>
      <c r="S100" s="113" t="str">
        <f t="shared" si="2"/>
        <v/>
      </c>
      <c r="T100" s="113" t="str">
        <f t="shared" si="3"/>
        <v/>
      </c>
      <c r="U100" s="113" t="str">
        <f t="shared" si="4"/>
        <v/>
      </c>
      <c r="V100" s="113" t="str">
        <f t="shared" si="5"/>
        <v/>
      </c>
      <c r="W100" s="114"/>
    </row>
    <row r="101" spans="1:23">
      <c r="A101" s="101"/>
      <c r="B101" t="s">
        <v>243</v>
      </c>
      <c r="C101" s="116">
        <v>0.5</v>
      </c>
      <c r="D101" s="530">
        <f>31.95-2*0.05-1.5-0.815</f>
        <v>29.534999999999997</v>
      </c>
      <c r="E101" s="531"/>
      <c r="F101" s="116">
        <v>0.5</v>
      </c>
      <c r="G101" s="117">
        <v>0.25</v>
      </c>
      <c r="H101" s="107">
        <v>16</v>
      </c>
      <c r="I101" s="108">
        <v>1</v>
      </c>
      <c r="J101" s="110">
        <f>ROUND(1.695/G101/2+1,0)</f>
        <v>4</v>
      </c>
      <c r="K101" s="118">
        <f>D101</f>
        <v>29.534999999999997</v>
      </c>
      <c r="L101" s="121">
        <f>IF(O101&lt;12,"0",0.049*H101)*3</f>
        <v>2.3520000000000003</v>
      </c>
      <c r="M101" s="120">
        <v>2</v>
      </c>
      <c r="N101" s="108">
        <f>M101*2*H101/1000</f>
        <v>6.4000000000000001E-2</v>
      </c>
      <c r="O101" s="121">
        <f>(D101+C101+F101)-N101</f>
        <v>30.470999999999997</v>
      </c>
      <c r="P101" s="121">
        <f>(I101*J101*O101)+L101</f>
        <v>124.23599999999999</v>
      </c>
      <c r="Q101" s="113" t="str">
        <f t="shared" si="0"/>
        <v/>
      </c>
      <c r="R101" s="113" t="str">
        <f t="shared" si="1"/>
        <v/>
      </c>
      <c r="S101" s="113" t="str">
        <f t="shared" si="2"/>
        <v/>
      </c>
      <c r="T101" s="113">
        <f t="shared" si="3"/>
        <v>124.23599999999999</v>
      </c>
      <c r="U101" s="113" t="str">
        <f t="shared" si="4"/>
        <v/>
      </c>
      <c r="V101" s="113" t="str">
        <f t="shared" si="5"/>
        <v/>
      </c>
      <c r="W101" s="114"/>
    </row>
    <row r="102" spans="1:23">
      <c r="A102" s="101"/>
      <c r="B102" s="122"/>
      <c r="C102" s="103"/>
      <c r="D102" s="104"/>
      <c r="E102" s="123"/>
      <c r="F102" s="105"/>
      <c r="G102" s="106"/>
      <c r="H102" s="107"/>
      <c r="I102" s="108"/>
      <c r="J102" s="108"/>
      <c r="K102" s="109"/>
      <c r="L102" s="108"/>
      <c r="M102" s="108"/>
      <c r="N102" s="108"/>
      <c r="O102" s="108"/>
      <c r="P102" s="110"/>
      <c r="Q102" s="113" t="str">
        <f t="shared" si="0"/>
        <v/>
      </c>
      <c r="R102" s="113" t="str">
        <f t="shared" si="1"/>
        <v/>
      </c>
      <c r="S102" s="113" t="str">
        <f t="shared" si="2"/>
        <v/>
      </c>
      <c r="T102" s="113" t="str">
        <f t="shared" si="3"/>
        <v/>
      </c>
      <c r="U102" s="113" t="str">
        <f t="shared" si="4"/>
        <v/>
      </c>
      <c r="V102" s="113" t="str">
        <f t="shared" si="5"/>
        <v/>
      </c>
      <c r="W102" s="114"/>
    </row>
    <row r="103" spans="1:23">
      <c r="A103" s="101">
        <v>6</v>
      </c>
      <c r="B103" s="115" t="s">
        <v>248</v>
      </c>
      <c r="C103" s="103"/>
      <c r="D103" s="104"/>
      <c r="E103" s="104"/>
      <c r="F103" s="105"/>
      <c r="G103" s="106"/>
      <c r="H103" s="107"/>
      <c r="I103" s="108"/>
      <c r="J103" s="108"/>
      <c r="K103" s="109"/>
      <c r="L103" s="108"/>
      <c r="M103" s="108"/>
      <c r="N103" s="108"/>
      <c r="O103" s="108"/>
      <c r="P103" s="110"/>
      <c r="Q103" s="113" t="str">
        <f t="shared" si="0"/>
        <v/>
      </c>
      <c r="R103" s="113" t="str">
        <f t="shared" si="1"/>
        <v/>
      </c>
      <c r="S103" s="113" t="str">
        <f t="shared" si="2"/>
        <v/>
      </c>
      <c r="T103" s="113" t="str">
        <f t="shared" si="3"/>
        <v/>
      </c>
      <c r="U103" s="113" t="str">
        <f t="shared" si="4"/>
        <v/>
      </c>
      <c r="V103" s="113" t="str">
        <f t="shared" si="5"/>
        <v/>
      </c>
      <c r="W103" s="114"/>
    </row>
    <row r="104" spans="1:23">
      <c r="A104" s="101"/>
      <c r="B104" t="s">
        <v>243</v>
      </c>
      <c r="C104" s="116">
        <v>0.5</v>
      </c>
      <c r="D104" s="530">
        <f>31.95-2*0.05-1.5-0.815</f>
        <v>29.534999999999997</v>
      </c>
      <c r="E104" s="531"/>
      <c r="F104" s="116">
        <v>0.5</v>
      </c>
      <c r="G104" s="117">
        <v>0.25</v>
      </c>
      <c r="H104" s="107">
        <v>16</v>
      </c>
      <c r="I104" s="108">
        <v>1</v>
      </c>
      <c r="J104" s="110">
        <f>ROUND(1.695/G104/2,0)</f>
        <v>3</v>
      </c>
      <c r="K104" s="118">
        <f>D104</f>
        <v>29.534999999999997</v>
      </c>
      <c r="L104" s="121">
        <f>IF(O104&lt;12,"0",0.049*H104)*2</f>
        <v>1.5680000000000001</v>
      </c>
      <c r="M104" s="120">
        <v>2</v>
      </c>
      <c r="N104" s="108">
        <f>M104*2*H104/1000</f>
        <v>6.4000000000000001E-2</v>
      </c>
      <c r="O104" s="121">
        <f>(D104+C104+F104)-N104</f>
        <v>30.470999999999997</v>
      </c>
      <c r="P104" s="121">
        <f>(I104*J104*O104)+L104</f>
        <v>92.98099999999998</v>
      </c>
      <c r="Q104" s="113" t="str">
        <f t="shared" si="0"/>
        <v/>
      </c>
      <c r="R104" s="113" t="str">
        <f t="shared" si="1"/>
        <v/>
      </c>
      <c r="S104" s="113" t="str">
        <f t="shared" si="2"/>
        <v/>
      </c>
      <c r="T104" s="113">
        <f t="shared" si="3"/>
        <v>92.98099999999998</v>
      </c>
      <c r="U104" s="113" t="str">
        <f t="shared" si="4"/>
        <v/>
      </c>
      <c r="V104" s="113" t="str">
        <f t="shared" si="5"/>
        <v/>
      </c>
      <c r="W104" s="114"/>
    </row>
    <row r="105" spans="1:23">
      <c r="A105" s="101"/>
      <c r="B105" s="122"/>
      <c r="C105" s="103"/>
      <c r="D105" s="104"/>
      <c r="E105" s="123"/>
      <c r="F105" s="105"/>
      <c r="G105" s="106"/>
      <c r="H105" s="107"/>
      <c r="I105" s="108"/>
      <c r="J105" s="108"/>
      <c r="K105" s="109"/>
      <c r="L105" s="108"/>
      <c r="M105" s="108"/>
      <c r="N105" s="108"/>
      <c r="O105" s="108"/>
      <c r="P105" s="110"/>
      <c r="Q105" s="113" t="str">
        <f t="shared" si="0"/>
        <v/>
      </c>
      <c r="R105" s="113" t="str">
        <f t="shared" si="1"/>
        <v/>
      </c>
      <c r="S105" s="113" t="str">
        <f t="shared" si="2"/>
        <v/>
      </c>
      <c r="T105" s="113" t="str">
        <f t="shared" si="3"/>
        <v/>
      </c>
      <c r="U105" s="113" t="str">
        <f t="shared" si="4"/>
        <v/>
      </c>
      <c r="V105" s="113" t="str">
        <f t="shared" si="5"/>
        <v/>
      </c>
      <c r="W105" s="114"/>
    </row>
    <row r="106" spans="1:23">
      <c r="A106" s="101">
        <v>7</v>
      </c>
      <c r="B106" s="115" t="s">
        <v>249</v>
      </c>
      <c r="C106" s="103"/>
      <c r="D106" s="104"/>
      <c r="E106" s="104"/>
      <c r="F106" s="105"/>
      <c r="G106" s="106"/>
      <c r="H106" s="107"/>
      <c r="I106" s="108"/>
      <c r="J106" s="108"/>
      <c r="K106" s="109"/>
      <c r="L106" s="108"/>
      <c r="M106" s="108"/>
      <c r="N106" s="108"/>
      <c r="O106" s="108"/>
      <c r="P106" s="110"/>
      <c r="Q106" s="113" t="str">
        <f t="shared" si="0"/>
        <v/>
      </c>
      <c r="R106" s="113" t="str">
        <f t="shared" si="1"/>
        <v/>
      </c>
      <c r="S106" s="113" t="str">
        <f t="shared" si="2"/>
        <v/>
      </c>
      <c r="T106" s="113" t="str">
        <f t="shared" si="3"/>
        <v/>
      </c>
      <c r="U106" s="113" t="str">
        <f t="shared" si="4"/>
        <v/>
      </c>
      <c r="V106" s="113" t="str">
        <f t="shared" si="5"/>
        <v/>
      </c>
      <c r="W106" s="114"/>
    </row>
    <row r="107" spans="1:23">
      <c r="A107" s="101"/>
      <c r="B107" t="s">
        <v>243</v>
      </c>
      <c r="C107" s="116">
        <v>0.5</v>
      </c>
      <c r="D107" s="530">
        <f>15.8-2*0.05</f>
        <v>15.700000000000001</v>
      </c>
      <c r="E107" s="531"/>
      <c r="F107" s="116">
        <v>0.5</v>
      </c>
      <c r="G107" s="117">
        <v>0.25</v>
      </c>
      <c r="H107" s="107">
        <v>16</v>
      </c>
      <c r="I107" s="108">
        <v>1</v>
      </c>
      <c r="J107" s="110">
        <f>ROUND(11.285/G107+1,0)</f>
        <v>46</v>
      </c>
      <c r="K107" s="118">
        <f>D107</f>
        <v>15.700000000000001</v>
      </c>
      <c r="L107" s="121">
        <f>IF(O107&lt;12,"0",0.049*H107)</f>
        <v>0.78400000000000003</v>
      </c>
      <c r="M107" s="120">
        <v>2</v>
      </c>
      <c r="N107" s="108">
        <f>M107*2*H107/1000</f>
        <v>6.4000000000000001E-2</v>
      </c>
      <c r="O107" s="121">
        <f>(D107+C107+F107)-N107</f>
        <v>16.636000000000003</v>
      </c>
      <c r="P107" s="121">
        <f>(I107*J107*O107)+L107</f>
        <v>766.04000000000008</v>
      </c>
      <c r="Q107" s="113" t="str">
        <f t="shared" si="0"/>
        <v/>
      </c>
      <c r="R107" s="113" t="str">
        <f t="shared" si="1"/>
        <v/>
      </c>
      <c r="S107" s="113" t="str">
        <f t="shared" si="2"/>
        <v/>
      </c>
      <c r="T107" s="113">
        <f t="shared" si="3"/>
        <v>766.04000000000008</v>
      </c>
      <c r="U107" s="113" t="str">
        <f t="shared" si="4"/>
        <v/>
      </c>
      <c r="V107" s="113" t="str">
        <f t="shared" si="5"/>
        <v/>
      </c>
      <c r="W107" s="114"/>
    </row>
    <row r="108" spans="1:23">
      <c r="A108" s="101"/>
      <c r="B108" s="122"/>
      <c r="C108" s="103"/>
      <c r="D108" s="104"/>
      <c r="E108" s="123"/>
      <c r="F108" s="105"/>
      <c r="G108" s="106"/>
      <c r="H108" s="107"/>
      <c r="I108" s="108"/>
      <c r="J108" s="108"/>
      <c r="K108" s="109"/>
      <c r="L108" s="108"/>
      <c r="M108" s="108"/>
      <c r="N108" s="108"/>
      <c r="O108" s="108"/>
      <c r="P108" s="110"/>
      <c r="Q108" s="113" t="str">
        <f t="shared" si="0"/>
        <v/>
      </c>
      <c r="R108" s="113" t="str">
        <f t="shared" si="1"/>
        <v/>
      </c>
      <c r="S108" s="113" t="str">
        <f t="shared" si="2"/>
        <v/>
      </c>
      <c r="T108" s="113" t="str">
        <f t="shared" si="3"/>
        <v/>
      </c>
      <c r="U108" s="113" t="str">
        <f t="shared" si="4"/>
        <v/>
      </c>
      <c r="V108" s="113" t="str">
        <f t="shared" si="5"/>
        <v/>
      </c>
      <c r="W108" s="114"/>
    </row>
    <row r="109" spans="1:23">
      <c r="A109" s="101"/>
      <c r="B109" s="122"/>
      <c r="C109" s="103"/>
      <c r="D109" s="104"/>
      <c r="E109" s="123"/>
      <c r="F109" s="105"/>
      <c r="G109" s="106"/>
      <c r="H109" s="107"/>
      <c r="I109" s="108"/>
      <c r="J109" s="108"/>
      <c r="K109" s="109"/>
      <c r="L109" s="108"/>
      <c r="M109" s="108"/>
      <c r="N109" s="108"/>
      <c r="O109" s="108"/>
      <c r="P109" s="110"/>
      <c r="Q109" s="113" t="str">
        <f t="shared" ref="Q109:Q172" si="6">IF($H109=8,$P109,"")</f>
        <v/>
      </c>
      <c r="R109" s="113" t="str">
        <f t="shared" ref="R109:R172" si="7">IF($H109=10,$P109,"")</f>
        <v/>
      </c>
      <c r="S109" s="113" t="str">
        <f t="shared" ref="S109:S172" si="8">IF($H109=12,$P109,"")</f>
        <v/>
      </c>
      <c r="T109" s="113" t="str">
        <f t="shared" ref="T109:T172" si="9">IF($H109=16,$P109,"")</f>
        <v/>
      </c>
      <c r="U109" s="113" t="str">
        <f t="shared" ref="U109:U172" si="10">IF($H109=20,$P109,"")</f>
        <v/>
      </c>
      <c r="V109" s="113" t="str">
        <f t="shared" ref="V109:V172" si="11">IF($H109=25,$P109,"")</f>
        <v/>
      </c>
      <c r="W109" s="114"/>
    </row>
    <row r="110" spans="1:23">
      <c r="A110" s="101"/>
      <c r="B110" s="112" t="s">
        <v>259</v>
      </c>
      <c r="C110" s="103"/>
      <c r="D110" s="104"/>
      <c r="E110" s="104"/>
      <c r="F110" s="105"/>
      <c r="G110" s="106"/>
      <c r="H110" s="107"/>
      <c r="I110" s="108"/>
      <c r="J110" s="108"/>
      <c r="K110" s="109"/>
      <c r="L110" s="108"/>
      <c r="M110" s="108"/>
      <c r="N110" s="108"/>
      <c r="O110" s="108"/>
      <c r="P110" s="110"/>
      <c r="Q110" s="113" t="str">
        <f t="shared" si="6"/>
        <v/>
      </c>
      <c r="R110" s="113" t="str">
        <f t="shared" si="7"/>
        <v/>
      </c>
      <c r="S110" s="113" t="str">
        <f t="shared" si="8"/>
        <v/>
      </c>
      <c r="T110" s="113" t="str">
        <f t="shared" si="9"/>
        <v/>
      </c>
      <c r="U110" s="113" t="str">
        <f t="shared" si="10"/>
        <v/>
      </c>
      <c r="V110" s="113" t="str">
        <f t="shared" si="11"/>
        <v/>
      </c>
      <c r="W110" s="114"/>
    </row>
    <row r="111" spans="1:23">
      <c r="A111" s="101">
        <v>1</v>
      </c>
      <c r="B111" s="124" t="s">
        <v>211</v>
      </c>
      <c r="C111" s="103"/>
      <c r="D111" s="104"/>
      <c r="E111" s="104"/>
      <c r="F111" s="105"/>
      <c r="G111" s="106"/>
      <c r="H111" s="107"/>
      <c r="I111" s="108"/>
      <c r="J111" s="108"/>
      <c r="K111" s="109"/>
      <c r="L111" s="108"/>
      <c r="M111" s="108"/>
      <c r="N111" s="108"/>
      <c r="O111" s="108"/>
      <c r="P111" s="110"/>
      <c r="Q111" s="113" t="str">
        <f t="shared" si="6"/>
        <v/>
      </c>
      <c r="R111" s="113" t="str">
        <f t="shared" si="7"/>
        <v/>
      </c>
      <c r="S111" s="113" t="str">
        <f t="shared" si="8"/>
        <v/>
      </c>
      <c r="T111" s="113" t="str">
        <f t="shared" si="9"/>
        <v/>
      </c>
      <c r="U111" s="113" t="str">
        <f t="shared" si="10"/>
        <v/>
      </c>
      <c r="V111" s="113" t="str">
        <f t="shared" si="11"/>
        <v/>
      </c>
      <c r="W111" s="114"/>
    </row>
    <row r="112" spans="1:23">
      <c r="A112" s="101"/>
      <c r="B112" s="125" t="s">
        <v>251</v>
      </c>
      <c r="C112" s="116">
        <v>0.5</v>
      </c>
      <c r="D112" s="530">
        <f>8.875-2*0.05</f>
        <v>8.7750000000000004</v>
      </c>
      <c r="E112" s="531"/>
      <c r="F112" s="116">
        <v>0.5</v>
      </c>
      <c r="G112" s="117">
        <v>0.25</v>
      </c>
      <c r="H112" s="107">
        <v>16</v>
      </c>
      <c r="I112" s="108">
        <v>1</v>
      </c>
      <c r="J112" s="110">
        <f>ROUND(1.5/G112+1,0)</f>
        <v>7</v>
      </c>
      <c r="K112" s="118">
        <f>D112</f>
        <v>8.7750000000000004</v>
      </c>
      <c r="L112" s="119" t="str">
        <f>IF(O112&lt;12,"0",0.049*H112)</f>
        <v>0</v>
      </c>
      <c r="M112" s="120">
        <v>2</v>
      </c>
      <c r="N112" s="108">
        <f>M112*2*H112/1000</f>
        <v>6.4000000000000001E-2</v>
      </c>
      <c r="O112" s="121">
        <f>(D112+C112+F112)-N112</f>
        <v>9.7110000000000003</v>
      </c>
      <c r="P112" s="121">
        <f>(I112*J112*O112)+L112</f>
        <v>67.977000000000004</v>
      </c>
      <c r="Q112" s="113" t="str">
        <f t="shared" si="6"/>
        <v/>
      </c>
      <c r="R112" s="113" t="str">
        <f t="shared" si="7"/>
        <v/>
      </c>
      <c r="S112" s="113" t="str">
        <f t="shared" si="8"/>
        <v/>
      </c>
      <c r="T112" s="113">
        <f t="shared" si="9"/>
        <v>67.977000000000004</v>
      </c>
      <c r="U112" s="113" t="str">
        <f t="shared" si="10"/>
        <v/>
      </c>
      <c r="V112" s="113" t="str">
        <f t="shared" si="11"/>
        <v/>
      </c>
      <c r="W112" s="114"/>
    </row>
    <row r="113" spans="1:23">
      <c r="A113" s="101"/>
      <c r="B113" s="124"/>
      <c r="C113" s="103"/>
      <c r="D113" s="104"/>
      <c r="E113" s="104"/>
      <c r="F113" s="105"/>
      <c r="G113" s="106"/>
      <c r="H113" s="107"/>
      <c r="I113" s="108"/>
      <c r="J113" s="108"/>
      <c r="K113" s="109"/>
      <c r="L113" s="108"/>
      <c r="M113" s="108"/>
      <c r="N113" s="108"/>
      <c r="O113" s="108"/>
      <c r="P113" s="110"/>
      <c r="Q113" s="113" t="str">
        <f t="shared" si="6"/>
        <v/>
      </c>
      <c r="R113" s="113" t="str">
        <f t="shared" si="7"/>
        <v/>
      </c>
      <c r="S113" s="113" t="str">
        <f t="shared" si="8"/>
        <v/>
      </c>
      <c r="T113" s="113" t="str">
        <f t="shared" si="9"/>
        <v/>
      </c>
      <c r="U113" s="113" t="str">
        <f t="shared" si="10"/>
        <v/>
      </c>
      <c r="V113" s="113" t="str">
        <f t="shared" si="11"/>
        <v/>
      </c>
      <c r="W113" s="114"/>
    </row>
    <row r="114" spans="1:23">
      <c r="A114" s="101">
        <v>2</v>
      </c>
      <c r="B114" s="124" t="s">
        <v>252</v>
      </c>
      <c r="C114" s="103"/>
      <c r="D114" s="104"/>
      <c r="E114" s="104"/>
      <c r="F114" s="105"/>
      <c r="G114" s="106"/>
      <c r="H114" s="107"/>
      <c r="I114" s="108"/>
      <c r="J114" s="108"/>
      <c r="K114" s="109"/>
      <c r="L114" s="108"/>
      <c r="M114" s="108"/>
      <c r="N114" s="108"/>
      <c r="O114" s="108"/>
      <c r="P114" s="110"/>
      <c r="Q114" s="113" t="str">
        <f t="shared" si="6"/>
        <v/>
      </c>
      <c r="R114" s="113" t="str">
        <f t="shared" si="7"/>
        <v/>
      </c>
      <c r="S114" s="113" t="str">
        <f t="shared" si="8"/>
        <v/>
      </c>
      <c r="T114" s="113" t="str">
        <f t="shared" si="9"/>
        <v/>
      </c>
      <c r="U114" s="113" t="str">
        <f t="shared" si="10"/>
        <v/>
      </c>
      <c r="V114" s="113" t="str">
        <f t="shared" si="11"/>
        <v/>
      </c>
      <c r="W114" s="114"/>
    </row>
    <row r="115" spans="1:23">
      <c r="A115" s="101"/>
      <c r="B115" s="125" t="s">
        <v>251</v>
      </c>
      <c r="C115" s="116">
        <v>0.5</v>
      </c>
      <c r="D115" s="530">
        <f>12.825-2*0.05</f>
        <v>12.725</v>
      </c>
      <c r="E115" s="531"/>
      <c r="F115" s="116">
        <v>0.5</v>
      </c>
      <c r="G115" s="117">
        <v>0.25</v>
      </c>
      <c r="H115" s="107">
        <v>16</v>
      </c>
      <c r="I115" s="108">
        <v>1</v>
      </c>
      <c r="J115" s="110">
        <f>ROUND(0.815/G115+1,0)</f>
        <v>4</v>
      </c>
      <c r="K115" s="118">
        <f>D115</f>
        <v>12.725</v>
      </c>
      <c r="L115" s="119">
        <f>IF(O115&lt;12,"0",0.049*H115)</f>
        <v>0.78400000000000003</v>
      </c>
      <c r="M115" s="120">
        <v>2</v>
      </c>
      <c r="N115" s="108">
        <f>M115*2*H115/1000</f>
        <v>6.4000000000000001E-2</v>
      </c>
      <c r="O115" s="121">
        <f>(D115+C115+F115)-N115</f>
        <v>13.661</v>
      </c>
      <c r="P115" s="121">
        <f>(I115*J115*O115)+L115</f>
        <v>55.427999999999997</v>
      </c>
      <c r="Q115" s="113" t="str">
        <f t="shared" si="6"/>
        <v/>
      </c>
      <c r="R115" s="113" t="str">
        <f t="shared" si="7"/>
        <v/>
      </c>
      <c r="S115" s="113" t="str">
        <f t="shared" si="8"/>
        <v/>
      </c>
      <c r="T115" s="113">
        <f t="shared" si="9"/>
        <v>55.427999999999997</v>
      </c>
      <c r="U115" s="113" t="str">
        <f t="shared" si="10"/>
        <v/>
      </c>
      <c r="V115" s="113" t="str">
        <f t="shared" si="11"/>
        <v/>
      </c>
      <c r="W115" s="114"/>
    </row>
    <row r="116" spans="1:23">
      <c r="A116" s="101"/>
      <c r="B116" s="125"/>
      <c r="C116" s="116"/>
      <c r="D116" s="126"/>
      <c r="E116" s="126"/>
      <c r="F116" s="127"/>
      <c r="G116" s="117"/>
      <c r="H116" s="107"/>
      <c r="I116" s="108"/>
      <c r="J116" s="110"/>
      <c r="K116" s="118"/>
      <c r="L116" s="119"/>
      <c r="M116" s="120"/>
      <c r="N116" s="108"/>
      <c r="O116" s="121"/>
      <c r="P116" s="121"/>
      <c r="Q116" s="113" t="str">
        <f t="shared" si="6"/>
        <v/>
      </c>
      <c r="R116" s="113" t="str">
        <f t="shared" si="7"/>
        <v/>
      </c>
      <c r="S116" s="113" t="str">
        <f t="shared" si="8"/>
        <v/>
      </c>
      <c r="T116" s="113" t="str">
        <f t="shared" si="9"/>
        <v/>
      </c>
      <c r="U116" s="113" t="str">
        <f t="shared" si="10"/>
        <v/>
      </c>
      <c r="V116" s="113" t="str">
        <f t="shared" si="11"/>
        <v/>
      </c>
      <c r="W116" s="114"/>
    </row>
    <row r="117" spans="1:23">
      <c r="A117" s="101">
        <v>3</v>
      </c>
      <c r="B117" s="124" t="s">
        <v>253</v>
      </c>
      <c r="C117" s="103"/>
      <c r="D117" s="104"/>
      <c r="E117" s="104"/>
      <c r="F117" s="105"/>
      <c r="G117" s="106"/>
      <c r="H117" s="107"/>
      <c r="I117" s="108"/>
      <c r="J117" s="108"/>
      <c r="K117" s="109"/>
      <c r="L117" s="108"/>
      <c r="M117" s="108"/>
      <c r="N117" s="108"/>
      <c r="O117" s="108"/>
      <c r="P117" s="110"/>
      <c r="Q117" s="113" t="str">
        <f t="shared" si="6"/>
        <v/>
      </c>
      <c r="R117" s="113" t="str">
        <f t="shared" si="7"/>
        <v/>
      </c>
      <c r="S117" s="113" t="str">
        <f t="shared" si="8"/>
        <v/>
      </c>
      <c r="T117" s="113" t="str">
        <f t="shared" si="9"/>
        <v/>
      </c>
      <c r="U117" s="113" t="str">
        <f t="shared" si="10"/>
        <v/>
      </c>
      <c r="V117" s="113" t="str">
        <f t="shared" si="11"/>
        <v/>
      </c>
      <c r="W117" s="114"/>
    </row>
    <row r="118" spans="1:23">
      <c r="A118" s="101"/>
      <c r="B118" s="125" t="s">
        <v>251</v>
      </c>
      <c r="C118" s="116">
        <v>0.5</v>
      </c>
      <c r="D118" s="530">
        <f>14.52-2*0.05</f>
        <v>14.42</v>
      </c>
      <c r="E118" s="531"/>
      <c r="F118" s="116">
        <v>0.5</v>
      </c>
      <c r="G118" s="117">
        <v>0.25</v>
      </c>
      <c r="H118" s="107">
        <v>16</v>
      </c>
      <c r="I118" s="108">
        <v>1</v>
      </c>
      <c r="J118" s="110">
        <f>ROUND(1.405/G118+1,0)</f>
        <v>7</v>
      </c>
      <c r="K118" s="118">
        <f>D118</f>
        <v>14.42</v>
      </c>
      <c r="L118" s="119">
        <f>IF(O118&lt;12,"0",0.049*H118)</f>
        <v>0.78400000000000003</v>
      </c>
      <c r="M118" s="120">
        <v>2</v>
      </c>
      <c r="N118" s="108">
        <f>M118*2*H118/1000</f>
        <v>6.4000000000000001E-2</v>
      </c>
      <c r="O118" s="121">
        <f>(D118+C118+F118)-N118</f>
        <v>15.356</v>
      </c>
      <c r="P118" s="121">
        <f>(I118*J118*O118)+L118</f>
        <v>108.27600000000001</v>
      </c>
      <c r="Q118" s="113" t="str">
        <f t="shared" si="6"/>
        <v/>
      </c>
      <c r="R118" s="113" t="str">
        <f t="shared" si="7"/>
        <v/>
      </c>
      <c r="S118" s="113" t="str">
        <f t="shared" si="8"/>
        <v/>
      </c>
      <c r="T118" s="113">
        <f t="shared" si="9"/>
        <v>108.27600000000001</v>
      </c>
      <c r="U118" s="113" t="str">
        <f t="shared" si="10"/>
        <v/>
      </c>
      <c r="V118" s="113" t="str">
        <f t="shared" si="11"/>
        <v/>
      </c>
      <c r="W118" s="114"/>
    </row>
    <row r="119" spans="1:23">
      <c r="A119" s="101"/>
      <c r="B119" s="124"/>
      <c r="C119" s="103"/>
      <c r="D119" s="104"/>
      <c r="E119" s="104"/>
      <c r="F119" s="105"/>
      <c r="G119" s="106"/>
      <c r="H119" s="107"/>
      <c r="I119" s="108"/>
      <c r="J119" s="108"/>
      <c r="K119" s="109"/>
      <c r="L119" s="108"/>
      <c r="M119" s="108"/>
      <c r="N119" s="108"/>
      <c r="O119" s="108"/>
      <c r="P119" s="110"/>
      <c r="Q119" s="113" t="str">
        <f t="shared" si="6"/>
        <v/>
      </c>
      <c r="R119" s="113" t="str">
        <f t="shared" si="7"/>
        <v/>
      </c>
      <c r="S119" s="113" t="str">
        <f t="shared" si="8"/>
        <v/>
      </c>
      <c r="T119" s="113" t="str">
        <f t="shared" si="9"/>
        <v/>
      </c>
      <c r="U119" s="113" t="str">
        <f t="shared" si="10"/>
        <v/>
      </c>
      <c r="V119" s="113" t="str">
        <f t="shared" si="11"/>
        <v/>
      </c>
      <c r="W119" s="114"/>
    </row>
    <row r="120" spans="1:23">
      <c r="A120" s="101">
        <v>4</v>
      </c>
      <c r="B120" s="124" t="s">
        <v>254</v>
      </c>
      <c r="C120" s="103"/>
      <c r="D120" s="104"/>
      <c r="E120" s="104"/>
      <c r="F120" s="105"/>
      <c r="G120" s="106"/>
      <c r="H120" s="107"/>
      <c r="I120" s="108"/>
      <c r="J120" s="108"/>
      <c r="K120" s="109"/>
      <c r="L120" s="108"/>
      <c r="M120" s="108"/>
      <c r="N120" s="108"/>
      <c r="O120" s="108"/>
      <c r="P120" s="110"/>
      <c r="Q120" s="113" t="str">
        <f t="shared" si="6"/>
        <v/>
      </c>
      <c r="R120" s="113" t="str">
        <f t="shared" si="7"/>
        <v/>
      </c>
      <c r="S120" s="113" t="str">
        <f t="shared" si="8"/>
        <v/>
      </c>
      <c r="T120" s="113" t="str">
        <f t="shared" si="9"/>
        <v/>
      </c>
      <c r="U120" s="113" t="str">
        <f t="shared" si="10"/>
        <v/>
      </c>
      <c r="V120" s="113" t="str">
        <f t="shared" si="11"/>
        <v/>
      </c>
      <c r="W120" s="114"/>
    </row>
    <row r="121" spans="1:23">
      <c r="A121" s="101"/>
      <c r="B121" s="125" t="s">
        <v>251</v>
      </c>
      <c r="C121" s="116"/>
      <c r="D121" s="530">
        <f>25.805-1*0.05</f>
        <v>25.754999999999999</v>
      </c>
      <c r="E121" s="530"/>
      <c r="F121" s="127">
        <v>0.5</v>
      </c>
      <c r="G121" s="117">
        <v>0.25</v>
      </c>
      <c r="H121" s="107">
        <v>16</v>
      </c>
      <c r="I121" s="108">
        <v>1</v>
      </c>
      <c r="J121" s="110">
        <f>ROUND(6.565/G121+1,0)</f>
        <v>27</v>
      </c>
      <c r="K121" s="118">
        <f>D121</f>
        <v>25.754999999999999</v>
      </c>
      <c r="L121" s="119">
        <f>IF(O121&lt;12,"0",0.049*H121)*2</f>
        <v>1.5680000000000001</v>
      </c>
      <c r="M121" s="120">
        <v>1</v>
      </c>
      <c r="N121" s="108">
        <f>M121*1*H121/1000</f>
        <v>1.6E-2</v>
      </c>
      <c r="O121" s="121">
        <f>(D121+C121+F121)-N121</f>
        <v>26.239000000000001</v>
      </c>
      <c r="P121" s="121">
        <f>(I121*J121*O121)+L121</f>
        <v>710.02099999999996</v>
      </c>
      <c r="Q121" s="113" t="str">
        <f t="shared" si="6"/>
        <v/>
      </c>
      <c r="R121" s="113" t="str">
        <f t="shared" si="7"/>
        <v/>
      </c>
      <c r="S121" s="113" t="str">
        <f t="shared" si="8"/>
        <v/>
      </c>
      <c r="T121" s="113">
        <f t="shared" si="9"/>
        <v>710.02099999999996</v>
      </c>
      <c r="U121" s="113" t="str">
        <f t="shared" si="10"/>
        <v/>
      </c>
      <c r="V121" s="113" t="str">
        <f t="shared" si="11"/>
        <v/>
      </c>
      <c r="W121" s="114"/>
    </row>
    <row r="122" spans="1:23">
      <c r="A122" s="101"/>
      <c r="B122" s="124"/>
      <c r="C122" s="103"/>
      <c r="D122" s="104"/>
      <c r="E122" s="104"/>
      <c r="F122" s="105"/>
      <c r="G122" s="106"/>
      <c r="H122" s="107"/>
      <c r="I122" s="108"/>
      <c r="J122" s="108"/>
      <c r="K122" s="109"/>
      <c r="L122" s="108"/>
      <c r="M122" s="108"/>
      <c r="N122" s="108"/>
      <c r="O122" s="108"/>
      <c r="P122" s="110"/>
      <c r="Q122" s="113" t="str">
        <f t="shared" si="6"/>
        <v/>
      </c>
      <c r="R122" s="113" t="str">
        <f t="shared" si="7"/>
        <v/>
      </c>
      <c r="S122" s="113" t="str">
        <f t="shared" si="8"/>
        <v/>
      </c>
      <c r="T122" s="113" t="str">
        <f t="shared" si="9"/>
        <v/>
      </c>
      <c r="U122" s="113" t="str">
        <f t="shared" si="10"/>
        <v/>
      </c>
      <c r="V122" s="113" t="str">
        <f t="shared" si="11"/>
        <v/>
      </c>
      <c r="W122" s="114"/>
    </row>
    <row r="123" spans="1:23">
      <c r="A123" s="101">
        <v>5</v>
      </c>
      <c r="B123" s="124" t="s">
        <v>255</v>
      </c>
      <c r="C123" s="103"/>
      <c r="D123" s="104"/>
      <c r="E123" s="104"/>
      <c r="F123" s="105"/>
      <c r="G123" s="106"/>
      <c r="H123" s="107"/>
      <c r="I123" s="108"/>
      <c r="J123" s="108"/>
      <c r="K123" s="109"/>
      <c r="L123" s="108"/>
      <c r="M123" s="108"/>
      <c r="N123" s="108"/>
      <c r="O123" s="108"/>
      <c r="P123" s="110"/>
      <c r="Q123" s="113" t="str">
        <f t="shared" si="6"/>
        <v/>
      </c>
      <c r="R123" s="113" t="str">
        <f t="shared" si="7"/>
        <v/>
      </c>
      <c r="S123" s="113" t="str">
        <f t="shared" si="8"/>
        <v/>
      </c>
      <c r="T123" s="113" t="str">
        <f t="shared" si="9"/>
        <v/>
      </c>
      <c r="U123" s="113" t="str">
        <f t="shared" si="10"/>
        <v/>
      </c>
      <c r="V123" s="113" t="str">
        <f t="shared" si="11"/>
        <v/>
      </c>
      <c r="W123" s="114"/>
    </row>
    <row r="124" spans="1:23">
      <c r="A124" s="101"/>
      <c r="B124" s="125" t="s">
        <v>251</v>
      </c>
      <c r="C124" s="116"/>
      <c r="D124" s="530">
        <f>36.89-1*0.05</f>
        <v>36.840000000000003</v>
      </c>
      <c r="E124" s="530"/>
      <c r="F124" s="127">
        <v>0.5</v>
      </c>
      <c r="G124" s="117">
        <v>0.25</v>
      </c>
      <c r="H124" s="107">
        <v>16</v>
      </c>
      <c r="I124" s="108">
        <v>1</v>
      </c>
      <c r="J124" s="110">
        <f>ROUND(9.235/G124+1,0)-8</f>
        <v>30</v>
      </c>
      <c r="K124" s="118">
        <f>D124</f>
        <v>36.840000000000003</v>
      </c>
      <c r="L124" s="119">
        <f>IF(O124&lt;12,"0",0.049*H124)*3</f>
        <v>2.3520000000000003</v>
      </c>
      <c r="M124" s="120">
        <v>1</v>
      </c>
      <c r="N124" s="108">
        <f>M124*1*H124/1000</f>
        <v>1.6E-2</v>
      </c>
      <c r="O124" s="121">
        <f>(D124+C124+F124)-N124</f>
        <v>37.324000000000005</v>
      </c>
      <c r="P124" s="121">
        <f>(I124*J124*O124)+L124</f>
        <v>1122.0720000000003</v>
      </c>
      <c r="Q124" s="113" t="str">
        <f t="shared" si="6"/>
        <v/>
      </c>
      <c r="R124" s="113" t="str">
        <f t="shared" si="7"/>
        <v/>
      </c>
      <c r="S124" s="113" t="str">
        <f t="shared" si="8"/>
        <v/>
      </c>
      <c r="T124" s="113">
        <f t="shared" si="9"/>
        <v>1122.0720000000003</v>
      </c>
      <c r="U124" s="113" t="str">
        <f t="shared" si="10"/>
        <v/>
      </c>
      <c r="V124" s="113" t="str">
        <f t="shared" si="11"/>
        <v/>
      </c>
      <c r="W124" s="114"/>
    </row>
    <row r="125" spans="1:23">
      <c r="A125" s="101"/>
      <c r="B125" s="124"/>
      <c r="C125" s="103"/>
      <c r="D125" s="104"/>
      <c r="E125" s="104"/>
      <c r="F125" s="105"/>
      <c r="G125" s="106"/>
      <c r="H125" s="107"/>
      <c r="I125" s="108"/>
      <c r="J125" s="108"/>
      <c r="K125" s="109"/>
      <c r="L125" s="108"/>
      <c r="M125" s="108"/>
      <c r="N125" s="108"/>
      <c r="O125" s="108"/>
      <c r="P125" s="110"/>
      <c r="Q125" s="113" t="str">
        <f t="shared" si="6"/>
        <v/>
      </c>
      <c r="R125" s="113" t="str">
        <f t="shared" si="7"/>
        <v/>
      </c>
      <c r="S125" s="113" t="str">
        <f t="shared" si="8"/>
        <v/>
      </c>
      <c r="T125" s="113" t="str">
        <f t="shared" si="9"/>
        <v/>
      </c>
      <c r="U125" s="113" t="str">
        <f t="shared" si="10"/>
        <v/>
      </c>
      <c r="V125" s="113" t="str">
        <f t="shared" si="11"/>
        <v/>
      </c>
      <c r="W125" s="114"/>
    </row>
    <row r="126" spans="1:23">
      <c r="A126" s="101">
        <v>6</v>
      </c>
      <c r="B126" s="124" t="s">
        <v>256</v>
      </c>
      <c r="C126" s="103"/>
      <c r="D126" s="104"/>
      <c r="E126" s="104"/>
      <c r="F126" s="105"/>
      <c r="G126" s="106"/>
      <c r="H126" s="107"/>
      <c r="I126" s="108"/>
      <c r="J126" s="108"/>
      <c r="K126" s="109"/>
      <c r="L126" s="108"/>
      <c r="M126" s="108"/>
      <c r="N126" s="108"/>
      <c r="O126" s="108"/>
      <c r="P126" s="110"/>
      <c r="Q126" s="113" t="str">
        <f t="shared" si="6"/>
        <v/>
      </c>
      <c r="R126" s="113" t="str">
        <f t="shared" si="7"/>
        <v/>
      </c>
      <c r="S126" s="113" t="str">
        <f t="shared" si="8"/>
        <v/>
      </c>
      <c r="T126" s="113" t="str">
        <f t="shared" si="9"/>
        <v/>
      </c>
      <c r="U126" s="113" t="str">
        <f t="shared" si="10"/>
        <v/>
      </c>
      <c r="V126" s="113" t="str">
        <f t="shared" si="11"/>
        <v/>
      </c>
      <c r="W126" s="114"/>
    </row>
    <row r="127" spans="1:23">
      <c r="A127" s="101"/>
      <c r="B127" s="125" t="s">
        <v>251</v>
      </c>
      <c r="C127" s="116">
        <v>0.5</v>
      </c>
      <c r="D127" s="530">
        <f>25.89-2*0.05</f>
        <v>25.79</v>
      </c>
      <c r="E127" s="531"/>
      <c r="F127" s="116">
        <v>0.5</v>
      </c>
      <c r="G127" s="117">
        <v>0.25</v>
      </c>
      <c r="H127" s="107">
        <v>16</v>
      </c>
      <c r="I127" s="108">
        <v>1</v>
      </c>
      <c r="J127" s="110">
        <f>ROUND(12.415/G127+1,0)</f>
        <v>51</v>
      </c>
      <c r="K127" s="118">
        <f>D127</f>
        <v>25.79</v>
      </c>
      <c r="L127" s="119">
        <f>IF(O127&lt;12,"0",0.049*H127)*2</f>
        <v>1.5680000000000001</v>
      </c>
      <c r="M127" s="120">
        <v>2</v>
      </c>
      <c r="N127" s="108">
        <f>M127*2*H127/1000</f>
        <v>6.4000000000000001E-2</v>
      </c>
      <c r="O127" s="121">
        <f>(D127+C127+F127)-N127</f>
        <v>26.725999999999999</v>
      </c>
      <c r="P127" s="121">
        <f>(I127*J127*O127)+L127</f>
        <v>1364.5939999999998</v>
      </c>
      <c r="Q127" s="113" t="str">
        <f t="shared" si="6"/>
        <v/>
      </c>
      <c r="R127" s="113" t="str">
        <f t="shared" si="7"/>
        <v/>
      </c>
      <c r="S127" s="113" t="str">
        <f t="shared" si="8"/>
        <v/>
      </c>
      <c r="T127" s="113">
        <f t="shared" si="9"/>
        <v>1364.5939999999998</v>
      </c>
      <c r="U127" s="113" t="str">
        <f t="shared" si="10"/>
        <v/>
      </c>
      <c r="V127" s="113" t="str">
        <f t="shared" si="11"/>
        <v/>
      </c>
      <c r="W127" s="114"/>
    </row>
    <row r="128" spans="1:23">
      <c r="A128" s="101"/>
      <c r="B128" s="124"/>
      <c r="C128" s="103"/>
      <c r="D128" s="104"/>
      <c r="E128" s="104"/>
      <c r="F128" s="105"/>
      <c r="G128" s="106"/>
      <c r="H128" s="107"/>
      <c r="I128" s="108"/>
      <c r="J128" s="108"/>
      <c r="K128" s="109"/>
      <c r="L128" s="108"/>
      <c r="M128" s="108"/>
      <c r="N128" s="108"/>
      <c r="O128" s="108"/>
      <c r="P128" s="110"/>
      <c r="Q128" s="113" t="str">
        <f t="shared" si="6"/>
        <v/>
      </c>
      <c r="R128" s="113" t="str">
        <f t="shared" si="7"/>
        <v/>
      </c>
      <c r="S128" s="113" t="str">
        <f t="shared" si="8"/>
        <v/>
      </c>
      <c r="T128" s="113" t="str">
        <f t="shared" si="9"/>
        <v/>
      </c>
      <c r="U128" s="113" t="str">
        <f t="shared" si="10"/>
        <v/>
      </c>
      <c r="V128" s="113" t="str">
        <f t="shared" si="11"/>
        <v/>
      </c>
      <c r="W128" s="114"/>
    </row>
    <row r="129" spans="1:23">
      <c r="A129" s="101">
        <v>7</v>
      </c>
      <c r="B129" s="124" t="s">
        <v>257</v>
      </c>
      <c r="C129" s="103"/>
      <c r="D129" s="104"/>
      <c r="E129" s="104"/>
      <c r="F129" s="105"/>
      <c r="G129" s="106"/>
      <c r="H129" s="107"/>
      <c r="I129" s="108"/>
      <c r="J129" s="108"/>
      <c r="K129" s="109"/>
      <c r="L129" s="108"/>
      <c r="M129" s="108"/>
      <c r="N129" s="108"/>
      <c r="O129" s="108"/>
      <c r="P129" s="110"/>
      <c r="Q129" s="113" t="str">
        <f>IF($H129=8,$P129,"")</f>
        <v/>
      </c>
      <c r="R129" s="113" t="str">
        <f>IF($H129=10,$P129,"")</f>
        <v/>
      </c>
      <c r="S129" s="113" t="str">
        <f>IF($H129=12,$P129,"")</f>
        <v/>
      </c>
      <c r="T129" s="113" t="str">
        <f>IF($H129=16,$P129,"")</f>
        <v/>
      </c>
      <c r="U129" s="113" t="str">
        <f>IF($H129=20,$P129,"")</f>
        <v/>
      </c>
      <c r="V129" s="113" t="str">
        <f>IF($H129=25,$P129,"")</f>
        <v/>
      </c>
      <c r="W129" s="114"/>
    </row>
    <row r="130" spans="1:23">
      <c r="A130" s="101"/>
      <c r="B130" t="s">
        <v>251</v>
      </c>
      <c r="C130" s="116">
        <v>0.5</v>
      </c>
      <c r="D130" s="530">
        <f>8.78-2*0.05</f>
        <v>8.68</v>
      </c>
      <c r="E130" s="531"/>
      <c r="F130" s="116">
        <v>0.5</v>
      </c>
      <c r="G130" s="117">
        <v>0.25</v>
      </c>
      <c r="H130" s="107">
        <v>16</v>
      </c>
      <c r="I130" s="108">
        <v>1</v>
      </c>
      <c r="J130" s="110">
        <f>ROUND(0.515/G130+1,0)</f>
        <v>3</v>
      </c>
      <c r="K130" s="118">
        <f>D130</f>
        <v>8.68</v>
      </c>
      <c r="L130" s="119" t="str">
        <f>IF(O130&lt;12,"0",0.049*H130)</f>
        <v>0</v>
      </c>
      <c r="M130" s="120">
        <v>2</v>
      </c>
      <c r="N130" s="108">
        <f>M130*2*H130/1000</f>
        <v>6.4000000000000001E-2</v>
      </c>
      <c r="O130" s="121">
        <f>(D130+C130+F130)-N130</f>
        <v>9.6159999999999997</v>
      </c>
      <c r="P130" s="121">
        <f>(I130*J130*O130)+L130</f>
        <v>28.847999999999999</v>
      </c>
      <c r="Q130" s="113" t="str">
        <f>IF($H130=8,$P130,"")</f>
        <v/>
      </c>
      <c r="R130" s="113" t="str">
        <f>IF($H130=10,$P130,"")</f>
        <v/>
      </c>
      <c r="S130" s="113" t="str">
        <f>IF($H130=12,$P130,"")</f>
        <v/>
      </c>
      <c r="T130" s="113">
        <f>IF($H130=16,$P130,"")</f>
        <v>28.847999999999999</v>
      </c>
      <c r="U130" s="113" t="str">
        <f>IF($H130=20,$P130,"")</f>
        <v/>
      </c>
      <c r="V130" s="113" t="str">
        <f>IF($H130=25,$P130,"")</f>
        <v/>
      </c>
      <c r="W130" s="114"/>
    </row>
    <row r="131" spans="1:23">
      <c r="A131" s="101"/>
      <c r="B131" s="124"/>
      <c r="C131" s="103"/>
      <c r="D131" s="104"/>
      <c r="E131" s="104"/>
      <c r="F131" s="105"/>
      <c r="G131" s="106"/>
      <c r="H131" s="107"/>
      <c r="I131" s="108"/>
      <c r="J131" s="108"/>
      <c r="K131" s="109"/>
      <c r="L131" s="108"/>
      <c r="M131" s="108"/>
      <c r="N131" s="108"/>
      <c r="O131" s="108"/>
      <c r="P131" s="110"/>
      <c r="Q131" s="113" t="str">
        <f>IF($H131=8,$P131,"")</f>
        <v/>
      </c>
      <c r="R131" s="113" t="str">
        <f>IF($H131=10,$P131,"")</f>
        <v/>
      </c>
      <c r="S131" s="113" t="str">
        <f>IF($H131=12,$P131,"")</f>
        <v/>
      </c>
      <c r="T131" s="113" t="str">
        <f>IF($H131=16,$P131,"")</f>
        <v/>
      </c>
      <c r="U131" s="113" t="str">
        <f>IF($H131=20,$P131,"")</f>
        <v/>
      </c>
      <c r="V131" s="113" t="str">
        <f>IF($H131=25,$P131,"")</f>
        <v/>
      </c>
      <c r="W131" s="114"/>
    </row>
    <row r="132" spans="1:23">
      <c r="A132" s="101"/>
      <c r="B132" s="124"/>
      <c r="C132" s="103"/>
      <c r="D132" s="104"/>
      <c r="E132" s="104"/>
      <c r="F132" s="105"/>
      <c r="G132" s="106"/>
      <c r="H132" s="107"/>
      <c r="I132" s="108"/>
      <c r="J132" s="108"/>
      <c r="K132" s="109"/>
      <c r="L132" s="108"/>
      <c r="M132" s="108"/>
      <c r="N132" s="108"/>
      <c r="O132" s="108"/>
      <c r="P132" s="110"/>
      <c r="Q132" s="113" t="str">
        <f t="shared" si="6"/>
        <v/>
      </c>
      <c r="R132" s="113" t="str">
        <f t="shared" si="7"/>
        <v/>
      </c>
      <c r="S132" s="113" t="str">
        <f t="shared" si="8"/>
        <v/>
      </c>
      <c r="T132" s="113" t="str">
        <f t="shared" si="9"/>
        <v/>
      </c>
      <c r="U132" s="113" t="str">
        <f t="shared" si="10"/>
        <v/>
      </c>
      <c r="V132" s="113" t="str">
        <f t="shared" si="11"/>
        <v/>
      </c>
      <c r="W132" s="114"/>
    </row>
    <row r="133" spans="1:23">
      <c r="A133" s="101"/>
      <c r="B133" s="112" t="s">
        <v>260</v>
      </c>
      <c r="C133" s="103"/>
      <c r="D133" s="104"/>
      <c r="E133" s="104"/>
      <c r="F133" s="105"/>
      <c r="G133" s="106"/>
      <c r="H133" s="107"/>
      <c r="I133" s="108"/>
      <c r="J133" s="108"/>
      <c r="K133" s="109"/>
      <c r="L133" s="108"/>
      <c r="M133" s="108"/>
      <c r="N133" s="108"/>
      <c r="O133" s="108"/>
      <c r="P133" s="110"/>
      <c r="Q133" s="113" t="str">
        <f t="shared" si="6"/>
        <v/>
      </c>
      <c r="R133" s="113" t="str">
        <f t="shared" si="7"/>
        <v/>
      </c>
      <c r="S133" s="113" t="str">
        <f t="shared" si="8"/>
        <v/>
      </c>
      <c r="T133" s="113" t="str">
        <f t="shared" si="9"/>
        <v/>
      </c>
      <c r="U133" s="113" t="str">
        <f t="shared" si="10"/>
        <v/>
      </c>
      <c r="V133" s="113" t="str">
        <f t="shared" si="11"/>
        <v/>
      </c>
      <c r="W133" s="114"/>
    </row>
    <row r="134" spans="1:23">
      <c r="A134" s="101">
        <v>1</v>
      </c>
      <c r="B134" s="115" t="s">
        <v>210</v>
      </c>
      <c r="C134" s="116"/>
      <c r="D134" s="530">
        <f>10.285</f>
        <v>10.285</v>
      </c>
      <c r="E134" s="531"/>
      <c r="F134" s="116"/>
      <c r="G134" s="117">
        <v>0.25</v>
      </c>
      <c r="H134" s="107">
        <v>12</v>
      </c>
      <c r="I134" s="108">
        <v>1</v>
      </c>
      <c r="J134" s="110">
        <v>2</v>
      </c>
      <c r="K134" s="118">
        <f>D134</f>
        <v>10.285</v>
      </c>
      <c r="L134" s="119" t="str">
        <f>IF(O134&lt;12,"0",0.049*H134)</f>
        <v>0</v>
      </c>
      <c r="M134" s="120">
        <v>2</v>
      </c>
      <c r="N134" s="108">
        <f>M134*2*H134/1000</f>
        <v>4.8000000000000001E-2</v>
      </c>
      <c r="O134" s="121">
        <f>(D134+C134+F134)-N134</f>
        <v>10.237</v>
      </c>
      <c r="P134" s="121">
        <f>(I134*J134*O134)+1*L134</f>
        <v>20.474</v>
      </c>
      <c r="Q134" s="113" t="str">
        <f t="shared" si="6"/>
        <v/>
      </c>
      <c r="R134" s="113" t="str">
        <f t="shared" si="7"/>
        <v/>
      </c>
      <c r="S134" s="113">
        <f t="shared" si="8"/>
        <v>20.474</v>
      </c>
      <c r="T134" s="113" t="str">
        <f t="shared" si="9"/>
        <v/>
      </c>
      <c r="U134" s="113" t="str">
        <f t="shared" si="10"/>
        <v/>
      </c>
      <c r="V134" s="113" t="str">
        <f t="shared" si="11"/>
        <v/>
      </c>
      <c r="W134" s="114"/>
    </row>
    <row r="135" spans="1:23">
      <c r="A135" s="101"/>
      <c r="B135" s="124"/>
      <c r="C135" s="103"/>
      <c r="D135" s="104"/>
      <c r="E135" s="104"/>
      <c r="F135" s="105"/>
      <c r="G135" s="106"/>
      <c r="H135" s="107"/>
      <c r="I135" s="108"/>
      <c r="J135" s="108"/>
      <c r="K135" s="109"/>
      <c r="L135" s="108"/>
      <c r="M135" s="108"/>
      <c r="N135" s="108"/>
      <c r="O135" s="108"/>
      <c r="P135" s="110"/>
      <c r="Q135" s="113" t="str">
        <f t="shared" si="6"/>
        <v/>
      </c>
      <c r="R135" s="113" t="str">
        <f t="shared" si="7"/>
        <v/>
      </c>
      <c r="S135" s="113" t="str">
        <f t="shared" si="8"/>
        <v/>
      </c>
      <c r="T135" s="113" t="str">
        <f t="shared" si="9"/>
        <v/>
      </c>
      <c r="U135" s="113" t="str">
        <f t="shared" si="10"/>
        <v/>
      </c>
      <c r="V135" s="113" t="str">
        <f t="shared" si="11"/>
        <v/>
      </c>
      <c r="W135" s="114"/>
    </row>
    <row r="136" spans="1:23">
      <c r="A136" s="101">
        <v>2</v>
      </c>
      <c r="B136" s="115" t="s">
        <v>261</v>
      </c>
      <c r="C136" s="116"/>
      <c r="D136" s="530">
        <f>11.09</f>
        <v>11.09</v>
      </c>
      <c r="E136" s="531"/>
      <c r="F136" s="116"/>
      <c r="G136" s="117">
        <v>0.25</v>
      </c>
      <c r="H136" s="107">
        <v>12</v>
      </c>
      <c r="I136" s="108">
        <v>1</v>
      </c>
      <c r="J136" s="110">
        <v>2</v>
      </c>
      <c r="K136" s="118">
        <f>D136</f>
        <v>11.09</v>
      </c>
      <c r="L136" s="119" t="str">
        <f>IF(O136&lt;12,"0",0.049*H136)</f>
        <v>0</v>
      </c>
      <c r="M136" s="120">
        <v>2</v>
      </c>
      <c r="N136" s="108">
        <f>M136*2*H136/1000</f>
        <v>4.8000000000000001E-2</v>
      </c>
      <c r="O136" s="121">
        <f>(D136+C136+F136)-N136</f>
        <v>11.042</v>
      </c>
      <c r="P136" s="121">
        <f>(I136*J136*O136)+1*L136</f>
        <v>22.084</v>
      </c>
      <c r="Q136" s="113" t="str">
        <f t="shared" si="6"/>
        <v/>
      </c>
      <c r="R136" s="113" t="str">
        <f t="shared" si="7"/>
        <v/>
      </c>
      <c r="S136" s="113">
        <f t="shared" si="8"/>
        <v>22.084</v>
      </c>
      <c r="T136" s="113" t="str">
        <f t="shared" si="9"/>
        <v/>
      </c>
      <c r="U136" s="113" t="str">
        <f t="shared" si="10"/>
        <v/>
      </c>
      <c r="V136" s="113" t="str">
        <f t="shared" si="11"/>
        <v/>
      </c>
      <c r="W136" s="114"/>
    </row>
    <row r="137" spans="1:23">
      <c r="A137" s="101"/>
      <c r="B137" s="115"/>
      <c r="C137" s="116"/>
      <c r="D137" s="126"/>
      <c r="E137" s="126"/>
      <c r="F137" s="127"/>
      <c r="G137" s="117"/>
      <c r="H137" s="107"/>
      <c r="I137" s="108"/>
      <c r="J137" s="110"/>
      <c r="K137" s="118"/>
      <c r="L137" s="119"/>
      <c r="M137" s="120"/>
      <c r="N137" s="108"/>
      <c r="O137" s="121"/>
      <c r="P137" s="121"/>
      <c r="Q137" s="113" t="str">
        <f t="shared" si="6"/>
        <v/>
      </c>
      <c r="R137" s="113" t="str">
        <f t="shared" si="7"/>
        <v/>
      </c>
      <c r="S137" s="113" t="str">
        <f t="shared" si="8"/>
        <v/>
      </c>
      <c r="T137" s="113" t="str">
        <f t="shared" si="9"/>
        <v/>
      </c>
      <c r="U137" s="113" t="str">
        <f t="shared" si="10"/>
        <v/>
      </c>
      <c r="V137" s="113" t="str">
        <f t="shared" si="11"/>
        <v/>
      </c>
      <c r="W137" s="114"/>
    </row>
    <row r="138" spans="1:23">
      <c r="A138" s="101">
        <v>3</v>
      </c>
      <c r="B138" s="115" t="s">
        <v>262</v>
      </c>
      <c r="C138" s="116"/>
      <c r="D138" s="530">
        <f>21.65-2*0.05</f>
        <v>21.549999999999997</v>
      </c>
      <c r="E138" s="531"/>
      <c r="F138" s="116"/>
      <c r="G138" s="117">
        <v>0.25</v>
      </c>
      <c r="H138" s="107">
        <v>12</v>
      </c>
      <c r="I138" s="108">
        <v>1</v>
      </c>
      <c r="J138" s="110">
        <v>2</v>
      </c>
      <c r="K138" s="118">
        <f>D138</f>
        <v>21.549999999999997</v>
      </c>
      <c r="L138" s="119">
        <f>IF(O138&lt;12,"0",0.049*H138)</f>
        <v>0.58800000000000008</v>
      </c>
      <c r="M138" s="120">
        <v>2</v>
      </c>
      <c r="N138" s="108">
        <f>M138*2*H138/1000</f>
        <v>4.8000000000000001E-2</v>
      </c>
      <c r="O138" s="121">
        <f>(D138+C138+F138)-N138</f>
        <v>21.501999999999999</v>
      </c>
      <c r="P138" s="121">
        <f>(I138*J138*O138)+2*L138</f>
        <v>44.18</v>
      </c>
      <c r="Q138" s="113" t="str">
        <f t="shared" si="6"/>
        <v/>
      </c>
      <c r="R138" s="113" t="str">
        <f t="shared" si="7"/>
        <v/>
      </c>
      <c r="S138" s="113">
        <f t="shared" si="8"/>
        <v>44.18</v>
      </c>
      <c r="T138" s="113" t="str">
        <f t="shared" si="9"/>
        <v/>
      </c>
      <c r="U138" s="113" t="str">
        <f t="shared" si="10"/>
        <v/>
      </c>
      <c r="V138" s="113" t="str">
        <f t="shared" si="11"/>
        <v/>
      </c>
      <c r="W138" s="114"/>
    </row>
    <row r="139" spans="1:23">
      <c r="A139" s="101"/>
      <c r="B139" s="115"/>
      <c r="C139" s="116"/>
      <c r="D139" s="126"/>
      <c r="E139" s="126"/>
      <c r="F139" s="127"/>
      <c r="G139" s="117"/>
      <c r="H139" s="107"/>
      <c r="I139" s="108"/>
      <c r="J139" s="110"/>
      <c r="K139" s="118"/>
      <c r="L139" s="119"/>
      <c r="M139" s="120"/>
      <c r="N139" s="108"/>
      <c r="O139" s="121"/>
      <c r="P139" s="121"/>
      <c r="Q139" s="113" t="str">
        <f t="shared" si="6"/>
        <v/>
      </c>
      <c r="R139" s="113" t="str">
        <f t="shared" si="7"/>
        <v/>
      </c>
      <c r="S139" s="113" t="str">
        <f t="shared" si="8"/>
        <v/>
      </c>
      <c r="T139" s="113" t="str">
        <f t="shared" si="9"/>
        <v/>
      </c>
      <c r="U139" s="113" t="str">
        <f t="shared" si="10"/>
        <v/>
      </c>
      <c r="V139" s="113" t="str">
        <f t="shared" si="11"/>
        <v/>
      </c>
      <c r="W139" s="114"/>
    </row>
    <row r="140" spans="1:23">
      <c r="A140" s="101">
        <v>5</v>
      </c>
      <c r="B140" s="115" t="s">
        <v>211</v>
      </c>
      <c r="C140" s="116"/>
      <c r="D140" s="530">
        <f>8.875-2*0.05</f>
        <v>8.7750000000000004</v>
      </c>
      <c r="E140" s="531"/>
      <c r="F140" s="116"/>
      <c r="G140" s="117">
        <v>0.25</v>
      </c>
      <c r="H140" s="107">
        <v>12</v>
      </c>
      <c r="I140" s="108">
        <v>1</v>
      </c>
      <c r="J140" s="110">
        <v>2</v>
      </c>
      <c r="K140" s="118">
        <f>D140</f>
        <v>8.7750000000000004</v>
      </c>
      <c r="L140" s="119" t="str">
        <f>IF(O140&lt;12,"0",0.049*H140)</f>
        <v>0</v>
      </c>
      <c r="M140" s="120">
        <v>2</v>
      </c>
      <c r="N140" s="108">
        <f>M140*2*H140/1000</f>
        <v>4.8000000000000001E-2</v>
      </c>
      <c r="O140" s="121">
        <f>(D140+C140+F140)-N140</f>
        <v>8.7270000000000003</v>
      </c>
      <c r="P140" s="121">
        <f>(I140*J140*O140)+1*L140</f>
        <v>17.454000000000001</v>
      </c>
      <c r="Q140" s="113" t="str">
        <f t="shared" si="6"/>
        <v/>
      </c>
      <c r="R140" s="113" t="str">
        <f t="shared" si="7"/>
        <v/>
      </c>
      <c r="S140" s="113">
        <f t="shared" si="8"/>
        <v>17.454000000000001</v>
      </c>
      <c r="T140" s="113" t="str">
        <f t="shared" si="9"/>
        <v/>
      </c>
      <c r="U140" s="113" t="str">
        <f t="shared" si="10"/>
        <v/>
      </c>
      <c r="V140" s="113" t="str">
        <f t="shared" si="11"/>
        <v/>
      </c>
      <c r="W140" s="114"/>
    </row>
    <row r="141" spans="1:23">
      <c r="A141" s="101"/>
      <c r="B141" s="115"/>
      <c r="C141" s="116"/>
      <c r="D141" s="126"/>
      <c r="E141" s="126"/>
      <c r="F141" s="127"/>
      <c r="G141" s="117"/>
      <c r="H141" s="107"/>
      <c r="I141" s="108"/>
      <c r="J141" s="110"/>
      <c r="K141" s="118"/>
      <c r="L141" s="119"/>
      <c r="M141" s="120"/>
      <c r="N141" s="108"/>
      <c r="O141" s="121"/>
      <c r="P141" s="121"/>
      <c r="Q141" s="113" t="str">
        <f t="shared" si="6"/>
        <v/>
      </c>
      <c r="R141" s="113" t="str">
        <f t="shared" si="7"/>
        <v/>
      </c>
      <c r="S141" s="113" t="str">
        <f t="shared" si="8"/>
        <v/>
      </c>
      <c r="T141" s="113" t="str">
        <f t="shared" si="9"/>
        <v/>
      </c>
      <c r="U141" s="113" t="str">
        <f t="shared" si="10"/>
        <v/>
      </c>
      <c r="V141" s="113" t="str">
        <f t="shared" si="11"/>
        <v/>
      </c>
      <c r="W141" s="114"/>
    </row>
    <row r="142" spans="1:23">
      <c r="A142" s="101">
        <v>6</v>
      </c>
      <c r="B142" s="115" t="s">
        <v>263</v>
      </c>
      <c r="C142" s="116"/>
      <c r="D142" s="530">
        <v>1.5</v>
      </c>
      <c r="E142" s="531"/>
      <c r="F142" s="116"/>
      <c r="G142" s="117">
        <v>0.25</v>
      </c>
      <c r="H142" s="107">
        <v>12</v>
      </c>
      <c r="I142" s="108">
        <v>1</v>
      </c>
      <c r="J142" s="110">
        <v>2</v>
      </c>
      <c r="K142" s="118">
        <f>D142</f>
        <v>1.5</v>
      </c>
      <c r="L142" s="119" t="str">
        <f>IF(O142&lt;12,"0",0.049*H142)</f>
        <v>0</v>
      </c>
      <c r="M142" s="120">
        <v>2</v>
      </c>
      <c r="N142" s="108">
        <f>M142*2*H142/1000</f>
        <v>4.8000000000000001E-2</v>
      </c>
      <c r="O142" s="121">
        <f>(D142+C142+F142)-N142</f>
        <v>1.452</v>
      </c>
      <c r="P142" s="121">
        <f>(I142*J142*O142)+1*L142</f>
        <v>2.9039999999999999</v>
      </c>
      <c r="Q142" s="113" t="str">
        <f t="shared" si="6"/>
        <v/>
      </c>
      <c r="R142" s="113" t="str">
        <f t="shared" si="7"/>
        <v/>
      </c>
      <c r="S142" s="113">
        <f t="shared" si="8"/>
        <v>2.9039999999999999</v>
      </c>
      <c r="T142" s="113" t="str">
        <f t="shared" si="9"/>
        <v/>
      </c>
      <c r="U142" s="113" t="str">
        <f t="shared" si="10"/>
        <v/>
      </c>
      <c r="V142" s="113" t="str">
        <f t="shared" si="11"/>
        <v/>
      </c>
      <c r="W142" s="114"/>
    </row>
    <row r="143" spans="1:23">
      <c r="A143" s="101"/>
      <c r="B143" s="115"/>
      <c r="C143" s="116"/>
      <c r="D143" s="126"/>
      <c r="E143" s="126"/>
      <c r="F143" s="127"/>
      <c r="G143" s="117"/>
      <c r="H143" s="107"/>
      <c r="I143" s="108"/>
      <c r="J143" s="110"/>
      <c r="K143" s="118"/>
      <c r="L143" s="119"/>
      <c r="M143" s="120"/>
      <c r="N143" s="108"/>
      <c r="O143" s="121"/>
      <c r="P143" s="121"/>
      <c r="Q143" s="113" t="str">
        <f t="shared" si="6"/>
        <v/>
      </c>
      <c r="R143" s="113" t="str">
        <f t="shared" si="7"/>
        <v/>
      </c>
      <c r="S143" s="113" t="str">
        <f t="shared" si="8"/>
        <v/>
      </c>
      <c r="T143" s="113" t="str">
        <f t="shared" si="9"/>
        <v/>
      </c>
      <c r="U143" s="113" t="str">
        <f t="shared" si="10"/>
        <v/>
      </c>
      <c r="V143" s="113" t="str">
        <f t="shared" si="11"/>
        <v/>
      </c>
      <c r="W143" s="114"/>
    </row>
    <row r="144" spans="1:23">
      <c r="A144" s="101">
        <v>7</v>
      </c>
      <c r="B144" s="115" t="s">
        <v>264</v>
      </c>
      <c r="C144" s="116"/>
      <c r="D144" s="530">
        <v>3.95</v>
      </c>
      <c r="E144" s="531"/>
      <c r="F144" s="116"/>
      <c r="G144" s="117">
        <v>0.25</v>
      </c>
      <c r="H144" s="107">
        <v>12</v>
      </c>
      <c r="I144" s="108">
        <v>1</v>
      </c>
      <c r="J144" s="110">
        <v>2</v>
      </c>
      <c r="K144" s="118">
        <f>D144</f>
        <v>3.95</v>
      </c>
      <c r="L144" s="119" t="str">
        <f>IF(O144&lt;12,"0",0.049*H144)</f>
        <v>0</v>
      </c>
      <c r="M144" s="120">
        <v>2</v>
      </c>
      <c r="N144" s="108">
        <f>M144*2*H144/1000</f>
        <v>4.8000000000000001E-2</v>
      </c>
      <c r="O144" s="121">
        <f>(D144+C144+F144)-N144</f>
        <v>3.9020000000000001</v>
      </c>
      <c r="P144" s="121">
        <f>(I144*J144*O144)+1*L144</f>
        <v>7.8040000000000003</v>
      </c>
      <c r="Q144" s="113" t="str">
        <f t="shared" si="6"/>
        <v/>
      </c>
      <c r="R144" s="113" t="str">
        <f t="shared" si="7"/>
        <v/>
      </c>
      <c r="S144" s="113">
        <f t="shared" si="8"/>
        <v>7.8040000000000003</v>
      </c>
      <c r="T144" s="113" t="str">
        <f t="shared" si="9"/>
        <v/>
      </c>
      <c r="U144" s="113" t="str">
        <f t="shared" si="10"/>
        <v/>
      </c>
      <c r="V144" s="113" t="str">
        <f t="shared" si="11"/>
        <v/>
      </c>
      <c r="W144" s="114"/>
    </row>
    <row r="145" spans="1:23">
      <c r="A145" s="101"/>
      <c r="B145" s="115"/>
      <c r="C145" s="116"/>
      <c r="D145" s="126"/>
      <c r="E145" s="126"/>
      <c r="F145" s="127"/>
      <c r="G145" s="117"/>
      <c r="H145" s="107"/>
      <c r="I145" s="108"/>
      <c r="J145" s="110"/>
      <c r="K145" s="118"/>
      <c r="L145" s="119"/>
      <c r="M145" s="120"/>
      <c r="N145" s="108"/>
      <c r="O145" s="121"/>
      <c r="P145" s="121"/>
      <c r="Q145" s="113" t="str">
        <f t="shared" si="6"/>
        <v/>
      </c>
      <c r="R145" s="113" t="str">
        <f t="shared" si="7"/>
        <v/>
      </c>
      <c r="S145" s="113" t="str">
        <f t="shared" si="8"/>
        <v/>
      </c>
      <c r="T145" s="113" t="str">
        <f t="shared" si="9"/>
        <v/>
      </c>
      <c r="U145" s="113" t="str">
        <f t="shared" si="10"/>
        <v/>
      </c>
      <c r="V145" s="113" t="str">
        <f t="shared" si="11"/>
        <v/>
      </c>
      <c r="W145" s="114"/>
    </row>
    <row r="146" spans="1:23">
      <c r="A146" s="101">
        <v>8</v>
      </c>
      <c r="B146" s="115" t="s">
        <v>265</v>
      </c>
      <c r="C146" s="116"/>
      <c r="D146" s="530">
        <v>0.81499999999999995</v>
      </c>
      <c r="E146" s="531"/>
      <c r="F146" s="116"/>
      <c r="G146" s="117">
        <v>0.25</v>
      </c>
      <c r="H146" s="107">
        <v>12</v>
      </c>
      <c r="I146" s="108">
        <v>1</v>
      </c>
      <c r="J146" s="110">
        <v>2</v>
      </c>
      <c r="K146" s="118">
        <f>D146</f>
        <v>0.81499999999999995</v>
      </c>
      <c r="L146" s="119" t="str">
        <f>IF(O146&lt;12,"0",0.049*H146)</f>
        <v>0</v>
      </c>
      <c r="M146" s="120">
        <v>2</v>
      </c>
      <c r="N146" s="108">
        <f>M146*2*H146/1000</f>
        <v>4.8000000000000001E-2</v>
      </c>
      <c r="O146" s="121">
        <f>(D146+C146+F146)-N146</f>
        <v>0.7669999999999999</v>
      </c>
      <c r="P146" s="121">
        <f>(I146*J146*O146)+1*L146</f>
        <v>1.5339999999999998</v>
      </c>
      <c r="Q146" s="113" t="str">
        <f t="shared" si="6"/>
        <v/>
      </c>
      <c r="R146" s="113" t="str">
        <f t="shared" si="7"/>
        <v/>
      </c>
      <c r="S146" s="113">
        <f t="shared" si="8"/>
        <v>1.5339999999999998</v>
      </c>
      <c r="T146" s="113" t="str">
        <f t="shared" si="9"/>
        <v/>
      </c>
      <c r="U146" s="113" t="str">
        <f t="shared" si="10"/>
        <v/>
      </c>
      <c r="V146" s="113" t="str">
        <f t="shared" si="11"/>
        <v/>
      </c>
      <c r="W146" s="114"/>
    </row>
    <row r="147" spans="1:23">
      <c r="A147" s="101"/>
      <c r="B147" s="115"/>
      <c r="C147" s="116"/>
      <c r="D147" s="126"/>
      <c r="E147" s="126"/>
      <c r="F147" s="127"/>
      <c r="G147" s="117"/>
      <c r="H147" s="107"/>
      <c r="I147" s="108"/>
      <c r="J147" s="110"/>
      <c r="K147" s="118"/>
      <c r="L147" s="119"/>
      <c r="M147" s="120"/>
      <c r="N147" s="108"/>
      <c r="O147" s="121"/>
      <c r="P147" s="121"/>
      <c r="Q147" s="113" t="str">
        <f t="shared" si="6"/>
        <v/>
      </c>
      <c r="R147" s="113" t="str">
        <f t="shared" si="7"/>
        <v/>
      </c>
      <c r="S147" s="113" t="str">
        <f t="shared" si="8"/>
        <v/>
      </c>
      <c r="T147" s="113" t="str">
        <f t="shared" si="9"/>
        <v/>
      </c>
      <c r="U147" s="113" t="str">
        <f t="shared" si="10"/>
        <v/>
      </c>
      <c r="V147" s="113" t="str">
        <f t="shared" si="11"/>
        <v/>
      </c>
      <c r="W147" s="114"/>
    </row>
    <row r="148" spans="1:23">
      <c r="A148" s="101">
        <v>9</v>
      </c>
      <c r="B148" s="115" t="s">
        <v>215</v>
      </c>
      <c r="C148" s="116"/>
      <c r="D148" s="530">
        <v>1.6950000000000001</v>
      </c>
      <c r="E148" s="531"/>
      <c r="F148" s="116"/>
      <c r="G148" s="117">
        <v>0.25</v>
      </c>
      <c r="H148" s="107">
        <v>12</v>
      </c>
      <c r="I148" s="108">
        <v>1</v>
      </c>
      <c r="J148" s="110">
        <v>2</v>
      </c>
      <c r="K148" s="118">
        <f>D148</f>
        <v>1.6950000000000001</v>
      </c>
      <c r="L148" s="119" t="str">
        <f>IF(O148&lt;12,"0",0.049*H148)</f>
        <v>0</v>
      </c>
      <c r="M148" s="120">
        <v>2</v>
      </c>
      <c r="N148" s="108">
        <f>M148*2*H148/1000</f>
        <v>4.8000000000000001E-2</v>
      </c>
      <c r="O148" s="121">
        <f>(D148+C148+F148)-N148</f>
        <v>1.647</v>
      </c>
      <c r="P148" s="121">
        <f>(I148*J148*O148)+1*L148</f>
        <v>3.294</v>
      </c>
      <c r="Q148" s="113" t="str">
        <f t="shared" si="6"/>
        <v/>
      </c>
      <c r="R148" s="113" t="str">
        <f t="shared" si="7"/>
        <v/>
      </c>
      <c r="S148" s="113">
        <f t="shared" si="8"/>
        <v>3.294</v>
      </c>
      <c r="T148" s="113" t="str">
        <f t="shared" si="9"/>
        <v/>
      </c>
      <c r="U148" s="113" t="str">
        <f t="shared" si="10"/>
        <v/>
      </c>
      <c r="V148" s="113" t="str">
        <f t="shared" si="11"/>
        <v/>
      </c>
      <c r="W148" s="114"/>
    </row>
    <row r="149" spans="1:23">
      <c r="A149" s="101"/>
      <c r="B149" s="115"/>
      <c r="C149" s="116"/>
      <c r="D149" s="126"/>
      <c r="E149" s="126"/>
      <c r="F149" s="127"/>
      <c r="G149" s="117"/>
      <c r="H149" s="107"/>
      <c r="I149" s="108"/>
      <c r="J149" s="110"/>
      <c r="K149" s="118"/>
      <c r="L149" s="119"/>
      <c r="M149" s="120"/>
      <c r="N149" s="108"/>
      <c r="O149" s="121"/>
      <c r="P149" s="121"/>
      <c r="Q149" s="113" t="str">
        <f t="shared" si="6"/>
        <v/>
      </c>
      <c r="R149" s="113" t="str">
        <f t="shared" si="7"/>
        <v/>
      </c>
      <c r="S149" s="113" t="str">
        <f t="shared" si="8"/>
        <v/>
      </c>
      <c r="T149" s="113" t="str">
        <f t="shared" si="9"/>
        <v/>
      </c>
      <c r="U149" s="113" t="str">
        <f t="shared" si="10"/>
        <v/>
      </c>
      <c r="V149" s="113" t="str">
        <f t="shared" si="11"/>
        <v/>
      </c>
      <c r="W149" s="114"/>
    </row>
    <row r="150" spans="1:23">
      <c r="A150" s="101">
        <v>10</v>
      </c>
      <c r="B150" s="115" t="s">
        <v>266</v>
      </c>
      <c r="C150" s="116"/>
      <c r="D150" s="530">
        <v>1.405</v>
      </c>
      <c r="E150" s="531"/>
      <c r="F150" s="116"/>
      <c r="G150" s="117">
        <v>0.25</v>
      </c>
      <c r="H150" s="107">
        <v>12</v>
      </c>
      <c r="I150" s="108">
        <v>1</v>
      </c>
      <c r="J150" s="110">
        <v>2</v>
      </c>
      <c r="K150" s="118">
        <f>D150</f>
        <v>1.405</v>
      </c>
      <c r="L150" s="119" t="str">
        <f>IF(O150&lt;12,"0",0.049*H150)</f>
        <v>0</v>
      </c>
      <c r="M150" s="120">
        <v>2</v>
      </c>
      <c r="N150" s="108">
        <f>M150*2*H150/1000</f>
        <v>4.8000000000000001E-2</v>
      </c>
      <c r="O150" s="121">
        <f>(D150+C150+F150)-N150</f>
        <v>1.357</v>
      </c>
      <c r="P150" s="121">
        <f>(I150*J150*O150)+1*L150</f>
        <v>2.714</v>
      </c>
      <c r="Q150" s="113" t="str">
        <f t="shared" si="6"/>
        <v/>
      </c>
      <c r="R150" s="113" t="str">
        <f t="shared" si="7"/>
        <v/>
      </c>
      <c r="S150" s="113">
        <f t="shared" si="8"/>
        <v>2.714</v>
      </c>
      <c r="T150" s="113" t="str">
        <f t="shared" si="9"/>
        <v/>
      </c>
      <c r="U150" s="113" t="str">
        <f t="shared" si="10"/>
        <v/>
      </c>
      <c r="V150" s="113" t="str">
        <f t="shared" si="11"/>
        <v/>
      </c>
      <c r="W150" s="114"/>
    </row>
    <row r="151" spans="1:23">
      <c r="A151" s="101"/>
      <c r="B151" s="115"/>
      <c r="C151" s="116"/>
      <c r="D151" s="126"/>
      <c r="E151" s="126"/>
      <c r="F151" s="127"/>
      <c r="G151" s="117"/>
      <c r="H151" s="107"/>
      <c r="I151" s="108"/>
      <c r="J151" s="110"/>
      <c r="K151" s="118"/>
      <c r="L151" s="119"/>
      <c r="M151" s="120"/>
      <c r="N151" s="108"/>
      <c r="O151" s="121"/>
      <c r="P151" s="121"/>
      <c r="Q151" s="113" t="str">
        <f t="shared" si="6"/>
        <v/>
      </c>
      <c r="R151" s="113" t="str">
        <f t="shared" si="7"/>
        <v/>
      </c>
      <c r="S151" s="113" t="str">
        <f t="shared" si="8"/>
        <v/>
      </c>
      <c r="T151" s="113" t="str">
        <f t="shared" si="9"/>
        <v/>
      </c>
      <c r="U151" s="113" t="str">
        <f t="shared" si="10"/>
        <v/>
      </c>
      <c r="V151" s="113" t="str">
        <f t="shared" si="11"/>
        <v/>
      </c>
      <c r="W151" s="114"/>
    </row>
    <row r="152" spans="1:23">
      <c r="A152" s="101">
        <v>11</v>
      </c>
      <c r="B152" s="115" t="s">
        <v>267</v>
      </c>
      <c r="C152" s="116"/>
      <c r="D152" s="530">
        <f>11.285</f>
        <v>11.285</v>
      </c>
      <c r="E152" s="530"/>
      <c r="F152" s="127"/>
      <c r="G152" s="117">
        <v>0.25</v>
      </c>
      <c r="H152" s="107">
        <v>12</v>
      </c>
      <c r="I152" s="108">
        <v>1</v>
      </c>
      <c r="J152" s="110">
        <v>2</v>
      </c>
      <c r="K152" s="118">
        <f>D152</f>
        <v>11.285</v>
      </c>
      <c r="L152" s="119" t="str">
        <f>IF(O152&lt;12,"0",0.049*H152)</f>
        <v>0</v>
      </c>
      <c r="M152" s="120">
        <v>2</v>
      </c>
      <c r="N152" s="108">
        <f>M152*1*H152/1000</f>
        <v>2.4E-2</v>
      </c>
      <c r="O152" s="121">
        <f>(D152+C152+F152)-N152</f>
        <v>11.261000000000001</v>
      </c>
      <c r="P152" s="121">
        <f>(I152*J152*O152)+2*L152</f>
        <v>22.522000000000002</v>
      </c>
      <c r="Q152" s="113" t="str">
        <f t="shared" si="6"/>
        <v/>
      </c>
      <c r="R152" s="113" t="str">
        <f t="shared" si="7"/>
        <v/>
      </c>
      <c r="S152" s="113">
        <f t="shared" si="8"/>
        <v>22.522000000000002</v>
      </c>
      <c r="T152" s="113" t="str">
        <f t="shared" si="9"/>
        <v/>
      </c>
      <c r="U152" s="113" t="str">
        <f t="shared" si="10"/>
        <v/>
      </c>
      <c r="V152" s="113" t="str">
        <f t="shared" si="11"/>
        <v/>
      </c>
      <c r="W152" s="114"/>
    </row>
    <row r="153" spans="1:23">
      <c r="A153" s="101"/>
      <c r="B153" s="115"/>
      <c r="C153" s="116"/>
      <c r="D153" s="126"/>
      <c r="E153" s="126"/>
      <c r="F153" s="127"/>
      <c r="G153" s="117"/>
      <c r="H153" s="107"/>
      <c r="I153" s="108"/>
      <c r="J153" s="110"/>
      <c r="K153" s="118"/>
      <c r="L153" s="119"/>
      <c r="M153" s="120"/>
      <c r="N153" s="108"/>
      <c r="O153" s="121"/>
      <c r="P153" s="121"/>
      <c r="Q153" s="113" t="str">
        <f t="shared" si="6"/>
        <v/>
      </c>
      <c r="R153" s="113" t="str">
        <f t="shared" si="7"/>
        <v/>
      </c>
      <c r="S153" s="113" t="str">
        <f t="shared" si="8"/>
        <v/>
      </c>
      <c r="T153" s="113" t="str">
        <f t="shared" si="9"/>
        <v/>
      </c>
      <c r="U153" s="113" t="str">
        <f t="shared" si="10"/>
        <v/>
      </c>
      <c r="V153" s="113" t="str">
        <f t="shared" si="11"/>
        <v/>
      </c>
      <c r="W153" s="114"/>
    </row>
    <row r="154" spans="1:23">
      <c r="A154" s="101">
        <v>12</v>
      </c>
      <c r="B154" s="115" t="s">
        <v>268</v>
      </c>
      <c r="C154" s="116"/>
      <c r="D154" s="530">
        <v>11.005000000000001</v>
      </c>
      <c r="E154" s="530"/>
      <c r="F154" s="127"/>
      <c r="G154" s="117">
        <v>0.25</v>
      </c>
      <c r="H154" s="107">
        <v>12</v>
      </c>
      <c r="I154" s="108">
        <v>1</v>
      </c>
      <c r="J154" s="110">
        <v>2</v>
      </c>
      <c r="K154" s="118">
        <f>D154</f>
        <v>11.005000000000001</v>
      </c>
      <c r="L154" s="119" t="str">
        <f>IF(O154&lt;12,"0",0.049*H154)</f>
        <v>0</v>
      </c>
      <c r="M154" s="120">
        <v>2</v>
      </c>
      <c r="N154" s="108">
        <f>M154*1*H154/1000</f>
        <v>2.4E-2</v>
      </c>
      <c r="O154" s="121">
        <f>(D154+C154+F154)-N154</f>
        <v>10.981000000000002</v>
      </c>
      <c r="P154" s="121">
        <f>(I154*J154*O154)+2*L154</f>
        <v>21.962000000000003</v>
      </c>
      <c r="Q154" s="113" t="str">
        <f t="shared" si="6"/>
        <v/>
      </c>
      <c r="R154" s="113" t="str">
        <f t="shared" si="7"/>
        <v/>
      </c>
      <c r="S154" s="113">
        <f t="shared" si="8"/>
        <v>21.962000000000003</v>
      </c>
      <c r="T154" s="113" t="str">
        <f t="shared" si="9"/>
        <v/>
      </c>
      <c r="U154" s="113" t="str">
        <f t="shared" si="10"/>
        <v/>
      </c>
      <c r="V154" s="113" t="str">
        <f t="shared" si="11"/>
        <v/>
      </c>
      <c r="W154" s="114"/>
    </row>
    <row r="155" spans="1:23">
      <c r="A155" s="101"/>
      <c r="B155" s="115"/>
      <c r="C155" s="116"/>
      <c r="D155" s="126"/>
      <c r="E155" s="126"/>
      <c r="F155" s="127"/>
      <c r="G155" s="117"/>
      <c r="H155" s="107"/>
      <c r="I155" s="108"/>
      <c r="J155" s="110"/>
      <c r="K155" s="118"/>
      <c r="L155" s="119"/>
      <c r="M155" s="120"/>
      <c r="N155" s="108"/>
      <c r="O155" s="121"/>
      <c r="P155" s="121"/>
      <c r="Q155" s="113" t="str">
        <f t="shared" si="6"/>
        <v/>
      </c>
      <c r="R155" s="113" t="str">
        <f t="shared" si="7"/>
        <v/>
      </c>
      <c r="S155" s="113" t="str">
        <f t="shared" si="8"/>
        <v/>
      </c>
      <c r="T155" s="113" t="str">
        <f t="shared" si="9"/>
        <v/>
      </c>
      <c r="U155" s="113" t="str">
        <f t="shared" si="10"/>
        <v/>
      </c>
      <c r="V155" s="113" t="str">
        <f t="shared" si="11"/>
        <v/>
      </c>
      <c r="W155" s="114"/>
    </row>
    <row r="156" spans="1:23">
      <c r="A156" s="101">
        <v>13</v>
      </c>
      <c r="B156" s="115" t="s">
        <v>269</v>
      </c>
      <c r="C156" s="116"/>
      <c r="D156" s="530">
        <f>12.415</f>
        <v>12.414999999999999</v>
      </c>
      <c r="E156" s="531"/>
      <c r="F156" s="116"/>
      <c r="G156" s="117">
        <v>0.25</v>
      </c>
      <c r="H156" s="107">
        <v>12</v>
      </c>
      <c r="I156" s="108">
        <v>1</v>
      </c>
      <c r="J156" s="110">
        <v>2</v>
      </c>
      <c r="K156" s="118">
        <f>D156</f>
        <v>12.414999999999999</v>
      </c>
      <c r="L156" s="119">
        <f>IF(O156&lt;12,"0",0.049*H156)</f>
        <v>0.58800000000000008</v>
      </c>
      <c r="M156" s="120">
        <v>2</v>
      </c>
      <c r="N156" s="108">
        <f>M156*2*H156/1000</f>
        <v>4.8000000000000001E-2</v>
      </c>
      <c r="O156" s="121">
        <f>(D156+C156+F156)-N156</f>
        <v>12.366999999999999</v>
      </c>
      <c r="P156" s="121">
        <f>(I156*J156*O156)+1*L156</f>
        <v>25.321999999999999</v>
      </c>
      <c r="Q156" s="113" t="str">
        <f t="shared" si="6"/>
        <v/>
      </c>
      <c r="R156" s="113" t="str">
        <f t="shared" si="7"/>
        <v/>
      </c>
      <c r="S156" s="113">
        <f t="shared" si="8"/>
        <v>25.321999999999999</v>
      </c>
      <c r="T156" s="113" t="str">
        <f t="shared" si="9"/>
        <v/>
      </c>
      <c r="U156" s="113" t="str">
        <f t="shared" si="10"/>
        <v/>
      </c>
      <c r="V156" s="113" t="str">
        <f t="shared" si="11"/>
        <v/>
      </c>
      <c r="W156" s="114"/>
    </row>
    <row r="157" spans="1:23">
      <c r="A157" s="101"/>
      <c r="B157" s="115"/>
      <c r="C157" s="116"/>
      <c r="D157" s="126"/>
      <c r="E157" s="126"/>
      <c r="F157" s="127"/>
      <c r="G157" s="117"/>
      <c r="H157" s="107"/>
      <c r="I157" s="108"/>
      <c r="J157" s="110"/>
      <c r="K157" s="118"/>
      <c r="L157" s="119"/>
      <c r="M157" s="120"/>
      <c r="N157" s="108"/>
      <c r="O157" s="121"/>
      <c r="P157" s="121"/>
      <c r="Q157" s="113" t="str">
        <f t="shared" si="6"/>
        <v/>
      </c>
      <c r="R157" s="113" t="str">
        <f t="shared" si="7"/>
        <v/>
      </c>
      <c r="S157" s="113" t="str">
        <f t="shared" si="8"/>
        <v/>
      </c>
      <c r="T157" s="113" t="str">
        <f t="shared" si="9"/>
        <v/>
      </c>
      <c r="U157" s="113" t="str">
        <f t="shared" si="10"/>
        <v/>
      </c>
      <c r="V157" s="113" t="str">
        <f t="shared" si="11"/>
        <v/>
      </c>
      <c r="W157" s="114"/>
    </row>
    <row r="158" spans="1:23">
      <c r="A158" s="101">
        <v>14</v>
      </c>
      <c r="B158" s="115" t="s">
        <v>270</v>
      </c>
      <c r="C158" s="116"/>
      <c r="D158" s="530">
        <f>25.89-0.05*2</f>
        <v>25.79</v>
      </c>
      <c r="E158" s="531"/>
      <c r="F158" s="116"/>
      <c r="G158" s="117">
        <v>0.25</v>
      </c>
      <c r="H158" s="107">
        <v>12</v>
      </c>
      <c r="I158" s="108">
        <v>1</v>
      </c>
      <c r="J158" s="110">
        <v>2</v>
      </c>
      <c r="K158" s="118">
        <f>D158</f>
        <v>25.79</v>
      </c>
      <c r="L158" s="119">
        <f>IF(O158&lt;12,"0",0.049*H158)</f>
        <v>0.58800000000000008</v>
      </c>
      <c r="M158" s="120">
        <v>2</v>
      </c>
      <c r="N158" s="108">
        <f>M158*2*H158/1000</f>
        <v>4.8000000000000001E-2</v>
      </c>
      <c r="O158" s="121">
        <f>(D158+C158+F158)-N158</f>
        <v>25.742000000000001</v>
      </c>
      <c r="P158" s="121">
        <f>(I158*J158*O158)+1*L158</f>
        <v>52.072000000000003</v>
      </c>
      <c r="Q158" s="113" t="str">
        <f t="shared" si="6"/>
        <v/>
      </c>
      <c r="R158" s="113" t="str">
        <f t="shared" si="7"/>
        <v/>
      </c>
      <c r="S158" s="113">
        <f t="shared" si="8"/>
        <v>52.072000000000003</v>
      </c>
      <c r="T158" s="113" t="str">
        <f t="shared" si="9"/>
        <v/>
      </c>
      <c r="U158" s="113" t="str">
        <f t="shared" si="10"/>
        <v/>
      </c>
      <c r="V158" s="113" t="str">
        <f t="shared" si="11"/>
        <v/>
      </c>
      <c r="W158" s="114"/>
    </row>
    <row r="159" spans="1:23">
      <c r="A159" s="101"/>
      <c r="B159" s="115"/>
      <c r="C159" s="116"/>
      <c r="D159" s="126"/>
      <c r="E159" s="126"/>
      <c r="F159" s="127"/>
      <c r="G159" s="117"/>
      <c r="H159" s="107"/>
      <c r="I159" s="108"/>
      <c r="J159" s="110"/>
      <c r="K159" s="118"/>
      <c r="L159" s="119"/>
      <c r="M159" s="120"/>
      <c r="N159" s="108"/>
      <c r="O159" s="121"/>
      <c r="P159" s="121"/>
      <c r="Q159" s="113" t="str">
        <f t="shared" si="6"/>
        <v/>
      </c>
      <c r="R159" s="113" t="str">
        <f t="shared" si="7"/>
        <v/>
      </c>
      <c r="S159" s="113" t="str">
        <f t="shared" si="8"/>
        <v/>
      </c>
      <c r="T159" s="113" t="str">
        <f t="shared" si="9"/>
        <v/>
      </c>
      <c r="U159" s="113" t="str">
        <f t="shared" si="10"/>
        <v/>
      </c>
      <c r="V159" s="113" t="str">
        <f t="shared" si="11"/>
        <v/>
      </c>
      <c r="W159" s="114"/>
    </row>
    <row r="160" spans="1:23">
      <c r="A160" s="101"/>
      <c r="B160" s="115"/>
      <c r="C160" s="116"/>
      <c r="D160" s="126"/>
      <c r="E160" s="126"/>
      <c r="F160" s="127"/>
      <c r="G160" s="117"/>
      <c r="H160" s="107"/>
      <c r="I160" s="108"/>
      <c r="J160" s="110"/>
      <c r="K160" s="118"/>
      <c r="L160" s="119"/>
      <c r="M160" s="120"/>
      <c r="N160" s="108"/>
      <c r="O160" s="121"/>
      <c r="P160" s="121"/>
      <c r="Q160" s="113" t="str">
        <f t="shared" si="6"/>
        <v/>
      </c>
      <c r="R160" s="113" t="str">
        <f t="shared" si="7"/>
        <v/>
      </c>
      <c r="S160" s="113" t="str">
        <f t="shared" si="8"/>
        <v/>
      </c>
      <c r="T160" s="113" t="str">
        <f t="shared" si="9"/>
        <v/>
      </c>
      <c r="U160" s="113" t="str">
        <f t="shared" si="10"/>
        <v/>
      </c>
      <c r="V160" s="113" t="str">
        <f t="shared" si="11"/>
        <v/>
      </c>
      <c r="W160" s="114"/>
    </row>
    <row r="161" spans="1:23">
      <c r="A161" s="101"/>
      <c r="B161" s="112" t="s">
        <v>271</v>
      </c>
      <c r="C161" s="103"/>
      <c r="D161" s="104"/>
      <c r="E161" s="128">
        <v>0.95</v>
      </c>
      <c r="F161" s="105"/>
      <c r="G161" s="106"/>
      <c r="H161" s="107"/>
      <c r="I161" s="108"/>
      <c r="J161" s="108"/>
      <c r="K161" s="109"/>
      <c r="L161" s="108"/>
      <c r="M161" s="108"/>
      <c r="N161" s="108"/>
      <c r="O161" s="108"/>
      <c r="P161" s="110"/>
      <c r="Q161" s="113" t="str">
        <f t="shared" si="6"/>
        <v/>
      </c>
      <c r="R161" s="113" t="str">
        <f t="shared" si="7"/>
        <v/>
      </c>
      <c r="S161" s="113" t="str">
        <f t="shared" si="8"/>
        <v/>
      </c>
      <c r="T161" s="113" t="str">
        <f t="shared" si="9"/>
        <v/>
      </c>
      <c r="U161" s="113" t="str">
        <f t="shared" si="10"/>
        <v/>
      </c>
      <c r="V161" s="113" t="str">
        <f t="shared" si="11"/>
        <v/>
      </c>
      <c r="W161" s="114"/>
    </row>
    <row r="162" spans="1:23">
      <c r="A162" s="101">
        <v>1</v>
      </c>
      <c r="B162" s="115"/>
      <c r="C162" s="116"/>
      <c r="D162" s="530"/>
      <c r="E162" s="531"/>
      <c r="F162" s="116"/>
      <c r="G162" s="117"/>
      <c r="H162" s="107">
        <v>20</v>
      </c>
      <c r="I162" s="108">
        <v>1</v>
      </c>
      <c r="J162" s="416">
        <v>785</v>
      </c>
      <c r="K162" s="118">
        <f>0.35+0.675+0.95+0.675+0.35</f>
        <v>3</v>
      </c>
      <c r="L162" s="119" t="str">
        <f>IF(O162&lt;12,"0",0.049*H162)</f>
        <v>0</v>
      </c>
      <c r="M162" s="120"/>
      <c r="N162" s="121">
        <f>M162*2*H162/1000</f>
        <v>0</v>
      </c>
      <c r="O162" s="119">
        <f>K162-N162</f>
        <v>3</v>
      </c>
      <c r="P162" s="119">
        <f>(I162*J162*O162)+1*L162</f>
        <v>2355</v>
      </c>
      <c r="Q162" s="113" t="str">
        <f t="shared" si="6"/>
        <v/>
      </c>
      <c r="R162" s="113" t="str">
        <f t="shared" si="7"/>
        <v/>
      </c>
      <c r="S162" s="113" t="str">
        <f t="shared" si="8"/>
        <v/>
      </c>
      <c r="T162" s="113" t="str">
        <f t="shared" si="9"/>
        <v/>
      </c>
      <c r="U162" s="113">
        <f t="shared" si="10"/>
        <v>2355</v>
      </c>
      <c r="V162" s="113" t="str">
        <f t="shared" si="11"/>
        <v/>
      </c>
      <c r="W162" s="114"/>
    </row>
    <row r="163" spans="1:23">
      <c r="A163" s="101"/>
      <c r="B163" s="115"/>
      <c r="C163" s="116"/>
      <c r="D163" s="126"/>
      <c r="E163" s="126">
        <v>0.67500000000000004</v>
      </c>
      <c r="F163" s="127"/>
      <c r="G163" s="117"/>
      <c r="H163" s="107"/>
      <c r="I163" s="108"/>
      <c r="J163" s="110"/>
      <c r="K163" s="118"/>
      <c r="L163" s="119"/>
      <c r="M163" s="120"/>
      <c r="N163" s="108"/>
      <c r="O163" s="121"/>
      <c r="P163" s="121"/>
      <c r="Q163" s="113" t="str">
        <f t="shared" si="6"/>
        <v/>
      </c>
      <c r="R163" s="113" t="str">
        <f t="shared" si="7"/>
        <v/>
      </c>
      <c r="S163" s="113" t="str">
        <f t="shared" si="8"/>
        <v/>
      </c>
      <c r="T163" s="113" t="str">
        <f t="shared" si="9"/>
        <v/>
      </c>
      <c r="U163" s="113" t="str">
        <f t="shared" si="10"/>
        <v/>
      </c>
      <c r="V163" s="113" t="str">
        <f t="shared" si="11"/>
        <v/>
      </c>
      <c r="W163" s="114"/>
    </row>
    <row r="164" spans="1:23">
      <c r="A164" s="101"/>
      <c r="B164" s="115"/>
      <c r="C164" s="116"/>
      <c r="D164" s="126"/>
      <c r="E164" s="126"/>
      <c r="F164" s="129">
        <v>0.35</v>
      </c>
      <c r="G164" s="117"/>
      <c r="H164" s="107"/>
      <c r="I164" s="108"/>
      <c r="J164" s="110"/>
      <c r="K164" s="118"/>
      <c r="L164" s="119"/>
      <c r="M164" s="120"/>
      <c r="N164" s="108"/>
      <c r="O164" s="121"/>
      <c r="P164" s="121"/>
      <c r="Q164" s="113" t="str">
        <f t="shared" si="6"/>
        <v/>
      </c>
      <c r="R164" s="113" t="str">
        <f t="shared" si="7"/>
        <v/>
      </c>
      <c r="S164" s="113" t="str">
        <f t="shared" si="8"/>
        <v/>
      </c>
      <c r="T164" s="113" t="str">
        <f t="shared" si="9"/>
        <v/>
      </c>
      <c r="U164" s="113" t="str">
        <f t="shared" si="10"/>
        <v/>
      </c>
      <c r="V164" s="113" t="str">
        <f t="shared" si="11"/>
        <v/>
      </c>
      <c r="W164" s="114"/>
    </row>
    <row r="165" spans="1:23">
      <c r="A165" s="101"/>
      <c r="B165" s="115"/>
      <c r="C165" s="116"/>
      <c r="D165" s="126"/>
      <c r="E165" s="126"/>
      <c r="F165" s="127"/>
      <c r="G165" s="117"/>
      <c r="H165" s="107"/>
      <c r="I165" s="108"/>
      <c r="J165" s="110"/>
      <c r="K165" s="118"/>
      <c r="L165" s="119"/>
      <c r="M165" s="120"/>
      <c r="N165" s="108"/>
      <c r="O165" s="121"/>
      <c r="P165" s="121"/>
      <c r="Q165" s="113" t="str">
        <f t="shared" si="6"/>
        <v/>
      </c>
      <c r="R165" s="113" t="str">
        <f t="shared" si="7"/>
        <v/>
      </c>
      <c r="S165" s="113" t="str">
        <f t="shared" si="8"/>
        <v/>
      </c>
      <c r="T165" s="113" t="str">
        <f t="shared" si="9"/>
        <v/>
      </c>
      <c r="U165" s="113" t="str">
        <f t="shared" si="10"/>
        <v/>
      </c>
      <c r="V165" s="113" t="str">
        <f t="shared" si="11"/>
        <v/>
      </c>
      <c r="W165" s="114"/>
    </row>
    <row r="166" spans="1:23">
      <c r="A166" s="101"/>
      <c r="B166" s="115"/>
      <c r="C166" s="116"/>
      <c r="D166" s="126"/>
      <c r="E166" s="126"/>
      <c r="F166" s="127"/>
      <c r="G166" s="117"/>
      <c r="H166" s="107"/>
      <c r="I166" s="108"/>
      <c r="J166" s="110"/>
      <c r="K166" s="118"/>
      <c r="L166" s="119"/>
      <c r="M166" s="120"/>
      <c r="N166" s="108"/>
      <c r="O166" s="121"/>
      <c r="P166" s="121"/>
      <c r="Q166" s="113" t="str">
        <f t="shared" si="6"/>
        <v/>
      </c>
      <c r="R166" s="113" t="str">
        <f t="shared" si="7"/>
        <v/>
      </c>
      <c r="S166" s="113" t="str">
        <f t="shared" si="8"/>
        <v/>
      </c>
      <c r="T166" s="113" t="str">
        <f t="shared" si="9"/>
        <v/>
      </c>
      <c r="U166" s="113" t="str">
        <f t="shared" si="10"/>
        <v/>
      </c>
      <c r="V166" s="113" t="str">
        <f t="shared" si="11"/>
        <v/>
      </c>
      <c r="W166" s="114"/>
    </row>
    <row r="167" spans="1:23">
      <c r="A167" s="101"/>
      <c r="B167" s="112" t="s">
        <v>272</v>
      </c>
      <c r="C167" s="116"/>
      <c r="D167" s="126"/>
      <c r="E167" s="126"/>
      <c r="F167" s="127"/>
      <c r="G167" s="117"/>
      <c r="H167" s="107"/>
      <c r="I167" s="108"/>
      <c r="J167" s="110"/>
      <c r="K167" s="118"/>
      <c r="L167" s="119"/>
      <c r="M167" s="120"/>
      <c r="N167" s="108"/>
      <c r="O167" s="121"/>
      <c r="P167" s="121"/>
      <c r="Q167" s="113" t="str">
        <f t="shared" si="6"/>
        <v/>
      </c>
      <c r="R167" s="113" t="str">
        <f t="shared" si="7"/>
        <v/>
      </c>
      <c r="S167" s="113" t="str">
        <f t="shared" si="8"/>
        <v/>
      </c>
      <c r="T167" s="113" t="str">
        <f t="shared" si="9"/>
        <v/>
      </c>
      <c r="U167" s="113" t="str">
        <f t="shared" si="10"/>
        <v/>
      </c>
      <c r="V167" s="113" t="str">
        <f t="shared" si="11"/>
        <v/>
      </c>
      <c r="W167" s="114"/>
    </row>
    <row r="168" spans="1:23" ht="15" customHeight="1">
      <c r="A168" s="101">
        <v>1</v>
      </c>
      <c r="B168" s="130" t="s">
        <v>431</v>
      </c>
      <c r="C168" s="131"/>
      <c r="D168" s="537">
        <f>0.7+1.65+1</f>
        <v>3.3499999999999996</v>
      </c>
      <c r="E168" s="537"/>
      <c r="F168" s="127"/>
      <c r="G168" s="117">
        <v>0.25</v>
      </c>
      <c r="H168" s="107">
        <v>20</v>
      </c>
      <c r="I168" s="108">
        <v>1</v>
      </c>
      <c r="J168" s="110">
        <f>ROUND(1.95/G168+1,0)</f>
        <v>9</v>
      </c>
      <c r="K168" s="118">
        <f>D168</f>
        <v>3.3499999999999996</v>
      </c>
      <c r="L168" s="119" t="str">
        <f>IF(O168&lt;12,"0",0.049*H168)</f>
        <v>0</v>
      </c>
      <c r="M168" s="120">
        <v>0</v>
      </c>
      <c r="N168" s="108">
        <f>M168*2*H168/1000</f>
        <v>0</v>
      </c>
      <c r="O168" s="121">
        <f>(D168)-N168</f>
        <v>3.3499999999999996</v>
      </c>
      <c r="P168" s="121">
        <f>(I168*J168*O168)+L168</f>
        <v>30.15</v>
      </c>
      <c r="Q168" s="113" t="str">
        <f t="shared" si="6"/>
        <v/>
      </c>
      <c r="R168" s="113" t="str">
        <f t="shared" si="7"/>
        <v/>
      </c>
      <c r="S168" s="113" t="str">
        <f t="shared" si="8"/>
        <v/>
      </c>
      <c r="T168" s="113" t="str">
        <f t="shared" si="9"/>
        <v/>
      </c>
      <c r="U168" s="113">
        <f t="shared" si="10"/>
        <v>30.15</v>
      </c>
      <c r="V168" s="113" t="str">
        <f t="shared" si="11"/>
        <v/>
      </c>
      <c r="W168" s="114"/>
    </row>
    <row r="169" spans="1:23">
      <c r="A169" s="101"/>
      <c r="B169" s="130" t="s">
        <v>273</v>
      </c>
      <c r="C169" s="116"/>
      <c r="D169" s="126"/>
      <c r="E169" s="126"/>
      <c r="F169" s="127"/>
      <c r="G169" s="117"/>
      <c r="H169" s="107"/>
      <c r="I169" s="108"/>
      <c r="J169" s="110"/>
      <c r="K169" s="118"/>
      <c r="L169" s="119"/>
      <c r="M169" s="120"/>
      <c r="N169" s="108"/>
      <c r="O169" s="121"/>
      <c r="P169" s="121"/>
      <c r="Q169" s="113" t="str">
        <f t="shared" si="6"/>
        <v/>
      </c>
      <c r="R169" s="113" t="str">
        <f t="shared" si="7"/>
        <v/>
      </c>
      <c r="S169" s="113" t="str">
        <f t="shared" si="8"/>
        <v/>
      </c>
      <c r="T169" s="113" t="str">
        <f t="shared" si="9"/>
        <v/>
      </c>
      <c r="U169" s="113" t="str">
        <f t="shared" si="10"/>
        <v/>
      </c>
      <c r="V169" s="113" t="str">
        <f t="shared" si="11"/>
        <v/>
      </c>
      <c r="W169" s="114"/>
    </row>
    <row r="170" spans="1:23">
      <c r="A170" s="101"/>
      <c r="B170" s="132"/>
      <c r="C170" s="116"/>
      <c r="D170" s="126"/>
      <c r="E170" s="126"/>
      <c r="F170" s="127"/>
      <c r="G170" s="117"/>
      <c r="H170" s="107"/>
      <c r="I170" s="108"/>
      <c r="J170" s="110"/>
      <c r="K170" s="118"/>
      <c r="L170" s="119"/>
      <c r="M170" s="120"/>
      <c r="N170" s="108"/>
      <c r="O170" s="121"/>
      <c r="P170" s="121"/>
      <c r="Q170" s="113" t="str">
        <f t="shared" si="6"/>
        <v/>
      </c>
      <c r="R170" s="113" t="str">
        <f t="shared" si="7"/>
        <v/>
      </c>
      <c r="S170" s="113" t="str">
        <f t="shared" si="8"/>
        <v/>
      </c>
      <c r="T170" s="113" t="str">
        <f t="shared" si="9"/>
        <v/>
      </c>
      <c r="U170" s="113" t="str">
        <f t="shared" si="10"/>
        <v/>
      </c>
      <c r="V170" s="113" t="str">
        <f t="shared" si="11"/>
        <v/>
      </c>
      <c r="W170" s="114"/>
    </row>
    <row r="171" spans="1:23" ht="15" customHeight="1">
      <c r="A171" s="101">
        <v>2</v>
      </c>
      <c r="B171" s="130" t="s">
        <v>432</v>
      </c>
      <c r="C171" s="131"/>
      <c r="D171" s="537">
        <f>0.7+0.65+0.6</f>
        <v>1.9500000000000002</v>
      </c>
      <c r="E171" s="537"/>
      <c r="F171" s="127"/>
      <c r="G171" s="117">
        <v>0.25</v>
      </c>
      <c r="H171" s="107">
        <v>12</v>
      </c>
      <c r="I171" s="108">
        <v>1</v>
      </c>
      <c r="J171" s="110">
        <f>ROUND(3.35/G171+1,0)</f>
        <v>14</v>
      </c>
      <c r="K171" s="118">
        <f>D171</f>
        <v>1.9500000000000002</v>
      </c>
      <c r="L171" s="119" t="str">
        <f>IF(O171&lt;12,"0",0.049*H171)</f>
        <v>0</v>
      </c>
      <c r="M171" s="120">
        <v>0</v>
      </c>
      <c r="N171" s="108">
        <f>M171*2*H171/1000</f>
        <v>0</v>
      </c>
      <c r="O171" s="121">
        <f>(D171)-N171</f>
        <v>1.9500000000000002</v>
      </c>
      <c r="P171" s="121">
        <f>(I171*J171*O171)+L171</f>
        <v>27.300000000000004</v>
      </c>
      <c r="Q171" s="113" t="str">
        <f t="shared" si="6"/>
        <v/>
      </c>
      <c r="R171" s="113" t="str">
        <f t="shared" si="7"/>
        <v/>
      </c>
      <c r="S171" s="113">
        <f t="shared" si="8"/>
        <v>27.300000000000004</v>
      </c>
      <c r="T171" s="113" t="str">
        <f t="shared" si="9"/>
        <v/>
      </c>
      <c r="U171" s="113" t="str">
        <f t="shared" si="10"/>
        <v/>
      </c>
      <c r="V171" s="113" t="str">
        <f t="shared" si="11"/>
        <v/>
      </c>
      <c r="W171" s="114"/>
    </row>
    <row r="172" spans="1:23">
      <c r="A172" s="101"/>
      <c r="B172" s="130" t="s">
        <v>273</v>
      </c>
      <c r="C172" s="116"/>
      <c r="D172" s="126"/>
      <c r="E172" s="126"/>
      <c r="F172" s="127"/>
      <c r="G172" s="117"/>
      <c r="H172" s="107"/>
      <c r="I172" s="108"/>
      <c r="J172" s="110"/>
      <c r="K172" s="118"/>
      <c r="L172" s="119"/>
      <c r="M172" s="120"/>
      <c r="N172" s="108"/>
      <c r="O172" s="121"/>
      <c r="P172" s="121"/>
      <c r="Q172" s="113" t="str">
        <f t="shared" si="6"/>
        <v/>
      </c>
      <c r="R172" s="113" t="str">
        <f t="shared" si="7"/>
        <v/>
      </c>
      <c r="S172" s="113" t="str">
        <f t="shared" si="8"/>
        <v/>
      </c>
      <c r="T172" s="113" t="str">
        <f t="shared" si="9"/>
        <v/>
      </c>
      <c r="U172" s="113" t="str">
        <f t="shared" si="10"/>
        <v/>
      </c>
      <c r="V172" s="113" t="str">
        <f t="shared" si="11"/>
        <v/>
      </c>
      <c r="W172" s="114"/>
    </row>
    <row r="173" spans="1:23">
      <c r="A173" s="101"/>
      <c r="B173" s="132"/>
      <c r="C173" s="116"/>
      <c r="D173" s="126"/>
      <c r="E173" s="126"/>
      <c r="F173" s="127"/>
      <c r="G173" s="117"/>
      <c r="H173" s="107"/>
      <c r="I173" s="108"/>
      <c r="J173" s="110"/>
      <c r="K173" s="118"/>
      <c r="L173" s="119"/>
      <c r="M173" s="120"/>
      <c r="N173" s="108"/>
      <c r="O173" s="121"/>
      <c r="P173" s="121"/>
      <c r="Q173" s="113" t="str">
        <f t="shared" ref="Q173:Q236" si="12">IF($H173=8,$P173,"")</f>
        <v/>
      </c>
      <c r="R173" s="113" t="str">
        <f t="shared" ref="R173:R236" si="13">IF($H173=10,$P173,"")</f>
        <v/>
      </c>
      <c r="S173" s="113" t="str">
        <f t="shared" ref="S173:S236" si="14">IF($H173=12,$P173,"")</f>
        <v/>
      </c>
      <c r="T173" s="113" t="str">
        <f t="shared" ref="T173:T236" si="15">IF($H173=16,$P173,"")</f>
        <v/>
      </c>
      <c r="U173" s="113" t="str">
        <f t="shared" ref="U173:U236" si="16">IF($H173=20,$P173,"")</f>
        <v/>
      </c>
      <c r="V173" s="113" t="str">
        <f t="shared" ref="V173:V236" si="17">IF($H173=25,$P173,"")</f>
        <v/>
      </c>
      <c r="W173" s="114"/>
    </row>
    <row r="174" spans="1:23" ht="15" customHeight="1">
      <c r="A174" s="101">
        <v>3</v>
      </c>
      <c r="B174" s="130" t="s">
        <v>431</v>
      </c>
      <c r="C174" s="131"/>
      <c r="D174" s="537">
        <f>1.25+0.6+0.75-0.05</f>
        <v>2.5500000000000003</v>
      </c>
      <c r="E174" s="537"/>
      <c r="F174" s="127"/>
      <c r="G174" s="117">
        <v>0.25</v>
      </c>
      <c r="H174" s="107">
        <v>25</v>
      </c>
      <c r="I174" s="108">
        <v>1</v>
      </c>
      <c r="J174" s="110">
        <f>ROUND(2.3/G174+1,0)</f>
        <v>10</v>
      </c>
      <c r="K174" s="118">
        <f>D174</f>
        <v>2.5500000000000003</v>
      </c>
      <c r="L174" s="119" t="str">
        <f>IF(O174&lt;12,"0",0.049*H174)</f>
        <v>0</v>
      </c>
      <c r="M174" s="120">
        <v>0</v>
      </c>
      <c r="N174" s="108">
        <f>M174*2*H174/1000</f>
        <v>0</v>
      </c>
      <c r="O174" s="121">
        <f>(D174)-N174</f>
        <v>2.5500000000000003</v>
      </c>
      <c r="P174" s="121">
        <f>(I174*J174*O174)+L174</f>
        <v>25.500000000000004</v>
      </c>
      <c r="Q174" s="113" t="str">
        <f t="shared" si="12"/>
        <v/>
      </c>
      <c r="R174" s="113" t="str">
        <f t="shared" si="13"/>
        <v/>
      </c>
      <c r="S174" s="113" t="str">
        <f t="shared" si="14"/>
        <v/>
      </c>
      <c r="T174" s="113" t="str">
        <f t="shared" si="15"/>
        <v/>
      </c>
      <c r="U174" s="113" t="str">
        <f t="shared" si="16"/>
        <v/>
      </c>
      <c r="V174" s="113">
        <f t="shared" si="17"/>
        <v>25.500000000000004</v>
      </c>
      <c r="W174" s="114"/>
    </row>
    <row r="175" spans="1:23">
      <c r="A175" s="101"/>
      <c r="B175" s="130" t="s">
        <v>274</v>
      </c>
      <c r="C175" s="116"/>
      <c r="D175" s="126"/>
      <c r="E175" s="126"/>
      <c r="F175" s="127"/>
      <c r="G175" s="117"/>
      <c r="H175" s="107"/>
      <c r="I175" s="108"/>
      <c r="J175" s="110"/>
      <c r="K175" s="118"/>
      <c r="L175" s="119"/>
      <c r="M175" s="120"/>
      <c r="N175" s="108"/>
      <c r="O175" s="121"/>
      <c r="P175" s="121"/>
      <c r="Q175" s="113" t="str">
        <f t="shared" si="12"/>
        <v/>
      </c>
      <c r="R175" s="113" t="str">
        <f t="shared" si="13"/>
        <v/>
      </c>
      <c r="S175" s="113" t="str">
        <f t="shared" si="14"/>
        <v/>
      </c>
      <c r="T175" s="113" t="str">
        <f t="shared" si="15"/>
        <v/>
      </c>
      <c r="U175" s="113" t="str">
        <f t="shared" si="16"/>
        <v/>
      </c>
      <c r="V175" s="113" t="str">
        <f t="shared" si="17"/>
        <v/>
      </c>
      <c r="W175" s="114"/>
    </row>
    <row r="176" spans="1:23">
      <c r="A176" s="101"/>
      <c r="B176" s="130"/>
      <c r="C176" s="116"/>
      <c r="D176" s="126"/>
      <c r="E176" s="126"/>
      <c r="F176" s="127"/>
      <c r="G176" s="117"/>
      <c r="H176" s="107"/>
      <c r="I176" s="108"/>
      <c r="J176" s="110"/>
      <c r="K176" s="118"/>
      <c r="L176" s="119"/>
      <c r="M176" s="120"/>
      <c r="N176" s="108"/>
      <c r="O176" s="121"/>
      <c r="P176" s="121"/>
      <c r="Q176" s="113" t="str">
        <f t="shared" si="12"/>
        <v/>
      </c>
      <c r="R176" s="113" t="str">
        <f t="shared" si="13"/>
        <v/>
      </c>
      <c r="S176" s="113" t="str">
        <f t="shared" si="14"/>
        <v/>
      </c>
      <c r="T176" s="113" t="str">
        <f t="shared" si="15"/>
        <v/>
      </c>
      <c r="U176" s="113" t="str">
        <f t="shared" si="16"/>
        <v/>
      </c>
      <c r="V176" s="113" t="str">
        <f t="shared" si="17"/>
        <v/>
      </c>
      <c r="W176" s="114"/>
    </row>
    <row r="177" spans="1:23" ht="15" customHeight="1">
      <c r="A177" s="101">
        <v>4</v>
      </c>
      <c r="B177" s="130" t="s">
        <v>432</v>
      </c>
      <c r="C177" s="131"/>
      <c r="D177" s="537">
        <f>1+0.3+1</f>
        <v>2.2999999999999998</v>
      </c>
      <c r="E177" s="537"/>
      <c r="F177" s="127"/>
      <c r="G177" s="117">
        <v>0.25</v>
      </c>
      <c r="H177" s="107">
        <v>20</v>
      </c>
      <c r="I177" s="108">
        <v>1</v>
      </c>
      <c r="J177" s="110">
        <f>ROUND(2.55/G177+1,0)</f>
        <v>11</v>
      </c>
      <c r="K177" s="118">
        <f>D177</f>
        <v>2.2999999999999998</v>
      </c>
      <c r="L177" s="119" t="str">
        <f>IF(O177&lt;12,"0",0.049*H177)</f>
        <v>0</v>
      </c>
      <c r="M177" s="120">
        <v>0</v>
      </c>
      <c r="N177" s="108">
        <f>M177*2*H177/1000</f>
        <v>0</v>
      </c>
      <c r="O177" s="121">
        <f>(D177)-N177</f>
        <v>2.2999999999999998</v>
      </c>
      <c r="P177" s="121">
        <f>(I177*J177*O177)+L177</f>
        <v>25.299999999999997</v>
      </c>
      <c r="Q177" s="113" t="str">
        <f t="shared" si="12"/>
        <v/>
      </c>
      <c r="R177" s="113" t="str">
        <f t="shared" si="13"/>
        <v/>
      </c>
      <c r="S177" s="113" t="str">
        <f t="shared" si="14"/>
        <v/>
      </c>
      <c r="T177" s="113" t="str">
        <f t="shared" si="15"/>
        <v/>
      </c>
      <c r="U177" s="113">
        <f t="shared" si="16"/>
        <v>25.299999999999997</v>
      </c>
      <c r="V177" s="113" t="str">
        <f t="shared" si="17"/>
        <v/>
      </c>
      <c r="W177" s="114"/>
    </row>
    <row r="178" spans="1:23">
      <c r="A178" s="101"/>
      <c r="B178" s="130" t="s">
        <v>274</v>
      </c>
      <c r="C178" s="116"/>
      <c r="D178" s="126"/>
      <c r="E178" s="126"/>
      <c r="F178" s="127"/>
      <c r="G178" s="117"/>
      <c r="H178" s="107"/>
      <c r="I178" s="108"/>
      <c r="J178" s="110"/>
      <c r="K178" s="118"/>
      <c r="L178" s="119"/>
      <c r="M178" s="120"/>
      <c r="N178" s="108"/>
      <c r="O178" s="121"/>
      <c r="P178" s="121"/>
      <c r="Q178" s="113" t="str">
        <f t="shared" si="12"/>
        <v/>
      </c>
      <c r="R178" s="113" t="str">
        <f t="shared" si="13"/>
        <v/>
      </c>
      <c r="S178" s="113" t="str">
        <f t="shared" si="14"/>
        <v/>
      </c>
      <c r="T178" s="113" t="str">
        <f t="shared" si="15"/>
        <v/>
      </c>
      <c r="U178" s="113" t="str">
        <f t="shared" si="16"/>
        <v/>
      </c>
      <c r="V178" s="113" t="str">
        <f t="shared" si="17"/>
        <v/>
      </c>
      <c r="W178" s="114"/>
    </row>
    <row r="179" spans="1:23">
      <c r="A179" s="101"/>
      <c r="B179" s="130"/>
      <c r="C179" s="116"/>
      <c r="D179" s="126"/>
      <c r="E179" s="126"/>
      <c r="F179" s="127"/>
      <c r="G179" s="117"/>
      <c r="H179" s="107"/>
      <c r="I179" s="108"/>
      <c r="J179" s="110"/>
      <c r="K179" s="118"/>
      <c r="L179" s="119"/>
      <c r="M179" s="120"/>
      <c r="N179" s="108"/>
      <c r="O179" s="121"/>
      <c r="P179" s="121"/>
      <c r="Q179" s="113" t="str">
        <f t="shared" si="12"/>
        <v/>
      </c>
      <c r="R179" s="113" t="str">
        <f t="shared" si="13"/>
        <v/>
      </c>
      <c r="S179" s="113" t="str">
        <f t="shared" si="14"/>
        <v/>
      </c>
      <c r="T179" s="113" t="str">
        <f t="shared" si="15"/>
        <v/>
      </c>
      <c r="U179" s="113" t="str">
        <f t="shared" si="16"/>
        <v/>
      </c>
      <c r="V179" s="113" t="str">
        <f t="shared" si="17"/>
        <v/>
      </c>
      <c r="W179" s="114"/>
    </row>
    <row r="180" spans="1:23" ht="15" customHeight="1">
      <c r="A180" s="101">
        <v>5</v>
      </c>
      <c r="B180" s="130" t="s">
        <v>431</v>
      </c>
      <c r="C180" s="131"/>
      <c r="D180" s="537">
        <f>0.75-0.05+0.3+1</f>
        <v>2</v>
      </c>
      <c r="E180" s="537"/>
      <c r="F180" s="127"/>
      <c r="G180" s="117">
        <v>0.25</v>
      </c>
      <c r="H180" s="107">
        <v>20</v>
      </c>
      <c r="I180" s="108">
        <v>1</v>
      </c>
      <c r="J180" s="110">
        <f>ROUND(2.3/G180+1,0)</f>
        <v>10</v>
      </c>
      <c r="K180" s="118">
        <f>D180</f>
        <v>2</v>
      </c>
      <c r="L180" s="119" t="str">
        <f>IF(O180&lt;12,"0",0.049*H180)</f>
        <v>0</v>
      </c>
      <c r="M180" s="120">
        <v>0</v>
      </c>
      <c r="N180" s="108">
        <f>M180*2*H180/1000</f>
        <v>0</v>
      </c>
      <c r="O180" s="121">
        <f>(D180)-N180</f>
        <v>2</v>
      </c>
      <c r="P180" s="121">
        <f>(I180*J180*O180)+L180</f>
        <v>20</v>
      </c>
      <c r="Q180" s="113" t="str">
        <f t="shared" si="12"/>
        <v/>
      </c>
      <c r="R180" s="113" t="str">
        <f t="shared" si="13"/>
        <v/>
      </c>
      <c r="S180" s="113" t="str">
        <f t="shared" si="14"/>
        <v/>
      </c>
      <c r="T180" s="113" t="str">
        <f t="shared" si="15"/>
        <v/>
      </c>
      <c r="U180" s="113">
        <f t="shared" si="16"/>
        <v>20</v>
      </c>
      <c r="V180" s="113" t="str">
        <f t="shared" si="17"/>
        <v/>
      </c>
      <c r="W180" s="114"/>
    </row>
    <row r="181" spans="1:23">
      <c r="A181" s="101"/>
      <c r="B181" s="130" t="s">
        <v>275</v>
      </c>
      <c r="C181" s="116"/>
      <c r="D181" s="126"/>
      <c r="E181" s="126"/>
      <c r="F181" s="127"/>
      <c r="G181" s="117"/>
      <c r="H181" s="107"/>
      <c r="I181" s="108"/>
      <c r="J181" s="110"/>
      <c r="K181" s="118"/>
      <c r="L181" s="119"/>
      <c r="M181" s="120"/>
      <c r="N181" s="108"/>
      <c r="O181" s="121"/>
      <c r="P181" s="121"/>
      <c r="Q181" s="113" t="str">
        <f t="shared" si="12"/>
        <v/>
      </c>
      <c r="R181" s="113" t="str">
        <f t="shared" si="13"/>
        <v/>
      </c>
      <c r="S181" s="113" t="str">
        <f t="shared" si="14"/>
        <v/>
      </c>
      <c r="T181" s="113" t="str">
        <f t="shared" si="15"/>
        <v/>
      </c>
      <c r="U181" s="113" t="str">
        <f t="shared" si="16"/>
        <v/>
      </c>
      <c r="V181" s="113" t="str">
        <f t="shared" si="17"/>
        <v/>
      </c>
      <c r="W181" s="114"/>
    </row>
    <row r="182" spans="1:23">
      <c r="A182" s="101"/>
      <c r="B182" s="130"/>
      <c r="C182" s="116"/>
      <c r="D182" s="126"/>
      <c r="E182" s="126"/>
      <c r="F182" s="127"/>
      <c r="G182" s="117"/>
      <c r="H182" s="107"/>
      <c r="I182" s="108"/>
      <c r="J182" s="110"/>
      <c r="K182" s="118"/>
      <c r="L182" s="119"/>
      <c r="M182" s="120"/>
      <c r="N182" s="108"/>
      <c r="O182" s="121"/>
      <c r="P182" s="121"/>
      <c r="Q182" s="113" t="str">
        <f t="shared" si="12"/>
        <v/>
      </c>
      <c r="R182" s="113" t="str">
        <f t="shared" si="13"/>
        <v/>
      </c>
      <c r="S182" s="113" t="str">
        <f t="shared" si="14"/>
        <v/>
      </c>
      <c r="T182" s="113" t="str">
        <f t="shared" si="15"/>
        <v/>
      </c>
      <c r="U182" s="113" t="str">
        <f t="shared" si="16"/>
        <v/>
      </c>
      <c r="V182" s="113" t="str">
        <f t="shared" si="17"/>
        <v/>
      </c>
      <c r="W182" s="114"/>
    </row>
    <row r="183" spans="1:23" ht="15" customHeight="1">
      <c r="A183" s="101">
        <v>6</v>
      </c>
      <c r="B183" s="130" t="s">
        <v>432</v>
      </c>
      <c r="C183" s="131"/>
      <c r="D183" s="537">
        <f>1+0.6+0.75-0.05</f>
        <v>2.3000000000000003</v>
      </c>
      <c r="E183" s="537"/>
      <c r="F183" s="127"/>
      <c r="G183" s="117">
        <v>0.25</v>
      </c>
      <c r="H183" s="107">
        <v>20</v>
      </c>
      <c r="I183" s="108">
        <v>1</v>
      </c>
      <c r="J183" s="110">
        <f>ROUND(2/G183+1,0)</f>
        <v>9</v>
      </c>
      <c r="K183" s="118">
        <f>D183</f>
        <v>2.3000000000000003</v>
      </c>
      <c r="L183" s="119" t="str">
        <f>IF(O183&lt;12,"0",0.049*H183)</f>
        <v>0</v>
      </c>
      <c r="M183" s="120">
        <v>0</v>
      </c>
      <c r="N183" s="108">
        <f>M183*2*H183/1000</f>
        <v>0</v>
      </c>
      <c r="O183" s="121">
        <f>(D183)-N183</f>
        <v>2.3000000000000003</v>
      </c>
      <c r="P183" s="121">
        <f>(I183*J183*O183)+L183</f>
        <v>20.700000000000003</v>
      </c>
      <c r="Q183" s="113" t="str">
        <f t="shared" si="12"/>
        <v/>
      </c>
      <c r="R183" s="113" t="str">
        <f t="shared" si="13"/>
        <v/>
      </c>
      <c r="S183" s="113" t="str">
        <f t="shared" si="14"/>
        <v/>
      </c>
      <c r="T183" s="113" t="str">
        <f t="shared" si="15"/>
        <v/>
      </c>
      <c r="U183" s="113">
        <f t="shared" si="16"/>
        <v>20.700000000000003</v>
      </c>
      <c r="V183" s="113" t="str">
        <f t="shared" si="17"/>
        <v/>
      </c>
      <c r="W183" s="114"/>
    </row>
    <row r="184" spans="1:23">
      <c r="A184" s="101"/>
      <c r="B184" s="130" t="s">
        <v>275</v>
      </c>
      <c r="C184" s="116"/>
      <c r="D184" s="126"/>
      <c r="E184" s="126"/>
      <c r="F184" s="127"/>
      <c r="G184" s="117"/>
      <c r="H184" s="107"/>
      <c r="I184" s="108"/>
      <c r="J184" s="110"/>
      <c r="K184" s="118"/>
      <c r="L184" s="119"/>
      <c r="M184" s="120"/>
      <c r="N184" s="108"/>
      <c r="O184" s="121"/>
      <c r="P184" s="121"/>
      <c r="Q184" s="113" t="str">
        <f t="shared" si="12"/>
        <v/>
      </c>
      <c r="R184" s="113" t="str">
        <f t="shared" si="13"/>
        <v/>
      </c>
      <c r="S184" s="113" t="str">
        <f t="shared" si="14"/>
        <v/>
      </c>
      <c r="T184" s="113" t="str">
        <f t="shared" si="15"/>
        <v/>
      </c>
      <c r="U184" s="113" t="str">
        <f t="shared" si="16"/>
        <v/>
      </c>
      <c r="V184" s="113" t="str">
        <f t="shared" si="17"/>
        <v/>
      </c>
      <c r="W184" s="114"/>
    </row>
    <row r="185" spans="1:23">
      <c r="A185" s="101"/>
      <c r="B185" s="130"/>
      <c r="C185" s="116"/>
      <c r="D185" s="126"/>
      <c r="E185" s="126"/>
      <c r="F185" s="127"/>
      <c r="G185" s="117"/>
      <c r="H185" s="107"/>
      <c r="I185" s="108"/>
      <c r="J185" s="110"/>
      <c r="K185" s="118"/>
      <c r="L185" s="119"/>
      <c r="M185" s="120"/>
      <c r="N185" s="108"/>
      <c r="O185" s="121"/>
      <c r="P185" s="121"/>
      <c r="Q185" s="113" t="str">
        <f t="shared" si="12"/>
        <v/>
      </c>
      <c r="R185" s="113" t="str">
        <f t="shared" si="13"/>
        <v/>
      </c>
      <c r="S185" s="113" t="str">
        <f t="shared" si="14"/>
        <v/>
      </c>
      <c r="T185" s="113" t="str">
        <f t="shared" si="15"/>
        <v/>
      </c>
      <c r="U185" s="113" t="str">
        <f t="shared" si="16"/>
        <v/>
      </c>
      <c r="V185" s="113" t="str">
        <f t="shared" si="17"/>
        <v/>
      </c>
      <c r="W185" s="114"/>
    </row>
    <row r="186" spans="1:23" ht="15" customHeight="1">
      <c r="A186" s="101">
        <v>7</v>
      </c>
      <c r="B186" s="130" t="s">
        <v>431</v>
      </c>
      <c r="C186" s="131"/>
      <c r="D186" s="537">
        <f>0.75-0.05+1.85+1</f>
        <v>3.55</v>
      </c>
      <c r="E186" s="537"/>
      <c r="F186" s="127"/>
      <c r="G186" s="117">
        <v>0.25</v>
      </c>
      <c r="H186" s="107">
        <v>20</v>
      </c>
      <c r="I186" s="108">
        <v>1</v>
      </c>
      <c r="J186" s="110">
        <f>ROUND(2.4/G186+1,0)</f>
        <v>11</v>
      </c>
      <c r="K186" s="118">
        <f>D186</f>
        <v>3.55</v>
      </c>
      <c r="L186" s="119" t="str">
        <f>IF(O186&lt;12,"0",0.049*H186)</f>
        <v>0</v>
      </c>
      <c r="M186" s="120">
        <v>0</v>
      </c>
      <c r="N186" s="108">
        <f>M186*2*H186/1000</f>
        <v>0</v>
      </c>
      <c r="O186" s="121">
        <f>(D186)-N186</f>
        <v>3.55</v>
      </c>
      <c r="P186" s="121">
        <f>(I186*J186*O186)+L186</f>
        <v>39.049999999999997</v>
      </c>
      <c r="Q186" s="113" t="str">
        <f t="shared" si="12"/>
        <v/>
      </c>
      <c r="R186" s="113" t="str">
        <f t="shared" si="13"/>
        <v/>
      </c>
      <c r="S186" s="113" t="str">
        <f t="shared" si="14"/>
        <v/>
      </c>
      <c r="T186" s="113" t="str">
        <f t="shared" si="15"/>
        <v/>
      </c>
      <c r="U186" s="113">
        <f t="shared" si="16"/>
        <v>39.049999999999997</v>
      </c>
      <c r="V186" s="113" t="str">
        <f t="shared" si="17"/>
        <v/>
      </c>
      <c r="W186" s="114"/>
    </row>
    <row r="187" spans="1:23">
      <c r="A187" s="101"/>
      <c r="B187" s="130" t="s">
        <v>276</v>
      </c>
      <c r="C187" s="116"/>
      <c r="D187" s="126"/>
      <c r="E187" s="126"/>
      <c r="F187" s="127"/>
      <c r="G187" s="117"/>
      <c r="H187" s="107"/>
      <c r="I187" s="108"/>
      <c r="J187" s="110"/>
      <c r="K187" s="118"/>
      <c r="L187" s="119"/>
      <c r="M187" s="120"/>
      <c r="N187" s="108"/>
      <c r="O187" s="121"/>
      <c r="P187" s="121"/>
      <c r="Q187" s="113" t="str">
        <f t="shared" si="12"/>
        <v/>
      </c>
      <c r="R187" s="113" t="str">
        <f t="shared" si="13"/>
        <v/>
      </c>
      <c r="S187" s="113" t="str">
        <f t="shared" si="14"/>
        <v/>
      </c>
      <c r="T187" s="113" t="str">
        <f t="shared" si="15"/>
        <v/>
      </c>
      <c r="U187" s="113" t="str">
        <f t="shared" si="16"/>
        <v/>
      </c>
      <c r="V187" s="113" t="str">
        <f t="shared" si="17"/>
        <v/>
      </c>
      <c r="W187" s="114"/>
    </row>
    <row r="188" spans="1:23">
      <c r="A188" s="101"/>
      <c r="B188" s="130"/>
      <c r="C188" s="116"/>
      <c r="D188" s="126"/>
      <c r="E188" s="126"/>
      <c r="F188" s="127"/>
      <c r="G188" s="117"/>
      <c r="H188" s="107"/>
      <c r="I188" s="108"/>
      <c r="J188" s="110"/>
      <c r="K188" s="118"/>
      <c r="L188" s="119"/>
      <c r="M188" s="120"/>
      <c r="N188" s="108"/>
      <c r="O188" s="121"/>
      <c r="P188" s="121"/>
      <c r="Q188" s="113" t="str">
        <f t="shared" si="12"/>
        <v/>
      </c>
      <c r="R188" s="113" t="str">
        <f t="shared" si="13"/>
        <v/>
      </c>
      <c r="S188" s="113" t="str">
        <f t="shared" si="14"/>
        <v/>
      </c>
      <c r="T188" s="113" t="str">
        <f t="shared" si="15"/>
        <v/>
      </c>
      <c r="U188" s="113" t="str">
        <f t="shared" si="16"/>
        <v/>
      </c>
      <c r="V188" s="113" t="str">
        <f t="shared" si="17"/>
        <v/>
      </c>
      <c r="W188" s="114"/>
    </row>
    <row r="189" spans="1:23" ht="15" customHeight="1">
      <c r="A189" s="101">
        <v>7</v>
      </c>
      <c r="B189" s="130" t="s">
        <v>431</v>
      </c>
      <c r="C189" s="131"/>
      <c r="D189" s="537">
        <f>0.75-0.05+0.8+1</f>
        <v>2.5</v>
      </c>
      <c r="E189" s="537"/>
      <c r="F189" s="127"/>
      <c r="G189" s="117">
        <v>0.25</v>
      </c>
      <c r="H189" s="107">
        <v>25</v>
      </c>
      <c r="I189" s="108">
        <v>1</v>
      </c>
      <c r="J189" s="110">
        <f>ROUND(1.645/G189+1,0)</f>
        <v>8</v>
      </c>
      <c r="K189" s="118">
        <f>D189</f>
        <v>2.5</v>
      </c>
      <c r="L189" s="119" t="str">
        <f>IF(O189&lt;12,"0",0.049*H189)</f>
        <v>0</v>
      </c>
      <c r="M189" s="120">
        <v>0</v>
      </c>
      <c r="N189" s="108">
        <f>M189*2*H189/1000</f>
        <v>0</v>
      </c>
      <c r="O189" s="121">
        <f>(D189)-N189</f>
        <v>2.5</v>
      </c>
      <c r="P189" s="121">
        <f>(I189*J189*O189)+L189</f>
        <v>20</v>
      </c>
      <c r="Q189" s="113" t="str">
        <f t="shared" si="12"/>
        <v/>
      </c>
      <c r="R189" s="113" t="str">
        <f t="shared" si="13"/>
        <v/>
      </c>
      <c r="S189" s="113" t="str">
        <f t="shared" si="14"/>
        <v/>
      </c>
      <c r="T189" s="113" t="str">
        <f t="shared" si="15"/>
        <v/>
      </c>
      <c r="U189" s="113" t="str">
        <f t="shared" si="16"/>
        <v/>
      </c>
      <c r="V189" s="113">
        <f t="shared" si="17"/>
        <v>20</v>
      </c>
      <c r="W189" s="114"/>
    </row>
    <row r="190" spans="1:23">
      <c r="A190" s="101"/>
      <c r="B190" s="130" t="s">
        <v>276</v>
      </c>
      <c r="C190" s="116"/>
      <c r="D190" s="126"/>
      <c r="E190" s="126"/>
      <c r="F190" s="127"/>
      <c r="G190" s="117"/>
      <c r="H190" s="107"/>
      <c r="I190" s="108"/>
      <c r="J190" s="110"/>
      <c r="K190" s="118"/>
      <c r="L190" s="119"/>
      <c r="M190" s="120"/>
      <c r="N190" s="108"/>
      <c r="O190" s="121"/>
      <c r="P190" s="121"/>
      <c r="Q190" s="113" t="str">
        <f t="shared" si="12"/>
        <v/>
      </c>
      <c r="R190" s="113" t="str">
        <f t="shared" si="13"/>
        <v/>
      </c>
      <c r="S190" s="113" t="str">
        <f t="shared" si="14"/>
        <v/>
      </c>
      <c r="T190" s="113" t="str">
        <f t="shared" si="15"/>
        <v/>
      </c>
      <c r="U190" s="113" t="str">
        <f t="shared" si="16"/>
        <v/>
      </c>
      <c r="V190" s="113" t="str">
        <f t="shared" si="17"/>
        <v/>
      </c>
      <c r="W190" s="114"/>
    </row>
    <row r="191" spans="1:23">
      <c r="A191" s="101"/>
      <c r="B191" s="130"/>
      <c r="C191" s="116"/>
      <c r="D191" s="126"/>
      <c r="E191" s="126"/>
      <c r="F191" s="127"/>
      <c r="G191" s="117"/>
      <c r="H191" s="107"/>
      <c r="I191" s="108"/>
      <c r="J191" s="110"/>
      <c r="K191" s="118"/>
      <c r="L191" s="119"/>
      <c r="M191" s="120"/>
      <c r="N191" s="108"/>
      <c r="O191" s="121"/>
      <c r="P191" s="121"/>
      <c r="Q191" s="113" t="str">
        <f t="shared" si="12"/>
        <v/>
      </c>
      <c r="R191" s="113" t="str">
        <f t="shared" si="13"/>
        <v/>
      </c>
      <c r="S191" s="113" t="str">
        <f t="shared" si="14"/>
        <v/>
      </c>
      <c r="T191" s="113" t="str">
        <f t="shared" si="15"/>
        <v/>
      </c>
      <c r="U191" s="113" t="str">
        <f t="shared" si="16"/>
        <v/>
      </c>
      <c r="V191" s="113" t="str">
        <f t="shared" si="17"/>
        <v/>
      </c>
      <c r="W191" s="114"/>
    </row>
    <row r="192" spans="1:23" ht="15" customHeight="1">
      <c r="A192" s="101">
        <v>8</v>
      </c>
      <c r="B192" s="130" t="s">
        <v>432</v>
      </c>
      <c r="C192" s="131"/>
      <c r="D192" s="537">
        <f>1+0.65+0.75-0.05</f>
        <v>2.35</v>
      </c>
      <c r="E192" s="537"/>
      <c r="F192" s="127"/>
      <c r="G192" s="117">
        <v>0.25</v>
      </c>
      <c r="H192" s="107">
        <v>25</v>
      </c>
      <c r="I192" s="108">
        <v>1</v>
      </c>
      <c r="J192" s="110">
        <f>ROUND(0.815/G192+1,0)</f>
        <v>4</v>
      </c>
      <c r="K192" s="118">
        <f>D192</f>
        <v>2.35</v>
      </c>
      <c r="L192" s="119" t="str">
        <f>IF(O192&lt;12,"0",0.049*H192)</f>
        <v>0</v>
      </c>
      <c r="M192" s="120">
        <v>0</v>
      </c>
      <c r="N192" s="108">
        <f>M192*2*H192/1000</f>
        <v>0</v>
      </c>
      <c r="O192" s="121">
        <f>(D192)-N192</f>
        <v>2.35</v>
      </c>
      <c r="P192" s="121">
        <f>(I192*J192*O192)+L192</f>
        <v>9.4</v>
      </c>
      <c r="Q192" s="113" t="str">
        <f t="shared" si="12"/>
        <v/>
      </c>
      <c r="R192" s="113" t="str">
        <f t="shared" si="13"/>
        <v/>
      </c>
      <c r="S192" s="113" t="str">
        <f t="shared" si="14"/>
        <v/>
      </c>
      <c r="T192" s="113" t="str">
        <f t="shared" si="15"/>
        <v/>
      </c>
      <c r="U192" s="113" t="str">
        <f t="shared" si="16"/>
        <v/>
      </c>
      <c r="V192" s="113">
        <f t="shared" si="17"/>
        <v>9.4</v>
      </c>
      <c r="W192" s="114"/>
    </row>
    <row r="193" spans="1:23">
      <c r="A193" s="101"/>
      <c r="B193" s="130" t="s">
        <v>276</v>
      </c>
      <c r="C193" s="116"/>
      <c r="D193" s="126"/>
      <c r="E193" s="126"/>
      <c r="F193" s="127"/>
      <c r="G193" s="117"/>
      <c r="H193" s="107"/>
      <c r="I193" s="108"/>
      <c r="J193" s="110"/>
      <c r="K193" s="118"/>
      <c r="L193" s="119"/>
      <c r="M193" s="120"/>
      <c r="N193" s="108"/>
      <c r="O193" s="121"/>
      <c r="P193" s="121"/>
      <c r="Q193" s="113" t="str">
        <f t="shared" si="12"/>
        <v/>
      </c>
      <c r="R193" s="113" t="str">
        <f t="shared" si="13"/>
        <v/>
      </c>
      <c r="S193" s="113" t="str">
        <f t="shared" si="14"/>
        <v/>
      </c>
      <c r="T193" s="113" t="str">
        <f t="shared" si="15"/>
        <v/>
      </c>
      <c r="U193" s="113" t="str">
        <f t="shared" si="16"/>
        <v/>
      </c>
      <c r="V193" s="113" t="str">
        <f t="shared" si="17"/>
        <v/>
      </c>
      <c r="W193" s="114"/>
    </row>
    <row r="194" spans="1:23">
      <c r="A194" s="101"/>
      <c r="B194" s="130"/>
      <c r="C194" s="116"/>
      <c r="D194" s="126"/>
      <c r="E194" s="126"/>
      <c r="F194" s="127"/>
      <c r="G194" s="117"/>
      <c r="H194" s="107"/>
      <c r="I194" s="108"/>
      <c r="J194" s="110"/>
      <c r="K194" s="118"/>
      <c r="L194" s="119"/>
      <c r="M194" s="120"/>
      <c r="N194" s="108"/>
      <c r="O194" s="121"/>
      <c r="P194" s="121"/>
      <c r="Q194" s="113" t="str">
        <f t="shared" si="12"/>
        <v/>
      </c>
      <c r="R194" s="113" t="str">
        <f t="shared" si="13"/>
        <v/>
      </c>
      <c r="S194" s="113" t="str">
        <f t="shared" si="14"/>
        <v/>
      </c>
      <c r="T194" s="113" t="str">
        <f t="shared" si="15"/>
        <v/>
      </c>
      <c r="U194" s="113" t="str">
        <f t="shared" si="16"/>
        <v/>
      </c>
      <c r="V194" s="113" t="str">
        <f t="shared" si="17"/>
        <v/>
      </c>
      <c r="W194" s="114"/>
    </row>
    <row r="195" spans="1:23" ht="15" customHeight="1">
      <c r="A195" s="101">
        <v>9</v>
      </c>
      <c r="B195" s="130" t="s">
        <v>432</v>
      </c>
      <c r="C195" s="131"/>
      <c r="D195" s="537">
        <f>1+0.65+0.75+1.695</f>
        <v>4.0949999999999998</v>
      </c>
      <c r="E195" s="537"/>
      <c r="F195" s="127"/>
      <c r="G195" s="117">
        <v>0.25</v>
      </c>
      <c r="H195" s="107">
        <v>25</v>
      </c>
      <c r="I195" s="108">
        <v>1</v>
      </c>
      <c r="J195" s="110">
        <f>ROUND(2.745/G195+1,0)</f>
        <v>12</v>
      </c>
      <c r="K195" s="118">
        <f>D195</f>
        <v>4.0949999999999998</v>
      </c>
      <c r="L195" s="119" t="str">
        <f>IF(O195&lt;12,"0",0.049*H195)</f>
        <v>0</v>
      </c>
      <c r="M195" s="120">
        <v>0</v>
      </c>
      <c r="N195" s="108">
        <f>M195*2*H195/1000</f>
        <v>0</v>
      </c>
      <c r="O195" s="121">
        <f>(D195)-N195</f>
        <v>4.0949999999999998</v>
      </c>
      <c r="P195" s="121">
        <f>(I195*J195*O195)+L195</f>
        <v>49.14</v>
      </c>
      <c r="Q195" s="113" t="str">
        <f t="shared" si="12"/>
        <v/>
      </c>
      <c r="R195" s="113" t="str">
        <f t="shared" si="13"/>
        <v/>
      </c>
      <c r="S195" s="113" t="str">
        <f t="shared" si="14"/>
        <v/>
      </c>
      <c r="T195" s="113" t="str">
        <f t="shared" si="15"/>
        <v/>
      </c>
      <c r="U195" s="113" t="str">
        <f t="shared" si="16"/>
        <v/>
      </c>
      <c r="V195" s="113">
        <f t="shared" si="17"/>
        <v>49.14</v>
      </c>
      <c r="W195" s="114"/>
    </row>
    <row r="196" spans="1:23">
      <c r="A196" s="101"/>
      <c r="B196" s="130" t="s">
        <v>276</v>
      </c>
      <c r="C196" s="116"/>
      <c r="D196" s="126"/>
      <c r="E196" s="126"/>
      <c r="F196" s="127"/>
      <c r="G196" s="117"/>
      <c r="H196" s="107"/>
      <c r="I196" s="108"/>
      <c r="J196" s="110"/>
      <c r="K196" s="118"/>
      <c r="L196" s="119"/>
      <c r="M196" s="120"/>
      <c r="N196" s="108"/>
      <c r="O196" s="121"/>
      <c r="P196" s="121"/>
      <c r="Q196" s="113" t="str">
        <f t="shared" si="12"/>
        <v/>
      </c>
      <c r="R196" s="113" t="str">
        <f t="shared" si="13"/>
        <v/>
      </c>
      <c r="S196" s="113" t="str">
        <f t="shared" si="14"/>
        <v/>
      </c>
      <c r="T196" s="113" t="str">
        <f t="shared" si="15"/>
        <v/>
      </c>
      <c r="U196" s="113" t="str">
        <f t="shared" si="16"/>
        <v/>
      </c>
      <c r="V196" s="113" t="str">
        <f t="shared" si="17"/>
        <v/>
      </c>
      <c r="W196" s="114"/>
    </row>
    <row r="197" spans="1:23">
      <c r="A197" s="101"/>
      <c r="B197" s="130"/>
      <c r="C197" s="116"/>
      <c r="D197" s="126"/>
      <c r="E197" s="126"/>
      <c r="F197" s="127"/>
      <c r="G197" s="117"/>
      <c r="H197" s="107"/>
      <c r="I197" s="108"/>
      <c r="J197" s="110"/>
      <c r="K197" s="118"/>
      <c r="L197" s="119"/>
      <c r="M197" s="120"/>
      <c r="N197" s="108"/>
      <c r="O197" s="121"/>
      <c r="P197" s="121"/>
      <c r="Q197" s="113" t="str">
        <f t="shared" si="12"/>
        <v/>
      </c>
      <c r="R197" s="113" t="str">
        <f t="shared" si="13"/>
        <v/>
      </c>
      <c r="S197" s="113" t="str">
        <f t="shared" si="14"/>
        <v/>
      </c>
      <c r="T197" s="113" t="str">
        <f t="shared" si="15"/>
        <v/>
      </c>
      <c r="U197" s="113" t="str">
        <f t="shared" si="16"/>
        <v/>
      </c>
      <c r="V197" s="113" t="str">
        <f t="shared" si="17"/>
        <v/>
      </c>
      <c r="W197" s="114"/>
    </row>
    <row r="198" spans="1:23" ht="15" customHeight="1">
      <c r="A198" s="101">
        <v>10</v>
      </c>
      <c r="B198" s="130" t="s">
        <v>431</v>
      </c>
      <c r="C198" s="131"/>
      <c r="D198" s="537">
        <f>1.25+0.6+1.25</f>
        <v>3.1</v>
      </c>
      <c r="E198" s="537"/>
      <c r="F198" s="127"/>
      <c r="G198" s="117">
        <v>0.25</v>
      </c>
      <c r="H198" s="107">
        <v>25</v>
      </c>
      <c r="I198" s="108">
        <v>1</v>
      </c>
      <c r="J198" s="110">
        <f>ROUND(2.3/G198+1,0)</f>
        <v>10</v>
      </c>
      <c r="K198" s="118">
        <f>D198</f>
        <v>3.1</v>
      </c>
      <c r="L198" s="119" t="str">
        <f>IF(O198&lt;12,"0",0.049*H198)</f>
        <v>0</v>
      </c>
      <c r="M198" s="120">
        <v>0</v>
      </c>
      <c r="N198" s="108">
        <f>M198*2*H198/1000</f>
        <v>0</v>
      </c>
      <c r="O198" s="121">
        <f>(D198)-N198</f>
        <v>3.1</v>
      </c>
      <c r="P198" s="121">
        <f>(I198*J198*O198)+L198</f>
        <v>31</v>
      </c>
      <c r="Q198" s="113" t="str">
        <f t="shared" si="12"/>
        <v/>
      </c>
      <c r="R198" s="113" t="str">
        <f t="shared" si="13"/>
        <v/>
      </c>
      <c r="S198" s="113" t="str">
        <f t="shared" si="14"/>
        <v/>
      </c>
      <c r="T198" s="113" t="str">
        <f t="shared" si="15"/>
        <v/>
      </c>
      <c r="U198" s="113" t="str">
        <f t="shared" si="16"/>
        <v/>
      </c>
      <c r="V198" s="113">
        <f t="shared" si="17"/>
        <v>31</v>
      </c>
      <c r="W198" s="114"/>
    </row>
    <row r="199" spans="1:23">
      <c r="A199" s="101"/>
      <c r="B199" s="130" t="s">
        <v>277</v>
      </c>
      <c r="C199" s="116"/>
      <c r="D199" s="126"/>
      <c r="E199" s="126"/>
      <c r="F199" s="127"/>
      <c r="G199" s="117"/>
      <c r="H199" s="107"/>
      <c r="I199" s="108"/>
      <c r="J199" s="110"/>
      <c r="K199" s="118"/>
      <c r="L199" s="119"/>
      <c r="M199" s="120"/>
      <c r="N199" s="108"/>
      <c r="O199" s="121"/>
      <c r="P199" s="121"/>
      <c r="Q199" s="113" t="str">
        <f t="shared" si="12"/>
        <v/>
      </c>
      <c r="R199" s="113" t="str">
        <f t="shared" si="13"/>
        <v/>
      </c>
      <c r="S199" s="113" t="str">
        <f t="shared" si="14"/>
        <v/>
      </c>
      <c r="T199" s="113" t="str">
        <f t="shared" si="15"/>
        <v/>
      </c>
      <c r="U199" s="113" t="str">
        <f t="shared" si="16"/>
        <v/>
      </c>
      <c r="V199" s="113" t="str">
        <f t="shared" si="17"/>
        <v/>
      </c>
      <c r="W199" s="114"/>
    </row>
    <row r="200" spans="1:23">
      <c r="A200" s="101"/>
      <c r="B200" s="130"/>
      <c r="C200" s="116"/>
      <c r="D200" s="126"/>
      <c r="E200" s="126"/>
      <c r="F200" s="127"/>
      <c r="G200" s="117"/>
      <c r="H200" s="107"/>
      <c r="I200" s="108"/>
      <c r="J200" s="110"/>
      <c r="K200" s="118"/>
      <c r="L200" s="119"/>
      <c r="M200" s="120"/>
      <c r="N200" s="108"/>
      <c r="O200" s="121"/>
      <c r="P200" s="121"/>
      <c r="Q200" s="113" t="str">
        <f t="shared" si="12"/>
        <v/>
      </c>
      <c r="R200" s="113" t="str">
        <f t="shared" si="13"/>
        <v/>
      </c>
      <c r="S200" s="113" t="str">
        <f t="shared" si="14"/>
        <v/>
      </c>
      <c r="T200" s="113" t="str">
        <f t="shared" si="15"/>
        <v/>
      </c>
      <c r="U200" s="113" t="str">
        <f t="shared" si="16"/>
        <v/>
      </c>
      <c r="V200" s="113" t="str">
        <f t="shared" si="17"/>
        <v/>
      </c>
      <c r="W200" s="114"/>
    </row>
    <row r="201" spans="1:23" ht="15" customHeight="1">
      <c r="A201" s="101">
        <v>11</v>
      </c>
      <c r="B201" s="130" t="s">
        <v>432</v>
      </c>
      <c r="C201" s="131"/>
      <c r="D201" s="537">
        <f>1+0.3+1</f>
        <v>2.2999999999999998</v>
      </c>
      <c r="E201" s="537"/>
      <c r="F201" s="127"/>
      <c r="G201" s="117">
        <v>0.25</v>
      </c>
      <c r="H201" s="107">
        <v>20</v>
      </c>
      <c r="I201" s="108">
        <v>1</v>
      </c>
      <c r="J201" s="110">
        <f>ROUND(3.1/G201+1,0)</f>
        <v>13</v>
      </c>
      <c r="K201" s="118">
        <f>D201</f>
        <v>2.2999999999999998</v>
      </c>
      <c r="L201" s="119" t="str">
        <f>IF(O201&lt;12,"0",0.049*H201)</f>
        <v>0</v>
      </c>
      <c r="M201" s="120">
        <v>0</v>
      </c>
      <c r="N201" s="108">
        <f>M201*2*H201/1000</f>
        <v>0</v>
      </c>
      <c r="O201" s="121">
        <f>(D201)-N201</f>
        <v>2.2999999999999998</v>
      </c>
      <c r="P201" s="121">
        <f>(I201*J201*O201)+L201</f>
        <v>29.9</v>
      </c>
      <c r="Q201" s="113" t="str">
        <f t="shared" si="12"/>
        <v/>
      </c>
      <c r="R201" s="113" t="str">
        <f t="shared" si="13"/>
        <v/>
      </c>
      <c r="S201" s="113" t="str">
        <f t="shared" si="14"/>
        <v/>
      </c>
      <c r="T201" s="113" t="str">
        <f t="shared" si="15"/>
        <v/>
      </c>
      <c r="U201" s="113">
        <f t="shared" si="16"/>
        <v>29.9</v>
      </c>
      <c r="V201" s="113" t="str">
        <f t="shared" si="17"/>
        <v/>
      </c>
      <c r="W201" s="114"/>
    </row>
    <row r="202" spans="1:23">
      <c r="A202" s="101"/>
      <c r="B202" s="130" t="s">
        <v>277</v>
      </c>
      <c r="C202" s="116"/>
      <c r="D202" s="126"/>
      <c r="E202" s="126"/>
      <c r="F202" s="127"/>
      <c r="G202" s="117"/>
      <c r="H202" s="107"/>
      <c r="I202" s="108"/>
      <c r="J202" s="110"/>
      <c r="K202" s="118"/>
      <c r="L202" s="119"/>
      <c r="M202" s="120"/>
      <c r="N202" s="108"/>
      <c r="O202" s="121"/>
      <c r="P202" s="121"/>
      <c r="Q202" s="113" t="str">
        <f t="shared" si="12"/>
        <v/>
      </c>
      <c r="R202" s="113" t="str">
        <f t="shared" si="13"/>
        <v/>
      </c>
      <c r="S202" s="113" t="str">
        <f t="shared" si="14"/>
        <v/>
      </c>
      <c r="T202" s="113" t="str">
        <f t="shared" si="15"/>
        <v/>
      </c>
      <c r="U202" s="113" t="str">
        <f t="shared" si="16"/>
        <v/>
      </c>
      <c r="V202" s="113" t="str">
        <f t="shared" si="17"/>
        <v/>
      </c>
      <c r="W202" s="114"/>
    </row>
    <row r="203" spans="1:23">
      <c r="A203" s="101"/>
      <c r="B203" s="130"/>
      <c r="C203" s="116"/>
      <c r="D203" s="126"/>
      <c r="E203" s="126"/>
      <c r="F203" s="127"/>
      <c r="G203" s="117"/>
      <c r="H203" s="107"/>
      <c r="I203" s="108"/>
      <c r="J203" s="110"/>
      <c r="K203" s="118"/>
      <c r="L203" s="119"/>
      <c r="M203" s="120"/>
      <c r="N203" s="108"/>
      <c r="O203" s="121"/>
      <c r="P203" s="121"/>
      <c r="Q203" s="113" t="str">
        <f t="shared" si="12"/>
        <v/>
      </c>
      <c r="R203" s="113" t="str">
        <f t="shared" si="13"/>
        <v/>
      </c>
      <c r="S203" s="113" t="str">
        <f t="shared" si="14"/>
        <v/>
      </c>
      <c r="T203" s="113" t="str">
        <f t="shared" si="15"/>
        <v/>
      </c>
      <c r="U203" s="113" t="str">
        <f t="shared" si="16"/>
        <v/>
      </c>
      <c r="V203" s="113" t="str">
        <f t="shared" si="17"/>
        <v/>
      </c>
      <c r="W203" s="114"/>
    </row>
    <row r="204" spans="1:23" ht="15" customHeight="1">
      <c r="A204" s="101">
        <v>12</v>
      </c>
      <c r="B204" s="130" t="s">
        <v>431</v>
      </c>
      <c r="C204" s="131"/>
      <c r="D204" s="537">
        <f>0.75-0.05+0.3+1.25</f>
        <v>2.25</v>
      </c>
      <c r="E204" s="537"/>
      <c r="F204" s="127"/>
      <c r="G204" s="117">
        <v>0.25</v>
      </c>
      <c r="H204" s="107">
        <v>25</v>
      </c>
      <c r="I204" s="108">
        <v>1</v>
      </c>
      <c r="J204" s="110">
        <f>ROUND(2.6/G204+1,0)</f>
        <v>11</v>
      </c>
      <c r="K204" s="118">
        <f>D204</f>
        <v>2.25</v>
      </c>
      <c r="L204" s="119" t="str">
        <f>IF(O204&lt;12,"0",0.049*H204)</f>
        <v>0</v>
      </c>
      <c r="M204" s="120">
        <v>0</v>
      </c>
      <c r="N204" s="108">
        <f>M204*2*H204/1000</f>
        <v>0</v>
      </c>
      <c r="O204" s="121">
        <f>(D204)-N204</f>
        <v>2.25</v>
      </c>
      <c r="P204" s="121">
        <f>(I204*J204*O204)+L204</f>
        <v>24.75</v>
      </c>
      <c r="Q204" s="113" t="str">
        <f t="shared" si="12"/>
        <v/>
      </c>
      <c r="R204" s="113" t="str">
        <f t="shared" si="13"/>
        <v/>
      </c>
      <c r="S204" s="113" t="str">
        <f t="shared" si="14"/>
        <v/>
      </c>
      <c r="T204" s="113" t="str">
        <f t="shared" si="15"/>
        <v/>
      </c>
      <c r="U204" s="113" t="str">
        <f t="shared" si="16"/>
        <v/>
      </c>
      <c r="V204" s="113">
        <f t="shared" si="17"/>
        <v>24.75</v>
      </c>
      <c r="W204" s="114"/>
    </row>
    <row r="205" spans="1:23">
      <c r="A205" s="101"/>
      <c r="B205" s="130" t="s">
        <v>278</v>
      </c>
      <c r="C205" s="116"/>
      <c r="D205" s="126"/>
      <c r="E205" s="126"/>
      <c r="F205" s="127"/>
      <c r="G205" s="117"/>
      <c r="H205" s="107"/>
      <c r="I205" s="108"/>
      <c r="J205" s="110"/>
      <c r="K205" s="118"/>
      <c r="L205" s="119"/>
      <c r="M205" s="120"/>
      <c r="N205" s="108"/>
      <c r="O205" s="121"/>
      <c r="P205" s="121"/>
      <c r="Q205" s="113" t="str">
        <f t="shared" si="12"/>
        <v/>
      </c>
      <c r="R205" s="113" t="str">
        <f t="shared" si="13"/>
        <v/>
      </c>
      <c r="S205" s="113" t="str">
        <f t="shared" si="14"/>
        <v/>
      </c>
      <c r="T205" s="113" t="str">
        <f t="shared" si="15"/>
        <v/>
      </c>
      <c r="U205" s="113" t="str">
        <f t="shared" si="16"/>
        <v/>
      </c>
      <c r="V205" s="113" t="str">
        <f t="shared" si="17"/>
        <v/>
      </c>
      <c r="W205" s="114"/>
    </row>
    <row r="206" spans="1:23">
      <c r="A206" s="101"/>
      <c r="B206" s="130"/>
      <c r="C206" s="116"/>
      <c r="D206" s="126"/>
      <c r="E206" s="126"/>
      <c r="F206" s="127"/>
      <c r="G206" s="117"/>
      <c r="H206" s="107"/>
      <c r="I206" s="108"/>
      <c r="J206" s="110"/>
      <c r="K206" s="118"/>
      <c r="L206" s="119"/>
      <c r="M206" s="120"/>
      <c r="N206" s="108"/>
      <c r="O206" s="121"/>
      <c r="P206" s="121"/>
      <c r="Q206" s="113" t="str">
        <f t="shared" si="12"/>
        <v/>
      </c>
      <c r="R206" s="113" t="str">
        <f t="shared" si="13"/>
        <v/>
      </c>
      <c r="S206" s="113" t="str">
        <f t="shared" si="14"/>
        <v/>
      </c>
      <c r="T206" s="113" t="str">
        <f t="shared" si="15"/>
        <v/>
      </c>
      <c r="U206" s="113" t="str">
        <f t="shared" si="16"/>
        <v/>
      </c>
      <c r="V206" s="113" t="str">
        <f t="shared" si="17"/>
        <v/>
      </c>
      <c r="W206" s="114"/>
    </row>
    <row r="207" spans="1:23" ht="15" customHeight="1">
      <c r="A207" s="101">
        <v>13</v>
      </c>
      <c r="B207" s="130" t="s">
        <v>432</v>
      </c>
      <c r="C207" s="131"/>
      <c r="D207" s="537">
        <f>1+0.6+1</f>
        <v>2.6</v>
      </c>
      <c r="E207" s="537"/>
      <c r="F207" s="127"/>
      <c r="G207" s="117">
        <v>0.25</v>
      </c>
      <c r="H207" s="107">
        <v>20</v>
      </c>
      <c r="I207" s="108">
        <v>1</v>
      </c>
      <c r="J207" s="110">
        <f>ROUND(2.25/G207+1,0)</f>
        <v>10</v>
      </c>
      <c r="K207" s="118">
        <f>D207</f>
        <v>2.6</v>
      </c>
      <c r="L207" s="119" t="str">
        <f>IF(O207&lt;12,"0",0.049*H207)</f>
        <v>0</v>
      </c>
      <c r="M207" s="120">
        <v>0</v>
      </c>
      <c r="N207" s="108">
        <f>M207*2*H207/1000</f>
        <v>0</v>
      </c>
      <c r="O207" s="121">
        <f>(D207)-N207</f>
        <v>2.6</v>
      </c>
      <c r="P207" s="121">
        <f>(I207*J207*O207)+L207</f>
        <v>26</v>
      </c>
      <c r="Q207" s="113" t="str">
        <f t="shared" si="12"/>
        <v/>
      </c>
      <c r="R207" s="113" t="str">
        <f t="shared" si="13"/>
        <v/>
      </c>
      <c r="S207" s="113" t="str">
        <f t="shared" si="14"/>
        <v/>
      </c>
      <c r="T207" s="113" t="str">
        <f t="shared" si="15"/>
        <v/>
      </c>
      <c r="U207" s="113">
        <f t="shared" si="16"/>
        <v>26</v>
      </c>
      <c r="V207" s="113" t="str">
        <f t="shared" si="17"/>
        <v/>
      </c>
      <c r="W207" s="114"/>
    </row>
    <row r="208" spans="1:23">
      <c r="A208" s="101"/>
      <c r="B208" s="130" t="s">
        <v>279</v>
      </c>
      <c r="C208" s="116"/>
      <c r="D208" s="126"/>
      <c r="E208" s="126"/>
      <c r="F208" s="127"/>
      <c r="G208" s="117"/>
      <c r="H208" s="107"/>
      <c r="I208" s="108"/>
      <c r="J208" s="110"/>
      <c r="K208" s="118"/>
      <c r="L208" s="119"/>
      <c r="M208" s="120"/>
      <c r="N208" s="108"/>
      <c r="O208" s="121"/>
      <c r="P208" s="121"/>
      <c r="Q208" s="113" t="str">
        <f t="shared" si="12"/>
        <v/>
      </c>
      <c r="R208" s="113" t="str">
        <f t="shared" si="13"/>
        <v/>
      </c>
      <c r="S208" s="113" t="str">
        <f t="shared" si="14"/>
        <v/>
      </c>
      <c r="T208" s="113" t="str">
        <f t="shared" si="15"/>
        <v/>
      </c>
      <c r="U208" s="113" t="str">
        <f t="shared" si="16"/>
        <v/>
      </c>
      <c r="V208" s="113" t="str">
        <f t="shared" si="17"/>
        <v/>
      </c>
      <c r="W208" s="114"/>
    </row>
    <row r="209" spans="1:23">
      <c r="A209" s="101"/>
      <c r="B209" s="130"/>
      <c r="C209" s="116"/>
      <c r="D209" s="126"/>
      <c r="E209" s="126"/>
      <c r="F209" s="127"/>
      <c r="G209" s="117"/>
      <c r="H209" s="107"/>
      <c r="I209" s="108"/>
      <c r="J209" s="110"/>
      <c r="K209" s="118"/>
      <c r="L209" s="119"/>
      <c r="M209" s="120"/>
      <c r="N209" s="108"/>
      <c r="O209" s="121"/>
      <c r="P209" s="121"/>
      <c r="Q209" s="113" t="str">
        <f t="shared" si="12"/>
        <v/>
      </c>
      <c r="R209" s="113" t="str">
        <f t="shared" si="13"/>
        <v/>
      </c>
      <c r="S209" s="113" t="str">
        <f t="shared" si="14"/>
        <v/>
      </c>
      <c r="T209" s="113" t="str">
        <f t="shared" si="15"/>
        <v/>
      </c>
      <c r="U209" s="113" t="str">
        <f t="shared" si="16"/>
        <v/>
      </c>
      <c r="V209" s="113" t="str">
        <f t="shared" si="17"/>
        <v/>
      </c>
      <c r="W209" s="114"/>
    </row>
    <row r="210" spans="1:23" ht="15" customHeight="1">
      <c r="A210" s="101">
        <v>14</v>
      </c>
      <c r="B210" s="130" t="s">
        <v>431</v>
      </c>
      <c r="C210" s="131"/>
      <c r="D210" s="537">
        <f>0.75-0.05+0.3+1.25</f>
        <v>2.25</v>
      </c>
      <c r="E210" s="537"/>
      <c r="F210" s="127"/>
      <c r="G210" s="117">
        <v>0.25</v>
      </c>
      <c r="H210" s="107">
        <v>25</v>
      </c>
      <c r="I210" s="108">
        <v>1</v>
      </c>
      <c r="J210" s="110">
        <f>ROUND(3.1/G210+1,0)</f>
        <v>13</v>
      </c>
      <c r="K210" s="118">
        <f>D210</f>
        <v>2.25</v>
      </c>
      <c r="L210" s="119" t="str">
        <f>IF(O210&lt;12,"0",0.049*H210)</f>
        <v>0</v>
      </c>
      <c r="M210" s="120">
        <v>0</v>
      </c>
      <c r="N210" s="108">
        <f>M210*2*H210/1000</f>
        <v>0</v>
      </c>
      <c r="O210" s="121">
        <f>(D210)-N210</f>
        <v>2.25</v>
      </c>
      <c r="P210" s="121">
        <f>(I210*J210*O210)+L210</f>
        <v>29.25</v>
      </c>
      <c r="Q210" s="113" t="str">
        <f t="shared" si="12"/>
        <v/>
      </c>
      <c r="R210" s="113" t="str">
        <f t="shared" si="13"/>
        <v/>
      </c>
      <c r="S210" s="113" t="str">
        <f t="shared" si="14"/>
        <v/>
      </c>
      <c r="T210" s="113" t="str">
        <f t="shared" si="15"/>
        <v/>
      </c>
      <c r="U210" s="113" t="str">
        <f t="shared" si="16"/>
        <v/>
      </c>
      <c r="V210" s="113">
        <f t="shared" si="17"/>
        <v>29.25</v>
      </c>
      <c r="W210" s="114"/>
    </row>
    <row r="211" spans="1:23">
      <c r="A211" s="101"/>
      <c r="B211" s="130" t="s">
        <v>280</v>
      </c>
      <c r="C211" s="116"/>
      <c r="D211" s="126"/>
      <c r="E211" s="126"/>
      <c r="F211" s="127"/>
      <c r="G211" s="117"/>
      <c r="H211" s="107"/>
      <c r="I211" s="108"/>
      <c r="J211" s="110"/>
      <c r="K211" s="118"/>
      <c r="L211" s="119"/>
      <c r="M211" s="120"/>
      <c r="N211" s="108"/>
      <c r="O211" s="121"/>
      <c r="P211" s="121"/>
      <c r="Q211" s="113" t="str">
        <f t="shared" si="12"/>
        <v/>
      </c>
      <c r="R211" s="113" t="str">
        <f t="shared" si="13"/>
        <v/>
      </c>
      <c r="S211" s="113" t="str">
        <f t="shared" si="14"/>
        <v/>
      </c>
      <c r="T211" s="113" t="str">
        <f t="shared" si="15"/>
        <v/>
      </c>
      <c r="U211" s="113" t="str">
        <f t="shared" si="16"/>
        <v/>
      </c>
      <c r="V211" s="113" t="str">
        <f t="shared" si="17"/>
        <v/>
      </c>
      <c r="W211" s="114"/>
    </row>
    <row r="212" spans="1:23">
      <c r="A212" s="101"/>
      <c r="B212" s="130"/>
      <c r="C212" s="116"/>
      <c r="D212" s="126"/>
      <c r="E212" s="126"/>
      <c r="F212" s="127"/>
      <c r="G212" s="117"/>
      <c r="H212" s="107"/>
      <c r="I212" s="108"/>
      <c r="J212" s="110"/>
      <c r="K212" s="118"/>
      <c r="L212" s="119"/>
      <c r="M212" s="120"/>
      <c r="N212" s="108"/>
      <c r="O212" s="121"/>
      <c r="P212" s="121"/>
      <c r="Q212" s="113" t="str">
        <f t="shared" si="12"/>
        <v/>
      </c>
      <c r="R212" s="113" t="str">
        <f t="shared" si="13"/>
        <v/>
      </c>
      <c r="S212" s="113" t="str">
        <f t="shared" si="14"/>
        <v/>
      </c>
      <c r="T212" s="113" t="str">
        <f t="shared" si="15"/>
        <v/>
      </c>
      <c r="U212" s="113" t="str">
        <f t="shared" si="16"/>
        <v/>
      </c>
      <c r="V212" s="113" t="str">
        <f t="shared" si="17"/>
        <v/>
      </c>
      <c r="W212" s="114"/>
    </row>
    <row r="213" spans="1:23" ht="15" customHeight="1">
      <c r="A213" s="101">
        <v>15</v>
      </c>
      <c r="B213" s="130" t="s">
        <v>432</v>
      </c>
      <c r="C213" s="131"/>
      <c r="D213" s="537">
        <f>1.25+0.6+1.25</f>
        <v>3.1</v>
      </c>
      <c r="E213" s="537"/>
      <c r="F213" s="127"/>
      <c r="G213" s="117">
        <v>0.25</v>
      </c>
      <c r="H213" s="107">
        <v>25</v>
      </c>
      <c r="I213" s="108">
        <v>1</v>
      </c>
      <c r="J213" s="110">
        <f>ROUND(2.25/G213+1,0)</f>
        <v>10</v>
      </c>
      <c r="K213" s="118">
        <f>D213</f>
        <v>3.1</v>
      </c>
      <c r="L213" s="119" t="str">
        <f>IF(O213&lt;12,"0",0.049*H213)</f>
        <v>0</v>
      </c>
      <c r="M213" s="120">
        <v>0</v>
      </c>
      <c r="N213" s="108">
        <f>M213*2*H213/1000</f>
        <v>0</v>
      </c>
      <c r="O213" s="121">
        <f>(D213)-N213</f>
        <v>3.1</v>
      </c>
      <c r="P213" s="121">
        <f>(I213*J213*O213)+L213</f>
        <v>31</v>
      </c>
      <c r="Q213" s="113" t="str">
        <f t="shared" si="12"/>
        <v/>
      </c>
      <c r="R213" s="113" t="str">
        <f t="shared" si="13"/>
        <v/>
      </c>
      <c r="S213" s="113" t="str">
        <f t="shared" si="14"/>
        <v/>
      </c>
      <c r="T213" s="113" t="str">
        <f t="shared" si="15"/>
        <v/>
      </c>
      <c r="U213" s="113" t="str">
        <f t="shared" si="16"/>
        <v/>
      </c>
      <c r="V213" s="113">
        <f t="shared" si="17"/>
        <v>31</v>
      </c>
      <c r="W213" s="114"/>
    </row>
    <row r="214" spans="1:23">
      <c r="A214" s="101"/>
      <c r="B214" s="130" t="s">
        <v>280</v>
      </c>
      <c r="C214" s="116"/>
      <c r="D214" s="126"/>
      <c r="E214" s="126"/>
      <c r="F214" s="127"/>
      <c r="G214" s="117"/>
      <c r="H214" s="107"/>
      <c r="I214" s="108"/>
      <c r="J214" s="110"/>
      <c r="K214" s="118"/>
      <c r="L214" s="119"/>
      <c r="M214" s="120"/>
      <c r="N214" s="108"/>
      <c r="O214" s="121"/>
      <c r="P214" s="121"/>
      <c r="Q214" s="113" t="str">
        <f t="shared" si="12"/>
        <v/>
      </c>
      <c r="R214" s="113" t="str">
        <f t="shared" si="13"/>
        <v/>
      </c>
      <c r="S214" s="113" t="str">
        <f t="shared" si="14"/>
        <v/>
      </c>
      <c r="T214" s="113" t="str">
        <f t="shared" si="15"/>
        <v/>
      </c>
      <c r="U214" s="113" t="str">
        <f t="shared" si="16"/>
        <v/>
      </c>
      <c r="V214" s="113" t="str">
        <f t="shared" si="17"/>
        <v/>
      </c>
      <c r="W214" s="114"/>
    </row>
    <row r="215" spans="1:23">
      <c r="A215" s="101"/>
      <c r="B215" s="130"/>
      <c r="C215" s="116"/>
      <c r="D215" s="126"/>
      <c r="E215" s="126"/>
      <c r="F215" s="127"/>
      <c r="G215" s="117"/>
      <c r="H215" s="107"/>
      <c r="I215" s="108"/>
      <c r="J215" s="110"/>
      <c r="K215" s="118"/>
      <c r="L215" s="119"/>
      <c r="M215" s="120"/>
      <c r="N215" s="108"/>
      <c r="O215" s="121"/>
      <c r="P215" s="121"/>
      <c r="Q215" s="113" t="str">
        <f t="shared" si="12"/>
        <v/>
      </c>
      <c r="R215" s="113" t="str">
        <f t="shared" si="13"/>
        <v/>
      </c>
      <c r="S215" s="113" t="str">
        <f t="shared" si="14"/>
        <v/>
      </c>
      <c r="T215" s="113" t="str">
        <f t="shared" si="15"/>
        <v/>
      </c>
      <c r="U215" s="113" t="str">
        <f t="shared" si="16"/>
        <v/>
      </c>
      <c r="V215" s="113" t="str">
        <f t="shared" si="17"/>
        <v/>
      </c>
      <c r="W215" s="114"/>
    </row>
    <row r="216" spans="1:23" ht="15" customHeight="1">
      <c r="A216" s="101">
        <v>16</v>
      </c>
      <c r="B216" s="130" t="s">
        <v>431</v>
      </c>
      <c r="C216" s="131"/>
      <c r="D216" s="537">
        <f>1+0.3+1</f>
        <v>2.2999999999999998</v>
      </c>
      <c r="E216" s="537"/>
      <c r="F216" s="127"/>
      <c r="G216" s="117">
        <v>0.25</v>
      </c>
      <c r="H216" s="107">
        <v>20</v>
      </c>
      <c r="I216" s="108">
        <v>1</v>
      </c>
      <c r="J216" s="110">
        <f>ROUND(1.9/G216+1,0)</f>
        <v>9</v>
      </c>
      <c r="K216" s="118">
        <f>D216</f>
        <v>2.2999999999999998</v>
      </c>
      <c r="L216" s="119" t="str">
        <f>IF(O216&lt;12,"0",0.049*H216)</f>
        <v>0</v>
      </c>
      <c r="M216" s="120">
        <v>0</v>
      </c>
      <c r="N216" s="108">
        <f>M216*2*H216/1000</f>
        <v>0</v>
      </c>
      <c r="O216" s="121">
        <f>(D216)-N216</f>
        <v>2.2999999999999998</v>
      </c>
      <c r="P216" s="121">
        <f>(I216*J216*O216)+L216</f>
        <v>20.7</v>
      </c>
      <c r="Q216" s="113" t="str">
        <f t="shared" si="12"/>
        <v/>
      </c>
      <c r="R216" s="113" t="str">
        <f t="shared" si="13"/>
        <v/>
      </c>
      <c r="S216" s="113" t="str">
        <f t="shared" si="14"/>
        <v/>
      </c>
      <c r="T216" s="113" t="str">
        <f t="shared" si="15"/>
        <v/>
      </c>
      <c r="U216" s="113">
        <f t="shared" si="16"/>
        <v>20.7</v>
      </c>
      <c r="V216" s="113" t="str">
        <f t="shared" si="17"/>
        <v/>
      </c>
      <c r="W216" s="114"/>
    </row>
    <row r="217" spans="1:23">
      <c r="A217" s="101"/>
      <c r="B217" s="130" t="s">
        <v>281</v>
      </c>
      <c r="C217" s="116"/>
      <c r="D217" s="126"/>
      <c r="E217" s="126"/>
      <c r="F217" s="127"/>
      <c r="G217" s="117"/>
      <c r="H217" s="107"/>
      <c r="I217" s="108"/>
      <c r="J217" s="110"/>
      <c r="K217" s="118"/>
      <c r="L217" s="119"/>
      <c r="M217" s="120"/>
      <c r="N217" s="108"/>
      <c r="O217" s="121"/>
      <c r="P217" s="121"/>
      <c r="Q217" s="113" t="str">
        <f t="shared" si="12"/>
        <v/>
      </c>
      <c r="R217" s="113" t="str">
        <f t="shared" si="13"/>
        <v/>
      </c>
      <c r="S217" s="113" t="str">
        <f t="shared" si="14"/>
        <v/>
      </c>
      <c r="T217" s="113" t="str">
        <f t="shared" si="15"/>
        <v/>
      </c>
      <c r="U217" s="113" t="str">
        <f t="shared" si="16"/>
        <v/>
      </c>
      <c r="V217" s="113" t="str">
        <f t="shared" si="17"/>
        <v/>
      </c>
      <c r="W217" s="114"/>
    </row>
    <row r="218" spans="1:23">
      <c r="A218" s="101"/>
      <c r="B218" s="130"/>
      <c r="C218" s="116"/>
      <c r="D218" s="126"/>
      <c r="E218" s="126"/>
      <c r="F218" s="127"/>
      <c r="G218" s="117"/>
      <c r="H218" s="107"/>
      <c r="I218" s="108"/>
      <c r="J218" s="110"/>
      <c r="K218" s="118"/>
      <c r="L218" s="119"/>
      <c r="M218" s="120"/>
      <c r="N218" s="108"/>
      <c r="O218" s="121"/>
      <c r="P218" s="121"/>
      <c r="Q218" s="113" t="str">
        <f t="shared" si="12"/>
        <v/>
      </c>
      <c r="R218" s="113" t="str">
        <f t="shared" si="13"/>
        <v/>
      </c>
      <c r="S218" s="113" t="str">
        <f t="shared" si="14"/>
        <v/>
      </c>
      <c r="T218" s="113" t="str">
        <f t="shared" si="15"/>
        <v/>
      </c>
      <c r="U218" s="113" t="str">
        <f t="shared" si="16"/>
        <v/>
      </c>
      <c r="V218" s="113" t="str">
        <f t="shared" si="17"/>
        <v/>
      </c>
      <c r="W218" s="114"/>
    </row>
    <row r="219" spans="1:23" ht="15" customHeight="1">
      <c r="A219" s="101">
        <v>17</v>
      </c>
      <c r="B219" s="130" t="s">
        <v>432</v>
      </c>
      <c r="C219" s="131"/>
      <c r="D219" s="537">
        <f>0.75-0.05+0.6+0.6</f>
        <v>1.9</v>
      </c>
      <c r="E219" s="537"/>
      <c r="F219" s="127"/>
      <c r="G219" s="117">
        <v>0.25</v>
      </c>
      <c r="H219" s="107">
        <v>12</v>
      </c>
      <c r="I219" s="108">
        <v>1</v>
      </c>
      <c r="J219" s="110">
        <f>ROUND(2.3/G219+1,0)</f>
        <v>10</v>
      </c>
      <c r="K219" s="118">
        <f>D219</f>
        <v>1.9</v>
      </c>
      <c r="L219" s="119" t="str">
        <f>IF(O219&lt;12,"0",0.049*H219)</f>
        <v>0</v>
      </c>
      <c r="M219" s="120">
        <v>0</v>
      </c>
      <c r="N219" s="108">
        <f>M219*2*H219/1000</f>
        <v>0</v>
      </c>
      <c r="O219" s="121">
        <f>(D219)-N219</f>
        <v>1.9</v>
      </c>
      <c r="P219" s="121">
        <f>(I219*J219*O219)+L219</f>
        <v>19</v>
      </c>
      <c r="Q219" s="113" t="str">
        <f t="shared" si="12"/>
        <v/>
      </c>
      <c r="R219" s="113" t="str">
        <f t="shared" si="13"/>
        <v/>
      </c>
      <c r="S219" s="113">
        <f t="shared" si="14"/>
        <v>19</v>
      </c>
      <c r="T219" s="113" t="str">
        <f t="shared" si="15"/>
        <v/>
      </c>
      <c r="U219" s="113" t="str">
        <f t="shared" si="16"/>
        <v/>
      </c>
      <c r="V219" s="113" t="str">
        <f t="shared" si="17"/>
        <v/>
      </c>
      <c r="W219" s="114"/>
    </row>
    <row r="220" spans="1:23">
      <c r="A220" s="101"/>
      <c r="B220" s="130" t="s">
        <v>281</v>
      </c>
      <c r="C220" s="116"/>
      <c r="D220" s="126"/>
      <c r="E220" s="126"/>
      <c r="F220" s="127"/>
      <c r="G220" s="117"/>
      <c r="H220" s="107"/>
      <c r="I220" s="108"/>
      <c r="J220" s="110"/>
      <c r="K220" s="118"/>
      <c r="L220" s="119"/>
      <c r="M220" s="120"/>
      <c r="N220" s="108"/>
      <c r="O220" s="121"/>
      <c r="P220" s="121"/>
      <c r="Q220" s="113" t="str">
        <f t="shared" si="12"/>
        <v/>
      </c>
      <c r="R220" s="113" t="str">
        <f t="shared" si="13"/>
        <v/>
      </c>
      <c r="S220" s="113" t="str">
        <f t="shared" si="14"/>
        <v/>
      </c>
      <c r="T220" s="113" t="str">
        <f t="shared" si="15"/>
        <v/>
      </c>
      <c r="U220" s="113" t="str">
        <f t="shared" si="16"/>
        <v/>
      </c>
      <c r="V220" s="113" t="str">
        <f t="shared" si="17"/>
        <v/>
      </c>
      <c r="W220" s="114"/>
    </row>
    <row r="221" spans="1:23">
      <c r="A221" s="101"/>
      <c r="B221" s="130"/>
      <c r="C221" s="116"/>
      <c r="D221" s="126"/>
      <c r="E221" s="126"/>
      <c r="F221" s="127"/>
      <c r="G221" s="117"/>
      <c r="H221" s="107"/>
      <c r="I221" s="108"/>
      <c r="J221" s="110"/>
      <c r="K221" s="118"/>
      <c r="L221" s="119"/>
      <c r="M221" s="120"/>
      <c r="N221" s="108"/>
      <c r="O221" s="121"/>
      <c r="P221" s="121"/>
      <c r="Q221" s="113" t="str">
        <f t="shared" si="12"/>
        <v/>
      </c>
      <c r="R221" s="113" t="str">
        <f t="shared" si="13"/>
        <v/>
      </c>
      <c r="S221" s="113" t="str">
        <f t="shared" si="14"/>
        <v/>
      </c>
      <c r="T221" s="113" t="str">
        <f t="shared" si="15"/>
        <v/>
      </c>
      <c r="U221" s="113" t="str">
        <f t="shared" si="16"/>
        <v/>
      </c>
      <c r="V221" s="113" t="str">
        <f t="shared" si="17"/>
        <v/>
      </c>
      <c r="W221" s="114"/>
    </row>
    <row r="222" spans="1:23" ht="15" customHeight="1">
      <c r="A222" s="101">
        <v>18</v>
      </c>
      <c r="B222" s="130" t="s">
        <v>431</v>
      </c>
      <c r="C222" s="131"/>
      <c r="D222" s="537">
        <f>1+0.6+1</f>
        <v>2.6</v>
      </c>
      <c r="E222" s="537"/>
      <c r="F222" s="127"/>
      <c r="G222" s="117">
        <v>0.25</v>
      </c>
      <c r="H222" s="107">
        <v>20</v>
      </c>
      <c r="I222" s="108">
        <v>1</v>
      </c>
      <c r="J222" s="110">
        <f>ROUND(2.3/G222+1,0)</f>
        <v>10</v>
      </c>
      <c r="K222" s="118">
        <f>D222</f>
        <v>2.6</v>
      </c>
      <c r="L222" s="119" t="str">
        <f>IF(O222&lt;12,"0",0.049*H222)</f>
        <v>0</v>
      </c>
      <c r="M222" s="120">
        <v>0</v>
      </c>
      <c r="N222" s="108">
        <f>M222*2*H222/1000</f>
        <v>0</v>
      </c>
      <c r="O222" s="121">
        <f>(D222)-N222</f>
        <v>2.6</v>
      </c>
      <c r="P222" s="121">
        <f>(I222*J222*O222)+L222</f>
        <v>26</v>
      </c>
      <c r="Q222" s="113" t="str">
        <f t="shared" si="12"/>
        <v/>
      </c>
      <c r="R222" s="113" t="str">
        <f t="shared" si="13"/>
        <v/>
      </c>
      <c r="S222" s="113" t="str">
        <f t="shared" si="14"/>
        <v/>
      </c>
      <c r="T222" s="113" t="str">
        <f t="shared" si="15"/>
        <v/>
      </c>
      <c r="U222" s="113">
        <f t="shared" si="16"/>
        <v>26</v>
      </c>
      <c r="V222" s="113" t="str">
        <f t="shared" si="17"/>
        <v/>
      </c>
      <c r="W222" s="114"/>
    </row>
    <row r="223" spans="1:23">
      <c r="A223" s="101"/>
      <c r="B223" s="130" t="s">
        <v>282</v>
      </c>
      <c r="C223" s="116"/>
      <c r="D223" s="126"/>
      <c r="E223" s="126"/>
      <c r="F223" s="127"/>
      <c r="G223" s="117"/>
      <c r="H223" s="107"/>
      <c r="I223" s="108"/>
      <c r="J223" s="110"/>
      <c r="K223" s="118"/>
      <c r="L223" s="119"/>
      <c r="M223" s="120"/>
      <c r="N223" s="108"/>
      <c r="O223" s="121"/>
      <c r="P223" s="121"/>
      <c r="Q223" s="113" t="str">
        <f t="shared" si="12"/>
        <v/>
      </c>
      <c r="R223" s="113" t="str">
        <f t="shared" si="13"/>
        <v/>
      </c>
      <c r="S223" s="113" t="str">
        <f t="shared" si="14"/>
        <v/>
      </c>
      <c r="T223" s="113" t="str">
        <f t="shared" si="15"/>
        <v/>
      </c>
      <c r="U223" s="113" t="str">
        <f t="shared" si="16"/>
        <v/>
      </c>
      <c r="V223" s="113" t="str">
        <f t="shared" si="17"/>
        <v/>
      </c>
      <c r="W223" s="114"/>
    </row>
    <row r="224" spans="1:23">
      <c r="A224" s="101"/>
      <c r="B224" s="130"/>
      <c r="C224" s="116"/>
      <c r="D224" s="126"/>
      <c r="E224" s="126"/>
      <c r="F224" s="127"/>
      <c r="G224" s="117"/>
      <c r="H224" s="107"/>
      <c r="I224" s="108"/>
      <c r="J224" s="110"/>
      <c r="K224" s="118"/>
      <c r="L224" s="119"/>
      <c r="M224" s="120"/>
      <c r="N224" s="108"/>
      <c r="O224" s="121"/>
      <c r="P224" s="121"/>
      <c r="Q224" s="113" t="str">
        <f t="shared" si="12"/>
        <v/>
      </c>
      <c r="R224" s="113" t="str">
        <f t="shared" si="13"/>
        <v/>
      </c>
      <c r="S224" s="113" t="str">
        <f t="shared" si="14"/>
        <v/>
      </c>
      <c r="T224" s="113" t="str">
        <f t="shared" si="15"/>
        <v/>
      </c>
      <c r="U224" s="113" t="str">
        <f t="shared" si="16"/>
        <v/>
      </c>
      <c r="V224" s="113" t="str">
        <f t="shared" si="17"/>
        <v/>
      </c>
      <c r="W224" s="114"/>
    </row>
    <row r="225" spans="1:23" ht="15" customHeight="1">
      <c r="A225" s="101">
        <v>19</v>
      </c>
      <c r="B225" s="130" t="s">
        <v>432</v>
      </c>
      <c r="C225" s="131"/>
      <c r="D225" s="537">
        <f>1+0.3+1</f>
        <v>2.2999999999999998</v>
      </c>
      <c r="E225" s="537"/>
      <c r="F225" s="127"/>
      <c r="G225" s="117">
        <v>0.25</v>
      </c>
      <c r="H225" s="107">
        <v>20</v>
      </c>
      <c r="I225" s="108">
        <v>1</v>
      </c>
      <c r="J225" s="110">
        <f>ROUND(2.6/G225+1,0)</f>
        <v>11</v>
      </c>
      <c r="K225" s="118">
        <f>D225</f>
        <v>2.2999999999999998</v>
      </c>
      <c r="L225" s="119" t="str">
        <f>IF(O225&lt;12,"0",0.049*H225)</f>
        <v>0</v>
      </c>
      <c r="M225" s="120">
        <v>0</v>
      </c>
      <c r="N225" s="108">
        <f>M225*2*H225/1000</f>
        <v>0</v>
      </c>
      <c r="O225" s="121">
        <f>(D225)-N225</f>
        <v>2.2999999999999998</v>
      </c>
      <c r="P225" s="121">
        <f>(I225*J225*O225)+L225</f>
        <v>25.299999999999997</v>
      </c>
      <c r="Q225" s="113" t="str">
        <f t="shared" si="12"/>
        <v/>
      </c>
      <c r="R225" s="113" t="str">
        <f t="shared" si="13"/>
        <v/>
      </c>
      <c r="S225" s="113" t="str">
        <f t="shared" si="14"/>
        <v/>
      </c>
      <c r="T225" s="113" t="str">
        <f t="shared" si="15"/>
        <v/>
      </c>
      <c r="U225" s="113">
        <f t="shared" si="16"/>
        <v>25.299999999999997</v>
      </c>
      <c r="V225" s="113" t="str">
        <f t="shared" si="17"/>
        <v/>
      </c>
      <c r="W225" s="114"/>
    </row>
    <row r="226" spans="1:23">
      <c r="A226" s="101"/>
      <c r="B226" s="130" t="s">
        <v>282</v>
      </c>
      <c r="C226" s="116"/>
      <c r="D226" s="126"/>
      <c r="E226" s="126"/>
      <c r="F226" s="127"/>
      <c r="G226" s="117"/>
      <c r="H226" s="107"/>
      <c r="I226" s="108"/>
      <c r="J226" s="110"/>
      <c r="K226" s="118"/>
      <c r="L226" s="119"/>
      <c r="M226" s="120"/>
      <c r="N226" s="108"/>
      <c r="O226" s="121"/>
      <c r="P226" s="121"/>
      <c r="Q226" s="113" t="str">
        <f t="shared" si="12"/>
        <v/>
      </c>
      <c r="R226" s="113" t="str">
        <f t="shared" si="13"/>
        <v/>
      </c>
      <c r="S226" s="113" t="str">
        <f t="shared" si="14"/>
        <v/>
      </c>
      <c r="T226" s="113" t="str">
        <f t="shared" si="15"/>
        <v/>
      </c>
      <c r="U226" s="113" t="str">
        <f t="shared" si="16"/>
        <v/>
      </c>
      <c r="V226" s="113" t="str">
        <f t="shared" si="17"/>
        <v/>
      </c>
      <c r="W226" s="114"/>
    </row>
    <row r="227" spans="1:23">
      <c r="A227" s="101"/>
      <c r="B227" s="130"/>
      <c r="C227" s="116"/>
      <c r="D227" s="126"/>
      <c r="E227" s="126"/>
      <c r="F227" s="127"/>
      <c r="G227" s="117"/>
      <c r="H227" s="107"/>
      <c r="I227" s="108"/>
      <c r="J227" s="110"/>
      <c r="K227" s="118"/>
      <c r="L227" s="119"/>
      <c r="M227" s="120"/>
      <c r="N227" s="108"/>
      <c r="O227" s="121"/>
      <c r="P227" s="121"/>
      <c r="Q227" s="113" t="str">
        <f t="shared" si="12"/>
        <v/>
      </c>
      <c r="R227" s="113" t="str">
        <f t="shared" si="13"/>
        <v/>
      </c>
      <c r="S227" s="113" t="str">
        <f t="shared" si="14"/>
        <v/>
      </c>
      <c r="T227" s="113" t="str">
        <f t="shared" si="15"/>
        <v/>
      </c>
      <c r="U227" s="113" t="str">
        <f t="shared" si="16"/>
        <v/>
      </c>
      <c r="V227" s="113" t="str">
        <f t="shared" si="17"/>
        <v/>
      </c>
      <c r="W227" s="114"/>
    </row>
    <row r="228" spans="1:23" ht="15" customHeight="1">
      <c r="A228" s="101">
        <v>20</v>
      </c>
      <c r="B228" s="130" t="s">
        <v>431</v>
      </c>
      <c r="C228" s="131"/>
      <c r="D228" s="537">
        <f>1+0.3+1</f>
        <v>2.2999999999999998</v>
      </c>
      <c r="E228" s="537"/>
      <c r="F228" s="127"/>
      <c r="G228" s="117">
        <v>0.25</v>
      </c>
      <c r="H228" s="107">
        <v>20</v>
      </c>
      <c r="I228" s="108">
        <v>1</v>
      </c>
      <c r="J228" s="110">
        <f>ROUND(3.1/G228+1,0)</f>
        <v>13</v>
      </c>
      <c r="K228" s="118">
        <f>D228</f>
        <v>2.2999999999999998</v>
      </c>
      <c r="L228" s="119" t="str">
        <f>IF(O228&lt;12,"0",0.049*H228)</f>
        <v>0</v>
      </c>
      <c r="M228" s="120">
        <v>0</v>
      </c>
      <c r="N228" s="108">
        <f>M228*2*H228/1000</f>
        <v>0</v>
      </c>
      <c r="O228" s="121">
        <f>(D228)-N228</f>
        <v>2.2999999999999998</v>
      </c>
      <c r="P228" s="121">
        <f>(I228*J228*O228)+L228</f>
        <v>29.9</v>
      </c>
      <c r="Q228" s="113" t="str">
        <f t="shared" si="12"/>
        <v/>
      </c>
      <c r="R228" s="113" t="str">
        <f t="shared" si="13"/>
        <v/>
      </c>
      <c r="S228" s="113" t="str">
        <f t="shared" si="14"/>
        <v/>
      </c>
      <c r="T228" s="113" t="str">
        <f t="shared" si="15"/>
        <v/>
      </c>
      <c r="U228" s="113">
        <f t="shared" si="16"/>
        <v>29.9</v>
      </c>
      <c r="V228" s="113" t="str">
        <f t="shared" si="17"/>
        <v/>
      </c>
      <c r="W228" s="114"/>
    </row>
    <row r="229" spans="1:23">
      <c r="A229" s="101"/>
      <c r="B229" s="130" t="s">
        <v>283</v>
      </c>
      <c r="C229" s="116"/>
      <c r="D229" s="126"/>
      <c r="E229" s="126"/>
      <c r="F229" s="127"/>
      <c r="G229" s="117"/>
      <c r="H229" s="107"/>
      <c r="I229" s="108"/>
      <c r="J229" s="110"/>
      <c r="K229" s="118"/>
      <c r="L229" s="119"/>
      <c r="M229" s="120"/>
      <c r="N229" s="108"/>
      <c r="O229" s="121"/>
      <c r="P229" s="121"/>
      <c r="Q229" s="113" t="str">
        <f t="shared" si="12"/>
        <v/>
      </c>
      <c r="R229" s="113" t="str">
        <f t="shared" si="13"/>
        <v/>
      </c>
      <c r="S229" s="113" t="str">
        <f t="shared" si="14"/>
        <v/>
      </c>
      <c r="T229" s="113" t="str">
        <f t="shared" si="15"/>
        <v/>
      </c>
      <c r="U229" s="113" t="str">
        <f t="shared" si="16"/>
        <v/>
      </c>
      <c r="V229" s="113" t="str">
        <f t="shared" si="17"/>
        <v/>
      </c>
      <c r="W229" s="114"/>
    </row>
    <row r="230" spans="1:23">
      <c r="A230" s="101"/>
      <c r="B230" s="130"/>
      <c r="C230" s="116"/>
      <c r="D230" s="126"/>
      <c r="E230" s="126"/>
      <c r="F230" s="127"/>
      <c r="G230" s="117"/>
      <c r="H230" s="107"/>
      <c r="I230" s="108"/>
      <c r="J230" s="110"/>
      <c r="K230" s="118"/>
      <c r="L230" s="119"/>
      <c r="M230" s="120"/>
      <c r="N230" s="108"/>
      <c r="O230" s="121"/>
      <c r="P230" s="121"/>
      <c r="Q230" s="113" t="str">
        <f t="shared" si="12"/>
        <v/>
      </c>
      <c r="R230" s="113" t="str">
        <f t="shared" si="13"/>
        <v/>
      </c>
      <c r="S230" s="113" t="str">
        <f t="shared" si="14"/>
        <v/>
      </c>
      <c r="T230" s="113" t="str">
        <f t="shared" si="15"/>
        <v/>
      </c>
      <c r="U230" s="113" t="str">
        <f t="shared" si="16"/>
        <v/>
      </c>
      <c r="V230" s="113" t="str">
        <f t="shared" si="17"/>
        <v/>
      </c>
      <c r="W230" s="114"/>
    </row>
    <row r="231" spans="1:23" ht="15" customHeight="1">
      <c r="A231" s="101">
        <v>21</v>
      </c>
      <c r="B231" s="130" t="s">
        <v>432</v>
      </c>
      <c r="C231" s="131"/>
      <c r="D231" s="537">
        <f>1.25+0.6+1.25</f>
        <v>3.1</v>
      </c>
      <c r="E231" s="537"/>
      <c r="F231" s="127"/>
      <c r="G231" s="117">
        <v>0.25</v>
      </c>
      <c r="H231" s="107">
        <v>25</v>
      </c>
      <c r="I231" s="108">
        <v>1</v>
      </c>
      <c r="J231" s="110">
        <f>ROUND(2.3/G231+1,0)</f>
        <v>10</v>
      </c>
      <c r="K231" s="118">
        <f>D231</f>
        <v>3.1</v>
      </c>
      <c r="L231" s="119" t="str">
        <f>IF(O231&lt;12,"0",0.049*H231)</f>
        <v>0</v>
      </c>
      <c r="M231" s="120">
        <v>0</v>
      </c>
      <c r="N231" s="108">
        <f>M231*2*H231/1000</f>
        <v>0</v>
      </c>
      <c r="O231" s="121">
        <f>(D231)-N231</f>
        <v>3.1</v>
      </c>
      <c r="P231" s="121">
        <f>(I231*J231*O231)+L231</f>
        <v>31</v>
      </c>
      <c r="Q231" s="113" t="str">
        <f t="shared" si="12"/>
        <v/>
      </c>
      <c r="R231" s="113" t="str">
        <f t="shared" si="13"/>
        <v/>
      </c>
      <c r="S231" s="113" t="str">
        <f t="shared" si="14"/>
        <v/>
      </c>
      <c r="T231" s="113" t="str">
        <f t="shared" si="15"/>
        <v/>
      </c>
      <c r="U231" s="113" t="str">
        <f t="shared" si="16"/>
        <v/>
      </c>
      <c r="V231" s="113">
        <f t="shared" si="17"/>
        <v>31</v>
      </c>
      <c r="W231" s="114"/>
    </row>
    <row r="232" spans="1:23">
      <c r="A232" s="101"/>
      <c r="B232" s="130" t="s">
        <v>283</v>
      </c>
      <c r="C232" s="116"/>
      <c r="D232" s="126"/>
      <c r="E232" s="126"/>
      <c r="F232" s="127"/>
      <c r="G232" s="117"/>
      <c r="H232" s="107"/>
      <c r="I232" s="108"/>
      <c r="J232" s="110"/>
      <c r="K232" s="118"/>
      <c r="L232" s="119"/>
      <c r="M232" s="120"/>
      <c r="N232" s="108"/>
      <c r="O232" s="121"/>
      <c r="P232" s="121"/>
      <c r="Q232" s="113" t="str">
        <f t="shared" si="12"/>
        <v/>
      </c>
      <c r="R232" s="113" t="str">
        <f t="shared" si="13"/>
        <v/>
      </c>
      <c r="S232" s="113" t="str">
        <f t="shared" si="14"/>
        <v/>
      </c>
      <c r="T232" s="113" t="str">
        <f t="shared" si="15"/>
        <v/>
      </c>
      <c r="U232" s="113" t="str">
        <f t="shared" si="16"/>
        <v/>
      </c>
      <c r="V232" s="113" t="str">
        <f t="shared" si="17"/>
        <v/>
      </c>
      <c r="W232" s="114"/>
    </row>
    <row r="233" spans="1:23">
      <c r="A233" s="101"/>
      <c r="B233" s="130"/>
      <c r="C233" s="116"/>
      <c r="D233" s="126"/>
      <c r="E233" s="126"/>
      <c r="F233" s="127"/>
      <c r="G233" s="117"/>
      <c r="H233" s="107"/>
      <c r="I233" s="108"/>
      <c r="J233" s="110"/>
      <c r="K233" s="118"/>
      <c r="L233" s="119"/>
      <c r="M233" s="120"/>
      <c r="N233" s="108"/>
      <c r="O233" s="121"/>
      <c r="P233" s="121"/>
      <c r="Q233" s="113" t="str">
        <f t="shared" si="12"/>
        <v/>
      </c>
      <c r="R233" s="113" t="str">
        <f t="shared" si="13"/>
        <v/>
      </c>
      <c r="S233" s="113" t="str">
        <f t="shared" si="14"/>
        <v/>
      </c>
      <c r="T233" s="113" t="str">
        <f t="shared" si="15"/>
        <v/>
      </c>
      <c r="U233" s="113" t="str">
        <f t="shared" si="16"/>
        <v/>
      </c>
      <c r="V233" s="113" t="str">
        <f t="shared" si="17"/>
        <v/>
      </c>
      <c r="W233" s="114"/>
    </row>
    <row r="234" spans="1:23" ht="15" customHeight="1">
      <c r="A234" s="101">
        <v>22</v>
      </c>
      <c r="B234" s="130" t="s">
        <v>431</v>
      </c>
      <c r="C234" s="131"/>
      <c r="D234" s="537">
        <f>1+0.3+1</f>
        <v>2.2999999999999998</v>
      </c>
      <c r="E234" s="537"/>
      <c r="F234" s="127"/>
      <c r="G234" s="117">
        <v>0.25</v>
      </c>
      <c r="H234" s="107">
        <v>20</v>
      </c>
      <c r="I234" s="108">
        <v>1</v>
      </c>
      <c r="J234" s="110">
        <f>ROUND(3.1/G234+1,0)</f>
        <v>13</v>
      </c>
      <c r="K234" s="118">
        <f>D234</f>
        <v>2.2999999999999998</v>
      </c>
      <c r="L234" s="119" t="str">
        <f>IF(O234&lt;12,"0",0.049*H234)</f>
        <v>0</v>
      </c>
      <c r="M234" s="120">
        <v>0</v>
      </c>
      <c r="N234" s="108">
        <f>M234*2*H234/1000</f>
        <v>0</v>
      </c>
      <c r="O234" s="121">
        <f>(D234)-N234</f>
        <v>2.2999999999999998</v>
      </c>
      <c r="P234" s="121">
        <f>(I234*J234*O234)+L234</f>
        <v>29.9</v>
      </c>
      <c r="Q234" s="113" t="str">
        <f t="shared" si="12"/>
        <v/>
      </c>
      <c r="R234" s="113" t="str">
        <f t="shared" si="13"/>
        <v/>
      </c>
      <c r="S234" s="113" t="str">
        <f t="shared" si="14"/>
        <v/>
      </c>
      <c r="T234" s="113" t="str">
        <f t="shared" si="15"/>
        <v/>
      </c>
      <c r="U234" s="113">
        <f t="shared" si="16"/>
        <v>29.9</v>
      </c>
      <c r="V234" s="113" t="str">
        <f t="shared" si="17"/>
        <v/>
      </c>
      <c r="W234" s="114"/>
    </row>
    <row r="235" spans="1:23">
      <c r="A235" s="101"/>
      <c r="B235" s="130" t="s">
        <v>284</v>
      </c>
      <c r="C235" s="116"/>
      <c r="D235" s="126"/>
      <c r="E235" s="126"/>
      <c r="F235" s="127"/>
      <c r="G235" s="117"/>
      <c r="H235" s="107"/>
      <c r="I235" s="108"/>
      <c r="J235" s="110"/>
      <c r="K235" s="118"/>
      <c r="L235" s="119"/>
      <c r="M235" s="120"/>
      <c r="N235" s="108"/>
      <c r="O235" s="121"/>
      <c r="P235" s="121"/>
      <c r="Q235" s="113" t="str">
        <f t="shared" si="12"/>
        <v/>
      </c>
      <c r="R235" s="113" t="str">
        <f t="shared" si="13"/>
        <v/>
      </c>
      <c r="S235" s="113" t="str">
        <f t="shared" si="14"/>
        <v/>
      </c>
      <c r="T235" s="113" t="str">
        <f t="shared" si="15"/>
        <v/>
      </c>
      <c r="U235" s="113" t="str">
        <f t="shared" si="16"/>
        <v/>
      </c>
      <c r="V235" s="113" t="str">
        <f t="shared" si="17"/>
        <v/>
      </c>
      <c r="W235" s="114"/>
    </row>
    <row r="236" spans="1:23">
      <c r="A236" s="101"/>
      <c r="B236" s="130"/>
      <c r="C236" s="116"/>
      <c r="D236" s="126"/>
      <c r="E236" s="126"/>
      <c r="F236" s="127"/>
      <c r="G236" s="117"/>
      <c r="H236" s="107"/>
      <c r="I236" s="108"/>
      <c r="J236" s="110"/>
      <c r="K236" s="118"/>
      <c r="L236" s="119"/>
      <c r="M236" s="120"/>
      <c r="N236" s="108"/>
      <c r="O236" s="121"/>
      <c r="P236" s="121"/>
      <c r="Q236" s="113" t="str">
        <f t="shared" si="12"/>
        <v/>
      </c>
      <c r="R236" s="113" t="str">
        <f t="shared" si="13"/>
        <v/>
      </c>
      <c r="S236" s="113" t="str">
        <f t="shared" si="14"/>
        <v/>
      </c>
      <c r="T236" s="113" t="str">
        <f t="shared" si="15"/>
        <v/>
      </c>
      <c r="U236" s="113" t="str">
        <f t="shared" si="16"/>
        <v/>
      </c>
      <c r="V236" s="113" t="str">
        <f t="shared" si="17"/>
        <v/>
      </c>
      <c r="W236" s="114"/>
    </row>
    <row r="237" spans="1:23" ht="15" customHeight="1">
      <c r="A237" s="101">
        <v>23</v>
      </c>
      <c r="B237" s="130" t="s">
        <v>432</v>
      </c>
      <c r="C237" s="131"/>
      <c r="D237" s="537">
        <f>1.25+0.6+1.25</f>
        <v>3.1</v>
      </c>
      <c r="E237" s="537"/>
      <c r="F237" s="127"/>
      <c r="G237" s="117">
        <v>0.25</v>
      </c>
      <c r="H237" s="107">
        <v>25</v>
      </c>
      <c r="I237" s="108">
        <v>1</v>
      </c>
      <c r="J237" s="110">
        <f>ROUND(2.3/G237+1,0)</f>
        <v>10</v>
      </c>
      <c r="K237" s="118">
        <f>D237</f>
        <v>3.1</v>
      </c>
      <c r="L237" s="119" t="str">
        <f>IF(O237&lt;12,"0",0.049*H237)</f>
        <v>0</v>
      </c>
      <c r="M237" s="120">
        <v>0</v>
      </c>
      <c r="N237" s="108">
        <f>M237*2*H237/1000</f>
        <v>0</v>
      </c>
      <c r="O237" s="121">
        <f>(D237)-N237</f>
        <v>3.1</v>
      </c>
      <c r="P237" s="121">
        <f>(I237*J237*O237)+L237</f>
        <v>31</v>
      </c>
      <c r="Q237" s="113" t="str">
        <f t="shared" ref="Q237:Q300" si="18">IF($H237=8,$P237,"")</f>
        <v/>
      </c>
      <c r="R237" s="113" t="str">
        <f t="shared" ref="R237:R300" si="19">IF($H237=10,$P237,"")</f>
        <v/>
      </c>
      <c r="S237" s="113" t="str">
        <f t="shared" ref="S237:S300" si="20">IF($H237=12,$P237,"")</f>
        <v/>
      </c>
      <c r="T237" s="113" t="str">
        <f t="shared" ref="T237:T300" si="21">IF($H237=16,$P237,"")</f>
        <v/>
      </c>
      <c r="U237" s="113" t="str">
        <f t="shared" ref="U237:U300" si="22">IF($H237=20,$P237,"")</f>
        <v/>
      </c>
      <c r="V237" s="113">
        <f t="shared" ref="V237:V300" si="23">IF($H237=25,$P237,"")</f>
        <v>31</v>
      </c>
      <c r="W237" s="114"/>
    </row>
    <row r="238" spans="1:23">
      <c r="A238" s="101"/>
      <c r="B238" s="130" t="s">
        <v>284</v>
      </c>
      <c r="C238" s="116"/>
      <c r="D238" s="126"/>
      <c r="E238" s="126"/>
      <c r="F238" s="127"/>
      <c r="G238" s="117"/>
      <c r="H238" s="107"/>
      <c r="I238" s="108"/>
      <c r="J238" s="110"/>
      <c r="K238" s="118"/>
      <c r="L238" s="119"/>
      <c r="M238" s="120"/>
      <c r="N238" s="108"/>
      <c r="O238" s="121"/>
      <c r="P238" s="121"/>
      <c r="Q238" s="113" t="str">
        <f t="shared" si="18"/>
        <v/>
      </c>
      <c r="R238" s="113" t="str">
        <f t="shared" si="19"/>
        <v/>
      </c>
      <c r="S238" s="113" t="str">
        <f t="shared" si="20"/>
        <v/>
      </c>
      <c r="T238" s="113" t="str">
        <f t="shared" si="21"/>
        <v/>
      </c>
      <c r="U238" s="113" t="str">
        <f t="shared" si="22"/>
        <v/>
      </c>
      <c r="V238" s="113" t="str">
        <f t="shared" si="23"/>
        <v/>
      </c>
      <c r="W238" s="114"/>
    </row>
    <row r="239" spans="1:23">
      <c r="A239" s="101"/>
      <c r="B239" s="130"/>
      <c r="C239" s="116"/>
      <c r="D239" s="126"/>
      <c r="E239" s="126"/>
      <c r="F239" s="127"/>
      <c r="G239" s="117"/>
      <c r="H239" s="107"/>
      <c r="I239" s="108"/>
      <c r="J239" s="110"/>
      <c r="K239" s="118"/>
      <c r="L239" s="119"/>
      <c r="M239" s="120"/>
      <c r="N239" s="108"/>
      <c r="O239" s="121"/>
      <c r="P239" s="121"/>
      <c r="Q239" s="113" t="str">
        <f t="shared" si="18"/>
        <v/>
      </c>
      <c r="R239" s="113" t="str">
        <f t="shared" si="19"/>
        <v/>
      </c>
      <c r="S239" s="113" t="str">
        <f t="shared" si="20"/>
        <v/>
      </c>
      <c r="T239" s="113" t="str">
        <f t="shared" si="21"/>
        <v/>
      </c>
      <c r="U239" s="113" t="str">
        <f t="shared" si="22"/>
        <v/>
      </c>
      <c r="V239" s="113" t="str">
        <f t="shared" si="23"/>
        <v/>
      </c>
      <c r="W239" s="114"/>
    </row>
    <row r="240" spans="1:23" ht="15" customHeight="1">
      <c r="A240" s="101">
        <v>24</v>
      </c>
      <c r="B240" s="130" t="s">
        <v>431</v>
      </c>
      <c r="C240" s="131"/>
      <c r="D240" s="537">
        <f>1+0.3+1</f>
        <v>2.2999999999999998</v>
      </c>
      <c r="E240" s="537"/>
      <c r="F240" s="127"/>
      <c r="G240" s="117">
        <v>0.25</v>
      </c>
      <c r="H240" s="107">
        <v>20</v>
      </c>
      <c r="I240" s="108">
        <v>1</v>
      </c>
      <c r="J240" s="110">
        <f>ROUND(2.715/G240+1,0)</f>
        <v>12</v>
      </c>
      <c r="K240" s="118">
        <f>D240</f>
        <v>2.2999999999999998</v>
      </c>
      <c r="L240" s="119" t="str">
        <f>IF(O240&lt;12,"0",0.049*H240)</f>
        <v>0</v>
      </c>
      <c r="M240" s="120">
        <v>0</v>
      </c>
      <c r="N240" s="108">
        <f>M240*2*H240/1000</f>
        <v>0</v>
      </c>
      <c r="O240" s="121">
        <f>(D240)-N240</f>
        <v>2.2999999999999998</v>
      </c>
      <c r="P240" s="121">
        <f>(I240*J240*O240)+L240</f>
        <v>27.599999999999998</v>
      </c>
      <c r="Q240" s="113" t="str">
        <f t="shared" si="18"/>
        <v/>
      </c>
      <c r="R240" s="113" t="str">
        <f t="shared" si="19"/>
        <v/>
      </c>
      <c r="S240" s="113" t="str">
        <f t="shared" si="20"/>
        <v/>
      </c>
      <c r="T240" s="113" t="str">
        <f t="shared" si="21"/>
        <v/>
      </c>
      <c r="U240" s="113">
        <f t="shared" si="22"/>
        <v>27.599999999999998</v>
      </c>
      <c r="V240" s="113" t="str">
        <f t="shared" si="23"/>
        <v/>
      </c>
      <c r="W240" s="114"/>
    </row>
    <row r="241" spans="1:23">
      <c r="A241" s="101"/>
      <c r="B241" s="130" t="s">
        <v>285</v>
      </c>
      <c r="C241" s="116"/>
      <c r="D241" s="126"/>
      <c r="E241" s="126"/>
      <c r="F241" s="127"/>
      <c r="G241" s="117"/>
      <c r="H241" s="107"/>
      <c r="I241" s="108"/>
      <c r="J241" s="110"/>
      <c r="K241" s="118"/>
      <c r="L241" s="119"/>
      <c r="M241" s="120"/>
      <c r="N241" s="108"/>
      <c r="O241" s="121"/>
      <c r="P241" s="121"/>
      <c r="Q241" s="113" t="str">
        <f t="shared" si="18"/>
        <v/>
      </c>
      <c r="R241" s="113" t="str">
        <f t="shared" si="19"/>
        <v/>
      </c>
      <c r="S241" s="113" t="str">
        <f t="shared" si="20"/>
        <v/>
      </c>
      <c r="T241" s="113" t="str">
        <f t="shared" si="21"/>
        <v/>
      </c>
      <c r="U241" s="113" t="str">
        <f t="shared" si="22"/>
        <v/>
      </c>
      <c r="V241" s="113" t="str">
        <f t="shared" si="23"/>
        <v/>
      </c>
      <c r="W241" s="114"/>
    </row>
    <row r="242" spans="1:23">
      <c r="A242" s="101"/>
      <c r="B242" s="130"/>
      <c r="C242" s="116"/>
      <c r="D242" s="126"/>
      <c r="E242" s="126"/>
      <c r="F242" s="127"/>
      <c r="G242" s="117"/>
      <c r="H242" s="107"/>
      <c r="I242" s="108"/>
      <c r="J242" s="110"/>
      <c r="K242" s="118"/>
      <c r="L242" s="119"/>
      <c r="M242" s="120"/>
      <c r="N242" s="108"/>
      <c r="O242" s="121"/>
      <c r="P242" s="121"/>
      <c r="Q242" s="113" t="str">
        <f t="shared" si="18"/>
        <v/>
      </c>
      <c r="R242" s="113" t="str">
        <f t="shared" si="19"/>
        <v/>
      </c>
      <c r="S242" s="113" t="str">
        <f t="shared" si="20"/>
        <v/>
      </c>
      <c r="T242" s="113" t="str">
        <f t="shared" si="21"/>
        <v/>
      </c>
      <c r="U242" s="113" t="str">
        <f t="shared" si="22"/>
        <v/>
      </c>
      <c r="V242" s="113" t="str">
        <f t="shared" si="23"/>
        <v/>
      </c>
      <c r="W242" s="114"/>
    </row>
    <row r="243" spans="1:23" ht="15" customHeight="1">
      <c r="A243" s="101">
        <v>25</v>
      </c>
      <c r="B243" s="130" t="s">
        <v>432</v>
      </c>
      <c r="C243" s="131"/>
      <c r="D243" s="537">
        <f>1+0.715+1</f>
        <v>2.7149999999999999</v>
      </c>
      <c r="E243" s="537"/>
      <c r="F243" s="127"/>
      <c r="G243" s="117">
        <v>0.25</v>
      </c>
      <c r="H243" s="107">
        <v>20</v>
      </c>
      <c r="I243" s="108">
        <v>1</v>
      </c>
      <c r="J243" s="110">
        <f>ROUND(2.3/G243+1,0)</f>
        <v>10</v>
      </c>
      <c r="K243" s="118">
        <f>D243</f>
        <v>2.7149999999999999</v>
      </c>
      <c r="L243" s="119" t="str">
        <f>IF(O243&lt;12,"0",0.049*H243)</f>
        <v>0</v>
      </c>
      <c r="M243" s="120">
        <v>0</v>
      </c>
      <c r="N243" s="108">
        <f>M243*2*H243/1000</f>
        <v>0</v>
      </c>
      <c r="O243" s="121">
        <f>(D243)-N243</f>
        <v>2.7149999999999999</v>
      </c>
      <c r="P243" s="121">
        <f>(I243*J243*O243)+L243</f>
        <v>27.15</v>
      </c>
      <c r="Q243" s="113" t="str">
        <f t="shared" si="18"/>
        <v/>
      </c>
      <c r="R243" s="113" t="str">
        <f t="shared" si="19"/>
        <v/>
      </c>
      <c r="S243" s="113" t="str">
        <f t="shared" si="20"/>
        <v/>
      </c>
      <c r="T243" s="113" t="str">
        <f t="shared" si="21"/>
        <v/>
      </c>
      <c r="U243" s="113">
        <f t="shared" si="22"/>
        <v>27.15</v>
      </c>
      <c r="V243" s="113" t="str">
        <f t="shared" si="23"/>
        <v/>
      </c>
      <c r="W243" s="114"/>
    </row>
    <row r="244" spans="1:23">
      <c r="A244" s="101"/>
      <c r="B244" s="130" t="s">
        <v>285</v>
      </c>
      <c r="C244" s="116"/>
      <c r="D244" s="126"/>
      <c r="E244" s="126"/>
      <c r="F244" s="127"/>
      <c r="G244" s="117"/>
      <c r="H244" s="107"/>
      <c r="I244" s="108"/>
      <c r="J244" s="110"/>
      <c r="K244" s="118"/>
      <c r="L244" s="119"/>
      <c r="M244" s="120"/>
      <c r="N244" s="108"/>
      <c r="O244" s="121"/>
      <c r="P244" s="121"/>
      <c r="Q244" s="113" t="str">
        <f t="shared" si="18"/>
        <v/>
      </c>
      <c r="R244" s="113" t="str">
        <f t="shared" si="19"/>
        <v/>
      </c>
      <c r="S244" s="113" t="str">
        <f t="shared" si="20"/>
        <v/>
      </c>
      <c r="T244" s="113" t="str">
        <f t="shared" si="21"/>
        <v/>
      </c>
      <c r="U244" s="113" t="str">
        <f t="shared" si="22"/>
        <v/>
      </c>
      <c r="V244" s="113" t="str">
        <f t="shared" si="23"/>
        <v/>
      </c>
      <c r="W244" s="114"/>
    </row>
    <row r="245" spans="1:23">
      <c r="A245" s="101"/>
      <c r="B245" s="130"/>
      <c r="C245" s="116"/>
      <c r="D245" s="126"/>
      <c r="E245" s="126"/>
      <c r="F245" s="127"/>
      <c r="G245" s="117"/>
      <c r="H245" s="107"/>
      <c r="I245" s="108"/>
      <c r="J245" s="110"/>
      <c r="K245" s="118"/>
      <c r="L245" s="119"/>
      <c r="M245" s="120"/>
      <c r="N245" s="108"/>
      <c r="O245" s="121"/>
      <c r="P245" s="121"/>
      <c r="Q245" s="113" t="str">
        <f t="shared" si="18"/>
        <v/>
      </c>
      <c r="R245" s="113" t="str">
        <f t="shared" si="19"/>
        <v/>
      </c>
      <c r="S245" s="113" t="str">
        <f t="shared" si="20"/>
        <v/>
      </c>
      <c r="T245" s="113" t="str">
        <f t="shared" si="21"/>
        <v/>
      </c>
      <c r="U245" s="113" t="str">
        <f t="shared" si="22"/>
        <v/>
      </c>
      <c r="V245" s="113" t="str">
        <f t="shared" si="23"/>
        <v/>
      </c>
      <c r="W245" s="114"/>
    </row>
    <row r="246" spans="1:23" ht="15" customHeight="1">
      <c r="A246" s="101">
        <v>26</v>
      </c>
      <c r="B246" s="130" t="s">
        <v>431</v>
      </c>
      <c r="C246" s="131"/>
      <c r="D246" s="537">
        <f>1+1+0.835+0.1+1</f>
        <v>3.9350000000000001</v>
      </c>
      <c r="E246" s="537"/>
      <c r="F246" s="127"/>
      <c r="G246" s="117">
        <v>0.25</v>
      </c>
      <c r="H246" s="107">
        <v>20</v>
      </c>
      <c r="I246" s="108">
        <v>1</v>
      </c>
      <c r="J246" s="110">
        <f>ROUND(4.075/G246+1,0)</f>
        <v>17</v>
      </c>
      <c r="K246" s="118">
        <f>D246</f>
        <v>3.9350000000000001</v>
      </c>
      <c r="L246" s="119" t="str">
        <f>IF(O246&lt;12,"0",0.049*H246)</f>
        <v>0</v>
      </c>
      <c r="M246" s="120">
        <v>0</v>
      </c>
      <c r="N246" s="108">
        <f>M246*2*H246/1000</f>
        <v>0</v>
      </c>
      <c r="O246" s="121">
        <f>(D246)-N246</f>
        <v>3.9350000000000001</v>
      </c>
      <c r="P246" s="121">
        <f>(I246*J246*O246)+L246</f>
        <v>66.894999999999996</v>
      </c>
      <c r="Q246" s="113" t="str">
        <f t="shared" si="18"/>
        <v/>
      </c>
      <c r="R246" s="113" t="str">
        <f t="shared" si="19"/>
        <v/>
      </c>
      <c r="S246" s="113" t="str">
        <f t="shared" si="20"/>
        <v/>
      </c>
      <c r="T246" s="113" t="str">
        <f t="shared" si="21"/>
        <v/>
      </c>
      <c r="U246" s="113">
        <f t="shared" si="22"/>
        <v>66.894999999999996</v>
      </c>
      <c r="V246" s="113" t="str">
        <f t="shared" si="23"/>
        <v/>
      </c>
      <c r="W246" s="114"/>
    </row>
    <row r="247" spans="1:23">
      <c r="A247" s="101"/>
      <c r="B247" s="130" t="s">
        <v>286</v>
      </c>
      <c r="C247" s="116"/>
      <c r="D247" s="126"/>
      <c r="E247" s="126"/>
      <c r="F247" s="127"/>
      <c r="G247" s="117"/>
      <c r="H247" s="107"/>
      <c r="I247" s="108"/>
      <c r="J247" s="110"/>
      <c r="K247" s="118"/>
      <c r="L247" s="119"/>
      <c r="M247" s="120"/>
      <c r="N247" s="108"/>
      <c r="O247" s="121"/>
      <c r="P247" s="121"/>
      <c r="Q247" s="113" t="str">
        <f t="shared" si="18"/>
        <v/>
      </c>
      <c r="R247" s="113" t="str">
        <f t="shared" si="19"/>
        <v/>
      </c>
      <c r="S247" s="113" t="str">
        <f t="shared" si="20"/>
        <v/>
      </c>
      <c r="T247" s="113" t="str">
        <f t="shared" si="21"/>
        <v/>
      </c>
      <c r="U247" s="113" t="str">
        <f t="shared" si="22"/>
        <v/>
      </c>
      <c r="V247" s="113" t="str">
        <f t="shared" si="23"/>
        <v/>
      </c>
      <c r="W247" s="114"/>
    </row>
    <row r="248" spans="1:23">
      <c r="A248" s="101"/>
      <c r="B248" s="130"/>
      <c r="C248" s="116"/>
      <c r="D248" s="126"/>
      <c r="E248" s="126"/>
      <c r="F248" s="127"/>
      <c r="G248" s="117"/>
      <c r="H248" s="107"/>
      <c r="I248" s="108"/>
      <c r="J248" s="110"/>
      <c r="K248" s="118"/>
      <c r="L248" s="119"/>
      <c r="M248" s="120"/>
      <c r="N248" s="108"/>
      <c r="O248" s="121"/>
      <c r="P248" s="121"/>
      <c r="Q248" s="113" t="str">
        <f t="shared" si="18"/>
        <v/>
      </c>
      <c r="R248" s="113" t="str">
        <f t="shared" si="19"/>
        <v/>
      </c>
      <c r="S248" s="113" t="str">
        <f t="shared" si="20"/>
        <v/>
      </c>
      <c r="T248" s="113" t="str">
        <f t="shared" si="21"/>
        <v/>
      </c>
      <c r="U248" s="113" t="str">
        <f t="shared" si="22"/>
        <v/>
      </c>
      <c r="V248" s="113" t="str">
        <f t="shared" si="23"/>
        <v/>
      </c>
      <c r="W248" s="114"/>
    </row>
    <row r="249" spans="1:23" ht="15" customHeight="1">
      <c r="A249" s="101">
        <v>27</v>
      </c>
      <c r="B249" s="130" t="s">
        <v>432</v>
      </c>
      <c r="C249" s="131"/>
      <c r="D249" s="537">
        <v>4.0599999999999996</v>
      </c>
      <c r="E249" s="537"/>
      <c r="F249" s="127"/>
      <c r="G249" s="117">
        <v>0.25</v>
      </c>
      <c r="H249" s="107">
        <v>20</v>
      </c>
      <c r="I249" s="108">
        <v>1</v>
      </c>
      <c r="J249" s="110">
        <f>ROUND(3.935/G249+1,0)</f>
        <v>17</v>
      </c>
      <c r="K249" s="118">
        <f>D249</f>
        <v>4.0599999999999996</v>
      </c>
      <c r="L249" s="119" t="str">
        <f>IF(O249&lt;12,"0",0.049*H249)</f>
        <v>0</v>
      </c>
      <c r="M249" s="120">
        <v>0</v>
      </c>
      <c r="N249" s="108">
        <f>M249*2*H249/1000</f>
        <v>0</v>
      </c>
      <c r="O249" s="121">
        <f>(D249)-N249</f>
        <v>4.0599999999999996</v>
      </c>
      <c r="P249" s="121">
        <f>(I249*J249*O249)+L249</f>
        <v>69.02</v>
      </c>
      <c r="Q249" s="113" t="str">
        <f t="shared" si="18"/>
        <v/>
      </c>
      <c r="R249" s="113" t="str">
        <f t="shared" si="19"/>
        <v/>
      </c>
      <c r="S249" s="113" t="str">
        <f t="shared" si="20"/>
        <v/>
      </c>
      <c r="T249" s="113" t="str">
        <f t="shared" si="21"/>
        <v/>
      </c>
      <c r="U249" s="113">
        <f t="shared" si="22"/>
        <v>69.02</v>
      </c>
      <c r="V249" s="113" t="str">
        <f t="shared" si="23"/>
        <v/>
      </c>
      <c r="W249" s="114"/>
    </row>
    <row r="250" spans="1:23">
      <c r="A250" s="101"/>
      <c r="B250" s="130" t="s">
        <v>286</v>
      </c>
      <c r="C250" s="116"/>
      <c r="D250" s="126"/>
      <c r="E250" s="126"/>
      <c r="F250" s="127"/>
      <c r="G250" s="117"/>
      <c r="H250" s="107"/>
      <c r="I250" s="108"/>
      <c r="J250" s="110"/>
      <c r="K250" s="118"/>
      <c r="L250" s="119"/>
      <c r="M250" s="120"/>
      <c r="N250" s="108"/>
      <c r="O250" s="121"/>
      <c r="P250" s="121"/>
      <c r="Q250" s="113" t="str">
        <f t="shared" si="18"/>
        <v/>
      </c>
      <c r="R250" s="113" t="str">
        <f t="shared" si="19"/>
        <v/>
      </c>
      <c r="S250" s="113" t="str">
        <f t="shared" si="20"/>
        <v/>
      </c>
      <c r="T250" s="113" t="str">
        <f t="shared" si="21"/>
        <v/>
      </c>
      <c r="U250" s="113" t="str">
        <f t="shared" si="22"/>
        <v/>
      </c>
      <c r="V250" s="113" t="str">
        <f t="shared" si="23"/>
        <v/>
      </c>
      <c r="W250" s="114"/>
    </row>
    <row r="251" spans="1:23">
      <c r="A251" s="101"/>
      <c r="B251" s="130"/>
      <c r="C251" s="116"/>
      <c r="D251" s="126"/>
      <c r="E251" s="126"/>
      <c r="F251" s="127"/>
      <c r="G251" s="117"/>
      <c r="H251" s="107"/>
      <c r="I251" s="108"/>
      <c r="J251" s="110"/>
      <c r="K251" s="118"/>
      <c r="L251" s="119"/>
      <c r="M251" s="120"/>
      <c r="N251" s="108"/>
      <c r="O251" s="121"/>
      <c r="P251" s="121"/>
      <c r="Q251" s="113" t="str">
        <f t="shared" si="18"/>
        <v/>
      </c>
      <c r="R251" s="113" t="str">
        <f t="shared" si="19"/>
        <v/>
      </c>
      <c r="S251" s="113" t="str">
        <f t="shared" si="20"/>
        <v/>
      </c>
      <c r="T251" s="113" t="str">
        <f t="shared" si="21"/>
        <v/>
      </c>
      <c r="U251" s="113" t="str">
        <f t="shared" si="22"/>
        <v/>
      </c>
      <c r="V251" s="113" t="str">
        <f t="shared" si="23"/>
        <v/>
      </c>
      <c r="W251" s="114"/>
    </row>
    <row r="252" spans="1:23" ht="15" customHeight="1">
      <c r="A252" s="101">
        <v>28</v>
      </c>
      <c r="B252" s="130" t="s">
        <v>431</v>
      </c>
      <c r="C252" s="131"/>
      <c r="D252" s="537">
        <f>0.8+0.23+0.8</f>
        <v>1.83</v>
      </c>
      <c r="E252" s="537"/>
      <c r="F252" s="127"/>
      <c r="G252" s="117">
        <v>0.25</v>
      </c>
      <c r="H252" s="107">
        <v>16</v>
      </c>
      <c r="I252" s="108">
        <v>1</v>
      </c>
      <c r="J252" s="110">
        <f>ROUND(3.185/G252+1,0)</f>
        <v>14</v>
      </c>
      <c r="K252" s="118">
        <f>D252</f>
        <v>1.83</v>
      </c>
      <c r="L252" s="119" t="str">
        <f>IF(O252&lt;12,"0",0.049*H252)</f>
        <v>0</v>
      </c>
      <c r="M252" s="120">
        <v>0</v>
      </c>
      <c r="N252" s="108">
        <f>M252*2*H252/1000</f>
        <v>0</v>
      </c>
      <c r="O252" s="121">
        <f>(D252)-N252</f>
        <v>1.83</v>
      </c>
      <c r="P252" s="121">
        <f>(I252*J252*O252)+L252</f>
        <v>25.62</v>
      </c>
      <c r="Q252" s="113" t="str">
        <f t="shared" si="18"/>
        <v/>
      </c>
      <c r="R252" s="113" t="str">
        <f t="shared" si="19"/>
        <v/>
      </c>
      <c r="S252" s="113" t="str">
        <f t="shared" si="20"/>
        <v/>
      </c>
      <c r="T252" s="113">
        <f t="shared" si="21"/>
        <v>25.62</v>
      </c>
      <c r="U252" s="113" t="str">
        <f t="shared" si="22"/>
        <v/>
      </c>
      <c r="V252" s="113" t="str">
        <f t="shared" si="23"/>
        <v/>
      </c>
      <c r="W252" s="114"/>
    </row>
    <row r="253" spans="1:23">
      <c r="A253" s="101"/>
      <c r="B253" s="130" t="s">
        <v>287</v>
      </c>
      <c r="C253" s="116"/>
      <c r="D253" s="126"/>
      <c r="E253" s="126"/>
      <c r="F253" s="127"/>
      <c r="G253" s="117"/>
      <c r="H253" s="107"/>
      <c r="I253" s="108"/>
      <c r="J253" s="110"/>
      <c r="K253" s="118"/>
      <c r="L253" s="119"/>
      <c r="M253" s="120"/>
      <c r="N253" s="108"/>
      <c r="O253" s="121"/>
      <c r="P253" s="121"/>
      <c r="Q253" s="113" t="str">
        <f t="shared" si="18"/>
        <v/>
      </c>
      <c r="R253" s="113" t="str">
        <f t="shared" si="19"/>
        <v/>
      </c>
      <c r="S253" s="113" t="str">
        <f t="shared" si="20"/>
        <v/>
      </c>
      <c r="T253" s="113" t="str">
        <f t="shared" si="21"/>
        <v/>
      </c>
      <c r="U253" s="113" t="str">
        <f t="shared" si="22"/>
        <v/>
      </c>
      <c r="V253" s="113" t="str">
        <f t="shared" si="23"/>
        <v/>
      </c>
      <c r="W253" s="114"/>
    </row>
    <row r="254" spans="1:23">
      <c r="A254" s="101"/>
      <c r="B254" s="130"/>
      <c r="C254" s="116"/>
      <c r="D254" s="126"/>
      <c r="E254" s="126"/>
      <c r="F254" s="127"/>
      <c r="G254" s="117"/>
      <c r="H254" s="107"/>
      <c r="I254" s="108"/>
      <c r="J254" s="110"/>
      <c r="K254" s="118"/>
      <c r="L254" s="119"/>
      <c r="M254" s="120"/>
      <c r="N254" s="108"/>
      <c r="O254" s="121"/>
      <c r="P254" s="121"/>
      <c r="Q254" s="113" t="str">
        <f t="shared" si="18"/>
        <v/>
      </c>
      <c r="R254" s="113" t="str">
        <f t="shared" si="19"/>
        <v/>
      </c>
      <c r="S254" s="113" t="str">
        <f t="shared" si="20"/>
        <v/>
      </c>
      <c r="T254" s="113" t="str">
        <f t="shared" si="21"/>
        <v/>
      </c>
      <c r="U254" s="113" t="str">
        <f t="shared" si="22"/>
        <v/>
      </c>
      <c r="V254" s="113" t="str">
        <f t="shared" si="23"/>
        <v/>
      </c>
      <c r="W254" s="114"/>
    </row>
    <row r="255" spans="1:23" ht="15" customHeight="1">
      <c r="A255" s="101">
        <v>29</v>
      </c>
      <c r="B255" s="130" t="s">
        <v>432</v>
      </c>
      <c r="C255" s="131"/>
      <c r="D255" s="537">
        <f>1+1.185+1</f>
        <v>3.1850000000000001</v>
      </c>
      <c r="E255" s="537"/>
      <c r="F255" s="127"/>
      <c r="G255" s="117">
        <v>0.25</v>
      </c>
      <c r="H255" s="107">
        <v>20</v>
      </c>
      <c r="I255" s="108">
        <v>1</v>
      </c>
      <c r="J255" s="110">
        <f>ROUND(1.83/G255+1,0)</f>
        <v>8</v>
      </c>
      <c r="K255" s="118">
        <f>D255</f>
        <v>3.1850000000000001</v>
      </c>
      <c r="L255" s="119" t="str">
        <f>IF(O255&lt;12,"0",0.049*H255)</f>
        <v>0</v>
      </c>
      <c r="M255" s="120">
        <v>0</v>
      </c>
      <c r="N255" s="108">
        <f>M255*2*H255/1000</f>
        <v>0</v>
      </c>
      <c r="O255" s="121">
        <f>(D255)-N255</f>
        <v>3.1850000000000001</v>
      </c>
      <c r="P255" s="121">
        <f>(I255*J255*O255)+L255</f>
        <v>25.48</v>
      </c>
      <c r="Q255" s="113" t="str">
        <f t="shared" si="18"/>
        <v/>
      </c>
      <c r="R255" s="113" t="str">
        <f t="shared" si="19"/>
        <v/>
      </c>
      <c r="S255" s="113" t="str">
        <f t="shared" si="20"/>
        <v/>
      </c>
      <c r="T255" s="113" t="str">
        <f t="shared" si="21"/>
        <v/>
      </c>
      <c r="U255" s="113">
        <f t="shared" si="22"/>
        <v>25.48</v>
      </c>
      <c r="V255" s="113" t="str">
        <f t="shared" si="23"/>
        <v/>
      </c>
      <c r="W255" s="114"/>
    </row>
    <row r="256" spans="1:23">
      <c r="A256" s="101"/>
      <c r="B256" s="130" t="s">
        <v>288</v>
      </c>
      <c r="C256" s="116"/>
      <c r="D256" s="126"/>
      <c r="E256" s="126"/>
      <c r="F256" s="127"/>
      <c r="G256" s="117"/>
      <c r="H256" s="107"/>
      <c r="I256" s="108"/>
      <c r="J256" s="110"/>
      <c r="K256" s="118"/>
      <c r="L256" s="119"/>
      <c r="M256" s="120"/>
      <c r="N256" s="108"/>
      <c r="O256" s="121"/>
      <c r="P256" s="121"/>
      <c r="Q256" s="113" t="str">
        <f t="shared" si="18"/>
        <v/>
      </c>
      <c r="R256" s="113" t="str">
        <f t="shared" si="19"/>
        <v/>
      </c>
      <c r="S256" s="113" t="str">
        <f t="shared" si="20"/>
        <v/>
      </c>
      <c r="T256" s="113" t="str">
        <f t="shared" si="21"/>
        <v/>
      </c>
      <c r="U256" s="113" t="str">
        <f t="shared" si="22"/>
        <v/>
      </c>
      <c r="V256" s="113" t="str">
        <f t="shared" si="23"/>
        <v/>
      </c>
      <c r="W256" s="114"/>
    </row>
    <row r="257" spans="1:23">
      <c r="A257" s="101"/>
      <c r="B257" s="130"/>
      <c r="C257" s="116"/>
      <c r="D257" s="126"/>
      <c r="E257" s="126"/>
      <c r="F257" s="127"/>
      <c r="G257" s="117"/>
      <c r="H257" s="107"/>
      <c r="I257" s="108"/>
      <c r="J257" s="110"/>
      <c r="K257" s="118"/>
      <c r="L257" s="119"/>
      <c r="M257" s="120"/>
      <c r="N257" s="108"/>
      <c r="O257" s="121"/>
      <c r="P257" s="121"/>
      <c r="Q257" s="113" t="str">
        <f t="shared" si="18"/>
        <v/>
      </c>
      <c r="R257" s="113" t="str">
        <f t="shared" si="19"/>
        <v/>
      </c>
      <c r="S257" s="113" t="str">
        <f t="shared" si="20"/>
        <v/>
      </c>
      <c r="T257" s="113" t="str">
        <f t="shared" si="21"/>
        <v/>
      </c>
      <c r="U257" s="113" t="str">
        <f t="shared" si="22"/>
        <v/>
      </c>
      <c r="V257" s="113" t="str">
        <f t="shared" si="23"/>
        <v/>
      </c>
      <c r="W257" s="114"/>
    </row>
    <row r="258" spans="1:23" ht="15" customHeight="1">
      <c r="A258" s="101">
        <v>30</v>
      </c>
      <c r="B258" s="130" t="s">
        <v>431</v>
      </c>
      <c r="C258" s="131"/>
      <c r="D258" s="537">
        <f>0.8+0.6+0.8</f>
        <v>2.2000000000000002</v>
      </c>
      <c r="E258" s="537"/>
      <c r="F258" s="127"/>
      <c r="G258" s="117">
        <v>0.25</v>
      </c>
      <c r="H258" s="107">
        <v>20</v>
      </c>
      <c r="I258" s="108">
        <v>1</v>
      </c>
      <c r="J258" s="110">
        <f>ROUND(2.8/G258+1,0)</f>
        <v>12</v>
      </c>
      <c r="K258" s="118">
        <f>D258</f>
        <v>2.2000000000000002</v>
      </c>
      <c r="L258" s="119" t="str">
        <f>IF(O258&lt;12,"0",0.049*H258)</f>
        <v>0</v>
      </c>
      <c r="M258" s="120">
        <v>0</v>
      </c>
      <c r="N258" s="108">
        <f>M258*2*H258/1000</f>
        <v>0</v>
      </c>
      <c r="O258" s="121">
        <f>(D258)-N258</f>
        <v>2.2000000000000002</v>
      </c>
      <c r="P258" s="121">
        <f>(I258*J258*O258)+L258</f>
        <v>26.400000000000002</v>
      </c>
      <c r="Q258" s="113" t="str">
        <f t="shared" si="18"/>
        <v/>
      </c>
      <c r="R258" s="113" t="str">
        <f t="shared" si="19"/>
        <v/>
      </c>
      <c r="S258" s="113" t="str">
        <f t="shared" si="20"/>
        <v/>
      </c>
      <c r="T258" s="113" t="str">
        <f t="shared" si="21"/>
        <v/>
      </c>
      <c r="U258" s="113">
        <f t="shared" si="22"/>
        <v>26.400000000000002</v>
      </c>
      <c r="V258" s="113" t="str">
        <f t="shared" si="23"/>
        <v/>
      </c>
      <c r="W258" s="114"/>
    </row>
    <row r="259" spans="1:23">
      <c r="A259" s="101"/>
      <c r="B259" s="130" t="s">
        <v>289</v>
      </c>
      <c r="C259" s="116"/>
      <c r="D259" s="126"/>
      <c r="E259" s="126"/>
      <c r="F259" s="127"/>
      <c r="G259" s="117"/>
      <c r="H259" s="107"/>
      <c r="I259" s="108"/>
      <c r="J259" s="110"/>
      <c r="K259" s="118"/>
      <c r="L259" s="119"/>
      <c r="M259" s="120"/>
      <c r="N259" s="108"/>
      <c r="O259" s="121"/>
      <c r="P259" s="121"/>
      <c r="Q259" s="113" t="str">
        <f t="shared" si="18"/>
        <v/>
      </c>
      <c r="R259" s="113" t="str">
        <f t="shared" si="19"/>
        <v/>
      </c>
      <c r="S259" s="113" t="str">
        <f t="shared" si="20"/>
        <v/>
      </c>
      <c r="T259" s="113" t="str">
        <f t="shared" si="21"/>
        <v/>
      </c>
      <c r="U259" s="113" t="str">
        <f t="shared" si="22"/>
        <v/>
      </c>
      <c r="V259" s="113" t="str">
        <f t="shared" si="23"/>
        <v/>
      </c>
      <c r="W259" s="114"/>
    </row>
    <row r="260" spans="1:23">
      <c r="A260" s="101"/>
      <c r="B260" s="130"/>
      <c r="C260" s="116"/>
      <c r="D260" s="126"/>
      <c r="E260" s="126"/>
      <c r="F260" s="127"/>
      <c r="G260" s="117"/>
      <c r="H260" s="107"/>
      <c r="I260" s="108"/>
      <c r="J260" s="110"/>
      <c r="K260" s="118"/>
      <c r="L260" s="119"/>
      <c r="M260" s="120"/>
      <c r="N260" s="108"/>
      <c r="O260" s="121"/>
      <c r="P260" s="121"/>
      <c r="Q260" s="113" t="str">
        <f t="shared" si="18"/>
        <v/>
      </c>
      <c r="R260" s="113" t="str">
        <f t="shared" si="19"/>
        <v/>
      </c>
      <c r="S260" s="113" t="str">
        <f t="shared" si="20"/>
        <v/>
      </c>
      <c r="T260" s="113" t="str">
        <f t="shared" si="21"/>
        <v/>
      </c>
      <c r="U260" s="113" t="str">
        <f t="shared" si="22"/>
        <v/>
      </c>
      <c r="V260" s="113" t="str">
        <f t="shared" si="23"/>
        <v/>
      </c>
      <c r="W260" s="114"/>
    </row>
    <row r="261" spans="1:23" ht="15" customHeight="1">
      <c r="A261" s="101">
        <v>31</v>
      </c>
      <c r="B261" s="130" t="s">
        <v>432</v>
      </c>
      <c r="C261" s="131"/>
      <c r="D261" s="537">
        <f>1.25+0.3+1.25</f>
        <v>2.8</v>
      </c>
      <c r="E261" s="537"/>
      <c r="F261" s="127"/>
      <c r="G261" s="117">
        <v>0.25</v>
      </c>
      <c r="H261" s="107">
        <v>25</v>
      </c>
      <c r="I261" s="108">
        <v>1</v>
      </c>
      <c r="J261" s="110">
        <f>ROUND(2.2/G261+1,0)</f>
        <v>10</v>
      </c>
      <c r="K261" s="118">
        <f>D261</f>
        <v>2.8</v>
      </c>
      <c r="L261" s="119" t="str">
        <f>IF(O261&lt;12,"0",0.049*H261)</f>
        <v>0</v>
      </c>
      <c r="M261" s="120">
        <v>0</v>
      </c>
      <c r="N261" s="108">
        <f>M261*2*H261/1000</f>
        <v>0</v>
      </c>
      <c r="O261" s="121">
        <f>(D261)-N261</f>
        <v>2.8</v>
      </c>
      <c r="P261" s="121">
        <f>(I261*J261*O261)+L261</f>
        <v>28</v>
      </c>
      <c r="Q261" s="113" t="str">
        <f t="shared" si="18"/>
        <v/>
      </c>
      <c r="R261" s="113" t="str">
        <f t="shared" si="19"/>
        <v/>
      </c>
      <c r="S261" s="113" t="str">
        <f t="shared" si="20"/>
        <v/>
      </c>
      <c r="T261" s="113" t="str">
        <f t="shared" si="21"/>
        <v/>
      </c>
      <c r="U261" s="113" t="str">
        <f t="shared" si="22"/>
        <v/>
      </c>
      <c r="V261" s="113">
        <f t="shared" si="23"/>
        <v>28</v>
      </c>
      <c r="W261" s="114"/>
    </row>
    <row r="262" spans="1:23">
      <c r="A262" s="101"/>
      <c r="B262" s="130" t="s">
        <v>289</v>
      </c>
      <c r="C262" s="116"/>
      <c r="D262" s="126"/>
      <c r="E262" s="126"/>
      <c r="F262" s="127"/>
      <c r="G262" s="117"/>
      <c r="H262" s="107"/>
      <c r="I262" s="108"/>
      <c r="J262" s="110"/>
      <c r="K262" s="118"/>
      <c r="L262" s="119"/>
      <c r="M262" s="120"/>
      <c r="N262" s="108"/>
      <c r="O262" s="121"/>
      <c r="P262" s="121"/>
      <c r="Q262" s="113" t="str">
        <f t="shared" si="18"/>
        <v/>
      </c>
      <c r="R262" s="113" t="str">
        <f t="shared" si="19"/>
        <v/>
      </c>
      <c r="S262" s="113" t="str">
        <f t="shared" si="20"/>
        <v/>
      </c>
      <c r="T262" s="113" t="str">
        <f t="shared" si="21"/>
        <v/>
      </c>
      <c r="U262" s="113" t="str">
        <f t="shared" si="22"/>
        <v/>
      </c>
      <c r="V262" s="113" t="str">
        <f t="shared" si="23"/>
        <v/>
      </c>
      <c r="W262" s="114"/>
    </row>
    <row r="263" spans="1:23">
      <c r="A263" s="101"/>
      <c r="B263" s="130"/>
      <c r="C263" s="116"/>
      <c r="D263" s="126"/>
      <c r="E263" s="126"/>
      <c r="F263" s="127"/>
      <c r="G263" s="117"/>
      <c r="H263" s="107"/>
      <c r="I263" s="108"/>
      <c r="J263" s="110"/>
      <c r="K263" s="118"/>
      <c r="L263" s="119"/>
      <c r="M263" s="120"/>
      <c r="N263" s="108"/>
      <c r="O263" s="121"/>
      <c r="P263" s="121"/>
      <c r="Q263" s="113" t="str">
        <f t="shared" si="18"/>
        <v/>
      </c>
      <c r="R263" s="113" t="str">
        <f t="shared" si="19"/>
        <v/>
      </c>
      <c r="S263" s="113" t="str">
        <f t="shared" si="20"/>
        <v/>
      </c>
      <c r="T263" s="113" t="str">
        <f t="shared" si="21"/>
        <v/>
      </c>
      <c r="U263" s="113" t="str">
        <f t="shared" si="22"/>
        <v/>
      </c>
      <c r="V263" s="113" t="str">
        <f t="shared" si="23"/>
        <v/>
      </c>
      <c r="W263" s="114"/>
    </row>
    <row r="264" spans="1:23" ht="15" customHeight="1">
      <c r="A264" s="101">
        <v>32</v>
      </c>
      <c r="B264" s="130" t="s">
        <v>431</v>
      </c>
      <c r="C264" s="131"/>
      <c r="D264" s="537">
        <f>1.25+0.3+1.25</f>
        <v>2.8</v>
      </c>
      <c r="E264" s="537"/>
      <c r="F264" s="127"/>
      <c r="G264" s="117">
        <v>0.25</v>
      </c>
      <c r="H264" s="107">
        <v>25</v>
      </c>
      <c r="I264" s="108">
        <v>1</v>
      </c>
      <c r="J264" s="110">
        <f>ROUND(2.6/G264+1,0)</f>
        <v>11</v>
      </c>
      <c r="K264" s="118">
        <f>D264</f>
        <v>2.8</v>
      </c>
      <c r="L264" s="119" t="str">
        <f>IF(O264&lt;12,"0",0.049*H264)</f>
        <v>0</v>
      </c>
      <c r="M264" s="120">
        <v>0</v>
      </c>
      <c r="N264" s="108">
        <f>M264*2*H264/1000</f>
        <v>0</v>
      </c>
      <c r="O264" s="121">
        <f>(D264)-N264</f>
        <v>2.8</v>
      </c>
      <c r="P264" s="121">
        <f>(I264*J264*O264)+L264</f>
        <v>30.799999999999997</v>
      </c>
      <c r="Q264" s="113" t="str">
        <f t="shared" si="18"/>
        <v/>
      </c>
      <c r="R264" s="113" t="str">
        <f t="shared" si="19"/>
        <v/>
      </c>
      <c r="S264" s="113" t="str">
        <f t="shared" si="20"/>
        <v/>
      </c>
      <c r="T264" s="113" t="str">
        <f t="shared" si="21"/>
        <v/>
      </c>
      <c r="U264" s="113" t="str">
        <f t="shared" si="22"/>
        <v/>
      </c>
      <c r="V264" s="113">
        <f t="shared" si="23"/>
        <v>30.799999999999997</v>
      </c>
      <c r="W264" s="114"/>
    </row>
    <row r="265" spans="1:23">
      <c r="A265" s="101"/>
      <c r="B265" s="130" t="s">
        <v>290</v>
      </c>
      <c r="C265" s="116"/>
      <c r="D265" s="126"/>
      <c r="E265" s="126"/>
      <c r="F265" s="127"/>
      <c r="G265" s="117"/>
      <c r="H265" s="107"/>
      <c r="I265" s="108"/>
      <c r="J265" s="110"/>
      <c r="K265" s="118"/>
      <c r="L265" s="119"/>
      <c r="M265" s="120"/>
      <c r="N265" s="108"/>
      <c r="O265" s="121"/>
      <c r="P265" s="121"/>
      <c r="Q265" s="113" t="str">
        <f t="shared" si="18"/>
        <v/>
      </c>
      <c r="R265" s="113" t="str">
        <f t="shared" si="19"/>
        <v/>
      </c>
      <c r="S265" s="113" t="str">
        <f t="shared" si="20"/>
        <v/>
      </c>
      <c r="T265" s="113" t="str">
        <f t="shared" si="21"/>
        <v/>
      </c>
      <c r="U265" s="113" t="str">
        <f t="shared" si="22"/>
        <v/>
      </c>
      <c r="V265" s="113" t="str">
        <f t="shared" si="23"/>
        <v/>
      </c>
      <c r="W265" s="114"/>
    </row>
    <row r="266" spans="1:23">
      <c r="A266" s="101"/>
      <c r="B266" s="130"/>
      <c r="C266" s="116"/>
      <c r="D266" s="126"/>
      <c r="E266" s="126"/>
      <c r="F266" s="127"/>
      <c r="G266" s="117"/>
      <c r="H266" s="107"/>
      <c r="I266" s="108"/>
      <c r="J266" s="110"/>
      <c r="K266" s="118"/>
      <c r="L266" s="119"/>
      <c r="M266" s="120"/>
      <c r="N266" s="108"/>
      <c r="O266" s="121"/>
      <c r="P266" s="121"/>
      <c r="Q266" s="113" t="str">
        <f t="shared" si="18"/>
        <v/>
      </c>
      <c r="R266" s="113" t="str">
        <f t="shared" si="19"/>
        <v/>
      </c>
      <c r="S266" s="113" t="str">
        <f t="shared" si="20"/>
        <v/>
      </c>
      <c r="T266" s="113" t="str">
        <f t="shared" si="21"/>
        <v/>
      </c>
      <c r="U266" s="113" t="str">
        <f t="shared" si="22"/>
        <v/>
      </c>
      <c r="V266" s="113" t="str">
        <f t="shared" si="23"/>
        <v/>
      </c>
      <c r="W266" s="114"/>
    </row>
    <row r="267" spans="1:23" ht="15" customHeight="1">
      <c r="A267" s="101">
        <v>33</v>
      </c>
      <c r="B267" s="130" t="s">
        <v>432</v>
      </c>
      <c r="C267" s="131"/>
      <c r="D267" s="537">
        <f>1+0.6+1</f>
        <v>2.6</v>
      </c>
      <c r="E267" s="537"/>
      <c r="F267" s="127"/>
      <c r="G267" s="117">
        <v>0.25</v>
      </c>
      <c r="H267" s="107">
        <v>20</v>
      </c>
      <c r="I267" s="108">
        <v>1</v>
      </c>
      <c r="J267" s="110">
        <f>ROUND(2.8/G267+1,0)</f>
        <v>12</v>
      </c>
      <c r="K267" s="118">
        <f>D267</f>
        <v>2.6</v>
      </c>
      <c r="L267" s="119" t="str">
        <f>IF(O267&lt;12,"0",0.049*H267)</f>
        <v>0</v>
      </c>
      <c r="M267" s="120">
        <v>0</v>
      </c>
      <c r="N267" s="108">
        <f>M267*2*H267/1000</f>
        <v>0</v>
      </c>
      <c r="O267" s="121">
        <f>(D267)-N267</f>
        <v>2.6</v>
      </c>
      <c r="P267" s="121">
        <f>(I267*J267*O267)+L267</f>
        <v>31.200000000000003</v>
      </c>
      <c r="Q267" s="113" t="str">
        <f t="shared" si="18"/>
        <v/>
      </c>
      <c r="R267" s="113" t="str">
        <f t="shared" si="19"/>
        <v/>
      </c>
      <c r="S267" s="113" t="str">
        <f t="shared" si="20"/>
        <v/>
      </c>
      <c r="T267" s="113" t="str">
        <f t="shared" si="21"/>
        <v/>
      </c>
      <c r="U267" s="113">
        <f t="shared" si="22"/>
        <v>31.200000000000003</v>
      </c>
      <c r="V267" s="113" t="str">
        <f t="shared" si="23"/>
        <v/>
      </c>
      <c r="W267" s="114"/>
    </row>
    <row r="268" spans="1:23">
      <c r="A268" s="101"/>
      <c r="B268" s="130" t="s">
        <v>290</v>
      </c>
      <c r="C268" s="116"/>
      <c r="D268" s="126"/>
      <c r="E268" s="126"/>
      <c r="F268" s="127"/>
      <c r="G268" s="117"/>
      <c r="H268" s="107"/>
      <c r="I268" s="108"/>
      <c r="J268" s="110"/>
      <c r="K268" s="118"/>
      <c r="L268" s="119"/>
      <c r="M268" s="120"/>
      <c r="N268" s="108"/>
      <c r="O268" s="121"/>
      <c r="P268" s="121"/>
      <c r="Q268" s="113" t="str">
        <f t="shared" si="18"/>
        <v/>
      </c>
      <c r="R268" s="113" t="str">
        <f t="shared" si="19"/>
        <v/>
      </c>
      <c r="S268" s="113" t="str">
        <f t="shared" si="20"/>
        <v/>
      </c>
      <c r="T268" s="113" t="str">
        <f t="shared" si="21"/>
        <v/>
      </c>
      <c r="U268" s="113" t="str">
        <f t="shared" si="22"/>
        <v/>
      </c>
      <c r="V268" s="113" t="str">
        <f t="shared" si="23"/>
        <v/>
      </c>
      <c r="W268" s="114"/>
    </row>
    <row r="269" spans="1:23">
      <c r="A269" s="101"/>
      <c r="B269" s="130"/>
      <c r="C269" s="116"/>
      <c r="D269" s="126"/>
      <c r="E269" s="126"/>
      <c r="F269" s="127"/>
      <c r="G269" s="117"/>
      <c r="H269" s="107"/>
      <c r="I269" s="108"/>
      <c r="J269" s="110"/>
      <c r="K269" s="118"/>
      <c r="L269" s="119"/>
      <c r="M269" s="120"/>
      <c r="N269" s="108"/>
      <c r="O269" s="121"/>
      <c r="P269" s="121"/>
      <c r="Q269" s="113" t="str">
        <f t="shared" si="18"/>
        <v/>
      </c>
      <c r="R269" s="113" t="str">
        <f t="shared" si="19"/>
        <v/>
      </c>
      <c r="S269" s="113" t="str">
        <f t="shared" si="20"/>
        <v/>
      </c>
      <c r="T269" s="113" t="str">
        <f t="shared" si="21"/>
        <v/>
      </c>
      <c r="U269" s="113" t="str">
        <f t="shared" si="22"/>
        <v/>
      </c>
      <c r="V269" s="113" t="str">
        <f t="shared" si="23"/>
        <v/>
      </c>
      <c r="W269" s="114"/>
    </row>
    <row r="270" spans="1:23" ht="15" customHeight="1">
      <c r="A270" s="101">
        <v>34</v>
      </c>
      <c r="B270" s="130" t="s">
        <v>431</v>
      </c>
      <c r="C270" s="131"/>
      <c r="D270" s="537">
        <f>1.25+0.3+1.25</f>
        <v>2.8</v>
      </c>
      <c r="E270" s="537"/>
      <c r="F270" s="127"/>
      <c r="G270" s="117">
        <v>0.25</v>
      </c>
      <c r="H270" s="107">
        <v>25</v>
      </c>
      <c r="I270" s="108">
        <v>1</v>
      </c>
      <c r="J270" s="110">
        <f>ROUND(3.1/G270+1,0)</f>
        <v>13</v>
      </c>
      <c r="K270" s="118">
        <f>D270</f>
        <v>2.8</v>
      </c>
      <c r="L270" s="119" t="str">
        <f>IF(O270&lt;12,"0",0.049*H270)</f>
        <v>0</v>
      </c>
      <c r="M270" s="120">
        <v>0</v>
      </c>
      <c r="N270" s="108">
        <f>M270*2*H270/1000</f>
        <v>0</v>
      </c>
      <c r="O270" s="121">
        <f>(D270)-N270</f>
        <v>2.8</v>
      </c>
      <c r="P270" s="121">
        <f>(I270*J270*O270)+L270</f>
        <v>36.4</v>
      </c>
      <c r="Q270" s="113" t="str">
        <f t="shared" si="18"/>
        <v/>
      </c>
      <c r="R270" s="113" t="str">
        <f t="shared" si="19"/>
        <v/>
      </c>
      <c r="S270" s="113" t="str">
        <f t="shared" si="20"/>
        <v/>
      </c>
      <c r="T270" s="113" t="str">
        <f t="shared" si="21"/>
        <v/>
      </c>
      <c r="U270" s="113" t="str">
        <f t="shared" si="22"/>
        <v/>
      </c>
      <c r="V270" s="113">
        <f t="shared" si="23"/>
        <v>36.4</v>
      </c>
      <c r="W270" s="114"/>
    </row>
    <row r="271" spans="1:23">
      <c r="A271" s="101"/>
      <c r="B271" s="130" t="s">
        <v>291</v>
      </c>
      <c r="C271" s="116"/>
      <c r="D271" s="126"/>
      <c r="E271" s="126"/>
      <c r="F271" s="127"/>
      <c r="G271" s="117"/>
      <c r="H271" s="107"/>
      <c r="I271" s="108"/>
      <c r="J271" s="110"/>
      <c r="K271" s="118"/>
      <c r="L271" s="119"/>
      <c r="M271" s="120"/>
      <c r="N271" s="108"/>
      <c r="O271" s="121"/>
      <c r="P271" s="121"/>
      <c r="Q271" s="113" t="str">
        <f t="shared" si="18"/>
        <v/>
      </c>
      <c r="R271" s="113" t="str">
        <f t="shared" si="19"/>
        <v/>
      </c>
      <c r="S271" s="113" t="str">
        <f t="shared" si="20"/>
        <v/>
      </c>
      <c r="T271" s="113" t="str">
        <f t="shared" si="21"/>
        <v/>
      </c>
      <c r="U271" s="113" t="str">
        <f t="shared" si="22"/>
        <v/>
      </c>
      <c r="V271" s="113" t="str">
        <f t="shared" si="23"/>
        <v/>
      </c>
      <c r="W271" s="114"/>
    </row>
    <row r="272" spans="1:23">
      <c r="A272" s="101"/>
      <c r="B272" s="130"/>
      <c r="C272" s="116"/>
      <c r="D272" s="126"/>
      <c r="E272" s="126"/>
      <c r="F272" s="127"/>
      <c r="G272" s="117"/>
      <c r="H272" s="107"/>
      <c r="I272" s="108"/>
      <c r="J272" s="110"/>
      <c r="K272" s="118"/>
      <c r="L272" s="119"/>
      <c r="M272" s="120"/>
      <c r="N272" s="108"/>
      <c r="O272" s="121"/>
      <c r="P272" s="121"/>
      <c r="Q272" s="113" t="str">
        <f t="shared" si="18"/>
        <v/>
      </c>
      <c r="R272" s="113" t="str">
        <f t="shared" si="19"/>
        <v/>
      </c>
      <c r="S272" s="113" t="str">
        <f t="shared" si="20"/>
        <v/>
      </c>
      <c r="T272" s="113" t="str">
        <f t="shared" si="21"/>
        <v/>
      </c>
      <c r="U272" s="113" t="str">
        <f t="shared" si="22"/>
        <v/>
      </c>
      <c r="V272" s="113" t="str">
        <f t="shared" si="23"/>
        <v/>
      </c>
      <c r="W272" s="114"/>
    </row>
    <row r="273" spans="1:23" ht="15" customHeight="1">
      <c r="A273" s="101">
        <v>35</v>
      </c>
      <c r="B273" s="130" t="s">
        <v>432</v>
      </c>
      <c r="C273" s="131"/>
      <c r="D273" s="537">
        <f>1.25+0.6+1.25</f>
        <v>3.1</v>
      </c>
      <c r="E273" s="537"/>
      <c r="F273" s="127"/>
      <c r="G273" s="117">
        <v>0.25</v>
      </c>
      <c r="H273" s="107">
        <v>25</v>
      </c>
      <c r="I273" s="108">
        <v>1</v>
      </c>
      <c r="J273" s="110">
        <f>ROUND(2.8/G273+1,0)</f>
        <v>12</v>
      </c>
      <c r="K273" s="118">
        <f>D273</f>
        <v>3.1</v>
      </c>
      <c r="L273" s="119" t="str">
        <f>IF(O273&lt;12,"0",0.049*H273)</f>
        <v>0</v>
      </c>
      <c r="M273" s="120">
        <v>0</v>
      </c>
      <c r="N273" s="108">
        <f>M273*2*H273/1000</f>
        <v>0</v>
      </c>
      <c r="O273" s="121">
        <f>(D273)-N273</f>
        <v>3.1</v>
      </c>
      <c r="P273" s="121">
        <f>(I273*J273*O273)+L273</f>
        <v>37.200000000000003</v>
      </c>
      <c r="Q273" s="113" t="str">
        <f t="shared" si="18"/>
        <v/>
      </c>
      <c r="R273" s="113" t="str">
        <f t="shared" si="19"/>
        <v/>
      </c>
      <c r="S273" s="113" t="str">
        <f t="shared" si="20"/>
        <v/>
      </c>
      <c r="T273" s="113" t="str">
        <f t="shared" si="21"/>
        <v/>
      </c>
      <c r="U273" s="113" t="str">
        <f t="shared" si="22"/>
        <v/>
      </c>
      <c r="V273" s="113">
        <f t="shared" si="23"/>
        <v>37.200000000000003</v>
      </c>
      <c r="W273" s="114"/>
    </row>
    <row r="274" spans="1:23">
      <c r="A274" s="101"/>
      <c r="B274" s="130" t="s">
        <v>291</v>
      </c>
      <c r="C274" s="116"/>
      <c r="D274" s="126"/>
      <c r="E274" s="126"/>
      <c r="F274" s="127"/>
      <c r="G274" s="117"/>
      <c r="H274" s="107"/>
      <c r="I274" s="108"/>
      <c r="J274" s="110"/>
      <c r="K274" s="118"/>
      <c r="L274" s="119"/>
      <c r="M274" s="120"/>
      <c r="N274" s="108"/>
      <c r="O274" s="121"/>
      <c r="P274" s="121"/>
      <c r="Q274" s="113" t="str">
        <f t="shared" si="18"/>
        <v/>
      </c>
      <c r="R274" s="113" t="str">
        <f t="shared" si="19"/>
        <v/>
      </c>
      <c r="S274" s="113" t="str">
        <f t="shared" si="20"/>
        <v/>
      </c>
      <c r="T274" s="113" t="str">
        <f t="shared" si="21"/>
        <v/>
      </c>
      <c r="U274" s="113" t="str">
        <f t="shared" si="22"/>
        <v/>
      </c>
      <c r="V274" s="113" t="str">
        <f t="shared" si="23"/>
        <v/>
      </c>
      <c r="W274" s="114"/>
    </row>
    <row r="275" spans="1:23">
      <c r="A275" s="101"/>
      <c r="B275" s="130"/>
      <c r="C275" s="116"/>
      <c r="D275" s="126"/>
      <c r="E275" s="126"/>
      <c r="F275" s="127"/>
      <c r="G275" s="117"/>
      <c r="H275" s="107"/>
      <c r="I275" s="108"/>
      <c r="J275" s="110"/>
      <c r="K275" s="118"/>
      <c r="L275" s="119"/>
      <c r="M275" s="120"/>
      <c r="N275" s="108"/>
      <c r="O275" s="121"/>
      <c r="P275" s="121"/>
      <c r="Q275" s="113" t="str">
        <f t="shared" si="18"/>
        <v/>
      </c>
      <c r="R275" s="113" t="str">
        <f t="shared" si="19"/>
        <v/>
      </c>
      <c r="S275" s="113" t="str">
        <f t="shared" si="20"/>
        <v/>
      </c>
      <c r="T275" s="113" t="str">
        <f t="shared" si="21"/>
        <v/>
      </c>
      <c r="U275" s="113" t="str">
        <f t="shared" si="22"/>
        <v/>
      </c>
      <c r="V275" s="113" t="str">
        <f t="shared" si="23"/>
        <v/>
      </c>
      <c r="W275" s="114"/>
    </row>
    <row r="276" spans="1:23" ht="15" customHeight="1">
      <c r="A276" s="101">
        <v>36</v>
      </c>
      <c r="B276" s="130" t="s">
        <v>431</v>
      </c>
      <c r="C276" s="131"/>
      <c r="D276" s="537">
        <f>0.75-0.05+0.115+0.47+0.515+1.17+1.935+0.055+1</f>
        <v>5.9599999999999991</v>
      </c>
      <c r="E276" s="537"/>
      <c r="F276" s="127"/>
      <c r="G276" s="117">
        <v>0.25</v>
      </c>
      <c r="H276" s="107">
        <v>25</v>
      </c>
      <c r="I276" s="108">
        <v>1</v>
      </c>
      <c r="J276" s="110">
        <f>ROUND(2.6/G276+1,0)</f>
        <v>11</v>
      </c>
      <c r="K276" s="118">
        <f>D276</f>
        <v>5.9599999999999991</v>
      </c>
      <c r="L276" s="119" t="str">
        <f>IF(O276&lt;12,"0",0.049*H276)</f>
        <v>0</v>
      </c>
      <c r="M276" s="120">
        <v>0</v>
      </c>
      <c r="N276" s="108">
        <f>M276*2*H276/1000</f>
        <v>0</v>
      </c>
      <c r="O276" s="121">
        <f>(D276)-N276</f>
        <v>5.9599999999999991</v>
      </c>
      <c r="P276" s="121">
        <f>(I276*J276*O276)+L276</f>
        <v>65.559999999999988</v>
      </c>
      <c r="Q276" s="113" t="str">
        <f t="shared" si="18"/>
        <v/>
      </c>
      <c r="R276" s="113" t="str">
        <f t="shared" si="19"/>
        <v/>
      </c>
      <c r="S276" s="113" t="str">
        <f t="shared" si="20"/>
        <v/>
      </c>
      <c r="T276" s="113" t="str">
        <f t="shared" si="21"/>
        <v/>
      </c>
      <c r="U276" s="113" t="str">
        <f t="shared" si="22"/>
        <v/>
      </c>
      <c r="V276" s="113">
        <f t="shared" si="23"/>
        <v>65.559999999999988</v>
      </c>
      <c r="W276" s="114"/>
    </row>
    <row r="277" spans="1:23">
      <c r="A277" s="101"/>
      <c r="B277" s="130" t="s">
        <v>292</v>
      </c>
      <c r="C277" s="116"/>
      <c r="D277" s="126"/>
      <c r="E277" s="126"/>
      <c r="F277" s="127"/>
      <c r="G277" s="117"/>
      <c r="H277" s="107"/>
      <c r="I277" s="108"/>
      <c r="J277" s="110"/>
      <c r="K277" s="118"/>
      <c r="L277" s="119"/>
      <c r="M277" s="120"/>
      <c r="N277" s="108"/>
      <c r="O277" s="121"/>
      <c r="P277" s="121"/>
      <c r="Q277" s="113" t="str">
        <f t="shared" si="18"/>
        <v/>
      </c>
      <c r="R277" s="113" t="str">
        <f t="shared" si="19"/>
        <v/>
      </c>
      <c r="S277" s="113" t="str">
        <f t="shared" si="20"/>
        <v/>
      </c>
      <c r="T277" s="113" t="str">
        <f t="shared" si="21"/>
        <v/>
      </c>
      <c r="U277" s="113" t="str">
        <f t="shared" si="22"/>
        <v/>
      </c>
      <c r="V277" s="113" t="str">
        <f t="shared" si="23"/>
        <v/>
      </c>
      <c r="W277" s="114"/>
    </row>
    <row r="278" spans="1:23">
      <c r="A278" s="101"/>
      <c r="B278" s="130"/>
      <c r="C278" s="116"/>
      <c r="D278" s="126"/>
      <c r="E278" s="126"/>
      <c r="F278" s="127"/>
      <c r="G278" s="117"/>
      <c r="H278" s="107"/>
      <c r="I278" s="108"/>
      <c r="J278" s="110"/>
      <c r="K278" s="118"/>
      <c r="L278" s="119"/>
      <c r="M278" s="120"/>
      <c r="N278" s="108"/>
      <c r="O278" s="121"/>
      <c r="P278" s="121"/>
      <c r="Q278" s="113" t="str">
        <f t="shared" si="18"/>
        <v/>
      </c>
      <c r="R278" s="113" t="str">
        <f t="shared" si="19"/>
        <v/>
      </c>
      <c r="S278" s="113" t="str">
        <f t="shared" si="20"/>
        <v/>
      </c>
      <c r="T278" s="113" t="str">
        <f t="shared" si="21"/>
        <v/>
      </c>
      <c r="U278" s="113" t="str">
        <f t="shared" si="22"/>
        <v/>
      </c>
      <c r="V278" s="113" t="str">
        <f t="shared" si="23"/>
        <v/>
      </c>
      <c r="W278" s="114"/>
    </row>
    <row r="279" spans="1:23" ht="15" customHeight="1">
      <c r="A279" s="101">
        <v>37</v>
      </c>
      <c r="B279" s="130" t="s">
        <v>431</v>
      </c>
      <c r="C279" s="131"/>
      <c r="D279" s="537">
        <f>0.75-0.05+0.115+0.47+0.515+1.17+1.935+0.055+1</f>
        <v>5.9599999999999991</v>
      </c>
      <c r="E279" s="537"/>
      <c r="F279" s="127"/>
      <c r="G279" s="117">
        <v>0.25</v>
      </c>
      <c r="H279" s="107">
        <v>25</v>
      </c>
      <c r="I279" s="108">
        <v>1</v>
      </c>
      <c r="J279" s="110">
        <f>ROUND(2.6/G279+1,0)</f>
        <v>11</v>
      </c>
      <c r="K279" s="118">
        <f>D279</f>
        <v>5.9599999999999991</v>
      </c>
      <c r="L279" s="119" t="str">
        <f>IF(O279&lt;12,"0",0.049*H279)</f>
        <v>0</v>
      </c>
      <c r="M279" s="120">
        <v>0</v>
      </c>
      <c r="N279" s="108">
        <f>M279*2*H279/1000</f>
        <v>0</v>
      </c>
      <c r="O279" s="121">
        <f>(D279)-N279</f>
        <v>5.9599999999999991</v>
      </c>
      <c r="P279" s="121">
        <f>(I279*J279*O279)+L279</f>
        <v>65.559999999999988</v>
      </c>
      <c r="Q279" s="113" t="str">
        <f t="shared" si="18"/>
        <v/>
      </c>
      <c r="R279" s="113" t="str">
        <f t="shared" si="19"/>
        <v/>
      </c>
      <c r="S279" s="113" t="str">
        <f t="shared" si="20"/>
        <v/>
      </c>
      <c r="T279" s="113" t="str">
        <f t="shared" si="21"/>
        <v/>
      </c>
      <c r="U279" s="113" t="str">
        <f t="shared" si="22"/>
        <v/>
      </c>
      <c r="V279" s="113">
        <f t="shared" si="23"/>
        <v>65.559999999999988</v>
      </c>
      <c r="W279" s="114"/>
    </row>
    <row r="280" spans="1:23">
      <c r="A280" s="101"/>
      <c r="B280" s="130" t="s">
        <v>292</v>
      </c>
      <c r="C280" s="116"/>
      <c r="D280" s="126"/>
      <c r="E280" s="126"/>
      <c r="F280" s="127"/>
      <c r="G280" s="117"/>
      <c r="H280" s="107"/>
      <c r="I280" s="108"/>
      <c r="J280" s="110"/>
      <c r="K280" s="118"/>
      <c r="L280" s="119"/>
      <c r="M280" s="120"/>
      <c r="N280" s="108"/>
      <c r="O280" s="121"/>
      <c r="P280" s="121"/>
      <c r="Q280" s="113" t="str">
        <f t="shared" si="18"/>
        <v/>
      </c>
      <c r="R280" s="113" t="str">
        <f t="shared" si="19"/>
        <v/>
      </c>
      <c r="S280" s="113" t="str">
        <f t="shared" si="20"/>
        <v/>
      </c>
      <c r="T280" s="113" t="str">
        <f t="shared" si="21"/>
        <v/>
      </c>
      <c r="U280" s="113" t="str">
        <f t="shared" si="22"/>
        <v/>
      </c>
      <c r="V280" s="113" t="str">
        <f t="shared" si="23"/>
        <v/>
      </c>
      <c r="W280" s="114"/>
    </row>
    <row r="281" spans="1:23">
      <c r="A281" s="101"/>
      <c r="B281" s="130"/>
      <c r="C281" s="116"/>
      <c r="D281" s="126"/>
      <c r="E281" s="126"/>
      <c r="F281" s="127"/>
      <c r="G281" s="117"/>
      <c r="H281" s="107"/>
      <c r="I281" s="108"/>
      <c r="J281" s="110"/>
      <c r="K281" s="118"/>
      <c r="L281" s="119"/>
      <c r="M281" s="120"/>
      <c r="N281" s="108"/>
      <c r="O281" s="121"/>
      <c r="P281" s="121"/>
      <c r="Q281" s="113" t="str">
        <f t="shared" si="18"/>
        <v/>
      </c>
      <c r="R281" s="113" t="str">
        <f t="shared" si="19"/>
        <v/>
      </c>
      <c r="S281" s="113" t="str">
        <f t="shared" si="20"/>
        <v/>
      </c>
      <c r="T281" s="113" t="str">
        <f t="shared" si="21"/>
        <v/>
      </c>
      <c r="U281" s="113" t="str">
        <f t="shared" si="22"/>
        <v/>
      </c>
      <c r="V281" s="113" t="str">
        <f t="shared" si="23"/>
        <v/>
      </c>
      <c r="W281" s="114"/>
    </row>
    <row r="282" spans="1:23" ht="15" customHeight="1">
      <c r="A282" s="101">
        <v>38</v>
      </c>
      <c r="B282" s="130" t="s">
        <v>432</v>
      </c>
      <c r="C282" s="131"/>
      <c r="D282" s="537">
        <f>0.75-0.05+0.65+1.25</f>
        <v>2.6</v>
      </c>
      <c r="E282" s="537"/>
      <c r="F282" s="127"/>
      <c r="G282" s="117">
        <v>0.25</v>
      </c>
      <c r="H282" s="107">
        <v>20</v>
      </c>
      <c r="I282" s="108">
        <v>1</v>
      </c>
      <c r="J282" s="110">
        <f>ROUND(5.96/G282+1,0)</f>
        <v>25</v>
      </c>
      <c r="K282" s="118">
        <f>D282</f>
        <v>2.6</v>
      </c>
      <c r="L282" s="119" t="str">
        <f>IF(O282&lt;12,"0",0.049*H282)</f>
        <v>0</v>
      </c>
      <c r="M282" s="120">
        <v>0</v>
      </c>
      <c r="N282" s="108">
        <f>M282*2*H282/1000</f>
        <v>0</v>
      </c>
      <c r="O282" s="121">
        <f>(D282)-N282</f>
        <v>2.6</v>
      </c>
      <c r="P282" s="121">
        <f>(I282*J282*O282)+L282</f>
        <v>65</v>
      </c>
      <c r="Q282" s="113" t="str">
        <f t="shared" si="18"/>
        <v/>
      </c>
      <c r="R282" s="113" t="str">
        <f t="shared" si="19"/>
        <v/>
      </c>
      <c r="S282" s="113" t="str">
        <f t="shared" si="20"/>
        <v/>
      </c>
      <c r="T282" s="113" t="str">
        <f t="shared" si="21"/>
        <v/>
      </c>
      <c r="U282" s="113">
        <f t="shared" si="22"/>
        <v>65</v>
      </c>
      <c r="V282" s="113" t="str">
        <f t="shared" si="23"/>
        <v/>
      </c>
      <c r="W282" s="114"/>
    </row>
    <row r="283" spans="1:23">
      <c r="A283" s="101"/>
      <c r="B283" s="130" t="s">
        <v>292</v>
      </c>
      <c r="C283" s="116"/>
      <c r="D283" s="126"/>
      <c r="E283" s="126"/>
      <c r="F283" s="127"/>
      <c r="G283" s="117"/>
      <c r="H283" s="107"/>
      <c r="I283" s="108"/>
      <c r="J283" s="110"/>
      <c r="K283" s="118"/>
      <c r="L283" s="119"/>
      <c r="M283" s="120"/>
      <c r="N283" s="108"/>
      <c r="O283" s="121"/>
      <c r="P283" s="121"/>
      <c r="Q283" s="113" t="str">
        <f t="shared" si="18"/>
        <v/>
      </c>
      <c r="R283" s="113" t="str">
        <f t="shared" si="19"/>
        <v/>
      </c>
      <c r="S283" s="113" t="str">
        <f t="shared" si="20"/>
        <v/>
      </c>
      <c r="T283" s="113" t="str">
        <f t="shared" si="21"/>
        <v/>
      </c>
      <c r="U283" s="113" t="str">
        <f t="shared" si="22"/>
        <v/>
      </c>
      <c r="V283" s="113" t="str">
        <f t="shared" si="23"/>
        <v/>
      </c>
      <c r="W283" s="114"/>
    </row>
    <row r="284" spans="1:23">
      <c r="A284" s="101"/>
      <c r="B284" s="130"/>
      <c r="C284" s="116"/>
      <c r="D284" s="126"/>
      <c r="E284" s="126"/>
      <c r="F284" s="127"/>
      <c r="G284" s="117"/>
      <c r="H284" s="107"/>
      <c r="I284" s="108"/>
      <c r="J284" s="110"/>
      <c r="K284" s="118"/>
      <c r="L284" s="119"/>
      <c r="M284" s="120"/>
      <c r="N284" s="108"/>
      <c r="O284" s="121"/>
      <c r="P284" s="121"/>
      <c r="Q284" s="113" t="str">
        <f t="shared" si="18"/>
        <v/>
      </c>
      <c r="R284" s="113" t="str">
        <f t="shared" si="19"/>
        <v/>
      </c>
      <c r="S284" s="113" t="str">
        <f t="shared" si="20"/>
        <v/>
      </c>
      <c r="T284" s="113" t="str">
        <f t="shared" si="21"/>
        <v/>
      </c>
      <c r="U284" s="113" t="str">
        <f t="shared" si="22"/>
        <v/>
      </c>
      <c r="V284" s="113" t="str">
        <f t="shared" si="23"/>
        <v/>
      </c>
      <c r="W284" s="114"/>
    </row>
    <row r="285" spans="1:23" ht="15" customHeight="1">
      <c r="A285" s="101">
        <v>39</v>
      </c>
      <c r="B285" s="130" t="s">
        <v>431</v>
      </c>
      <c r="C285" s="131"/>
      <c r="D285" s="537">
        <f>0.75-0.05+0.6+1</f>
        <v>2.2999999999999998</v>
      </c>
      <c r="E285" s="537"/>
      <c r="F285" s="127"/>
      <c r="G285" s="117">
        <v>0.25</v>
      </c>
      <c r="H285" s="107">
        <v>20</v>
      </c>
      <c r="I285" s="108">
        <v>1</v>
      </c>
      <c r="J285" s="110">
        <f>ROUND(2.8/G285+1,0)</f>
        <v>12</v>
      </c>
      <c r="K285" s="118">
        <f>D285</f>
        <v>2.2999999999999998</v>
      </c>
      <c r="L285" s="119" t="str">
        <f>IF(O285&lt;12,"0",0.049*H285)</f>
        <v>0</v>
      </c>
      <c r="M285" s="120">
        <v>0</v>
      </c>
      <c r="N285" s="108">
        <f>M285*2*H285/1000</f>
        <v>0</v>
      </c>
      <c r="O285" s="121">
        <f>(D285)-N285</f>
        <v>2.2999999999999998</v>
      </c>
      <c r="P285" s="121">
        <f>(I285*J285*O285)+L285</f>
        <v>27.599999999999998</v>
      </c>
      <c r="Q285" s="113" t="str">
        <f t="shared" si="18"/>
        <v/>
      </c>
      <c r="R285" s="113" t="str">
        <f t="shared" si="19"/>
        <v/>
      </c>
      <c r="S285" s="113" t="str">
        <f t="shared" si="20"/>
        <v/>
      </c>
      <c r="T285" s="113" t="str">
        <f t="shared" si="21"/>
        <v/>
      </c>
      <c r="U285" s="113">
        <f t="shared" si="22"/>
        <v>27.599999999999998</v>
      </c>
      <c r="V285" s="113" t="str">
        <f t="shared" si="23"/>
        <v/>
      </c>
      <c r="W285" s="114"/>
    </row>
    <row r="286" spans="1:23">
      <c r="A286" s="101"/>
      <c r="B286" s="130" t="s">
        <v>293</v>
      </c>
      <c r="C286" s="116"/>
      <c r="D286" s="126"/>
      <c r="E286" s="126"/>
      <c r="F286" s="127"/>
      <c r="G286" s="117"/>
      <c r="H286" s="107"/>
      <c r="I286" s="108"/>
      <c r="J286" s="110"/>
      <c r="K286" s="118"/>
      <c r="L286" s="119"/>
      <c r="M286" s="120"/>
      <c r="N286" s="108"/>
      <c r="O286" s="121"/>
      <c r="P286" s="121"/>
      <c r="Q286" s="113" t="str">
        <f t="shared" si="18"/>
        <v/>
      </c>
      <c r="R286" s="113" t="str">
        <f t="shared" si="19"/>
        <v/>
      </c>
      <c r="S286" s="113" t="str">
        <f t="shared" si="20"/>
        <v/>
      </c>
      <c r="T286" s="113" t="str">
        <f t="shared" si="21"/>
        <v/>
      </c>
      <c r="U286" s="113" t="str">
        <f t="shared" si="22"/>
        <v/>
      </c>
      <c r="V286" s="113" t="str">
        <f t="shared" si="23"/>
        <v/>
      </c>
      <c r="W286" s="114"/>
    </row>
    <row r="287" spans="1:23">
      <c r="A287" s="101"/>
      <c r="B287" s="130"/>
      <c r="C287" s="116"/>
      <c r="D287" s="126"/>
      <c r="E287" s="126"/>
      <c r="F287" s="127"/>
      <c r="G287" s="117"/>
      <c r="H287" s="107"/>
      <c r="I287" s="108"/>
      <c r="J287" s="110"/>
      <c r="K287" s="118"/>
      <c r="L287" s="119"/>
      <c r="M287" s="120"/>
      <c r="N287" s="108"/>
      <c r="O287" s="121"/>
      <c r="P287" s="121"/>
      <c r="Q287" s="113" t="str">
        <f t="shared" si="18"/>
        <v/>
      </c>
      <c r="R287" s="113" t="str">
        <f t="shared" si="19"/>
        <v/>
      </c>
      <c r="S287" s="113" t="str">
        <f t="shared" si="20"/>
        <v/>
      </c>
      <c r="T287" s="113" t="str">
        <f t="shared" si="21"/>
        <v/>
      </c>
      <c r="U287" s="113" t="str">
        <f t="shared" si="22"/>
        <v/>
      </c>
      <c r="V287" s="113" t="str">
        <f t="shared" si="23"/>
        <v/>
      </c>
      <c r="W287" s="114"/>
    </row>
    <row r="288" spans="1:23" ht="15" customHeight="1">
      <c r="A288" s="101">
        <v>40</v>
      </c>
      <c r="B288" s="130" t="s">
        <v>432</v>
      </c>
      <c r="C288" s="131"/>
      <c r="D288" s="537">
        <f>1.25+0.3+1.25</f>
        <v>2.8</v>
      </c>
      <c r="E288" s="537"/>
      <c r="F288" s="127"/>
      <c r="G288" s="117">
        <v>0.25</v>
      </c>
      <c r="H288" s="107">
        <v>25</v>
      </c>
      <c r="I288" s="108">
        <v>1</v>
      </c>
      <c r="J288" s="110">
        <f>ROUND(2.3/G288+1,0)</f>
        <v>10</v>
      </c>
      <c r="K288" s="118">
        <f>D288</f>
        <v>2.8</v>
      </c>
      <c r="L288" s="119" t="str">
        <f>IF(O288&lt;12,"0",0.049*H288)</f>
        <v>0</v>
      </c>
      <c r="M288" s="120">
        <v>0</v>
      </c>
      <c r="N288" s="108">
        <f>M288*2*H288/1000</f>
        <v>0</v>
      </c>
      <c r="O288" s="121">
        <f>(D288)-N288</f>
        <v>2.8</v>
      </c>
      <c r="P288" s="121">
        <f>(I288*J288*O288)+L288</f>
        <v>28</v>
      </c>
      <c r="Q288" s="113" t="str">
        <f t="shared" si="18"/>
        <v/>
      </c>
      <c r="R288" s="113" t="str">
        <f t="shared" si="19"/>
        <v/>
      </c>
      <c r="S288" s="113" t="str">
        <f t="shared" si="20"/>
        <v/>
      </c>
      <c r="T288" s="113" t="str">
        <f t="shared" si="21"/>
        <v/>
      </c>
      <c r="U288" s="113" t="str">
        <f t="shared" si="22"/>
        <v/>
      </c>
      <c r="V288" s="113">
        <f t="shared" si="23"/>
        <v>28</v>
      </c>
      <c r="W288" s="114"/>
    </row>
    <row r="289" spans="1:23">
      <c r="A289" s="101"/>
      <c r="B289" s="130" t="s">
        <v>293</v>
      </c>
      <c r="C289" s="116"/>
      <c r="D289" s="126"/>
      <c r="E289" s="126"/>
      <c r="F289" s="127"/>
      <c r="G289" s="117"/>
      <c r="H289" s="107"/>
      <c r="I289" s="108"/>
      <c r="J289" s="110"/>
      <c r="K289" s="118"/>
      <c r="L289" s="119"/>
      <c r="M289" s="120"/>
      <c r="N289" s="108"/>
      <c r="O289" s="121"/>
      <c r="P289" s="121"/>
      <c r="Q289" s="113" t="str">
        <f t="shared" si="18"/>
        <v/>
      </c>
      <c r="R289" s="113" t="str">
        <f t="shared" si="19"/>
        <v/>
      </c>
      <c r="S289" s="113" t="str">
        <f t="shared" si="20"/>
        <v/>
      </c>
      <c r="T289" s="113" t="str">
        <f t="shared" si="21"/>
        <v/>
      </c>
      <c r="U289" s="113" t="str">
        <f t="shared" si="22"/>
        <v/>
      </c>
      <c r="V289" s="113" t="str">
        <f t="shared" si="23"/>
        <v/>
      </c>
      <c r="W289" s="114"/>
    </row>
    <row r="290" spans="1:23">
      <c r="A290" s="101"/>
      <c r="B290" s="130"/>
      <c r="C290" s="116"/>
      <c r="D290" s="126"/>
      <c r="E290" s="126"/>
      <c r="F290" s="127"/>
      <c r="G290" s="117"/>
      <c r="H290" s="107"/>
      <c r="I290" s="108"/>
      <c r="J290" s="110"/>
      <c r="K290" s="118"/>
      <c r="L290" s="119"/>
      <c r="M290" s="120"/>
      <c r="N290" s="108"/>
      <c r="O290" s="121"/>
      <c r="P290" s="121"/>
      <c r="Q290" s="113" t="str">
        <f t="shared" si="18"/>
        <v/>
      </c>
      <c r="R290" s="113" t="str">
        <f t="shared" si="19"/>
        <v/>
      </c>
      <c r="S290" s="113" t="str">
        <f t="shared" si="20"/>
        <v/>
      </c>
      <c r="T290" s="113" t="str">
        <f t="shared" si="21"/>
        <v/>
      </c>
      <c r="U290" s="113" t="str">
        <f t="shared" si="22"/>
        <v/>
      </c>
      <c r="V290" s="113" t="str">
        <f t="shared" si="23"/>
        <v/>
      </c>
      <c r="W290" s="114"/>
    </row>
    <row r="291" spans="1:23" ht="15" customHeight="1">
      <c r="A291" s="101">
        <v>41</v>
      </c>
      <c r="B291" s="130" t="s">
        <v>431</v>
      </c>
      <c r="C291" s="131"/>
      <c r="D291" s="538">
        <f>0.12+0.715+1</f>
        <v>1.835</v>
      </c>
      <c r="E291" s="538"/>
      <c r="F291" s="127"/>
      <c r="G291" s="117">
        <v>0.25</v>
      </c>
      <c r="H291" s="107">
        <v>20</v>
      </c>
      <c r="I291" s="108">
        <v>1</v>
      </c>
      <c r="J291" s="110">
        <f>ROUND(2.3/G291+1,0)</f>
        <v>10</v>
      </c>
      <c r="K291" s="118">
        <f>D291</f>
        <v>1.835</v>
      </c>
      <c r="L291" s="119" t="str">
        <f>IF(O291&lt;12,"0",0.049*H291)</f>
        <v>0</v>
      </c>
      <c r="M291" s="120">
        <v>0</v>
      </c>
      <c r="N291" s="108">
        <f>M291*2*H291/1000</f>
        <v>0</v>
      </c>
      <c r="O291" s="121">
        <f>(D291)-N291</f>
        <v>1.835</v>
      </c>
      <c r="P291" s="121">
        <f>(I291*J291*O291)+L291</f>
        <v>18.350000000000001</v>
      </c>
      <c r="Q291" s="113" t="str">
        <f t="shared" si="18"/>
        <v/>
      </c>
      <c r="R291" s="113" t="str">
        <f t="shared" si="19"/>
        <v/>
      </c>
      <c r="S291" s="113" t="str">
        <f t="shared" si="20"/>
        <v/>
      </c>
      <c r="T291" s="113" t="str">
        <f t="shared" si="21"/>
        <v/>
      </c>
      <c r="U291" s="113">
        <f t="shared" si="22"/>
        <v>18.350000000000001</v>
      </c>
      <c r="V291" s="113" t="str">
        <f t="shared" si="23"/>
        <v/>
      </c>
      <c r="W291" s="114"/>
    </row>
    <row r="292" spans="1:23">
      <c r="A292" s="101"/>
      <c r="B292" s="130" t="s">
        <v>294</v>
      </c>
      <c r="C292" s="116"/>
      <c r="D292" s="126"/>
      <c r="E292" s="126"/>
      <c r="F292" s="127"/>
      <c r="G292" s="117"/>
      <c r="H292" s="107"/>
      <c r="I292" s="108"/>
      <c r="J292" s="110"/>
      <c r="K292" s="118"/>
      <c r="L292" s="119"/>
      <c r="M292" s="120"/>
      <c r="N292" s="108"/>
      <c r="O292" s="121"/>
      <c r="P292" s="121"/>
      <c r="Q292" s="113" t="str">
        <f t="shared" si="18"/>
        <v/>
      </c>
      <c r="R292" s="113" t="str">
        <f t="shared" si="19"/>
        <v/>
      </c>
      <c r="S292" s="113" t="str">
        <f t="shared" si="20"/>
        <v/>
      </c>
      <c r="T292" s="113" t="str">
        <f t="shared" si="21"/>
        <v/>
      </c>
      <c r="U292" s="113" t="str">
        <f t="shared" si="22"/>
        <v/>
      </c>
      <c r="V292" s="113" t="str">
        <f t="shared" si="23"/>
        <v/>
      </c>
      <c r="W292" s="114"/>
    </row>
    <row r="293" spans="1:23">
      <c r="A293" s="101"/>
      <c r="B293" s="130"/>
      <c r="C293" s="116"/>
      <c r="D293" s="126"/>
      <c r="E293" s="126"/>
      <c r="F293" s="127"/>
      <c r="G293" s="117"/>
      <c r="H293" s="107"/>
      <c r="I293" s="108"/>
      <c r="J293" s="110"/>
      <c r="K293" s="118"/>
      <c r="L293" s="119"/>
      <c r="M293" s="120"/>
      <c r="N293" s="108"/>
      <c r="O293" s="121"/>
      <c r="P293" s="121"/>
      <c r="Q293" s="113" t="str">
        <f t="shared" si="18"/>
        <v/>
      </c>
      <c r="R293" s="113" t="str">
        <f t="shared" si="19"/>
        <v/>
      </c>
      <c r="S293" s="113" t="str">
        <f t="shared" si="20"/>
        <v/>
      </c>
      <c r="T293" s="113" t="str">
        <f t="shared" si="21"/>
        <v/>
      </c>
      <c r="U293" s="113" t="str">
        <f t="shared" si="22"/>
        <v/>
      </c>
      <c r="V293" s="113" t="str">
        <f t="shared" si="23"/>
        <v/>
      </c>
      <c r="W293" s="114"/>
    </row>
    <row r="294" spans="1:23" ht="15" customHeight="1">
      <c r="A294" s="101">
        <v>42</v>
      </c>
      <c r="B294" s="130" t="s">
        <v>432</v>
      </c>
      <c r="C294" s="131"/>
      <c r="D294" s="538">
        <f>1+0.3+1</f>
        <v>2.2999999999999998</v>
      </c>
      <c r="E294" s="538"/>
      <c r="F294" s="127"/>
      <c r="G294" s="117">
        <v>0.25</v>
      </c>
      <c r="H294" s="107">
        <v>20</v>
      </c>
      <c r="I294" s="108">
        <v>1</v>
      </c>
      <c r="J294" s="110">
        <f>ROUND(1.835/G294+1,0)</f>
        <v>8</v>
      </c>
      <c r="K294" s="118">
        <f>D294</f>
        <v>2.2999999999999998</v>
      </c>
      <c r="L294" s="119" t="str">
        <f>IF(O294&lt;12,"0",0.049*H294)</f>
        <v>0</v>
      </c>
      <c r="M294" s="120">
        <v>0</v>
      </c>
      <c r="N294" s="108">
        <f>M294*2*H294/1000</f>
        <v>0</v>
      </c>
      <c r="O294" s="121">
        <f>(D294)-N294</f>
        <v>2.2999999999999998</v>
      </c>
      <c r="P294" s="121">
        <f>(I294*J294*O294)+L294</f>
        <v>18.399999999999999</v>
      </c>
      <c r="Q294" s="113" t="str">
        <f t="shared" si="18"/>
        <v/>
      </c>
      <c r="R294" s="113" t="str">
        <f t="shared" si="19"/>
        <v/>
      </c>
      <c r="S294" s="113" t="str">
        <f t="shared" si="20"/>
        <v/>
      </c>
      <c r="T294" s="113" t="str">
        <f t="shared" si="21"/>
        <v/>
      </c>
      <c r="U294" s="113">
        <f t="shared" si="22"/>
        <v>18.399999999999999</v>
      </c>
      <c r="V294" s="113" t="str">
        <f t="shared" si="23"/>
        <v/>
      </c>
      <c r="W294" s="114"/>
    </row>
    <row r="295" spans="1:23">
      <c r="A295" s="101"/>
      <c r="B295" s="130" t="s">
        <v>294</v>
      </c>
      <c r="C295" s="116"/>
      <c r="D295" s="126"/>
      <c r="E295" s="126"/>
      <c r="F295" s="127"/>
      <c r="G295" s="117"/>
      <c r="H295" s="107"/>
      <c r="I295" s="108"/>
      <c r="J295" s="110"/>
      <c r="K295" s="118"/>
      <c r="L295" s="119"/>
      <c r="M295" s="120"/>
      <c r="N295" s="108"/>
      <c r="O295" s="121"/>
      <c r="P295" s="121"/>
      <c r="Q295" s="113" t="str">
        <f t="shared" si="18"/>
        <v/>
      </c>
      <c r="R295" s="113" t="str">
        <f t="shared" si="19"/>
        <v/>
      </c>
      <c r="S295" s="113" t="str">
        <f t="shared" si="20"/>
        <v/>
      </c>
      <c r="T295" s="113" t="str">
        <f t="shared" si="21"/>
        <v/>
      </c>
      <c r="U295" s="113" t="str">
        <f t="shared" si="22"/>
        <v/>
      </c>
      <c r="V295" s="113" t="str">
        <f t="shared" si="23"/>
        <v/>
      </c>
      <c r="W295" s="114"/>
    </row>
    <row r="296" spans="1:23">
      <c r="A296" s="101"/>
      <c r="B296" s="130"/>
      <c r="C296" s="116"/>
      <c r="D296" s="126"/>
      <c r="E296" s="126"/>
      <c r="F296" s="127"/>
      <c r="G296" s="117"/>
      <c r="H296" s="107"/>
      <c r="I296" s="108"/>
      <c r="J296" s="110"/>
      <c r="K296" s="118"/>
      <c r="L296" s="119"/>
      <c r="M296" s="120"/>
      <c r="N296" s="108"/>
      <c r="O296" s="121"/>
      <c r="P296" s="121"/>
      <c r="Q296" s="113" t="str">
        <f t="shared" si="18"/>
        <v/>
      </c>
      <c r="R296" s="113" t="str">
        <f t="shared" si="19"/>
        <v/>
      </c>
      <c r="S296" s="113" t="str">
        <f t="shared" si="20"/>
        <v/>
      </c>
      <c r="T296" s="113" t="str">
        <f t="shared" si="21"/>
        <v/>
      </c>
      <c r="U296" s="113" t="str">
        <f t="shared" si="22"/>
        <v/>
      </c>
      <c r="V296" s="113" t="str">
        <f t="shared" si="23"/>
        <v/>
      </c>
      <c r="W296" s="114"/>
    </row>
    <row r="297" spans="1:23" ht="15" customHeight="1">
      <c r="A297" s="101">
        <v>43</v>
      </c>
      <c r="B297" s="130" t="s">
        <v>431</v>
      </c>
      <c r="C297" s="131"/>
      <c r="D297" s="538">
        <f>1.25+0.75+1.25</f>
        <v>3.25</v>
      </c>
      <c r="E297" s="538"/>
      <c r="F297" s="127"/>
      <c r="G297" s="117">
        <v>0.25</v>
      </c>
      <c r="H297" s="107">
        <v>25</v>
      </c>
      <c r="I297" s="108">
        <v>1</v>
      </c>
      <c r="J297" s="110">
        <f>ROUND(2.8/G297+1,0)</f>
        <v>12</v>
      </c>
      <c r="K297" s="118">
        <f>D297</f>
        <v>3.25</v>
      </c>
      <c r="L297" s="119" t="str">
        <f>IF(O297&lt;12,"0",0.049*H297)</f>
        <v>0</v>
      </c>
      <c r="M297" s="120">
        <v>0</v>
      </c>
      <c r="N297" s="108">
        <f>M297*2*H297/1000</f>
        <v>0</v>
      </c>
      <c r="O297" s="121">
        <f>(D297)-N297</f>
        <v>3.25</v>
      </c>
      <c r="P297" s="121">
        <f>(I297*J297*O297)+L297</f>
        <v>39</v>
      </c>
      <c r="Q297" s="113" t="str">
        <f t="shared" si="18"/>
        <v/>
      </c>
      <c r="R297" s="113" t="str">
        <f t="shared" si="19"/>
        <v/>
      </c>
      <c r="S297" s="113" t="str">
        <f t="shared" si="20"/>
        <v/>
      </c>
      <c r="T297" s="113" t="str">
        <f t="shared" si="21"/>
        <v/>
      </c>
      <c r="U297" s="113" t="str">
        <f t="shared" si="22"/>
        <v/>
      </c>
      <c r="V297" s="113">
        <f t="shared" si="23"/>
        <v>39</v>
      </c>
      <c r="W297" s="114"/>
    </row>
    <row r="298" spans="1:23">
      <c r="A298" s="101"/>
      <c r="B298" s="130" t="s">
        <v>295</v>
      </c>
      <c r="C298" s="116"/>
      <c r="D298" s="126"/>
      <c r="E298" s="126"/>
      <c r="F298" s="127"/>
      <c r="G298" s="117"/>
      <c r="H298" s="107"/>
      <c r="I298" s="108"/>
      <c r="J298" s="110"/>
      <c r="K298" s="118"/>
      <c r="L298" s="119"/>
      <c r="M298" s="120"/>
      <c r="N298" s="108"/>
      <c r="O298" s="121"/>
      <c r="P298" s="121"/>
      <c r="Q298" s="113" t="str">
        <f t="shared" si="18"/>
        <v/>
      </c>
      <c r="R298" s="113" t="str">
        <f t="shared" si="19"/>
        <v/>
      </c>
      <c r="S298" s="113" t="str">
        <f t="shared" si="20"/>
        <v/>
      </c>
      <c r="T298" s="113" t="str">
        <f t="shared" si="21"/>
        <v/>
      </c>
      <c r="U298" s="113" t="str">
        <f t="shared" si="22"/>
        <v/>
      </c>
      <c r="V298" s="113" t="str">
        <f t="shared" si="23"/>
        <v/>
      </c>
      <c r="W298" s="114"/>
    </row>
    <row r="299" spans="1:23">
      <c r="A299" s="101"/>
      <c r="B299" s="130"/>
      <c r="C299" s="116"/>
      <c r="D299" s="126"/>
      <c r="E299" s="126"/>
      <c r="F299" s="127"/>
      <c r="G299" s="117"/>
      <c r="H299" s="107"/>
      <c r="I299" s="108"/>
      <c r="J299" s="110"/>
      <c r="K299" s="118"/>
      <c r="L299" s="119"/>
      <c r="M299" s="120"/>
      <c r="N299" s="108"/>
      <c r="O299" s="121"/>
      <c r="P299" s="121"/>
      <c r="Q299" s="113" t="str">
        <f t="shared" si="18"/>
        <v/>
      </c>
      <c r="R299" s="113" t="str">
        <f t="shared" si="19"/>
        <v/>
      </c>
      <c r="S299" s="113" t="str">
        <f t="shared" si="20"/>
        <v/>
      </c>
      <c r="T299" s="113" t="str">
        <f t="shared" si="21"/>
        <v/>
      </c>
      <c r="U299" s="113" t="str">
        <f t="shared" si="22"/>
        <v/>
      </c>
      <c r="V299" s="113" t="str">
        <f t="shared" si="23"/>
        <v/>
      </c>
      <c r="W299" s="114"/>
    </row>
    <row r="300" spans="1:23" ht="15" customHeight="1">
      <c r="A300" s="101">
        <v>44</v>
      </c>
      <c r="B300" s="130" t="s">
        <v>432</v>
      </c>
      <c r="C300" s="131"/>
      <c r="D300" s="538">
        <f>1.25+0.3+1.25</f>
        <v>2.8</v>
      </c>
      <c r="E300" s="538"/>
      <c r="F300" s="127"/>
      <c r="G300" s="117">
        <v>0.25</v>
      </c>
      <c r="H300" s="107">
        <v>25</v>
      </c>
      <c r="I300" s="108">
        <v>1</v>
      </c>
      <c r="J300" s="110">
        <f>ROUND(3.25/G300+1,0)</f>
        <v>14</v>
      </c>
      <c r="K300" s="118">
        <f>D300</f>
        <v>2.8</v>
      </c>
      <c r="L300" s="119" t="str">
        <f>IF(O300&lt;12,"0",0.049*H300)</f>
        <v>0</v>
      </c>
      <c r="M300" s="120">
        <v>0</v>
      </c>
      <c r="N300" s="108">
        <f>M300*2*H300/1000</f>
        <v>0</v>
      </c>
      <c r="O300" s="121">
        <f>(D300)-N300</f>
        <v>2.8</v>
      </c>
      <c r="P300" s="121">
        <f>(I300*J300*O300)+L300</f>
        <v>39.199999999999996</v>
      </c>
      <c r="Q300" s="113" t="str">
        <f t="shared" si="18"/>
        <v/>
      </c>
      <c r="R300" s="113" t="str">
        <f t="shared" si="19"/>
        <v/>
      </c>
      <c r="S300" s="113" t="str">
        <f t="shared" si="20"/>
        <v/>
      </c>
      <c r="T300" s="113" t="str">
        <f t="shared" si="21"/>
        <v/>
      </c>
      <c r="U300" s="113" t="str">
        <f t="shared" si="22"/>
        <v/>
      </c>
      <c r="V300" s="113">
        <f t="shared" si="23"/>
        <v>39.199999999999996</v>
      </c>
      <c r="W300" s="114"/>
    </row>
    <row r="301" spans="1:23">
      <c r="A301" s="101"/>
      <c r="B301" s="130" t="s">
        <v>295</v>
      </c>
      <c r="C301" s="116"/>
      <c r="D301" s="126"/>
      <c r="E301" s="126"/>
      <c r="F301" s="127"/>
      <c r="G301" s="117"/>
      <c r="H301" s="107"/>
      <c r="I301" s="108"/>
      <c r="J301" s="110"/>
      <c r="K301" s="118"/>
      <c r="L301" s="119"/>
      <c r="M301" s="120"/>
      <c r="N301" s="108"/>
      <c r="O301" s="121"/>
      <c r="P301" s="121"/>
      <c r="Q301" s="113" t="str">
        <f t="shared" ref="Q301:Q364" si="24">IF($H301=8,$P301,"")</f>
        <v/>
      </c>
      <c r="R301" s="113" t="str">
        <f t="shared" ref="R301:R364" si="25">IF($H301=10,$P301,"")</f>
        <v/>
      </c>
      <c r="S301" s="113" t="str">
        <f t="shared" ref="S301:S364" si="26">IF($H301=12,$P301,"")</f>
        <v/>
      </c>
      <c r="T301" s="113" t="str">
        <f t="shared" ref="T301:T364" si="27">IF($H301=16,$P301,"")</f>
        <v/>
      </c>
      <c r="U301" s="113" t="str">
        <f t="shared" ref="U301:U364" si="28">IF($H301=20,$P301,"")</f>
        <v/>
      </c>
      <c r="V301" s="113" t="str">
        <f t="shared" ref="V301:V364" si="29">IF($H301=25,$P301,"")</f>
        <v/>
      </c>
      <c r="W301" s="114"/>
    </row>
    <row r="302" spans="1:23">
      <c r="A302" s="101"/>
      <c r="B302" s="130"/>
      <c r="C302" s="116"/>
      <c r="D302" s="126"/>
      <c r="E302" s="126"/>
      <c r="F302" s="127"/>
      <c r="G302" s="117"/>
      <c r="H302" s="107"/>
      <c r="I302" s="108"/>
      <c r="J302" s="110"/>
      <c r="K302" s="118"/>
      <c r="L302" s="119"/>
      <c r="M302" s="120"/>
      <c r="N302" s="108"/>
      <c r="O302" s="121"/>
      <c r="P302" s="121"/>
      <c r="Q302" s="113" t="str">
        <f t="shared" si="24"/>
        <v/>
      </c>
      <c r="R302" s="113" t="str">
        <f t="shared" si="25"/>
        <v/>
      </c>
      <c r="S302" s="113" t="str">
        <f t="shared" si="26"/>
        <v/>
      </c>
      <c r="T302" s="113" t="str">
        <f t="shared" si="27"/>
        <v/>
      </c>
      <c r="U302" s="113" t="str">
        <f t="shared" si="28"/>
        <v/>
      </c>
      <c r="V302" s="113" t="str">
        <f t="shared" si="29"/>
        <v/>
      </c>
      <c r="W302" s="114"/>
    </row>
    <row r="303" spans="1:23" ht="15" customHeight="1">
      <c r="A303" s="101">
        <v>45</v>
      </c>
      <c r="B303" s="130" t="s">
        <v>431</v>
      </c>
      <c r="C303" s="131"/>
      <c r="D303" s="537">
        <f>1.25+0.23+1.25</f>
        <v>2.73</v>
      </c>
      <c r="E303" s="537"/>
      <c r="F303" s="127"/>
      <c r="G303" s="117">
        <v>0.25</v>
      </c>
      <c r="H303" s="107">
        <v>25</v>
      </c>
      <c r="I303" s="108">
        <v>1</v>
      </c>
      <c r="J303" s="110">
        <f>ROUND(3.7/G303+1,0)</f>
        <v>16</v>
      </c>
      <c r="K303" s="118">
        <f>D303</f>
        <v>2.73</v>
      </c>
      <c r="L303" s="119" t="str">
        <f>IF(O303&lt;12,"0",0.049*H303)</f>
        <v>0</v>
      </c>
      <c r="M303" s="120">
        <v>0</v>
      </c>
      <c r="N303" s="108">
        <f>M303*2*H303/1000</f>
        <v>0</v>
      </c>
      <c r="O303" s="121">
        <f>(D303)-N303</f>
        <v>2.73</v>
      </c>
      <c r="P303" s="121">
        <f>(I303*J303*O303)+L303</f>
        <v>43.68</v>
      </c>
      <c r="Q303" s="113" t="str">
        <f t="shared" si="24"/>
        <v/>
      </c>
      <c r="R303" s="113" t="str">
        <f t="shared" si="25"/>
        <v/>
      </c>
      <c r="S303" s="113" t="str">
        <f t="shared" si="26"/>
        <v/>
      </c>
      <c r="T303" s="113" t="str">
        <f t="shared" si="27"/>
        <v/>
      </c>
      <c r="U303" s="113" t="str">
        <f t="shared" si="28"/>
        <v/>
      </c>
      <c r="V303" s="113">
        <f t="shared" si="29"/>
        <v>43.68</v>
      </c>
      <c r="W303" s="114"/>
    </row>
    <row r="304" spans="1:23">
      <c r="A304" s="101"/>
      <c r="B304" s="130" t="s">
        <v>296</v>
      </c>
      <c r="C304" s="116"/>
      <c r="D304" s="126"/>
      <c r="E304" s="126"/>
      <c r="F304" s="127"/>
      <c r="G304" s="117"/>
      <c r="H304" s="107"/>
      <c r="I304" s="108"/>
      <c r="J304" s="110"/>
      <c r="K304" s="118"/>
      <c r="L304" s="119"/>
      <c r="M304" s="120"/>
      <c r="N304" s="108"/>
      <c r="O304" s="121"/>
      <c r="P304" s="121"/>
      <c r="Q304" s="113" t="str">
        <f t="shared" si="24"/>
        <v/>
      </c>
      <c r="R304" s="113" t="str">
        <f t="shared" si="25"/>
        <v/>
      </c>
      <c r="S304" s="113" t="str">
        <f t="shared" si="26"/>
        <v/>
      </c>
      <c r="T304" s="113" t="str">
        <f t="shared" si="27"/>
        <v/>
      </c>
      <c r="U304" s="113" t="str">
        <f t="shared" si="28"/>
        <v/>
      </c>
      <c r="V304" s="113" t="str">
        <f t="shared" si="29"/>
        <v/>
      </c>
      <c r="W304" s="114"/>
    </row>
    <row r="305" spans="1:23">
      <c r="A305" s="101"/>
      <c r="B305" s="130"/>
      <c r="C305" s="116"/>
      <c r="D305" s="126"/>
      <c r="E305" s="126"/>
      <c r="F305" s="127"/>
      <c r="G305" s="117"/>
      <c r="H305" s="107"/>
      <c r="I305" s="108"/>
      <c r="J305" s="110"/>
      <c r="K305" s="118"/>
      <c r="L305" s="119"/>
      <c r="M305" s="120"/>
      <c r="N305" s="108"/>
      <c r="O305" s="121"/>
      <c r="P305" s="121"/>
      <c r="Q305" s="113" t="str">
        <f t="shared" si="24"/>
        <v/>
      </c>
      <c r="R305" s="113" t="str">
        <f t="shared" si="25"/>
        <v/>
      </c>
      <c r="S305" s="113" t="str">
        <f t="shared" si="26"/>
        <v/>
      </c>
      <c r="T305" s="113" t="str">
        <f t="shared" si="27"/>
        <v/>
      </c>
      <c r="U305" s="113" t="str">
        <f t="shared" si="28"/>
        <v/>
      </c>
      <c r="V305" s="113" t="str">
        <f t="shared" si="29"/>
        <v/>
      </c>
      <c r="W305" s="114"/>
    </row>
    <row r="306" spans="1:23" ht="15" customHeight="1">
      <c r="A306" s="101">
        <v>46</v>
      </c>
      <c r="B306" s="130" t="s">
        <v>432</v>
      </c>
      <c r="C306" s="131"/>
      <c r="D306" s="537">
        <f>1+1.7+1</f>
        <v>3.7</v>
      </c>
      <c r="E306" s="537"/>
      <c r="F306" s="127"/>
      <c r="G306" s="117">
        <v>0.25</v>
      </c>
      <c r="H306" s="107">
        <v>20</v>
      </c>
      <c r="I306" s="108">
        <v>1</v>
      </c>
      <c r="J306" s="110">
        <f>ROUND(2.73/G306+1,0)</f>
        <v>12</v>
      </c>
      <c r="K306" s="118">
        <f>D306</f>
        <v>3.7</v>
      </c>
      <c r="L306" s="119" t="str">
        <f>IF(O306&lt;12,"0",0.049*H306)</f>
        <v>0</v>
      </c>
      <c r="M306" s="120">
        <v>0</v>
      </c>
      <c r="N306" s="108">
        <f>M306*2*H306/1000</f>
        <v>0</v>
      </c>
      <c r="O306" s="121">
        <f>(D306)-N306</f>
        <v>3.7</v>
      </c>
      <c r="P306" s="121">
        <f>(I306*J306*O306)+L306</f>
        <v>44.400000000000006</v>
      </c>
      <c r="Q306" s="113" t="str">
        <f t="shared" si="24"/>
        <v/>
      </c>
      <c r="R306" s="113" t="str">
        <f t="shared" si="25"/>
        <v/>
      </c>
      <c r="S306" s="113" t="str">
        <f t="shared" si="26"/>
        <v/>
      </c>
      <c r="T306" s="113" t="str">
        <f t="shared" si="27"/>
        <v/>
      </c>
      <c r="U306" s="113">
        <f t="shared" si="28"/>
        <v>44.400000000000006</v>
      </c>
      <c r="V306" s="113" t="str">
        <f t="shared" si="29"/>
        <v/>
      </c>
      <c r="W306" s="114"/>
    </row>
    <row r="307" spans="1:23">
      <c r="A307" s="101"/>
      <c r="B307" s="130" t="s">
        <v>296</v>
      </c>
      <c r="C307" s="116"/>
      <c r="D307" s="126"/>
      <c r="E307" s="126"/>
      <c r="F307" s="127"/>
      <c r="G307" s="117"/>
      <c r="H307" s="107"/>
      <c r="I307" s="108"/>
      <c r="J307" s="110"/>
      <c r="K307" s="118"/>
      <c r="L307" s="119"/>
      <c r="M307" s="120"/>
      <c r="N307" s="108"/>
      <c r="O307" s="121"/>
      <c r="P307" s="121"/>
      <c r="Q307" s="113" t="str">
        <f t="shared" si="24"/>
        <v/>
      </c>
      <c r="R307" s="113" t="str">
        <f t="shared" si="25"/>
        <v/>
      </c>
      <c r="S307" s="113" t="str">
        <f t="shared" si="26"/>
        <v/>
      </c>
      <c r="T307" s="113" t="str">
        <f t="shared" si="27"/>
        <v/>
      </c>
      <c r="U307" s="113" t="str">
        <f t="shared" si="28"/>
        <v/>
      </c>
      <c r="V307" s="113" t="str">
        <f t="shared" si="29"/>
        <v/>
      </c>
      <c r="W307" s="114"/>
    </row>
    <row r="308" spans="1:23">
      <c r="A308" s="101"/>
      <c r="B308" s="130"/>
      <c r="C308" s="116"/>
      <c r="D308" s="126"/>
      <c r="E308" s="126"/>
      <c r="F308" s="127"/>
      <c r="G308" s="117"/>
      <c r="H308" s="107"/>
      <c r="I308" s="108"/>
      <c r="J308" s="110"/>
      <c r="K308" s="118"/>
      <c r="L308" s="119"/>
      <c r="M308" s="120"/>
      <c r="N308" s="108"/>
      <c r="O308" s="121"/>
      <c r="P308" s="121"/>
      <c r="Q308" s="113" t="str">
        <f t="shared" si="24"/>
        <v/>
      </c>
      <c r="R308" s="113" t="str">
        <f t="shared" si="25"/>
        <v/>
      </c>
      <c r="S308" s="113" t="str">
        <f t="shared" si="26"/>
        <v/>
      </c>
      <c r="T308" s="113" t="str">
        <f t="shared" si="27"/>
        <v/>
      </c>
      <c r="U308" s="113" t="str">
        <f t="shared" si="28"/>
        <v/>
      </c>
      <c r="V308" s="113" t="str">
        <f t="shared" si="29"/>
        <v/>
      </c>
      <c r="W308" s="114"/>
    </row>
    <row r="309" spans="1:23" ht="15" customHeight="1">
      <c r="A309" s="101">
        <v>47</v>
      </c>
      <c r="B309" s="130" t="s">
        <v>431</v>
      </c>
      <c r="C309" s="131"/>
      <c r="D309" s="537">
        <f>1+0.23+1</f>
        <v>2.23</v>
      </c>
      <c r="E309" s="537"/>
      <c r="F309" s="127"/>
      <c r="G309" s="117">
        <v>0.25</v>
      </c>
      <c r="H309" s="107">
        <v>20</v>
      </c>
      <c r="I309" s="108">
        <v>1</v>
      </c>
      <c r="J309" s="110">
        <f>ROUND(3.7/G309+1,0)</f>
        <v>16</v>
      </c>
      <c r="K309" s="118">
        <f>D309</f>
        <v>2.23</v>
      </c>
      <c r="L309" s="119" t="str">
        <f>IF(O309&lt;12,"0",0.049*H309)</f>
        <v>0</v>
      </c>
      <c r="M309" s="120">
        <v>0</v>
      </c>
      <c r="N309" s="108">
        <f>M309*2*H309/1000</f>
        <v>0</v>
      </c>
      <c r="O309" s="121">
        <f>(D309)-N309</f>
        <v>2.23</v>
      </c>
      <c r="P309" s="121">
        <f>(I309*J309*O309)+L309</f>
        <v>35.68</v>
      </c>
      <c r="Q309" s="113" t="str">
        <f t="shared" si="24"/>
        <v/>
      </c>
      <c r="R309" s="113" t="str">
        <f t="shared" si="25"/>
        <v/>
      </c>
      <c r="S309" s="113" t="str">
        <f t="shared" si="26"/>
        <v/>
      </c>
      <c r="T309" s="113" t="str">
        <f t="shared" si="27"/>
        <v/>
      </c>
      <c r="U309" s="113">
        <f t="shared" si="28"/>
        <v>35.68</v>
      </c>
      <c r="V309" s="113" t="str">
        <f t="shared" si="29"/>
        <v/>
      </c>
      <c r="W309" s="114"/>
    </row>
    <row r="310" spans="1:23">
      <c r="A310" s="101"/>
      <c r="B310" s="130" t="s">
        <v>297</v>
      </c>
      <c r="C310" s="116"/>
      <c r="D310" s="126"/>
      <c r="E310" s="126"/>
      <c r="F310" s="127"/>
      <c r="G310" s="117"/>
      <c r="H310" s="107"/>
      <c r="I310" s="108"/>
      <c r="J310" s="110"/>
      <c r="K310" s="118"/>
      <c r="L310" s="119"/>
      <c r="M310" s="120"/>
      <c r="N310" s="108"/>
      <c r="O310" s="121"/>
      <c r="P310" s="121"/>
      <c r="Q310" s="113" t="str">
        <f t="shared" si="24"/>
        <v/>
      </c>
      <c r="R310" s="113" t="str">
        <f t="shared" si="25"/>
        <v/>
      </c>
      <c r="S310" s="113" t="str">
        <f t="shared" si="26"/>
        <v/>
      </c>
      <c r="T310" s="113" t="str">
        <f t="shared" si="27"/>
        <v/>
      </c>
      <c r="U310" s="113" t="str">
        <f t="shared" si="28"/>
        <v/>
      </c>
      <c r="V310" s="113" t="str">
        <f t="shared" si="29"/>
        <v/>
      </c>
      <c r="W310" s="114"/>
    </row>
    <row r="311" spans="1:23">
      <c r="A311" s="101"/>
      <c r="B311" s="130"/>
      <c r="C311" s="116"/>
      <c r="D311" s="126"/>
      <c r="E311" s="126"/>
      <c r="F311" s="127"/>
      <c r="G311" s="117"/>
      <c r="H311" s="107"/>
      <c r="I311" s="108"/>
      <c r="J311" s="110"/>
      <c r="K311" s="118"/>
      <c r="L311" s="119"/>
      <c r="M311" s="120"/>
      <c r="N311" s="108"/>
      <c r="O311" s="121"/>
      <c r="P311" s="121"/>
      <c r="Q311" s="113" t="str">
        <f t="shared" si="24"/>
        <v/>
      </c>
      <c r="R311" s="113" t="str">
        <f t="shared" si="25"/>
        <v/>
      </c>
      <c r="S311" s="113" t="str">
        <f t="shared" si="26"/>
        <v/>
      </c>
      <c r="T311" s="113" t="str">
        <f t="shared" si="27"/>
        <v/>
      </c>
      <c r="U311" s="113" t="str">
        <f t="shared" si="28"/>
        <v/>
      </c>
      <c r="V311" s="113" t="str">
        <f t="shared" si="29"/>
        <v/>
      </c>
      <c r="W311" s="114"/>
    </row>
    <row r="312" spans="1:23" ht="15" customHeight="1">
      <c r="A312" s="101">
        <v>48</v>
      </c>
      <c r="B312" s="130" t="s">
        <v>432</v>
      </c>
      <c r="C312" s="131"/>
      <c r="D312" s="537">
        <f>1+1.7+1</f>
        <v>3.7</v>
      </c>
      <c r="E312" s="537"/>
      <c r="F312" s="127"/>
      <c r="G312" s="117">
        <v>0.25</v>
      </c>
      <c r="H312" s="107">
        <v>20</v>
      </c>
      <c r="I312" s="108">
        <v>1</v>
      </c>
      <c r="J312" s="110">
        <f>ROUND(2.23/G312+1,0)</f>
        <v>10</v>
      </c>
      <c r="K312" s="118">
        <f>D312</f>
        <v>3.7</v>
      </c>
      <c r="L312" s="119" t="str">
        <f>IF(O312&lt;12,"0",0.049*H312)</f>
        <v>0</v>
      </c>
      <c r="M312" s="120">
        <v>0</v>
      </c>
      <c r="N312" s="108">
        <f>M312*2*H312/1000</f>
        <v>0</v>
      </c>
      <c r="O312" s="121">
        <f>(D312)-N312</f>
        <v>3.7</v>
      </c>
      <c r="P312" s="121">
        <f>(I312*J312*O312)+L312</f>
        <v>37</v>
      </c>
      <c r="Q312" s="113" t="str">
        <f t="shared" si="24"/>
        <v/>
      </c>
      <c r="R312" s="113" t="str">
        <f t="shared" si="25"/>
        <v/>
      </c>
      <c r="S312" s="113" t="str">
        <f t="shared" si="26"/>
        <v/>
      </c>
      <c r="T312" s="113" t="str">
        <f t="shared" si="27"/>
        <v/>
      </c>
      <c r="U312" s="113">
        <f t="shared" si="28"/>
        <v>37</v>
      </c>
      <c r="V312" s="113" t="str">
        <f t="shared" si="29"/>
        <v/>
      </c>
      <c r="W312" s="114"/>
    </row>
    <row r="313" spans="1:23">
      <c r="A313" s="101"/>
      <c r="B313" s="130" t="s">
        <v>297</v>
      </c>
      <c r="C313" s="116"/>
      <c r="D313" s="126"/>
      <c r="E313" s="126"/>
      <c r="F313" s="127"/>
      <c r="G313" s="117"/>
      <c r="H313" s="107"/>
      <c r="I313" s="108"/>
      <c r="J313" s="110"/>
      <c r="K313" s="118"/>
      <c r="L313" s="119"/>
      <c r="M313" s="120"/>
      <c r="N313" s="108"/>
      <c r="O313" s="121"/>
      <c r="P313" s="121"/>
      <c r="Q313" s="113" t="str">
        <f t="shared" si="24"/>
        <v/>
      </c>
      <c r="R313" s="113" t="str">
        <f t="shared" si="25"/>
        <v/>
      </c>
      <c r="S313" s="113" t="str">
        <f t="shared" si="26"/>
        <v/>
      </c>
      <c r="T313" s="113" t="str">
        <f t="shared" si="27"/>
        <v/>
      </c>
      <c r="U313" s="113" t="str">
        <f t="shared" si="28"/>
        <v/>
      </c>
      <c r="V313" s="113" t="str">
        <f t="shared" si="29"/>
        <v/>
      </c>
      <c r="W313" s="114"/>
    </row>
    <row r="314" spans="1:23">
      <c r="A314" s="101"/>
      <c r="B314" s="130"/>
      <c r="C314" s="116"/>
      <c r="D314" s="126"/>
      <c r="E314" s="126"/>
      <c r="F314" s="127"/>
      <c r="G314" s="117"/>
      <c r="H314" s="107"/>
      <c r="I314" s="108"/>
      <c r="J314" s="110"/>
      <c r="K314" s="118"/>
      <c r="L314" s="119"/>
      <c r="M314" s="120"/>
      <c r="N314" s="108"/>
      <c r="O314" s="121"/>
      <c r="P314" s="121"/>
      <c r="Q314" s="113" t="str">
        <f t="shared" si="24"/>
        <v/>
      </c>
      <c r="R314" s="113" t="str">
        <f t="shared" si="25"/>
        <v/>
      </c>
      <c r="S314" s="113" t="str">
        <f t="shared" si="26"/>
        <v/>
      </c>
      <c r="T314" s="113" t="str">
        <f t="shared" si="27"/>
        <v/>
      </c>
      <c r="U314" s="113" t="str">
        <f t="shared" si="28"/>
        <v/>
      </c>
      <c r="V314" s="113" t="str">
        <f t="shared" si="29"/>
        <v/>
      </c>
      <c r="W314" s="114"/>
    </row>
    <row r="315" spans="1:23" ht="15" customHeight="1">
      <c r="A315" s="101">
        <v>49</v>
      </c>
      <c r="B315" s="130" t="s">
        <v>431</v>
      </c>
      <c r="C315" s="131"/>
      <c r="D315" s="537">
        <f>1+1.5-0.17+0.47+0.515+1.17+0.115+1</f>
        <v>5.6</v>
      </c>
      <c r="E315" s="537"/>
      <c r="F315" s="127"/>
      <c r="G315" s="117">
        <v>0.25</v>
      </c>
      <c r="H315" s="107">
        <v>20</v>
      </c>
      <c r="I315" s="108">
        <v>1</v>
      </c>
      <c r="J315" s="110">
        <f>ROUND(4.725/G315+1,0)</f>
        <v>20</v>
      </c>
      <c r="K315" s="118">
        <f>D315</f>
        <v>5.6</v>
      </c>
      <c r="L315" s="119" t="str">
        <f>IF(O315&lt;12,"0",0.049*H315)</f>
        <v>0</v>
      </c>
      <c r="M315" s="120">
        <v>0</v>
      </c>
      <c r="N315" s="108">
        <f>M315*2*H315/1000</f>
        <v>0</v>
      </c>
      <c r="O315" s="121">
        <f>(D315)-N315</f>
        <v>5.6</v>
      </c>
      <c r="P315" s="121">
        <f>(I315*J315*O315)+L315</f>
        <v>112</v>
      </c>
      <c r="Q315" s="113" t="str">
        <f t="shared" si="24"/>
        <v/>
      </c>
      <c r="R315" s="113" t="str">
        <f t="shared" si="25"/>
        <v/>
      </c>
      <c r="S315" s="113" t="str">
        <f t="shared" si="26"/>
        <v/>
      </c>
      <c r="T315" s="113" t="str">
        <f t="shared" si="27"/>
        <v/>
      </c>
      <c r="U315" s="113">
        <f t="shared" si="28"/>
        <v>112</v>
      </c>
      <c r="V315" s="113" t="str">
        <f t="shared" si="29"/>
        <v/>
      </c>
      <c r="W315" s="114"/>
    </row>
    <row r="316" spans="1:23">
      <c r="A316" s="101"/>
      <c r="B316" s="130" t="s">
        <v>298</v>
      </c>
      <c r="C316" s="116"/>
      <c r="D316" s="126"/>
      <c r="E316" s="126"/>
      <c r="F316" s="127"/>
      <c r="G316" s="117"/>
      <c r="H316" s="107"/>
      <c r="I316" s="108"/>
      <c r="J316" s="110"/>
      <c r="K316" s="118"/>
      <c r="L316" s="119"/>
      <c r="M316" s="120"/>
      <c r="N316" s="108"/>
      <c r="O316" s="121"/>
      <c r="P316" s="121"/>
      <c r="Q316" s="113" t="str">
        <f t="shared" si="24"/>
        <v/>
      </c>
      <c r="R316" s="113" t="str">
        <f t="shared" si="25"/>
        <v/>
      </c>
      <c r="S316" s="113" t="str">
        <f t="shared" si="26"/>
        <v/>
      </c>
      <c r="T316" s="113" t="str">
        <f t="shared" si="27"/>
        <v/>
      </c>
      <c r="U316" s="113" t="str">
        <f t="shared" si="28"/>
        <v/>
      </c>
      <c r="V316" s="113" t="str">
        <f t="shared" si="29"/>
        <v/>
      </c>
      <c r="W316" s="114"/>
    </row>
    <row r="317" spans="1:23">
      <c r="A317" s="101"/>
      <c r="B317" s="130"/>
      <c r="C317" s="116"/>
      <c r="D317" s="126"/>
      <c r="E317" s="126"/>
      <c r="F317" s="127"/>
      <c r="G317" s="117"/>
      <c r="H317" s="107"/>
      <c r="I317" s="108"/>
      <c r="J317" s="110"/>
      <c r="K317" s="118"/>
      <c r="L317" s="119"/>
      <c r="M317" s="120"/>
      <c r="N317" s="108"/>
      <c r="O317" s="121"/>
      <c r="P317" s="121"/>
      <c r="Q317" s="113" t="str">
        <f t="shared" si="24"/>
        <v/>
      </c>
      <c r="R317" s="113" t="str">
        <f t="shared" si="25"/>
        <v/>
      </c>
      <c r="S317" s="113" t="str">
        <f t="shared" si="26"/>
        <v/>
      </c>
      <c r="T317" s="113" t="str">
        <f t="shared" si="27"/>
        <v/>
      </c>
      <c r="U317" s="113" t="str">
        <f t="shared" si="28"/>
        <v/>
      </c>
      <c r="V317" s="113" t="str">
        <f t="shared" si="29"/>
        <v/>
      </c>
      <c r="W317" s="114"/>
    </row>
    <row r="318" spans="1:23" ht="15" customHeight="1">
      <c r="A318" s="101">
        <v>50</v>
      </c>
      <c r="B318" s="130" t="s">
        <v>432</v>
      </c>
      <c r="C318" s="131"/>
      <c r="D318" s="537">
        <f>1.25+1.855-0.23+0.6+1.25</f>
        <v>4.7249999999999996</v>
      </c>
      <c r="E318" s="537"/>
      <c r="F318" s="127"/>
      <c r="G318" s="117">
        <v>0.25</v>
      </c>
      <c r="H318" s="107">
        <v>25</v>
      </c>
      <c r="I318" s="108">
        <v>1</v>
      </c>
      <c r="J318" s="110">
        <f>ROUND(5.6/G318+1,0)</f>
        <v>23</v>
      </c>
      <c r="K318" s="118">
        <f>D318</f>
        <v>4.7249999999999996</v>
      </c>
      <c r="L318" s="119" t="str">
        <f>IF(O318&lt;12,"0",0.049*H318)</f>
        <v>0</v>
      </c>
      <c r="M318" s="120">
        <v>0</v>
      </c>
      <c r="N318" s="108">
        <f>M318*2*H318/1000</f>
        <v>0</v>
      </c>
      <c r="O318" s="121">
        <f>(D318)-N318</f>
        <v>4.7249999999999996</v>
      </c>
      <c r="P318" s="121">
        <f>(I318*J318*O318)+L318</f>
        <v>108.675</v>
      </c>
      <c r="Q318" s="113" t="str">
        <f t="shared" si="24"/>
        <v/>
      </c>
      <c r="R318" s="113" t="str">
        <f t="shared" si="25"/>
        <v/>
      </c>
      <c r="S318" s="113" t="str">
        <f t="shared" si="26"/>
        <v/>
      </c>
      <c r="T318" s="113" t="str">
        <f t="shared" si="27"/>
        <v/>
      </c>
      <c r="U318" s="113" t="str">
        <f t="shared" si="28"/>
        <v/>
      </c>
      <c r="V318" s="113">
        <f t="shared" si="29"/>
        <v>108.675</v>
      </c>
      <c r="W318" s="114"/>
    </row>
    <row r="319" spans="1:23">
      <c r="A319" s="101"/>
      <c r="B319" s="130" t="s">
        <v>298</v>
      </c>
      <c r="C319" s="116"/>
      <c r="D319" s="126"/>
      <c r="E319" s="126"/>
      <c r="F319" s="127"/>
      <c r="G319" s="117"/>
      <c r="H319" s="107"/>
      <c r="I319" s="108"/>
      <c r="J319" s="110"/>
      <c r="K319" s="118"/>
      <c r="L319" s="119"/>
      <c r="M319" s="120"/>
      <c r="N319" s="108"/>
      <c r="O319" s="121"/>
      <c r="P319" s="121"/>
      <c r="Q319" s="113" t="str">
        <f t="shared" si="24"/>
        <v/>
      </c>
      <c r="R319" s="113" t="str">
        <f t="shared" si="25"/>
        <v/>
      </c>
      <c r="S319" s="113" t="str">
        <f t="shared" si="26"/>
        <v/>
      </c>
      <c r="T319" s="113" t="str">
        <f t="shared" si="27"/>
        <v/>
      </c>
      <c r="U319" s="113" t="str">
        <f t="shared" si="28"/>
        <v/>
      </c>
      <c r="V319" s="113" t="str">
        <f t="shared" si="29"/>
        <v/>
      </c>
      <c r="W319" s="114"/>
    </row>
    <row r="320" spans="1:23">
      <c r="A320" s="101"/>
      <c r="B320" s="130"/>
      <c r="C320" s="116"/>
      <c r="D320" s="126"/>
      <c r="E320" s="126"/>
      <c r="F320" s="127"/>
      <c r="G320" s="117"/>
      <c r="H320" s="107"/>
      <c r="I320" s="108"/>
      <c r="J320" s="110"/>
      <c r="K320" s="118"/>
      <c r="L320" s="119"/>
      <c r="M320" s="120"/>
      <c r="N320" s="108"/>
      <c r="O320" s="121"/>
      <c r="P320" s="121"/>
      <c r="Q320" s="113" t="str">
        <f t="shared" si="24"/>
        <v/>
      </c>
      <c r="R320" s="113" t="str">
        <f t="shared" si="25"/>
        <v/>
      </c>
      <c r="S320" s="113" t="str">
        <f t="shared" si="26"/>
        <v/>
      </c>
      <c r="T320" s="113" t="str">
        <f t="shared" si="27"/>
        <v/>
      </c>
      <c r="U320" s="113" t="str">
        <f t="shared" si="28"/>
        <v/>
      </c>
      <c r="V320" s="113" t="str">
        <f t="shared" si="29"/>
        <v/>
      </c>
      <c r="W320" s="114"/>
    </row>
    <row r="321" spans="1:23" ht="15" customHeight="1">
      <c r="A321" s="101">
        <v>51</v>
      </c>
      <c r="B321" s="130" t="s">
        <v>431</v>
      </c>
      <c r="C321" s="131"/>
      <c r="D321" s="537">
        <f>1.25+3.6+1.25</f>
        <v>6.1</v>
      </c>
      <c r="E321" s="537"/>
      <c r="F321" s="127"/>
      <c r="G321" s="117">
        <v>0.25</v>
      </c>
      <c r="H321" s="107">
        <v>25</v>
      </c>
      <c r="I321" s="108">
        <v>1</v>
      </c>
      <c r="J321" s="110">
        <f>ROUND(2.73/G321+1,0)</f>
        <v>12</v>
      </c>
      <c r="K321" s="118">
        <f>D321</f>
        <v>6.1</v>
      </c>
      <c r="L321" s="119" t="str">
        <f>IF(O321&lt;12,"0",0.049*H321)</f>
        <v>0</v>
      </c>
      <c r="M321" s="120">
        <v>0</v>
      </c>
      <c r="N321" s="108">
        <f>M321*2*H321/1000</f>
        <v>0</v>
      </c>
      <c r="O321" s="121">
        <f>(D321)-N321</f>
        <v>6.1</v>
      </c>
      <c r="P321" s="121">
        <f>(I321*J321*O321)+L321</f>
        <v>73.199999999999989</v>
      </c>
      <c r="Q321" s="113" t="str">
        <f t="shared" si="24"/>
        <v/>
      </c>
      <c r="R321" s="113" t="str">
        <f t="shared" si="25"/>
        <v/>
      </c>
      <c r="S321" s="113" t="str">
        <f t="shared" si="26"/>
        <v/>
      </c>
      <c r="T321" s="113" t="str">
        <f t="shared" si="27"/>
        <v/>
      </c>
      <c r="U321" s="113" t="str">
        <f t="shared" si="28"/>
        <v/>
      </c>
      <c r="V321" s="113">
        <f t="shared" si="29"/>
        <v>73.199999999999989</v>
      </c>
      <c r="W321" s="114"/>
    </row>
    <row r="322" spans="1:23">
      <c r="A322" s="101"/>
      <c r="B322" s="130" t="s">
        <v>299</v>
      </c>
      <c r="C322" s="116"/>
      <c r="D322" s="126"/>
      <c r="E322" s="126"/>
      <c r="F322" s="127"/>
      <c r="G322" s="117"/>
      <c r="H322" s="107"/>
      <c r="I322" s="108"/>
      <c r="J322" s="110"/>
      <c r="K322" s="118"/>
      <c r="L322" s="119"/>
      <c r="M322" s="120"/>
      <c r="N322" s="108"/>
      <c r="O322" s="121"/>
      <c r="P322" s="121"/>
      <c r="Q322" s="113" t="str">
        <f t="shared" si="24"/>
        <v/>
      </c>
      <c r="R322" s="113" t="str">
        <f t="shared" si="25"/>
        <v/>
      </c>
      <c r="S322" s="113" t="str">
        <f t="shared" si="26"/>
        <v/>
      </c>
      <c r="T322" s="113" t="str">
        <f t="shared" si="27"/>
        <v/>
      </c>
      <c r="U322" s="113" t="str">
        <f t="shared" si="28"/>
        <v/>
      </c>
      <c r="V322" s="113" t="str">
        <f t="shared" si="29"/>
        <v/>
      </c>
      <c r="W322" s="114"/>
    </row>
    <row r="323" spans="1:23">
      <c r="A323" s="101"/>
      <c r="B323" s="130"/>
      <c r="C323" s="116"/>
      <c r="D323" s="126"/>
      <c r="E323" s="126"/>
      <c r="F323" s="127"/>
      <c r="G323" s="117"/>
      <c r="H323" s="107"/>
      <c r="I323" s="108"/>
      <c r="J323" s="110"/>
      <c r="K323" s="118"/>
      <c r="L323" s="119"/>
      <c r="M323" s="120"/>
      <c r="N323" s="108"/>
      <c r="O323" s="121"/>
      <c r="P323" s="121"/>
      <c r="Q323" s="113" t="str">
        <f t="shared" si="24"/>
        <v/>
      </c>
      <c r="R323" s="113" t="str">
        <f t="shared" si="25"/>
        <v/>
      </c>
      <c r="S323" s="113" t="str">
        <f t="shared" si="26"/>
        <v/>
      </c>
      <c r="T323" s="113" t="str">
        <f t="shared" si="27"/>
        <v/>
      </c>
      <c r="U323" s="113" t="str">
        <f t="shared" si="28"/>
        <v/>
      </c>
      <c r="V323" s="113" t="str">
        <f t="shared" si="29"/>
        <v/>
      </c>
      <c r="W323" s="114"/>
    </row>
    <row r="324" spans="1:23" ht="15" customHeight="1">
      <c r="A324" s="101">
        <v>52</v>
      </c>
      <c r="B324" s="130" t="s">
        <v>432</v>
      </c>
      <c r="C324" s="131"/>
      <c r="D324" s="537">
        <f>1.25+0.23+1.25</f>
        <v>2.73</v>
      </c>
      <c r="E324" s="537"/>
      <c r="F324" s="127"/>
      <c r="G324" s="117">
        <v>0.25</v>
      </c>
      <c r="H324" s="107">
        <v>25</v>
      </c>
      <c r="I324" s="108">
        <v>1</v>
      </c>
      <c r="J324" s="110">
        <f>ROUND(6.1/G324+1,0)</f>
        <v>25</v>
      </c>
      <c r="K324" s="118">
        <f>D324</f>
        <v>2.73</v>
      </c>
      <c r="L324" s="119" t="str">
        <f>IF(O324&lt;12,"0",0.049*H324)</f>
        <v>0</v>
      </c>
      <c r="M324" s="120">
        <v>0</v>
      </c>
      <c r="N324" s="108">
        <f>M324*2*H324/1000</f>
        <v>0</v>
      </c>
      <c r="O324" s="121">
        <f>(D324)-N324</f>
        <v>2.73</v>
      </c>
      <c r="P324" s="121">
        <f>(I324*J324*O324)+L324</f>
        <v>68.25</v>
      </c>
      <c r="Q324" s="113" t="str">
        <f t="shared" si="24"/>
        <v/>
      </c>
      <c r="R324" s="113" t="str">
        <f t="shared" si="25"/>
        <v/>
      </c>
      <c r="S324" s="113" t="str">
        <f t="shared" si="26"/>
        <v/>
      </c>
      <c r="T324" s="113" t="str">
        <f t="shared" si="27"/>
        <v/>
      </c>
      <c r="U324" s="113" t="str">
        <f t="shared" si="28"/>
        <v/>
      </c>
      <c r="V324" s="113">
        <f t="shared" si="29"/>
        <v>68.25</v>
      </c>
      <c r="W324" s="114"/>
    </row>
    <row r="325" spans="1:23">
      <c r="A325" s="101"/>
      <c r="B325" s="130" t="s">
        <v>299</v>
      </c>
      <c r="C325" s="116"/>
      <c r="D325" s="126"/>
      <c r="E325" s="126"/>
      <c r="F325" s="127"/>
      <c r="G325" s="117"/>
      <c r="H325" s="107"/>
      <c r="I325" s="108"/>
      <c r="J325" s="110"/>
      <c r="K325" s="118"/>
      <c r="L325" s="119"/>
      <c r="M325" s="120"/>
      <c r="N325" s="108"/>
      <c r="O325" s="121"/>
      <c r="P325" s="121"/>
      <c r="Q325" s="113" t="str">
        <f t="shared" si="24"/>
        <v/>
      </c>
      <c r="R325" s="113" t="str">
        <f t="shared" si="25"/>
        <v/>
      </c>
      <c r="S325" s="113" t="str">
        <f t="shared" si="26"/>
        <v/>
      </c>
      <c r="T325" s="113" t="str">
        <f t="shared" si="27"/>
        <v/>
      </c>
      <c r="U325" s="113" t="str">
        <f t="shared" si="28"/>
        <v/>
      </c>
      <c r="V325" s="113" t="str">
        <f t="shared" si="29"/>
        <v/>
      </c>
      <c r="W325" s="114"/>
    </row>
    <row r="326" spans="1:23">
      <c r="A326" s="101"/>
      <c r="B326" s="130"/>
      <c r="C326" s="116"/>
      <c r="D326" s="126"/>
      <c r="E326" s="126"/>
      <c r="F326" s="127"/>
      <c r="G326" s="117"/>
      <c r="H326" s="107"/>
      <c r="I326" s="108"/>
      <c r="J326" s="110"/>
      <c r="K326" s="118"/>
      <c r="L326" s="119"/>
      <c r="M326" s="120"/>
      <c r="N326" s="108"/>
      <c r="O326" s="121"/>
      <c r="P326" s="121"/>
      <c r="Q326" s="113" t="str">
        <f t="shared" si="24"/>
        <v/>
      </c>
      <c r="R326" s="113" t="str">
        <f t="shared" si="25"/>
        <v/>
      </c>
      <c r="S326" s="113" t="str">
        <f t="shared" si="26"/>
        <v/>
      </c>
      <c r="T326" s="113" t="str">
        <f t="shared" si="27"/>
        <v/>
      </c>
      <c r="U326" s="113" t="str">
        <f t="shared" si="28"/>
        <v/>
      </c>
      <c r="V326" s="113" t="str">
        <f t="shared" si="29"/>
        <v/>
      </c>
      <c r="W326" s="114"/>
    </row>
    <row r="327" spans="1:23" ht="15" customHeight="1">
      <c r="A327" s="101">
        <v>53</v>
      </c>
      <c r="B327" s="130" t="s">
        <v>431</v>
      </c>
      <c r="C327" s="131"/>
      <c r="D327" s="537">
        <f>1+0.75+1</f>
        <v>2.75</v>
      </c>
      <c r="E327" s="537"/>
      <c r="F327" s="127"/>
      <c r="G327" s="117">
        <v>0.25</v>
      </c>
      <c r="H327" s="107">
        <v>25</v>
      </c>
      <c r="I327" s="108">
        <v>1</v>
      </c>
      <c r="J327" s="110">
        <f>ROUND(2.8/G327+1,0)</f>
        <v>12</v>
      </c>
      <c r="K327" s="118">
        <f>D327</f>
        <v>2.75</v>
      </c>
      <c r="L327" s="119" t="str">
        <f>IF(O327&lt;12,"0",0.049*H327)</f>
        <v>0</v>
      </c>
      <c r="M327" s="120">
        <v>0</v>
      </c>
      <c r="N327" s="108">
        <f>M327*2*H327/1000</f>
        <v>0</v>
      </c>
      <c r="O327" s="121">
        <f>(D327)-N327</f>
        <v>2.75</v>
      </c>
      <c r="P327" s="121">
        <f>(I327*J327*O327)+L327</f>
        <v>33</v>
      </c>
      <c r="Q327" s="113" t="str">
        <f t="shared" si="24"/>
        <v/>
      </c>
      <c r="R327" s="113" t="str">
        <f t="shared" si="25"/>
        <v/>
      </c>
      <c r="S327" s="113" t="str">
        <f t="shared" si="26"/>
        <v/>
      </c>
      <c r="T327" s="113" t="str">
        <f t="shared" si="27"/>
        <v/>
      </c>
      <c r="U327" s="113" t="str">
        <f t="shared" si="28"/>
        <v/>
      </c>
      <c r="V327" s="113">
        <f t="shared" si="29"/>
        <v>33</v>
      </c>
      <c r="W327" s="114"/>
    </row>
    <row r="328" spans="1:23">
      <c r="A328" s="101"/>
      <c r="B328" s="130" t="s">
        <v>300</v>
      </c>
      <c r="C328" s="116"/>
      <c r="D328" s="126"/>
      <c r="E328" s="126"/>
      <c r="F328" s="127"/>
      <c r="G328" s="117"/>
      <c r="H328" s="107"/>
      <c r="I328" s="108"/>
      <c r="J328" s="110"/>
      <c r="K328" s="118"/>
      <c r="L328" s="119"/>
      <c r="M328" s="120"/>
      <c r="N328" s="108"/>
      <c r="O328" s="121"/>
      <c r="P328" s="121"/>
      <c r="Q328" s="113" t="str">
        <f t="shared" si="24"/>
        <v/>
      </c>
      <c r="R328" s="113" t="str">
        <f t="shared" si="25"/>
        <v/>
      </c>
      <c r="S328" s="113" t="str">
        <f t="shared" si="26"/>
        <v/>
      </c>
      <c r="T328" s="113" t="str">
        <f t="shared" si="27"/>
        <v/>
      </c>
      <c r="U328" s="113" t="str">
        <f t="shared" si="28"/>
        <v/>
      </c>
      <c r="V328" s="113" t="str">
        <f t="shared" si="29"/>
        <v/>
      </c>
      <c r="W328" s="114"/>
    </row>
    <row r="329" spans="1:23">
      <c r="A329" s="101"/>
      <c r="B329" s="130"/>
      <c r="C329" s="116"/>
      <c r="D329" s="126"/>
      <c r="E329" s="126"/>
      <c r="F329" s="127"/>
      <c r="G329" s="117"/>
      <c r="H329" s="107"/>
      <c r="I329" s="108"/>
      <c r="J329" s="110"/>
      <c r="K329" s="118"/>
      <c r="L329" s="119"/>
      <c r="M329" s="120"/>
      <c r="N329" s="108"/>
      <c r="O329" s="121"/>
      <c r="P329" s="121"/>
      <c r="Q329" s="113" t="str">
        <f t="shared" si="24"/>
        <v/>
      </c>
      <c r="R329" s="113" t="str">
        <f t="shared" si="25"/>
        <v/>
      </c>
      <c r="S329" s="113" t="str">
        <f t="shared" si="26"/>
        <v/>
      </c>
      <c r="T329" s="113" t="str">
        <f t="shared" si="27"/>
        <v/>
      </c>
      <c r="U329" s="113" t="str">
        <f t="shared" si="28"/>
        <v/>
      </c>
      <c r="V329" s="113" t="str">
        <f t="shared" si="29"/>
        <v/>
      </c>
      <c r="W329" s="114"/>
    </row>
    <row r="330" spans="1:23" ht="15" customHeight="1">
      <c r="A330" s="101">
        <v>54</v>
      </c>
      <c r="B330" s="130" t="s">
        <v>431</v>
      </c>
      <c r="C330" s="131"/>
      <c r="D330" s="537">
        <f>1.25+0.3+1.25</f>
        <v>2.8</v>
      </c>
      <c r="E330" s="537"/>
      <c r="F330" s="127"/>
      <c r="G330" s="117">
        <v>0.25</v>
      </c>
      <c r="H330" s="107">
        <v>20</v>
      </c>
      <c r="I330" s="108">
        <v>1</v>
      </c>
      <c r="J330" s="110">
        <f>ROUND(2.75/G330+1,0)</f>
        <v>12</v>
      </c>
      <c r="K330" s="118">
        <f>D330</f>
        <v>2.8</v>
      </c>
      <c r="L330" s="119" t="str">
        <f>IF(O330&lt;12,"0",0.049*H330)</f>
        <v>0</v>
      </c>
      <c r="M330" s="120">
        <v>0</v>
      </c>
      <c r="N330" s="108">
        <f>M330*2*H330/1000</f>
        <v>0</v>
      </c>
      <c r="O330" s="121">
        <f>(D330)-N330</f>
        <v>2.8</v>
      </c>
      <c r="P330" s="121">
        <f>(I330*J330*O330)+L330</f>
        <v>33.599999999999994</v>
      </c>
      <c r="Q330" s="113" t="str">
        <f t="shared" si="24"/>
        <v/>
      </c>
      <c r="R330" s="113" t="str">
        <f t="shared" si="25"/>
        <v/>
      </c>
      <c r="S330" s="113" t="str">
        <f t="shared" si="26"/>
        <v/>
      </c>
      <c r="T330" s="113" t="str">
        <f t="shared" si="27"/>
        <v/>
      </c>
      <c r="U330" s="113">
        <f t="shared" si="28"/>
        <v>33.599999999999994</v>
      </c>
      <c r="V330" s="113" t="str">
        <f t="shared" si="29"/>
        <v/>
      </c>
      <c r="W330" s="114"/>
    </row>
    <row r="331" spans="1:23">
      <c r="A331" s="101"/>
      <c r="B331" s="130" t="s">
        <v>300</v>
      </c>
      <c r="C331" s="116"/>
      <c r="D331" s="126"/>
      <c r="E331" s="126"/>
      <c r="F331" s="127"/>
      <c r="G331" s="117"/>
      <c r="H331" s="107"/>
      <c r="I331" s="108"/>
      <c r="J331" s="110"/>
      <c r="K331" s="118"/>
      <c r="L331" s="119"/>
      <c r="M331" s="120"/>
      <c r="N331" s="108"/>
      <c r="O331" s="121"/>
      <c r="P331" s="121"/>
      <c r="Q331" s="113" t="str">
        <f t="shared" si="24"/>
        <v/>
      </c>
      <c r="R331" s="113" t="str">
        <f t="shared" si="25"/>
        <v/>
      </c>
      <c r="S331" s="113" t="str">
        <f t="shared" si="26"/>
        <v/>
      </c>
      <c r="T331" s="113" t="str">
        <f t="shared" si="27"/>
        <v/>
      </c>
      <c r="U331" s="113" t="str">
        <f t="shared" si="28"/>
        <v/>
      </c>
      <c r="V331" s="113" t="str">
        <f t="shared" si="29"/>
        <v/>
      </c>
      <c r="W331" s="114"/>
    </row>
    <row r="332" spans="1:23">
      <c r="A332" s="101"/>
      <c r="B332" s="130"/>
      <c r="C332" s="116"/>
      <c r="D332" s="126"/>
      <c r="E332" s="126"/>
      <c r="F332" s="127"/>
      <c r="G332" s="117"/>
      <c r="H332" s="107"/>
      <c r="I332" s="108"/>
      <c r="J332" s="110"/>
      <c r="K332" s="118"/>
      <c r="L332" s="119"/>
      <c r="M332" s="120"/>
      <c r="N332" s="108"/>
      <c r="O332" s="121"/>
      <c r="P332" s="121"/>
      <c r="Q332" s="113" t="str">
        <f t="shared" si="24"/>
        <v/>
      </c>
      <c r="R332" s="113" t="str">
        <f t="shared" si="25"/>
        <v/>
      </c>
      <c r="S332" s="113" t="str">
        <f t="shared" si="26"/>
        <v/>
      </c>
      <c r="T332" s="113" t="str">
        <f t="shared" si="27"/>
        <v/>
      </c>
      <c r="U332" s="113" t="str">
        <f t="shared" si="28"/>
        <v/>
      </c>
      <c r="V332" s="113" t="str">
        <f t="shared" si="29"/>
        <v/>
      </c>
      <c r="W332" s="114"/>
    </row>
    <row r="333" spans="1:23" ht="15" customHeight="1">
      <c r="A333" s="101">
        <v>55</v>
      </c>
      <c r="B333" s="130" t="s">
        <v>432</v>
      </c>
      <c r="C333" s="131"/>
      <c r="D333" s="537">
        <v>2.75</v>
      </c>
      <c r="E333" s="537"/>
      <c r="F333" s="127"/>
      <c r="G333" s="117">
        <v>0.25</v>
      </c>
      <c r="H333" s="107">
        <v>25</v>
      </c>
      <c r="I333" s="108">
        <v>1</v>
      </c>
      <c r="J333" s="110">
        <f>ROUND(2.75/G333+1,0)</f>
        <v>12</v>
      </c>
      <c r="K333" s="118">
        <f>D333</f>
        <v>2.75</v>
      </c>
      <c r="L333" s="119" t="str">
        <f>IF(O333&lt;12,"0",0.049*H333)</f>
        <v>0</v>
      </c>
      <c r="M333" s="120">
        <v>0</v>
      </c>
      <c r="N333" s="108">
        <f>M333*2*H333/1000</f>
        <v>0</v>
      </c>
      <c r="O333" s="121">
        <f>(D333)-N333</f>
        <v>2.75</v>
      </c>
      <c r="P333" s="121">
        <f>(I333*J333*O333)+L333</f>
        <v>33</v>
      </c>
      <c r="Q333" s="113" t="str">
        <f t="shared" si="24"/>
        <v/>
      </c>
      <c r="R333" s="113" t="str">
        <f t="shared" si="25"/>
        <v/>
      </c>
      <c r="S333" s="113" t="str">
        <f t="shared" si="26"/>
        <v/>
      </c>
      <c r="T333" s="113" t="str">
        <f t="shared" si="27"/>
        <v/>
      </c>
      <c r="U333" s="113" t="str">
        <f t="shared" si="28"/>
        <v/>
      </c>
      <c r="V333" s="113">
        <f t="shared" si="29"/>
        <v>33</v>
      </c>
      <c r="W333" s="114"/>
    </row>
    <row r="334" spans="1:23">
      <c r="A334" s="101"/>
      <c r="B334" s="130" t="s">
        <v>300</v>
      </c>
      <c r="C334" s="116"/>
      <c r="D334" s="126"/>
      <c r="E334" s="126"/>
      <c r="F334" s="127"/>
      <c r="G334" s="117"/>
      <c r="H334" s="107"/>
      <c r="I334" s="108"/>
      <c r="J334" s="110"/>
      <c r="K334" s="118"/>
      <c r="L334" s="119"/>
      <c r="M334" s="120"/>
      <c r="N334" s="108"/>
      <c r="O334" s="121"/>
      <c r="P334" s="121"/>
      <c r="Q334" s="113" t="str">
        <f t="shared" si="24"/>
        <v/>
      </c>
      <c r="R334" s="113" t="str">
        <f t="shared" si="25"/>
        <v/>
      </c>
      <c r="S334" s="113" t="str">
        <f t="shared" si="26"/>
        <v/>
      </c>
      <c r="T334" s="113" t="str">
        <f t="shared" si="27"/>
        <v/>
      </c>
      <c r="U334" s="113" t="str">
        <f t="shared" si="28"/>
        <v/>
      </c>
      <c r="V334" s="113" t="str">
        <f t="shared" si="29"/>
        <v/>
      </c>
      <c r="W334" s="114"/>
    </row>
    <row r="335" spans="1:23">
      <c r="A335" s="101"/>
      <c r="B335" s="130"/>
      <c r="C335" s="116"/>
      <c r="D335" s="126"/>
      <c r="E335" s="126"/>
      <c r="F335" s="127"/>
      <c r="G335" s="117"/>
      <c r="H335" s="107"/>
      <c r="I335" s="108"/>
      <c r="J335" s="110"/>
      <c r="K335" s="118"/>
      <c r="L335" s="119"/>
      <c r="M335" s="120"/>
      <c r="N335" s="108"/>
      <c r="O335" s="121"/>
      <c r="P335" s="121"/>
      <c r="Q335" s="113" t="str">
        <f t="shared" si="24"/>
        <v/>
      </c>
      <c r="R335" s="113" t="str">
        <f t="shared" si="25"/>
        <v/>
      </c>
      <c r="S335" s="113" t="str">
        <f t="shared" si="26"/>
        <v/>
      </c>
      <c r="T335" s="113" t="str">
        <f t="shared" si="27"/>
        <v/>
      </c>
      <c r="U335" s="113" t="str">
        <f t="shared" si="28"/>
        <v/>
      </c>
      <c r="V335" s="113" t="str">
        <f t="shared" si="29"/>
        <v/>
      </c>
      <c r="W335" s="114"/>
    </row>
    <row r="336" spans="1:23" ht="15" customHeight="1">
      <c r="A336" s="101">
        <v>56</v>
      </c>
      <c r="B336" s="130" t="s">
        <v>432</v>
      </c>
      <c r="C336" s="131"/>
      <c r="D336" s="537">
        <f>1.25+0.3+1.25</f>
        <v>2.8</v>
      </c>
      <c r="E336" s="537"/>
      <c r="F336" s="127"/>
      <c r="G336" s="117">
        <v>0.25</v>
      </c>
      <c r="H336" s="107">
        <v>20</v>
      </c>
      <c r="I336" s="108">
        <v>1</v>
      </c>
      <c r="J336" s="110">
        <f>ROUND(2.75/G336+1,0)</f>
        <v>12</v>
      </c>
      <c r="K336" s="118">
        <f>D336</f>
        <v>2.8</v>
      </c>
      <c r="L336" s="119" t="str">
        <f>IF(O336&lt;12,"0",0.049*H336)</f>
        <v>0</v>
      </c>
      <c r="M336" s="120">
        <v>0</v>
      </c>
      <c r="N336" s="108">
        <f>M336*2*H336/1000</f>
        <v>0</v>
      </c>
      <c r="O336" s="121">
        <f>(D336)-N336</f>
        <v>2.8</v>
      </c>
      <c r="P336" s="121">
        <f>(I336*J336*O336)+L336</f>
        <v>33.599999999999994</v>
      </c>
      <c r="Q336" s="113" t="str">
        <f t="shared" si="24"/>
        <v/>
      </c>
      <c r="R336" s="113" t="str">
        <f t="shared" si="25"/>
        <v/>
      </c>
      <c r="S336" s="113" t="str">
        <f t="shared" si="26"/>
        <v/>
      </c>
      <c r="T336" s="113" t="str">
        <f t="shared" si="27"/>
        <v/>
      </c>
      <c r="U336" s="113">
        <f t="shared" si="28"/>
        <v>33.599999999999994</v>
      </c>
      <c r="V336" s="113" t="str">
        <f t="shared" si="29"/>
        <v/>
      </c>
      <c r="W336" s="114"/>
    </row>
    <row r="337" spans="1:23">
      <c r="A337" s="101"/>
      <c r="B337" s="130" t="s">
        <v>300</v>
      </c>
      <c r="C337" s="116"/>
      <c r="D337" s="126"/>
      <c r="E337" s="126"/>
      <c r="F337" s="127"/>
      <c r="G337" s="117"/>
      <c r="H337" s="107"/>
      <c r="I337" s="108"/>
      <c r="J337" s="110"/>
      <c r="K337" s="118"/>
      <c r="L337" s="119"/>
      <c r="M337" s="120"/>
      <c r="N337" s="108"/>
      <c r="O337" s="121"/>
      <c r="P337" s="121"/>
      <c r="Q337" s="113" t="str">
        <f t="shared" si="24"/>
        <v/>
      </c>
      <c r="R337" s="113" t="str">
        <f t="shared" si="25"/>
        <v/>
      </c>
      <c r="S337" s="113" t="str">
        <f t="shared" si="26"/>
        <v/>
      </c>
      <c r="T337" s="113" t="str">
        <f t="shared" si="27"/>
        <v/>
      </c>
      <c r="U337" s="113" t="str">
        <f t="shared" si="28"/>
        <v/>
      </c>
      <c r="V337" s="113" t="str">
        <f t="shared" si="29"/>
        <v/>
      </c>
      <c r="W337" s="114"/>
    </row>
    <row r="338" spans="1:23">
      <c r="A338" s="101"/>
      <c r="B338" s="130"/>
      <c r="C338" s="116"/>
      <c r="D338" s="126"/>
      <c r="E338" s="126"/>
      <c r="F338" s="127"/>
      <c r="G338" s="117"/>
      <c r="H338" s="107"/>
      <c r="I338" s="108"/>
      <c r="J338" s="110"/>
      <c r="K338" s="118"/>
      <c r="L338" s="119"/>
      <c r="M338" s="120"/>
      <c r="N338" s="108"/>
      <c r="O338" s="121"/>
      <c r="P338" s="121"/>
      <c r="Q338" s="113" t="str">
        <f t="shared" si="24"/>
        <v/>
      </c>
      <c r="R338" s="113" t="str">
        <f t="shared" si="25"/>
        <v/>
      </c>
      <c r="S338" s="113" t="str">
        <f t="shared" si="26"/>
        <v/>
      </c>
      <c r="T338" s="113" t="str">
        <f t="shared" si="27"/>
        <v/>
      </c>
      <c r="U338" s="113" t="str">
        <f t="shared" si="28"/>
        <v/>
      </c>
      <c r="V338" s="113" t="str">
        <f t="shared" si="29"/>
        <v/>
      </c>
      <c r="W338" s="114"/>
    </row>
    <row r="339" spans="1:23" ht="15" customHeight="1">
      <c r="A339" s="101">
        <v>57</v>
      </c>
      <c r="B339" s="130" t="s">
        <v>431</v>
      </c>
      <c r="C339" s="131"/>
      <c r="D339" s="537">
        <f>1.25+0.75+1.25</f>
        <v>3.25</v>
      </c>
      <c r="E339" s="537"/>
      <c r="F339" s="127"/>
      <c r="G339" s="117">
        <v>0.25</v>
      </c>
      <c r="H339" s="107">
        <v>25</v>
      </c>
      <c r="I339" s="108">
        <v>1</v>
      </c>
      <c r="J339" s="110">
        <f>ROUND(2.3/G339+1,0)</f>
        <v>10</v>
      </c>
      <c r="K339" s="118">
        <f>D339</f>
        <v>3.25</v>
      </c>
      <c r="L339" s="119" t="str">
        <f>IF(O339&lt;12,"0",0.049*H339)</f>
        <v>0</v>
      </c>
      <c r="M339" s="120">
        <v>0</v>
      </c>
      <c r="N339" s="108">
        <f>M339*2*H339/1000</f>
        <v>0</v>
      </c>
      <c r="O339" s="121">
        <f>(D339)-N339</f>
        <v>3.25</v>
      </c>
      <c r="P339" s="121">
        <f>(I339*J339*O339)+L339</f>
        <v>32.5</v>
      </c>
      <c r="Q339" s="113" t="str">
        <f t="shared" si="24"/>
        <v/>
      </c>
      <c r="R339" s="113" t="str">
        <f t="shared" si="25"/>
        <v/>
      </c>
      <c r="S339" s="113" t="str">
        <f t="shared" si="26"/>
        <v/>
      </c>
      <c r="T339" s="113" t="str">
        <f t="shared" si="27"/>
        <v/>
      </c>
      <c r="U339" s="113" t="str">
        <f t="shared" si="28"/>
        <v/>
      </c>
      <c r="V339" s="113">
        <f t="shared" si="29"/>
        <v>32.5</v>
      </c>
      <c r="W339" s="114"/>
    </row>
    <row r="340" spans="1:23">
      <c r="A340" s="101"/>
      <c r="B340" s="130" t="s">
        <v>301</v>
      </c>
      <c r="C340" s="116"/>
      <c r="D340" s="126"/>
      <c r="E340" s="126"/>
      <c r="F340" s="127"/>
      <c r="G340" s="117"/>
      <c r="H340" s="107"/>
      <c r="I340" s="108"/>
      <c r="J340" s="110"/>
      <c r="K340" s="118"/>
      <c r="L340" s="119"/>
      <c r="M340" s="120"/>
      <c r="N340" s="108"/>
      <c r="O340" s="121"/>
      <c r="P340" s="121"/>
      <c r="Q340" s="113" t="str">
        <f t="shared" si="24"/>
        <v/>
      </c>
      <c r="R340" s="113" t="str">
        <f t="shared" si="25"/>
        <v/>
      </c>
      <c r="S340" s="113" t="str">
        <f t="shared" si="26"/>
        <v/>
      </c>
      <c r="T340" s="113" t="str">
        <f t="shared" si="27"/>
        <v/>
      </c>
      <c r="U340" s="113" t="str">
        <f t="shared" si="28"/>
        <v/>
      </c>
      <c r="V340" s="113" t="str">
        <f t="shared" si="29"/>
        <v/>
      </c>
      <c r="W340" s="114"/>
    </row>
    <row r="341" spans="1:23">
      <c r="A341" s="101"/>
      <c r="B341" s="130"/>
      <c r="C341" s="116"/>
      <c r="D341" s="126"/>
      <c r="E341" s="126"/>
      <c r="F341" s="127"/>
      <c r="G341" s="117"/>
      <c r="H341" s="107"/>
      <c r="I341" s="108"/>
      <c r="J341" s="110"/>
      <c r="K341" s="118"/>
      <c r="L341" s="119"/>
      <c r="M341" s="120"/>
      <c r="N341" s="108"/>
      <c r="O341" s="121"/>
      <c r="P341" s="121"/>
      <c r="Q341" s="113" t="str">
        <f t="shared" si="24"/>
        <v/>
      </c>
      <c r="R341" s="113" t="str">
        <f t="shared" si="25"/>
        <v/>
      </c>
      <c r="S341" s="113" t="str">
        <f t="shared" si="26"/>
        <v/>
      </c>
      <c r="T341" s="113" t="str">
        <f t="shared" si="27"/>
        <v/>
      </c>
      <c r="U341" s="113" t="str">
        <f t="shared" si="28"/>
        <v/>
      </c>
      <c r="V341" s="113" t="str">
        <f t="shared" si="29"/>
        <v/>
      </c>
      <c r="W341" s="114"/>
    </row>
    <row r="342" spans="1:23" ht="15" customHeight="1">
      <c r="A342" s="101">
        <v>58</v>
      </c>
      <c r="B342" s="130" t="s">
        <v>432</v>
      </c>
      <c r="C342" s="131"/>
      <c r="D342" s="537">
        <f>1+0.3+1</f>
        <v>2.2999999999999998</v>
      </c>
      <c r="E342" s="537"/>
      <c r="F342" s="127"/>
      <c r="G342" s="117">
        <v>0.25</v>
      </c>
      <c r="H342" s="107">
        <v>20</v>
      </c>
      <c r="I342" s="108">
        <v>1</v>
      </c>
      <c r="J342" s="110">
        <f>ROUND(3.25/G342+1,0)</f>
        <v>14</v>
      </c>
      <c r="K342" s="118">
        <f>D342</f>
        <v>2.2999999999999998</v>
      </c>
      <c r="L342" s="119" t="str">
        <f>IF(O342&lt;12,"0",0.049*H342)</f>
        <v>0</v>
      </c>
      <c r="M342" s="120">
        <v>0</v>
      </c>
      <c r="N342" s="108">
        <f>M342*2*H342/1000</f>
        <v>0</v>
      </c>
      <c r="O342" s="121">
        <f>(D342)-N342</f>
        <v>2.2999999999999998</v>
      </c>
      <c r="P342" s="121">
        <f>(I342*J342*O342)+L342</f>
        <v>32.199999999999996</v>
      </c>
      <c r="Q342" s="113" t="str">
        <f t="shared" si="24"/>
        <v/>
      </c>
      <c r="R342" s="113" t="str">
        <f t="shared" si="25"/>
        <v/>
      </c>
      <c r="S342" s="113" t="str">
        <f t="shared" si="26"/>
        <v/>
      </c>
      <c r="T342" s="113" t="str">
        <f t="shared" si="27"/>
        <v/>
      </c>
      <c r="U342" s="113">
        <f t="shared" si="28"/>
        <v>32.199999999999996</v>
      </c>
      <c r="V342" s="113" t="str">
        <f t="shared" si="29"/>
        <v/>
      </c>
      <c r="W342" s="114"/>
    </row>
    <row r="343" spans="1:23">
      <c r="A343" s="101"/>
      <c r="B343" s="130" t="s">
        <v>301</v>
      </c>
      <c r="C343" s="116"/>
      <c r="D343" s="126"/>
      <c r="E343" s="126"/>
      <c r="F343" s="127"/>
      <c r="G343" s="117"/>
      <c r="H343" s="107"/>
      <c r="I343" s="108"/>
      <c r="J343" s="110"/>
      <c r="K343" s="118"/>
      <c r="L343" s="119"/>
      <c r="M343" s="120"/>
      <c r="N343" s="108"/>
      <c r="O343" s="121"/>
      <c r="P343" s="121"/>
      <c r="Q343" s="113" t="str">
        <f t="shared" si="24"/>
        <v/>
      </c>
      <c r="R343" s="113" t="str">
        <f t="shared" si="25"/>
        <v/>
      </c>
      <c r="S343" s="113" t="str">
        <f t="shared" si="26"/>
        <v/>
      </c>
      <c r="T343" s="113" t="str">
        <f t="shared" si="27"/>
        <v/>
      </c>
      <c r="U343" s="113" t="str">
        <f t="shared" si="28"/>
        <v/>
      </c>
      <c r="V343" s="113" t="str">
        <f t="shared" si="29"/>
        <v/>
      </c>
      <c r="W343" s="114"/>
    </row>
    <row r="344" spans="1:23">
      <c r="A344" s="101"/>
      <c r="B344" s="130"/>
      <c r="C344" s="116"/>
      <c r="D344" s="126"/>
      <c r="E344" s="126"/>
      <c r="F344" s="127"/>
      <c r="G344" s="117"/>
      <c r="H344" s="107"/>
      <c r="I344" s="108"/>
      <c r="J344" s="110"/>
      <c r="K344" s="118"/>
      <c r="L344" s="119"/>
      <c r="M344" s="120"/>
      <c r="N344" s="108"/>
      <c r="O344" s="121"/>
      <c r="P344" s="121"/>
      <c r="Q344" s="113" t="str">
        <f t="shared" si="24"/>
        <v/>
      </c>
      <c r="R344" s="113" t="str">
        <f t="shared" si="25"/>
        <v/>
      </c>
      <c r="S344" s="113" t="str">
        <f t="shared" si="26"/>
        <v/>
      </c>
      <c r="T344" s="113" t="str">
        <f t="shared" si="27"/>
        <v/>
      </c>
      <c r="U344" s="113" t="str">
        <f t="shared" si="28"/>
        <v/>
      </c>
      <c r="V344" s="113" t="str">
        <f t="shared" si="29"/>
        <v/>
      </c>
      <c r="W344" s="114"/>
    </row>
    <row r="345" spans="1:23" ht="15" customHeight="1">
      <c r="A345" s="101">
        <v>59</v>
      </c>
      <c r="B345" s="130" t="s">
        <v>431</v>
      </c>
      <c r="C345" s="131"/>
      <c r="D345" s="537">
        <f>1+0.75+1</f>
        <v>2.75</v>
      </c>
      <c r="E345" s="537"/>
      <c r="F345" s="127"/>
      <c r="G345" s="117">
        <v>0.25</v>
      </c>
      <c r="H345" s="107">
        <v>20</v>
      </c>
      <c r="I345" s="108">
        <v>1</v>
      </c>
      <c r="J345" s="110">
        <f>ROUND(2.8/G345+1,0)</f>
        <v>12</v>
      </c>
      <c r="K345" s="118">
        <f>D345</f>
        <v>2.75</v>
      </c>
      <c r="L345" s="119" t="str">
        <f>IF(O345&lt;12,"0",0.049*H345)</f>
        <v>0</v>
      </c>
      <c r="M345" s="120">
        <v>0</v>
      </c>
      <c r="N345" s="108">
        <f>M345*2*H345/1000</f>
        <v>0</v>
      </c>
      <c r="O345" s="121">
        <f>(D345)-N345</f>
        <v>2.75</v>
      </c>
      <c r="P345" s="121">
        <f>(I345*J345*O345)+L345</f>
        <v>33</v>
      </c>
      <c r="Q345" s="113" t="str">
        <f t="shared" si="24"/>
        <v/>
      </c>
      <c r="R345" s="113" t="str">
        <f t="shared" si="25"/>
        <v/>
      </c>
      <c r="S345" s="113" t="str">
        <f t="shared" si="26"/>
        <v/>
      </c>
      <c r="T345" s="113" t="str">
        <f t="shared" si="27"/>
        <v/>
      </c>
      <c r="U345" s="113">
        <f t="shared" si="28"/>
        <v>33</v>
      </c>
      <c r="V345" s="113" t="str">
        <f t="shared" si="29"/>
        <v/>
      </c>
      <c r="W345" s="114"/>
    </row>
    <row r="346" spans="1:23">
      <c r="A346" s="101"/>
      <c r="B346" s="130" t="s">
        <v>302</v>
      </c>
      <c r="C346" s="116"/>
      <c r="D346" s="126"/>
      <c r="E346" s="126"/>
      <c r="F346" s="127"/>
      <c r="G346" s="117"/>
      <c r="H346" s="107"/>
      <c r="I346" s="108"/>
      <c r="J346" s="110"/>
      <c r="K346" s="118"/>
      <c r="L346" s="119"/>
      <c r="M346" s="120"/>
      <c r="N346" s="108"/>
      <c r="O346" s="121"/>
      <c r="P346" s="121"/>
      <c r="Q346" s="113" t="str">
        <f t="shared" si="24"/>
        <v/>
      </c>
      <c r="R346" s="113" t="str">
        <f t="shared" si="25"/>
        <v/>
      </c>
      <c r="S346" s="113" t="str">
        <f t="shared" si="26"/>
        <v/>
      </c>
      <c r="T346" s="113" t="str">
        <f t="shared" si="27"/>
        <v/>
      </c>
      <c r="U346" s="113" t="str">
        <f t="shared" si="28"/>
        <v/>
      </c>
      <c r="V346" s="113" t="str">
        <f t="shared" si="29"/>
        <v/>
      </c>
      <c r="W346" s="114"/>
    </row>
    <row r="347" spans="1:23">
      <c r="A347" s="101"/>
      <c r="B347" s="130"/>
      <c r="C347" s="116"/>
      <c r="D347" s="126"/>
      <c r="E347" s="126"/>
      <c r="F347" s="127"/>
      <c r="G347" s="117"/>
      <c r="H347" s="107"/>
      <c r="I347" s="108"/>
      <c r="J347" s="110"/>
      <c r="K347" s="118"/>
      <c r="L347" s="119"/>
      <c r="M347" s="120"/>
      <c r="N347" s="108"/>
      <c r="O347" s="121"/>
      <c r="P347" s="121"/>
      <c r="Q347" s="113" t="str">
        <f t="shared" si="24"/>
        <v/>
      </c>
      <c r="R347" s="113" t="str">
        <f t="shared" si="25"/>
        <v/>
      </c>
      <c r="S347" s="113" t="str">
        <f t="shared" si="26"/>
        <v/>
      </c>
      <c r="T347" s="113" t="str">
        <f t="shared" si="27"/>
        <v/>
      </c>
      <c r="U347" s="113" t="str">
        <f t="shared" si="28"/>
        <v/>
      </c>
      <c r="V347" s="113" t="str">
        <f t="shared" si="29"/>
        <v/>
      </c>
      <c r="W347" s="114"/>
    </row>
    <row r="348" spans="1:23" ht="15" customHeight="1">
      <c r="A348" s="101">
        <v>60</v>
      </c>
      <c r="B348" s="130" t="s">
        <v>432</v>
      </c>
      <c r="C348" s="131"/>
      <c r="D348" s="537">
        <f>1.25+0.3+1.25</f>
        <v>2.8</v>
      </c>
      <c r="E348" s="537"/>
      <c r="F348" s="127"/>
      <c r="G348" s="117">
        <v>0.25</v>
      </c>
      <c r="H348" s="107">
        <v>25</v>
      </c>
      <c r="I348" s="108">
        <v>1</v>
      </c>
      <c r="J348" s="110">
        <f>ROUND(2.75/G348+1,0)</f>
        <v>12</v>
      </c>
      <c r="K348" s="118">
        <f>D348</f>
        <v>2.8</v>
      </c>
      <c r="L348" s="119" t="str">
        <f>IF(O348&lt;12,"0",0.049*H348)</f>
        <v>0</v>
      </c>
      <c r="M348" s="120">
        <v>0</v>
      </c>
      <c r="N348" s="108">
        <f>M348*2*H348/1000</f>
        <v>0</v>
      </c>
      <c r="O348" s="121">
        <f>(D348)-N348</f>
        <v>2.8</v>
      </c>
      <c r="P348" s="121">
        <f>(I348*J348*O348)+L348</f>
        <v>33.599999999999994</v>
      </c>
      <c r="Q348" s="113" t="str">
        <f t="shared" si="24"/>
        <v/>
      </c>
      <c r="R348" s="113" t="str">
        <f t="shared" si="25"/>
        <v/>
      </c>
      <c r="S348" s="113" t="str">
        <f t="shared" si="26"/>
        <v/>
      </c>
      <c r="T348" s="113" t="str">
        <f t="shared" si="27"/>
        <v/>
      </c>
      <c r="U348" s="113" t="str">
        <f t="shared" si="28"/>
        <v/>
      </c>
      <c r="V348" s="113">
        <f t="shared" si="29"/>
        <v>33.599999999999994</v>
      </c>
      <c r="W348" s="114"/>
    </row>
    <row r="349" spans="1:23">
      <c r="A349" s="101"/>
      <c r="B349" s="130" t="s">
        <v>302</v>
      </c>
      <c r="C349" s="116"/>
      <c r="D349" s="126"/>
      <c r="E349" s="126"/>
      <c r="F349" s="127"/>
      <c r="G349" s="117"/>
      <c r="H349" s="107"/>
      <c r="I349" s="108"/>
      <c r="J349" s="110"/>
      <c r="K349" s="118"/>
      <c r="L349" s="119"/>
      <c r="M349" s="120"/>
      <c r="N349" s="108"/>
      <c r="O349" s="121"/>
      <c r="P349" s="121"/>
      <c r="Q349" s="113" t="str">
        <f t="shared" si="24"/>
        <v/>
      </c>
      <c r="R349" s="113" t="str">
        <f t="shared" si="25"/>
        <v/>
      </c>
      <c r="S349" s="113" t="str">
        <f t="shared" si="26"/>
        <v/>
      </c>
      <c r="T349" s="113" t="str">
        <f t="shared" si="27"/>
        <v/>
      </c>
      <c r="U349" s="113" t="str">
        <f t="shared" si="28"/>
        <v/>
      </c>
      <c r="V349" s="113" t="str">
        <f t="shared" si="29"/>
        <v/>
      </c>
      <c r="W349" s="114"/>
    </row>
    <row r="350" spans="1:23">
      <c r="A350" s="101"/>
      <c r="B350" s="130"/>
      <c r="C350" s="116"/>
      <c r="D350" s="126"/>
      <c r="E350" s="126"/>
      <c r="F350" s="127"/>
      <c r="G350" s="117"/>
      <c r="H350" s="107"/>
      <c r="I350" s="108"/>
      <c r="J350" s="110"/>
      <c r="K350" s="118"/>
      <c r="L350" s="119"/>
      <c r="M350" s="120"/>
      <c r="N350" s="108"/>
      <c r="O350" s="121"/>
      <c r="P350" s="121"/>
      <c r="Q350" s="113" t="str">
        <f t="shared" si="24"/>
        <v/>
      </c>
      <c r="R350" s="113" t="str">
        <f t="shared" si="25"/>
        <v/>
      </c>
      <c r="S350" s="113" t="str">
        <f t="shared" si="26"/>
        <v/>
      </c>
      <c r="T350" s="113" t="str">
        <f t="shared" si="27"/>
        <v/>
      </c>
      <c r="U350" s="113" t="str">
        <f t="shared" si="28"/>
        <v/>
      </c>
      <c r="V350" s="113" t="str">
        <f t="shared" si="29"/>
        <v/>
      </c>
      <c r="W350" s="114"/>
    </row>
    <row r="351" spans="1:23" ht="15" customHeight="1">
      <c r="A351" s="101">
        <v>61</v>
      </c>
      <c r="B351" s="130" t="s">
        <v>432</v>
      </c>
      <c r="C351" s="131"/>
      <c r="D351" s="537">
        <f>1.25+0.3+1.25</f>
        <v>2.8</v>
      </c>
      <c r="E351" s="537"/>
      <c r="F351" s="127"/>
      <c r="G351" s="117">
        <v>0.25</v>
      </c>
      <c r="H351" s="107">
        <v>20</v>
      </c>
      <c r="I351" s="108">
        <v>1</v>
      </c>
      <c r="J351" s="110">
        <f>ROUND(2.75/G351+1,0)</f>
        <v>12</v>
      </c>
      <c r="K351" s="118">
        <f>D351</f>
        <v>2.8</v>
      </c>
      <c r="L351" s="119" t="str">
        <f>IF(O351&lt;12,"0",0.049*H351)</f>
        <v>0</v>
      </c>
      <c r="M351" s="120">
        <v>0</v>
      </c>
      <c r="N351" s="108">
        <f>M351*2*H351/1000</f>
        <v>0</v>
      </c>
      <c r="O351" s="121">
        <f>(D351)-N351</f>
        <v>2.8</v>
      </c>
      <c r="P351" s="121">
        <f>(I351*J351*O351)+L351</f>
        <v>33.599999999999994</v>
      </c>
      <c r="Q351" s="113" t="str">
        <f t="shared" si="24"/>
        <v/>
      </c>
      <c r="R351" s="113" t="str">
        <f t="shared" si="25"/>
        <v/>
      </c>
      <c r="S351" s="113" t="str">
        <f t="shared" si="26"/>
        <v/>
      </c>
      <c r="T351" s="113" t="str">
        <f t="shared" si="27"/>
        <v/>
      </c>
      <c r="U351" s="113">
        <f t="shared" si="28"/>
        <v>33.599999999999994</v>
      </c>
      <c r="V351" s="113" t="str">
        <f t="shared" si="29"/>
        <v/>
      </c>
      <c r="W351" s="114"/>
    </row>
    <row r="352" spans="1:23">
      <c r="A352" s="101"/>
      <c r="B352" s="130" t="s">
        <v>302</v>
      </c>
      <c r="C352" s="116"/>
      <c r="D352" s="126"/>
      <c r="E352" s="126"/>
      <c r="F352" s="127"/>
      <c r="G352" s="117"/>
      <c r="H352" s="107"/>
      <c r="I352" s="108"/>
      <c r="J352" s="110"/>
      <c r="K352" s="118"/>
      <c r="L352" s="119"/>
      <c r="M352" s="120"/>
      <c r="N352" s="108"/>
      <c r="O352" s="121"/>
      <c r="P352" s="121"/>
      <c r="Q352" s="113" t="str">
        <f t="shared" si="24"/>
        <v/>
      </c>
      <c r="R352" s="113" t="str">
        <f t="shared" si="25"/>
        <v/>
      </c>
      <c r="S352" s="113" t="str">
        <f t="shared" si="26"/>
        <v/>
      </c>
      <c r="T352" s="113" t="str">
        <f t="shared" si="27"/>
        <v/>
      </c>
      <c r="U352" s="113" t="str">
        <f t="shared" si="28"/>
        <v/>
      </c>
      <c r="V352" s="113" t="str">
        <f t="shared" si="29"/>
        <v/>
      </c>
      <c r="W352" s="114"/>
    </row>
    <row r="353" spans="1:23">
      <c r="A353" s="101"/>
      <c r="B353" s="130"/>
      <c r="C353" s="116"/>
      <c r="D353" s="126"/>
      <c r="E353" s="126"/>
      <c r="F353" s="127"/>
      <c r="G353" s="117"/>
      <c r="H353" s="107"/>
      <c r="I353" s="108"/>
      <c r="J353" s="110"/>
      <c r="K353" s="118"/>
      <c r="L353" s="119"/>
      <c r="M353" s="120"/>
      <c r="N353" s="108"/>
      <c r="O353" s="121"/>
      <c r="P353" s="121"/>
      <c r="Q353" s="113" t="str">
        <f t="shared" si="24"/>
        <v/>
      </c>
      <c r="R353" s="113" t="str">
        <f t="shared" si="25"/>
        <v/>
      </c>
      <c r="S353" s="113" t="str">
        <f t="shared" si="26"/>
        <v/>
      </c>
      <c r="T353" s="113" t="str">
        <f t="shared" si="27"/>
        <v/>
      </c>
      <c r="U353" s="113" t="str">
        <f t="shared" si="28"/>
        <v/>
      </c>
      <c r="V353" s="113" t="str">
        <f t="shared" si="29"/>
        <v/>
      </c>
      <c r="W353" s="114"/>
    </row>
    <row r="354" spans="1:23" ht="15" customHeight="1">
      <c r="A354" s="101">
        <v>62</v>
      </c>
      <c r="B354" s="130" t="s">
        <v>431</v>
      </c>
      <c r="C354" s="131"/>
      <c r="D354" s="537">
        <f>1+0.75+1</f>
        <v>2.75</v>
      </c>
      <c r="E354" s="537"/>
      <c r="F354" s="127"/>
      <c r="G354" s="117">
        <v>0.25</v>
      </c>
      <c r="H354" s="107">
        <v>20</v>
      </c>
      <c r="I354" s="108">
        <v>1</v>
      </c>
      <c r="J354" s="110">
        <f>ROUND(2.8/G354+1,0)</f>
        <v>12</v>
      </c>
      <c r="K354" s="118">
        <f>D354</f>
        <v>2.75</v>
      </c>
      <c r="L354" s="119" t="str">
        <f>IF(O354&lt;12,"0",0.049*H354)</f>
        <v>0</v>
      </c>
      <c r="M354" s="120">
        <v>0</v>
      </c>
      <c r="N354" s="108">
        <f>M354*2*H354/1000</f>
        <v>0</v>
      </c>
      <c r="O354" s="121">
        <f>(D354)-N354</f>
        <v>2.75</v>
      </c>
      <c r="P354" s="121">
        <f>(I354*J354*O354)+L354</f>
        <v>33</v>
      </c>
      <c r="Q354" s="113" t="str">
        <f t="shared" si="24"/>
        <v/>
      </c>
      <c r="R354" s="113" t="str">
        <f t="shared" si="25"/>
        <v/>
      </c>
      <c r="S354" s="113" t="str">
        <f t="shared" si="26"/>
        <v/>
      </c>
      <c r="T354" s="113" t="str">
        <f t="shared" si="27"/>
        <v/>
      </c>
      <c r="U354" s="113">
        <f t="shared" si="28"/>
        <v>33</v>
      </c>
      <c r="V354" s="113" t="str">
        <f t="shared" si="29"/>
        <v/>
      </c>
      <c r="W354" s="114"/>
    </row>
    <row r="355" spans="1:23">
      <c r="A355" s="101"/>
      <c r="B355" s="130" t="s">
        <v>303</v>
      </c>
      <c r="C355" s="116"/>
      <c r="D355" s="126"/>
      <c r="E355" s="126"/>
      <c r="F355" s="127"/>
      <c r="G355" s="117"/>
      <c r="H355" s="107"/>
      <c r="I355" s="108"/>
      <c r="J355" s="110"/>
      <c r="K355" s="118"/>
      <c r="L355" s="119"/>
      <c r="M355" s="120"/>
      <c r="N355" s="108"/>
      <c r="O355" s="121"/>
      <c r="P355" s="121"/>
      <c r="Q355" s="113" t="str">
        <f t="shared" si="24"/>
        <v/>
      </c>
      <c r="R355" s="113" t="str">
        <f t="shared" si="25"/>
        <v/>
      </c>
      <c r="S355" s="113" t="str">
        <f t="shared" si="26"/>
        <v/>
      </c>
      <c r="T355" s="113" t="str">
        <f t="shared" si="27"/>
        <v/>
      </c>
      <c r="U355" s="113" t="str">
        <f t="shared" si="28"/>
        <v/>
      </c>
      <c r="V355" s="113" t="str">
        <f t="shared" si="29"/>
        <v/>
      </c>
      <c r="W355" s="114"/>
    </row>
    <row r="356" spans="1:23">
      <c r="A356" s="101"/>
      <c r="B356" s="130"/>
      <c r="C356" s="116"/>
      <c r="D356" s="126"/>
      <c r="E356" s="126"/>
      <c r="F356" s="127"/>
      <c r="G356" s="117"/>
      <c r="H356" s="107"/>
      <c r="I356" s="108"/>
      <c r="J356" s="110"/>
      <c r="K356" s="118"/>
      <c r="L356" s="119"/>
      <c r="M356" s="120"/>
      <c r="N356" s="108"/>
      <c r="O356" s="121"/>
      <c r="P356" s="121"/>
      <c r="Q356" s="113" t="str">
        <f t="shared" si="24"/>
        <v/>
      </c>
      <c r="R356" s="113" t="str">
        <f t="shared" si="25"/>
        <v/>
      </c>
      <c r="S356" s="113" t="str">
        <f t="shared" si="26"/>
        <v/>
      </c>
      <c r="T356" s="113" t="str">
        <f t="shared" si="27"/>
        <v/>
      </c>
      <c r="U356" s="113" t="str">
        <f t="shared" si="28"/>
        <v/>
      </c>
      <c r="V356" s="113" t="str">
        <f t="shared" si="29"/>
        <v/>
      </c>
      <c r="W356" s="114"/>
    </row>
    <row r="357" spans="1:23" ht="15" customHeight="1">
      <c r="A357" s="101">
        <v>63</v>
      </c>
      <c r="B357" s="130" t="s">
        <v>432</v>
      </c>
      <c r="C357" s="131"/>
      <c r="D357" s="537">
        <f>1.25+0.3+1.25</f>
        <v>2.8</v>
      </c>
      <c r="E357" s="537"/>
      <c r="F357" s="127"/>
      <c r="G357" s="117">
        <v>0.25</v>
      </c>
      <c r="H357" s="107">
        <v>25</v>
      </c>
      <c r="I357" s="108">
        <v>1</v>
      </c>
      <c r="J357" s="110">
        <f>ROUND(2.75/G357+1,0)</f>
        <v>12</v>
      </c>
      <c r="K357" s="118">
        <f>D357</f>
        <v>2.8</v>
      </c>
      <c r="L357" s="119" t="str">
        <f>IF(O357&lt;12,"0",0.049*H357)</f>
        <v>0</v>
      </c>
      <c r="M357" s="120">
        <v>0</v>
      </c>
      <c r="N357" s="108">
        <f>M357*2*H357/1000</f>
        <v>0</v>
      </c>
      <c r="O357" s="121">
        <f>(D357)-N357</f>
        <v>2.8</v>
      </c>
      <c r="P357" s="121">
        <f>(I357*J357*O357)+L357</f>
        <v>33.599999999999994</v>
      </c>
      <c r="Q357" s="113" t="str">
        <f t="shared" si="24"/>
        <v/>
      </c>
      <c r="R357" s="113" t="str">
        <f t="shared" si="25"/>
        <v/>
      </c>
      <c r="S357" s="113" t="str">
        <f t="shared" si="26"/>
        <v/>
      </c>
      <c r="T357" s="113" t="str">
        <f t="shared" si="27"/>
        <v/>
      </c>
      <c r="U357" s="113" t="str">
        <f t="shared" si="28"/>
        <v/>
      </c>
      <c r="V357" s="113">
        <f t="shared" si="29"/>
        <v>33.599999999999994</v>
      </c>
      <c r="W357" s="114"/>
    </row>
    <row r="358" spans="1:23">
      <c r="A358" s="101"/>
      <c r="B358" s="130" t="s">
        <v>303</v>
      </c>
      <c r="C358" s="116"/>
      <c r="D358" s="126"/>
      <c r="E358" s="126"/>
      <c r="F358" s="127"/>
      <c r="G358" s="117"/>
      <c r="H358" s="107"/>
      <c r="I358" s="108"/>
      <c r="J358" s="110"/>
      <c r="K358" s="118"/>
      <c r="L358" s="119"/>
      <c r="M358" s="120"/>
      <c r="N358" s="108"/>
      <c r="O358" s="121"/>
      <c r="P358" s="121"/>
      <c r="Q358" s="113" t="str">
        <f t="shared" si="24"/>
        <v/>
      </c>
      <c r="R358" s="113" t="str">
        <f t="shared" si="25"/>
        <v/>
      </c>
      <c r="S358" s="113" t="str">
        <f t="shared" si="26"/>
        <v/>
      </c>
      <c r="T358" s="113" t="str">
        <f t="shared" si="27"/>
        <v/>
      </c>
      <c r="U358" s="113" t="str">
        <f t="shared" si="28"/>
        <v/>
      </c>
      <c r="V358" s="113" t="str">
        <f t="shared" si="29"/>
        <v/>
      </c>
      <c r="W358" s="114"/>
    </row>
    <row r="359" spans="1:23">
      <c r="A359" s="101"/>
      <c r="B359" s="130"/>
      <c r="C359" s="116"/>
      <c r="D359" s="126"/>
      <c r="E359" s="126"/>
      <c r="F359" s="127"/>
      <c r="G359" s="117"/>
      <c r="H359" s="107"/>
      <c r="I359" s="108"/>
      <c r="J359" s="110"/>
      <c r="K359" s="118"/>
      <c r="L359" s="119"/>
      <c r="M359" s="120"/>
      <c r="N359" s="108"/>
      <c r="O359" s="121"/>
      <c r="P359" s="121"/>
      <c r="Q359" s="113" t="str">
        <f t="shared" si="24"/>
        <v/>
      </c>
      <c r="R359" s="113" t="str">
        <f t="shared" si="25"/>
        <v/>
      </c>
      <c r="S359" s="113" t="str">
        <f t="shared" si="26"/>
        <v/>
      </c>
      <c r="T359" s="113" t="str">
        <f t="shared" si="27"/>
        <v/>
      </c>
      <c r="U359" s="113" t="str">
        <f t="shared" si="28"/>
        <v/>
      </c>
      <c r="V359" s="113" t="str">
        <f t="shared" si="29"/>
        <v/>
      </c>
      <c r="W359" s="114"/>
    </row>
    <row r="360" spans="1:23" ht="15" customHeight="1">
      <c r="A360" s="101">
        <v>64</v>
      </c>
      <c r="B360" s="130" t="s">
        <v>432</v>
      </c>
      <c r="C360" s="131"/>
      <c r="D360" s="537">
        <f>1.25+0.3+1.25</f>
        <v>2.8</v>
      </c>
      <c r="E360" s="537"/>
      <c r="F360" s="127"/>
      <c r="G360" s="117">
        <v>0.25</v>
      </c>
      <c r="H360" s="107">
        <v>20</v>
      </c>
      <c r="I360" s="108">
        <v>1</v>
      </c>
      <c r="J360" s="110">
        <f>ROUND(2.75/G360+1,0)</f>
        <v>12</v>
      </c>
      <c r="K360" s="118">
        <f>D360</f>
        <v>2.8</v>
      </c>
      <c r="L360" s="119" t="str">
        <f>IF(O360&lt;12,"0",0.049*H360)</f>
        <v>0</v>
      </c>
      <c r="M360" s="120">
        <v>0</v>
      </c>
      <c r="N360" s="108">
        <f>M360*2*H360/1000</f>
        <v>0</v>
      </c>
      <c r="O360" s="121">
        <f>(D360)-N360</f>
        <v>2.8</v>
      </c>
      <c r="P360" s="121">
        <f>(I360*J360*O360)+L360</f>
        <v>33.599999999999994</v>
      </c>
      <c r="Q360" s="113" t="str">
        <f t="shared" si="24"/>
        <v/>
      </c>
      <c r="R360" s="113" t="str">
        <f t="shared" si="25"/>
        <v/>
      </c>
      <c r="S360" s="113" t="str">
        <f t="shared" si="26"/>
        <v/>
      </c>
      <c r="T360" s="113" t="str">
        <f t="shared" si="27"/>
        <v/>
      </c>
      <c r="U360" s="113">
        <f t="shared" si="28"/>
        <v>33.599999999999994</v>
      </c>
      <c r="V360" s="113" t="str">
        <f t="shared" si="29"/>
        <v/>
      </c>
      <c r="W360" s="114"/>
    </row>
    <row r="361" spans="1:23">
      <c r="A361" s="101"/>
      <c r="B361" s="130" t="s">
        <v>303</v>
      </c>
      <c r="C361" s="116"/>
      <c r="D361" s="126"/>
      <c r="E361" s="126"/>
      <c r="F361" s="127"/>
      <c r="G361" s="117"/>
      <c r="H361" s="107"/>
      <c r="I361" s="108"/>
      <c r="J361" s="110"/>
      <c r="K361" s="118"/>
      <c r="L361" s="119"/>
      <c r="M361" s="120"/>
      <c r="N361" s="108"/>
      <c r="O361" s="121"/>
      <c r="P361" s="121"/>
      <c r="Q361" s="113" t="str">
        <f t="shared" si="24"/>
        <v/>
      </c>
      <c r="R361" s="113" t="str">
        <f t="shared" si="25"/>
        <v/>
      </c>
      <c r="S361" s="113" t="str">
        <f t="shared" si="26"/>
        <v/>
      </c>
      <c r="T361" s="113" t="str">
        <f t="shared" si="27"/>
        <v/>
      </c>
      <c r="U361" s="113" t="str">
        <f t="shared" si="28"/>
        <v/>
      </c>
      <c r="V361" s="113" t="str">
        <f t="shared" si="29"/>
        <v/>
      </c>
      <c r="W361" s="114"/>
    </row>
    <row r="362" spans="1:23">
      <c r="A362" s="101"/>
      <c r="B362" s="130"/>
      <c r="C362" s="116"/>
      <c r="D362" s="126"/>
      <c r="E362" s="126"/>
      <c r="F362" s="127"/>
      <c r="G362" s="117"/>
      <c r="H362" s="107"/>
      <c r="I362" s="108"/>
      <c r="J362" s="110"/>
      <c r="K362" s="118"/>
      <c r="L362" s="119"/>
      <c r="M362" s="120"/>
      <c r="N362" s="108"/>
      <c r="O362" s="121"/>
      <c r="P362" s="121"/>
      <c r="Q362" s="113" t="str">
        <f t="shared" si="24"/>
        <v/>
      </c>
      <c r="R362" s="113" t="str">
        <f t="shared" si="25"/>
        <v/>
      </c>
      <c r="S362" s="113" t="str">
        <f t="shared" si="26"/>
        <v/>
      </c>
      <c r="T362" s="113" t="str">
        <f t="shared" si="27"/>
        <v/>
      </c>
      <c r="U362" s="113" t="str">
        <f t="shared" si="28"/>
        <v/>
      </c>
      <c r="V362" s="113" t="str">
        <f t="shared" si="29"/>
        <v/>
      </c>
      <c r="W362" s="114"/>
    </row>
    <row r="363" spans="1:23" ht="15" customHeight="1">
      <c r="A363" s="101">
        <v>65</v>
      </c>
      <c r="B363" s="130" t="s">
        <v>431</v>
      </c>
      <c r="C363" s="131"/>
      <c r="D363" s="537">
        <f>0.8+0.23+0.8</f>
        <v>1.83</v>
      </c>
      <c r="E363" s="537"/>
      <c r="F363" s="127"/>
      <c r="G363" s="117">
        <v>0.25</v>
      </c>
      <c r="H363" s="107">
        <v>16</v>
      </c>
      <c r="I363" s="108">
        <v>1</v>
      </c>
      <c r="J363" s="110">
        <f>ROUND(D366/G363+1,0)</f>
        <v>14</v>
      </c>
      <c r="K363" s="118">
        <f>D363</f>
        <v>1.83</v>
      </c>
      <c r="L363" s="119" t="str">
        <f>IF(O363&lt;12,"0",0.049*H363)</f>
        <v>0</v>
      </c>
      <c r="M363" s="120">
        <v>0</v>
      </c>
      <c r="N363" s="108">
        <f>M363*2*H363/1000</f>
        <v>0</v>
      </c>
      <c r="O363" s="121">
        <f>(D363)-N363</f>
        <v>1.83</v>
      </c>
      <c r="P363" s="121">
        <f>(I363*J363*O363)+L363</f>
        <v>25.62</v>
      </c>
      <c r="Q363" s="113" t="str">
        <f t="shared" si="24"/>
        <v/>
      </c>
      <c r="R363" s="113" t="str">
        <f t="shared" si="25"/>
        <v/>
      </c>
      <c r="S363" s="113" t="str">
        <f t="shared" si="26"/>
        <v/>
      </c>
      <c r="T363" s="113">
        <f t="shared" si="27"/>
        <v>25.62</v>
      </c>
      <c r="U363" s="113" t="str">
        <f t="shared" si="28"/>
        <v/>
      </c>
      <c r="V363" s="113" t="str">
        <f t="shared" si="29"/>
        <v/>
      </c>
      <c r="W363" s="114"/>
    </row>
    <row r="364" spans="1:23">
      <c r="A364" s="101"/>
      <c r="B364" s="130" t="s">
        <v>304</v>
      </c>
      <c r="C364" s="116"/>
      <c r="D364" s="126"/>
      <c r="E364" s="126"/>
      <c r="F364" s="127"/>
      <c r="G364" s="117"/>
      <c r="H364" s="107"/>
      <c r="I364" s="108"/>
      <c r="J364" s="110"/>
      <c r="K364" s="118"/>
      <c r="L364" s="119"/>
      <c r="M364" s="120"/>
      <c r="N364" s="108"/>
      <c r="O364" s="121"/>
      <c r="P364" s="121"/>
      <c r="Q364" s="113" t="str">
        <f t="shared" si="24"/>
        <v/>
      </c>
      <c r="R364" s="113" t="str">
        <f t="shared" si="25"/>
        <v/>
      </c>
      <c r="S364" s="113" t="str">
        <f t="shared" si="26"/>
        <v/>
      </c>
      <c r="T364" s="113" t="str">
        <f t="shared" si="27"/>
        <v/>
      </c>
      <c r="U364" s="113" t="str">
        <f t="shared" si="28"/>
        <v/>
      </c>
      <c r="V364" s="113" t="str">
        <f t="shared" si="29"/>
        <v/>
      </c>
      <c r="W364" s="114"/>
    </row>
    <row r="365" spans="1:23">
      <c r="A365" s="101"/>
      <c r="B365" s="130"/>
      <c r="C365" s="116"/>
      <c r="D365" s="126"/>
      <c r="E365" s="126"/>
      <c r="F365" s="127"/>
      <c r="G365" s="117"/>
      <c r="H365" s="107"/>
      <c r="I365" s="108"/>
      <c r="J365" s="110"/>
      <c r="K365" s="118"/>
      <c r="L365" s="119"/>
      <c r="M365" s="120"/>
      <c r="N365" s="108"/>
      <c r="O365" s="121"/>
      <c r="P365" s="121"/>
      <c r="Q365" s="113" t="str">
        <f t="shared" ref="Q365:Q428" si="30">IF($H365=8,$P365,"")</f>
        <v/>
      </c>
      <c r="R365" s="113" t="str">
        <f t="shared" ref="R365:R428" si="31">IF($H365=10,$P365,"")</f>
        <v/>
      </c>
      <c r="S365" s="113" t="str">
        <f t="shared" ref="S365:S428" si="32">IF($H365=12,$P365,"")</f>
        <v/>
      </c>
      <c r="T365" s="113" t="str">
        <f t="shared" ref="T365:T428" si="33">IF($H365=16,$P365,"")</f>
        <v/>
      </c>
      <c r="U365" s="113" t="str">
        <f t="shared" ref="U365:U428" si="34">IF($H365=20,$P365,"")</f>
        <v/>
      </c>
      <c r="V365" s="113" t="str">
        <f t="shared" ref="V365:V428" si="35">IF($H365=25,$P365,"")</f>
        <v/>
      </c>
      <c r="W365" s="114"/>
    </row>
    <row r="366" spans="1:23" ht="15" customHeight="1">
      <c r="A366" s="101">
        <v>66</v>
      </c>
      <c r="B366" s="130" t="s">
        <v>432</v>
      </c>
      <c r="C366" s="131"/>
      <c r="D366" s="537">
        <f>1+1.185+1</f>
        <v>3.1850000000000001</v>
      </c>
      <c r="E366" s="537"/>
      <c r="F366" s="127"/>
      <c r="G366" s="117">
        <v>0.25</v>
      </c>
      <c r="H366" s="107">
        <v>20</v>
      </c>
      <c r="I366" s="108">
        <v>1</v>
      </c>
      <c r="J366" s="110">
        <f>ROUND(D363/G366+1,0)</f>
        <v>8</v>
      </c>
      <c r="K366" s="118">
        <f>D366</f>
        <v>3.1850000000000001</v>
      </c>
      <c r="L366" s="119" t="str">
        <f>IF(O366&lt;12,"0",0.049*H366)</f>
        <v>0</v>
      </c>
      <c r="M366" s="120">
        <v>0</v>
      </c>
      <c r="N366" s="108">
        <f>M366*2*H366/1000</f>
        <v>0</v>
      </c>
      <c r="O366" s="121">
        <f>(D366)-N366</f>
        <v>3.1850000000000001</v>
      </c>
      <c r="P366" s="121">
        <f>(I366*J366*O366)+L366</f>
        <v>25.48</v>
      </c>
      <c r="Q366" s="113" t="str">
        <f t="shared" si="30"/>
        <v/>
      </c>
      <c r="R366" s="113" t="str">
        <f t="shared" si="31"/>
        <v/>
      </c>
      <c r="S366" s="113" t="str">
        <f t="shared" si="32"/>
        <v/>
      </c>
      <c r="T366" s="113" t="str">
        <f t="shared" si="33"/>
        <v/>
      </c>
      <c r="U366" s="113">
        <f t="shared" si="34"/>
        <v>25.48</v>
      </c>
      <c r="V366" s="113" t="str">
        <f t="shared" si="35"/>
        <v/>
      </c>
      <c r="W366" s="114"/>
    </row>
    <row r="367" spans="1:23">
      <c r="A367" s="101"/>
      <c r="B367" s="130" t="s">
        <v>304</v>
      </c>
      <c r="C367" s="116"/>
      <c r="D367" s="126"/>
      <c r="E367" s="126"/>
      <c r="F367" s="127"/>
      <c r="G367" s="117"/>
      <c r="H367" s="107"/>
      <c r="I367" s="108"/>
      <c r="J367" s="110"/>
      <c r="K367" s="118"/>
      <c r="L367" s="119"/>
      <c r="M367" s="120"/>
      <c r="N367" s="108"/>
      <c r="O367" s="121"/>
      <c r="P367" s="121"/>
      <c r="Q367" s="113" t="str">
        <f t="shared" si="30"/>
        <v/>
      </c>
      <c r="R367" s="113" t="str">
        <f t="shared" si="31"/>
        <v/>
      </c>
      <c r="S367" s="113" t="str">
        <f t="shared" si="32"/>
        <v/>
      </c>
      <c r="T367" s="113" t="str">
        <f t="shared" si="33"/>
        <v/>
      </c>
      <c r="U367" s="113" t="str">
        <f t="shared" si="34"/>
        <v/>
      </c>
      <c r="V367" s="113" t="str">
        <f t="shared" si="35"/>
        <v/>
      </c>
      <c r="W367" s="114"/>
    </row>
    <row r="368" spans="1:23">
      <c r="A368" s="101"/>
      <c r="B368" s="130"/>
      <c r="C368" s="116"/>
      <c r="D368" s="126"/>
      <c r="E368" s="126"/>
      <c r="F368" s="127"/>
      <c r="G368" s="117"/>
      <c r="H368" s="107"/>
      <c r="I368" s="108"/>
      <c r="J368" s="110"/>
      <c r="K368" s="118"/>
      <c r="L368" s="119"/>
      <c r="M368" s="120"/>
      <c r="N368" s="108"/>
      <c r="O368" s="121"/>
      <c r="P368" s="121"/>
      <c r="Q368" s="113" t="str">
        <f t="shared" si="30"/>
        <v/>
      </c>
      <c r="R368" s="113" t="str">
        <f t="shared" si="31"/>
        <v/>
      </c>
      <c r="S368" s="113" t="str">
        <f t="shared" si="32"/>
        <v/>
      </c>
      <c r="T368" s="113" t="str">
        <f t="shared" si="33"/>
        <v/>
      </c>
      <c r="U368" s="113" t="str">
        <f t="shared" si="34"/>
        <v/>
      </c>
      <c r="V368" s="113" t="str">
        <f t="shared" si="35"/>
        <v/>
      </c>
      <c r="W368" s="114"/>
    </row>
    <row r="369" spans="1:23" ht="15" customHeight="1">
      <c r="A369" s="101">
        <v>67</v>
      </c>
      <c r="B369" s="130" t="s">
        <v>431</v>
      </c>
      <c r="C369" s="131"/>
      <c r="D369" s="537">
        <f>1+0.6+1</f>
        <v>2.6</v>
      </c>
      <c r="E369" s="537"/>
      <c r="F369" s="127"/>
      <c r="G369" s="117">
        <v>0.25</v>
      </c>
      <c r="H369" s="107">
        <v>20</v>
      </c>
      <c r="I369" s="108">
        <v>1</v>
      </c>
      <c r="J369" s="110">
        <f>ROUND(D372/G369+1,0)</f>
        <v>12</v>
      </c>
      <c r="K369" s="118">
        <f>D369</f>
        <v>2.6</v>
      </c>
      <c r="L369" s="119" t="str">
        <f>IF(O369&lt;12,"0",0.049*H369)</f>
        <v>0</v>
      </c>
      <c r="M369" s="120">
        <v>0</v>
      </c>
      <c r="N369" s="108">
        <f>M369*2*H369/1000</f>
        <v>0</v>
      </c>
      <c r="O369" s="121">
        <f>(D369)-N369</f>
        <v>2.6</v>
      </c>
      <c r="P369" s="121">
        <f>(I369*J369*O369)+L369</f>
        <v>31.200000000000003</v>
      </c>
      <c r="Q369" s="113" t="str">
        <f t="shared" si="30"/>
        <v/>
      </c>
      <c r="R369" s="113" t="str">
        <f t="shared" si="31"/>
        <v/>
      </c>
      <c r="S369" s="113" t="str">
        <f t="shared" si="32"/>
        <v/>
      </c>
      <c r="T369" s="113" t="str">
        <f t="shared" si="33"/>
        <v/>
      </c>
      <c r="U369" s="113">
        <f t="shared" si="34"/>
        <v>31.200000000000003</v>
      </c>
      <c r="V369" s="113" t="str">
        <f t="shared" si="35"/>
        <v/>
      </c>
      <c r="W369" s="114"/>
    </row>
    <row r="370" spans="1:23">
      <c r="A370" s="101"/>
      <c r="B370" s="130" t="s">
        <v>305</v>
      </c>
      <c r="C370" s="116"/>
      <c r="D370" s="126"/>
      <c r="E370" s="126"/>
      <c r="F370" s="127"/>
      <c r="G370" s="117"/>
      <c r="H370" s="107"/>
      <c r="I370" s="108"/>
      <c r="J370" s="110"/>
      <c r="K370" s="118"/>
      <c r="L370" s="119"/>
      <c r="M370" s="120"/>
      <c r="N370" s="108"/>
      <c r="O370" s="121"/>
      <c r="P370" s="121"/>
      <c r="Q370" s="113" t="str">
        <f t="shared" si="30"/>
        <v/>
      </c>
      <c r="R370" s="113" t="str">
        <f t="shared" si="31"/>
        <v/>
      </c>
      <c r="S370" s="113" t="str">
        <f t="shared" si="32"/>
        <v/>
      </c>
      <c r="T370" s="113" t="str">
        <f t="shared" si="33"/>
        <v/>
      </c>
      <c r="U370" s="113" t="str">
        <f t="shared" si="34"/>
        <v/>
      </c>
      <c r="V370" s="113" t="str">
        <f t="shared" si="35"/>
        <v/>
      </c>
      <c r="W370" s="114"/>
    </row>
    <row r="371" spans="1:23">
      <c r="A371" s="101"/>
      <c r="B371" s="130"/>
      <c r="C371" s="116"/>
      <c r="D371" s="126"/>
      <c r="E371" s="126"/>
      <c r="F371" s="127"/>
      <c r="G371" s="117"/>
      <c r="H371" s="107"/>
      <c r="I371" s="108"/>
      <c r="J371" s="110"/>
      <c r="K371" s="118"/>
      <c r="L371" s="119"/>
      <c r="M371" s="120"/>
      <c r="N371" s="108"/>
      <c r="O371" s="121"/>
      <c r="P371" s="121"/>
      <c r="Q371" s="113" t="str">
        <f t="shared" si="30"/>
        <v/>
      </c>
      <c r="R371" s="113" t="str">
        <f t="shared" si="31"/>
        <v/>
      </c>
      <c r="S371" s="113" t="str">
        <f t="shared" si="32"/>
        <v/>
      </c>
      <c r="T371" s="113" t="str">
        <f t="shared" si="33"/>
        <v/>
      </c>
      <c r="U371" s="113" t="str">
        <f t="shared" si="34"/>
        <v/>
      </c>
      <c r="V371" s="113" t="str">
        <f t="shared" si="35"/>
        <v/>
      </c>
      <c r="W371" s="114"/>
    </row>
    <row r="372" spans="1:23" ht="15" customHeight="1">
      <c r="A372" s="101">
        <v>68</v>
      </c>
      <c r="B372" s="130" t="s">
        <v>432</v>
      </c>
      <c r="C372" s="131"/>
      <c r="D372" s="537">
        <f>1.25+0.3+1.25</f>
        <v>2.8</v>
      </c>
      <c r="E372" s="537"/>
      <c r="F372" s="127"/>
      <c r="G372" s="117">
        <v>0.25</v>
      </c>
      <c r="H372" s="107">
        <v>25</v>
      </c>
      <c r="I372" s="108">
        <v>1</v>
      </c>
      <c r="J372" s="110">
        <f>ROUND(D369/G372+1,0)</f>
        <v>11</v>
      </c>
      <c r="K372" s="118">
        <f>D372</f>
        <v>2.8</v>
      </c>
      <c r="L372" s="119" t="str">
        <f>IF(O372&lt;12,"0",0.049*H372)</f>
        <v>0</v>
      </c>
      <c r="M372" s="120">
        <v>0</v>
      </c>
      <c r="N372" s="108">
        <f>M372*2*H372/1000</f>
        <v>0</v>
      </c>
      <c r="O372" s="121">
        <f>(D372)-N372</f>
        <v>2.8</v>
      </c>
      <c r="P372" s="121">
        <f>(I372*J372*O372)+L372</f>
        <v>30.799999999999997</v>
      </c>
      <c r="Q372" s="113" t="str">
        <f t="shared" si="30"/>
        <v/>
      </c>
      <c r="R372" s="113" t="str">
        <f t="shared" si="31"/>
        <v/>
      </c>
      <c r="S372" s="113" t="str">
        <f t="shared" si="32"/>
        <v/>
      </c>
      <c r="T372" s="113" t="str">
        <f t="shared" si="33"/>
        <v/>
      </c>
      <c r="U372" s="113" t="str">
        <f t="shared" si="34"/>
        <v/>
      </c>
      <c r="V372" s="113">
        <f t="shared" si="35"/>
        <v>30.799999999999997</v>
      </c>
      <c r="W372" s="114"/>
    </row>
    <row r="373" spans="1:23">
      <c r="A373" s="101"/>
      <c r="B373" s="130" t="s">
        <v>305</v>
      </c>
      <c r="C373" s="116"/>
      <c r="D373" s="126"/>
      <c r="E373" s="126"/>
      <c r="F373" s="127"/>
      <c r="G373" s="117"/>
      <c r="H373" s="107"/>
      <c r="I373" s="108"/>
      <c r="J373" s="110"/>
      <c r="K373" s="118"/>
      <c r="L373" s="119"/>
      <c r="M373" s="120"/>
      <c r="N373" s="108"/>
      <c r="O373" s="121"/>
      <c r="P373" s="121"/>
      <c r="Q373" s="113" t="str">
        <f t="shared" si="30"/>
        <v/>
      </c>
      <c r="R373" s="113" t="str">
        <f t="shared" si="31"/>
        <v/>
      </c>
      <c r="S373" s="113" t="str">
        <f t="shared" si="32"/>
        <v/>
      </c>
      <c r="T373" s="113" t="str">
        <f t="shared" si="33"/>
        <v/>
      </c>
      <c r="U373" s="113" t="str">
        <f t="shared" si="34"/>
        <v/>
      </c>
      <c r="V373" s="113" t="str">
        <f t="shared" si="35"/>
        <v/>
      </c>
      <c r="W373" s="114"/>
    </row>
    <row r="374" spans="1:23">
      <c r="A374" s="101"/>
      <c r="B374" s="130"/>
      <c r="C374" s="116"/>
      <c r="D374" s="126"/>
      <c r="E374" s="126"/>
      <c r="F374" s="127"/>
      <c r="G374" s="117"/>
      <c r="H374" s="107"/>
      <c r="I374" s="108"/>
      <c r="J374" s="110"/>
      <c r="K374" s="118"/>
      <c r="L374" s="119"/>
      <c r="M374" s="120"/>
      <c r="N374" s="108"/>
      <c r="O374" s="121"/>
      <c r="P374" s="121"/>
      <c r="Q374" s="113" t="str">
        <f t="shared" si="30"/>
        <v/>
      </c>
      <c r="R374" s="113" t="str">
        <f t="shared" si="31"/>
        <v/>
      </c>
      <c r="S374" s="113" t="str">
        <f t="shared" si="32"/>
        <v/>
      </c>
      <c r="T374" s="113" t="str">
        <f t="shared" si="33"/>
        <v/>
      </c>
      <c r="U374" s="113" t="str">
        <f t="shared" si="34"/>
        <v/>
      </c>
      <c r="V374" s="113" t="str">
        <f t="shared" si="35"/>
        <v/>
      </c>
      <c r="W374" s="114"/>
    </row>
    <row r="375" spans="1:23" ht="15" customHeight="1">
      <c r="A375" s="101">
        <v>69</v>
      </c>
      <c r="B375" s="130" t="s">
        <v>431</v>
      </c>
      <c r="C375" s="131"/>
      <c r="D375" s="537">
        <f>1.25+0.3+1.25</f>
        <v>2.8</v>
      </c>
      <c r="E375" s="537"/>
      <c r="F375" s="127"/>
      <c r="G375" s="117">
        <v>0.25</v>
      </c>
      <c r="H375" s="107">
        <v>20</v>
      </c>
      <c r="I375" s="108">
        <v>1</v>
      </c>
      <c r="J375" s="110">
        <f>ROUND(D378/G375+1,0)</f>
        <v>11</v>
      </c>
      <c r="K375" s="118">
        <f>D375</f>
        <v>2.8</v>
      </c>
      <c r="L375" s="119" t="str">
        <f>IF(O375&lt;12,"0",0.049*H375)</f>
        <v>0</v>
      </c>
      <c r="M375" s="120">
        <v>0</v>
      </c>
      <c r="N375" s="108">
        <f>M375*2*H375/1000</f>
        <v>0</v>
      </c>
      <c r="O375" s="121">
        <f>(D375)-N375</f>
        <v>2.8</v>
      </c>
      <c r="P375" s="121">
        <f>(I375*J375*O375)+L375</f>
        <v>30.799999999999997</v>
      </c>
      <c r="Q375" s="113" t="str">
        <f t="shared" si="30"/>
        <v/>
      </c>
      <c r="R375" s="113" t="str">
        <f t="shared" si="31"/>
        <v/>
      </c>
      <c r="S375" s="113" t="str">
        <f t="shared" si="32"/>
        <v/>
      </c>
      <c r="T375" s="113" t="str">
        <f t="shared" si="33"/>
        <v/>
      </c>
      <c r="U375" s="113">
        <f t="shared" si="34"/>
        <v>30.799999999999997</v>
      </c>
      <c r="V375" s="113" t="str">
        <f t="shared" si="35"/>
        <v/>
      </c>
      <c r="W375" s="114"/>
    </row>
    <row r="376" spans="1:23">
      <c r="A376" s="101"/>
      <c r="B376" s="130" t="s">
        <v>306</v>
      </c>
      <c r="C376" s="116"/>
      <c r="D376" s="126"/>
      <c r="E376" s="126"/>
      <c r="F376" s="127"/>
      <c r="G376" s="117"/>
      <c r="H376" s="107"/>
      <c r="I376" s="108"/>
      <c r="J376" s="110"/>
      <c r="K376" s="118"/>
      <c r="L376" s="119"/>
      <c r="M376" s="120"/>
      <c r="N376" s="108"/>
      <c r="O376" s="121"/>
      <c r="P376" s="121"/>
      <c r="Q376" s="113" t="str">
        <f t="shared" si="30"/>
        <v/>
      </c>
      <c r="R376" s="113" t="str">
        <f t="shared" si="31"/>
        <v/>
      </c>
      <c r="S376" s="113" t="str">
        <f t="shared" si="32"/>
        <v/>
      </c>
      <c r="T376" s="113" t="str">
        <f t="shared" si="33"/>
        <v/>
      </c>
      <c r="U376" s="113" t="str">
        <f t="shared" si="34"/>
        <v/>
      </c>
      <c r="V376" s="113" t="str">
        <f t="shared" si="35"/>
        <v/>
      </c>
      <c r="W376" s="114"/>
    </row>
    <row r="377" spans="1:23">
      <c r="A377" s="101"/>
      <c r="B377" s="130"/>
      <c r="C377" s="116"/>
      <c r="D377" s="126"/>
      <c r="E377" s="126"/>
      <c r="F377" s="127"/>
      <c r="G377" s="117"/>
      <c r="H377" s="107"/>
      <c r="I377" s="108"/>
      <c r="J377" s="110"/>
      <c r="K377" s="118"/>
      <c r="L377" s="119"/>
      <c r="M377" s="120"/>
      <c r="N377" s="108"/>
      <c r="O377" s="121"/>
      <c r="P377" s="121"/>
      <c r="Q377" s="113" t="str">
        <f t="shared" si="30"/>
        <v/>
      </c>
      <c r="R377" s="113" t="str">
        <f t="shared" si="31"/>
        <v/>
      </c>
      <c r="S377" s="113" t="str">
        <f t="shared" si="32"/>
        <v/>
      </c>
      <c r="T377" s="113" t="str">
        <f t="shared" si="33"/>
        <v/>
      </c>
      <c r="U377" s="113" t="str">
        <f t="shared" si="34"/>
        <v/>
      </c>
      <c r="V377" s="113" t="str">
        <f t="shared" si="35"/>
        <v/>
      </c>
      <c r="W377" s="114"/>
    </row>
    <row r="378" spans="1:23" ht="15" customHeight="1">
      <c r="A378" s="101">
        <v>70</v>
      </c>
      <c r="B378" s="130" t="s">
        <v>432</v>
      </c>
      <c r="C378" s="131"/>
      <c r="D378" s="537">
        <f>1+0.6+1</f>
        <v>2.6</v>
      </c>
      <c r="E378" s="537"/>
      <c r="F378" s="127"/>
      <c r="G378" s="117">
        <v>0.25</v>
      </c>
      <c r="H378" s="107">
        <v>25</v>
      </c>
      <c r="I378" s="108">
        <v>1</v>
      </c>
      <c r="J378" s="110">
        <f>ROUND(D375/G378+1,0)</f>
        <v>12</v>
      </c>
      <c r="K378" s="118">
        <f>D378</f>
        <v>2.6</v>
      </c>
      <c r="L378" s="119" t="str">
        <f>IF(O378&lt;12,"0",0.049*H378)</f>
        <v>0</v>
      </c>
      <c r="M378" s="120">
        <v>0</v>
      </c>
      <c r="N378" s="108">
        <f>M378*2*H378/1000</f>
        <v>0</v>
      </c>
      <c r="O378" s="121">
        <f>(D378)-N378</f>
        <v>2.6</v>
      </c>
      <c r="P378" s="121">
        <f>(I378*J378*O378)+L378</f>
        <v>31.200000000000003</v>
      </c>
      <c r="Q378" s="113" t="str">
        <f t="shared" si="30"/>
        <v/>
      </c>
      <c r="R378" s="113" t="str">
        <f t="shared" si="31"/>
        <v/>
      </c>
      <c r="S378" s="113" t="str">
        <f t="shared" si="32"/>
        <v/>
      </c>
      <c r="T378" s="113" t="str">
        <f t="shared" si="33"/>
        <v/>
      </c>
      <c r="U378" s="113" t="str">
        <f t="shared" si="34"/>
        <v/>
      </c>
      <c r="V378" s="113">
        <f t="shared" si="35"/>
        <v>31.200000000000003</v>
      </c>
      <c r="W378" s="114"/>
    </row>
    <row r="379" spans="1:23">
      <c r="A379" s="101"/>
      <c r="B379" s="130" t="s">
        <v>306</v>
      </c>
      <c r="C379" s="116"/>
      <c r="D379" s="126"/>
      <c r="E379" s="126"/>
      <c r="F379" s="127"/>
      <c r="G379" s="117"/>
      <c r="H379" s="107"/>
      <c r="I379" s="108"/>
      <c r="J379" s="110"/>
      <c r="K379" s="118"/>
      <c r="L379" s="119"/>
      <c r="M379" s="120"/>
      <c r="N379" s="108"/>
      <c r="O379" s="121"/>
      <c r="P379" s="121"/>
      <c r="Q379" s="113" t="str">
        <f t="shared" si="30"/>
        <v/>
      </c>
      <c r="R379" s="113" t="str">
        <f t="shared" si="31"/>
        <v/>
      </c>
      <c r="S379" s="113" t="str">
        <f t="shared" si="32"/>
        <v/>
      </c>
      <c r="T379" s="113" t="str">
        <f t="shared" si="33"/>
        <v/>
      </c>
      <c r="U379" s="113" t="str">
        <f t="shared" si="34"/>
        <v/>
      </c>
      <c r="V379" s="113" t="str">
        <f t="shared" si="35"/>
        <v/>
      </c>
      <c r="W379" s="114"/>
    </row>
    <row r="380" spans="1:23">
      <c r="A380" s="101"/>
      <c r="B380" s="130"/>
      <c r="C380" s="116"/>
      <c r="D380" s="126"/>
      <c r="E380" s="126"/>
      <c r="F380" s="127"/>
      <c r="G380" s="117"/>
      <c r="H380" s="107"/>
      <c r="I380" s="108"/>
      <c r="J380" s="110"/>
      <c r="K380" s="118"/>
      <c r="L380" s="119"/>
      <c r="M380" s="120"/>
      <c r="N380" s="108"/>
      <c r="O380" s="121"/>
      <c r="P380" s="121"/>
      <c r="Q380" s="113" t="str">
        <f t="shared" si="30"/>
        <v/>
      </c>
      <c r="R380" s="113" t="str">
        <f t="shared" si="31"/>
        <v/>
      </c>
      <c r="S380" s="113" t="str">
        <f t="shared" si="32"/>
        <v/>
      </c>
      <c r="T380" s="113" t="str">
        <f t="shared" si="33"/>
        <v/>
      </c>
      <c r="U380" s="113" t="str">
        <f t="shared" si="34"/>
        <v/>
      </c>
      <c r="V380" s="113" t="str">
        <f t="shared" si="35"/>
        <v/>
      </c>
      <c r="W380" s="114"/>
    </row>
    <row r="381" spans="1:23" ht="15" customHeight="1">
      <c r="A381" s="101">
        <v>71</v>
      </c>
      <c r="B381" s="130" t="s">
        <v>431</v>
      </c>
      <c r="C381" s="131"/>
      <c r="D381" s="537">
        <f>1.25+0.3+1.25</f>
        <v>2.8</v>
      </c>
      <c r="E381" s="537"/>
      <c r="F381" s="127"/>
      <c r="G381" s="117">
        <v>0.25</v>
      </c>
      <c r="H381" s="107">
        <v>25</v>
      </c>
      <c r="I381" s="108">
        <v>1</v>
      </c>
      <c r="J381" s="110">
        <f>ROUND(3.1/G381+1,0)</f>
        <v>13</v>
      </c>
      <c r="K381" s="118">
        <f>D381</f>
        <v>2.8</v>
      </c>
      <c r="L381" s="119" t="str">
        <f>IF(O381&lt;12,"0",0.049*H381)</f>
        <v>0</v>
      </c>
      <c r="M381" s="120">
        <v>0</v>
      </c>
      <c r="N381" s="108">
        <f>M381*2*H381/1000</f>
        <v>0</v>
      </c>
      <c r="O381" s="121">
        <f>(D381)-N381</f>
        <v>2.8</v>
      </c>
      <c r="P381" s="121">
        <f>(I381*J381*O381)+L381</f>
        <v>36.4</v>
      </c>
      <c r="Q381" s="113" t="str">
        <f t="shared" si="30"/>
        <v/>
      </c>
      <c r="R381" s="113" t="str">
        <f t="shared" si="31"/>
        <v/>
      </c>
      <c r="S381" s="113" t="str">
        <f t="shared" si="32"/>
        <v/>
      </c>
      <c r="T381" s="113" t="str">
        <f t="shared" si="33"/>
        <v/>
      </c>
      <c r="U381" s="113" t="str">
        <f t="shared" si="34"/>
        <v/>
      </c>
      <c r="V381" s="113">
        <f t="shared" si="35"/>
        <v>36.4</v>
      </c>
      <c r="W381" s="114"/>
    </row>
    <row r="382" spans="1:23">
      <c r="A382" s="101"/>
      <c r="B382" s="130" t="s">
        <v>307</v>
      </c>
      <c r="C382" s="116"/>
      <c r="D382" s="126"/>
      <c r="E382" s="126"/>
      <c r="F382" s="127"/>
      <c r="G382" s="117"/>
      <c r="H382" s="107"/>
      <c r="I382" s="108"/>
      <c r="J382" s="110"/>
      <c r="K382" s="118"/>
      <c r="L382" s="119"/>
      <c r="M382" s="120"/>
      <c r="N382" s="108"/>
      <c r="O382" s="121"/>
      <c r="P382" s="121"/>
      <c r="Q382" s="113" t="str">
        <f t="shared" si="30"/>
        <v/>
      </c>
      <c r="R382" s="113" t="str">
        <f t="shared" si="31"/>
        <v/>
      </c>
      <c r="S382" s="113" t="str">
        <f t="shared" si="32"/>
        <v/>
      </c>
      <c r="T382" s="113" t="str">
        <f t="shared" si="33"/>
        <v/>
      </c>
      <c r="U382" s="113" t="str">
        <f t="shared" si="34"/>
        <v/>
      </c>
      <c r="V382" s="113" t="str">
        <f t="shared" si="35"/>
        <v/>
      </c>
      <c r="W382" s="114"/>
    </row>
    <row r="383" spans="1:23">
      <c r="A383" s="101"/>
      <c r="B383" s="130"/>
      <c r="C383" s="116"/>
      <c r="D383" s="126"/>
      <c r="E383" s="126"/>
      <c r="F383" s="127"/>
      <c r="G383" s="117"/>
      <c r="H383" s="107"/>
      <c r="I383" s="108"/>
      <c r="J383" s="110"/>
      <c r="K383" s="118"/>
      <c r="L383" s="119"/>
      <c r="M383" s="120"/>
      <c r="N383" s="108"/>
      <c r="O383" s="121"/>
      <c r="P383" s="121"/>
      <c r="Q383" s="113" t="str">
        <f t="shared" si="30"/>
        <v/>
      </c>
      <c r="R383" s="113" t="str">
        <f t="shared" si="31"/>
        <v/>
      </c>
      <c r="S383" s="113" t="str">
        <f t="shared" si="32"/>
        <v/>
      </c>
      <c r="T383" s="113" t="str">
        <f t="shared" si="33"/>
        <v/>
      </c>
      <c r="U383" s="113" t="str">
        <f t="shared" si="34"/>
        <v/>
      </c>
      <c r="V383" s="113" t="str">
        <f t="shared" si="35"/>
        <v/>
      </c>
      <c r="W383" s="114"/>
    </row>
    <row r="384" spans="1:23" ht="15" customHeight="1">
      <c r="A384" s="101">
        <v>72</v>
      </c>
      <c r="B384" s="130" t="s">
        <v>432</v>
      </c>
      <c r="C384" s="131"/>
      <c r="D384" s="537">
        <f>1.25+0.6+1.25</f>
        <v>3.1</v>
      </c>
      <c r="E384" s="537"/>
      <c r="F384" s="127"/>
      <c r="G384" s="117">
        <v>0.25</v>
      </c>
      <c r="H384" s="107">
        <v>25</v>
      </c>
      <c r="I384" s="108">
        <v>1</v>
      </c>
      <c r="J384" s="110">
        <f>ROUND(2.8/G384+1,0)</f>
        <v>12</v>
      </c>
      <c r="K384" s="118">
        <f>D384</f>
        <v>3.1</v>
      </c>
      <c r="L384" s="119" t="str">
        <f>IF(O384&lt;12,"0",0.049*H384)</f>
        <v>0</v>
      </c>
      <c r="M384" s="120">
        <v>0</v>
      </c>
      <c r="N384" s="108">
        <f>M384*2*H384/1000</f>
        <v>0</v>
      </c>
      <c r="O384" s="121">
        <f>(D384)-N384</f>
        <v>3.1</v>
      </c>
      <c r="P384" s="121">
        <f>(I384*J384*O384)+L384</f>
        <v>37.200000000000003</v>
      </c>
      <c r="Q384" s="113" t="str">
        <f t="shared" si="30"/>
        <v/>
      </c>
      <c r="R384" s="113" t="str">
        <f t="shared" si="31"/>
        <v/>
      </c>
      <c r="S384" s="113" t="str">
        <f t="shared" si="32"/>
        <v/>
      </c>
      <c r="T384" s="113" t="str">
        <f t="shared" si="33"/>
        <v/>
      </c>
      <c r="U384" s="113" t="str">
        <f t="shared" si="34"/>
        <v/>
      </c>
      <c r="V384" s="113">
        <f t="shared" si="35"/>
        <v>37.200000000000003</v>
      </c>
      <c r="W384" s="114"/>
    </row>
    <row r="385" spans="1:23">
      <c r="A385" s="101"/>
      <c r="B385" s="130" t="s">
        <v>307</v>
      </c>
      <c r="C385" s="116"/>
      <c r="D385" s="126"/>
      <c r="E385" s="126"/>
      <c r="F385" s="127"/>
      <c r="G385" s="117"/>
      <c r="H385" s="107"/>
      <c r="I385" s="108"/>
      <c r="J385" s="110"/>
      <c r="K385" s="118"/>
      <c r="L385" s="119"/>
      <c r="M385" s="120"/>
      <c r="N385" s="108"/>
      <c r="O385" s="121"/>
      <c r="P385" s="121"/>
      <c r="Q385" s="113" t="str">
        <f t="shared" si="30"/>
        <v/>
      </c>
      <c r="R385" s="113" t="str">
        <f t="shared" si="31"/>
        <v/>
      </c>
      <c r="S385" s="113" t="str">
        <f t="shared" si="32"/>
        <v/>
      </c>
      <c r="T385" s="113" t="str">
        <f t="shared" si="33"/>
        <v/>
      </c>
      <c r="U385" s="113" t="str">
        <f t="shared" si="34"/>
        <v/>
      </c>
      <c r="V385" s="113" t="str">
        <f t="shared" si="35"/>
        <v/>
      </c>
      <c r="W385" s="114"/>
    </row>
    <row r="386" spans="1:23">
      <c r="A386" s="101"/>
      <c r="B386" s="130"/>
      <c r="C386" s="116"/>
      <c r="D386" s="126"/>
      <c r="E386" s="126"/>
      <c r="F386" s="127"/>
      <c r="G386" s="117"/>
      <c r="H386" s="107"/>
      <c r="I386" s="108"/>
      <c r="J386" s="110"/>
      <c r="K386" s="118"/>
      <c r="L386" s="119"/>
      <c r="M386" s="120"/>
      <c r="N386" s="108"/>
      <c r="O386" s="121"/>
      <c r="P386" s="121"/>
      <c r="Q386" s="113" t="str">
        <f t="shared" si="30"/>
        <v/>
      </c>
      <c r="R386" s="113" t="str">
        <f t="shared" si="31"/>
        <v/>
      </c>
      <c r="S386" s="113" t="str">
        <f t="shared" si="32"/>
        <v/>
      </c>
      <c r="T386" s="113" t="str">
        <f t="shared" si="33"/>
        <v/>
      </c>
      <c r="U386" s="113" t="str">
        <f t="shared" si="34"/>
        <v/>
      </c>
      <c r="V386" s="113" t="str">
        <f t="shared" si="35"/>
        <v/>
      </c>
      <c r="W386" s="114"/>
    </row>
    <row r="387" spans="1:23" ht="15" customHeight="1">
      <c r="A387" s="101">
        <v>73</v>
      </c>
      <c r="B387" s="130" t="s">
        <v>431</v>
      </c>
      <c r="C387" s="131"/>
      <c r="D387" s="538">
        <f>1+0.3+1</f>
        <v>2.2999999999999998</v>
      </c>
      <c r="E387" s="538"/>
      <c r="F387" s="127"/>
      <c r="G387" s="117">
        <v>0.25</v>
      </c>
      <c r="H387" s="107">
        <v>20</v>
      </c>
      <c r="I387" s="108">
        <v>1</v>
      </c>
      <c r="J387" s="110">
        <f>ROUND(2.6/G387+1,0)</f>
        <v>11</v>
      </c>
      <c r="K387" s="118">
        <f>D387</f>
        <v>2.2999999999999998</v>
      </c>
      <c r="L387" s="119" t="str">
        <f>IF(O387&lt;12,"0",0.049*H387)</f>
        <v>0</v>
      </c>
      <c r="M387" s="120">
        <v>0</v>
      </c>
      <c r="N387" s="108">
        <f>M387*2*H387/1000</f>
        <v>0</v>
      </c>
      <c r="O387" s="121">
        <f>(D387)-N387</f>
        <v>2.2999999999999998</v>
      </c>
      <c r="P387" s="121">
        <f>(I387*J387*O387)+L387</f>
        <v>25.299999999999997</v>
      </c>
      <c r="Q387" s="113" t="str">
        <f t="shared" si="30"/>
        <v/>
      </c>
      <c r="R387" s="113" t="str">
        <f t="shared" si="31"/>
        <v/>
      </c>
      <c r="S387" s="113" t="str">
        <f t="shared" si="32"/>
        <v/>
      </c>
      <c r="T387" s="113" t="str">
        <f t="shared" si="33"/>
        <v/>
      </c>
      <c r="U387" s="113">
        <f t="shared" si="34"/>
        <v>25.299999999999997</v>
      </c>
      <c r="V387" s="113" t="str">
        <f t="shared" si="35"/>
        <v/>
      </c>
      <c r="W387" s="114"/>
    </row>
    <row r="388" spans="1:23">
      <c r="A388" s="101"/>
      <c r="B388" s="130" t="s">
        <v>308</v>
      </c>
      <c r="C388" s="116"/>
      <c r="D388" s="126"/>
      <c r="E388" s="126"/>
      <c r="F388" s="127"/>
      <c r="G388" s="117"/>
      <c r="H388" s="107"/>
      <c r="I388" s="108"/>
      <c r="J388" s="110"/>
      <c r="K388" s="118"/>
      <c r="L388" s="119"/>
      <c r="M388" s="120"/>
      <c r="N388" s="108"/>
      <c r="O388" s="121"/>
      <c r="P388" s="121"/>
      <c r="Q388" s="113" t="str">
        <f t="shared" si="30"/>
        <v/>
      </c>
      <c r="R388" s="113" t="str">
        <f t="shared" si="31"/>
        <v/>
      </c>
      <c r="S388" s="113" t="str">
        <f t="shared" si="32"/>
        <v/>
      </c>
      <c r="T388" s="113" t="str">
        <f t="shared" si="33"/>
        <v/>
      </c>
      <c r="U388" s="113" t="str">
        <f t="shared" si="34"/>
        <v/>
      </c>
      <c r="V388" s="113" t="str">
        <f t="shared" si="35"/>
        <v/>
      </c>
      <c r="W388" s="114"/>
    </row>
    <row r="389" spans="1:23">
      <c r="A389" s="101"/>
      <c r="B389" s="130"/>
      <c r="C389" s="116"/>
      <c r="D389" s="126"/>
      <c r="E389" s="126"/>
      <c r="F389" s="127"/>
      <c r="G389" s="117"/>
      <c r="H389" s="107"/>
      <c r="I389" s="108"/>
      <c r="J389" s="110"/>
      <c r="K389" s="118"/>
      <c r="L389" s="119"/>
      <c r="M389" s="120"/>
      <c r="N389" s="108"/>
      <c r="O389" s="121"/>
      <c r="P389" s="121"/>
      <c r="Q389" s="113" t="str">
        <f t="shared" si="30"/>
        <v/>
      </c>
      <c r="R389" s="113" t="str">
        <f t="shared" si="31"/>
        <v/>
      </c>
      <c r="S389" s="113" t="str">
        <f t="shared" si="32"/>
        <v/>
      </c>
      <c r="T389" s="113" t="str">
        <f t="shared" si="33"/>
        <v/>
      </c>
      <c r="U389" s="113" t="str">
        <f t="shared" si="34"/>
        <v/>
      </c>
      <c r="V389" s="113" t="str">
        <f t="shared" si="35"/>
        <v/>
      </c>
      <c r="W389" s="114"/>
    </row>
    <row r="390" spans="1:23" ht="15" customHeight="1">
      <c r="A390" s="101">
        <v>74</v>
      </c>
      <c r="B390" s="130" t="s">
        <v>432</v>
      </c>
      <c r="C390" s="131"/>
      <c r="D390" s="538">
        <f>1+0.6+1</f>
        <v>2.6</v>
      </c>
      <c r="E390" s="538"/>
      <c r="F390" s="127"/>
      <c r="G390" s="117">
        <v>0.25</v>
      </c>
      <c r="H390" s="107">
        <v>20</v>
      </c>
      <c r="I390" s="108">
        <v>1</v>
      </c>
      <c r="J390" s="110">
        <f>ROUND(2.3/G390+1,0)</f>
        <v>10</v>
      </c>
      <c r="K390" s="118">
        <f>D390</f>
        <v>2.6</v>
      </c>
      <c r="L390" s="119" t="str">
        <f>IF(O390&lt;12,"0",0.049*H390)</f>
        <v>0</v>
      </c>
      <c r="M390" s="120">
        <v>0</v>
      </c>
      <c r="N390" s="108">
        <f>M390*2*H390/1000</f>
        <v>0</v>
      </c>
      <c r="O390" s="121">
        <f>(D390)-N390</f>
        <v>2.6</v>
      </c>
      <c r="P390" s="121">
        <f>(I390*J390*O390)+L390</f>
        <v>26</v>
      </c>
      <c r="Q390" s="113" t="str">
        <f t="shared" si="30"/>
        <v/>
      </c>
      <c r="R390" s="113" t="str">
        <f t="shared" si="31"/>
        <v/>
      </c>
      <c r="S390" s="113" t="str">
        <f t="shared" si="32"/>
        <v/>
      </c>
      <c r="T390" s="113" t="str">
        <f t="shared" si="33"/>
        <v/>
      </c>
      <c r="U390" s="113">
        <f t="shared" si="34"/>
        <v>26</v>
      </c>
      <c r="V390" s="113" t="str">
        <f t="shared" si="35"/>
        <v/>
      </c>
      <c r="W390" s="114"/>
    </row>
    <row r="391" spans="1:23">
      <c r="A391" s="101"/>
      <c r="B391" s="130" t="s">
        <v>308</v>
      </c>
      <c r="C391" s="116"/>
      <c r="D391" s="126"/>
      <c r="E391" s="126"/>
      <c r="F391" s="127"/>
      <c r="G391" s="117"/>
      <c r="H391" s="107"/>
      <c r="I391" s="108"/>
      <c r="J391" s="110"/>
      <c r="K391" s="118"/>
      <c r="L391" s="119"/>
      <c r="M391" s="120"/>
      <c r="N391" s="108"/>
      <c r="O391" s="121"/>
      <c r="P391" s="121"/>
      <c r="Q391" s="113" t="str">
        <f t="shared" si="30"/>
        <v/>
      </c>
      <c r="R391" s="113" t="str">
        <f t="shared" si="31"/>
        <v/>
      </c>
      <c r="S391" s="113" t="str">
        <f t="shared" si="32"/>
        <v/>
      </c>
      <c r="T391" s="113" t="str">
        <f t="shared" si="33"/>
        <v/>
      </c>
      <c r="U391" s="113" t="str">
        <f t="shared" si="34"/>
        <v/>
      </c>
      <c r="V391" s="113" t="str">
        <f t="shared" si="35"/>
        <v/>
      </c>
      <c r="W391" s="114"/>
    </row>
    <row r="392" spans="1:23">
      <c r="A392" s="101"/>
      <c r="B392" s="130"/>
      <c r="C392" s="116"/>
      <c r="D392" s="126"/>
      <c r="E392" s="126"/>
      <c r="F392" s="127"/>
      <c r="G392" s="117"/>
      <c r="H392" s="107"/>
      <c r="I392" s="108"/>
      <c r="J392" s="110"/>
      <c r="K392" s="118"/>
      <c r="L392" s="119"/>
      <c r="M392" s="120"/>
      <c r="N392" s="108"/>
      <c r="O392" s="121"/>
      <c r="P392" s="121"/>
      <c r="Q392" s="113" t="str">
        <f t="shared" si="30"/>
        <v/>
      </c>
      <c r="R392" s="113" t="str">
        <f t="shared" si="31"/>
        <v/>
      </c>
      <c r="S392" s="113" t="str">
        <f t="shared" si="32"/>
        <v/>
      </c>
      <c r="T392" s="113" t="str">
        <f t="shared" si="33"/>
        <v/>
      </c>
      <c r="U392" s="113" t="str">
        <f t="shared" si="34"/>
        <v/>
      </c>
      <c r="V392" s="113" t="str">
        <f t="shared" si="35"/>
        <v/>
      </c>
      <c r="W392" s="114"/>
    </row>
    <row r="393" spans="1:23" ht="15" customHeight="1">
      <c r="A393" s="101">
        <v>75</v>
      </c>
      <c r="B393" s="130" t="s">
        <v>431</v>
      </c>
      <c r="C393" s="131"/>
      <c r="D393" s="538">
        <f>1.25+0.3+1.25</f>
        <v>2.8</v>
      </c>
      <c r="E393" s="538"/>
      <c r="F393" s="127"/>
      <c r="G393" s="117">
        <v>0.25</v>
      </c>
      <c r="H393" s="107">
        <v>25</v>
      </c>
      <c r="I393" s="108">
        <v>1</v>
      </c>
      <c r="J393" s="110">
        <f>ROUND(3.1/G393+1,0)</f>
        <v>13</v>
      </c>
      <c r="K393" s="118">
        <f>D393</f>
        <v>2.8</v>
      </c>
      <c r="L393" s="119" t="str">
        <f>IF(O393&lt;12,"0",0.049*H393)</f>
        <v>0</v>
      </c>
      <c r="M393" s="120">
        <v>0</v>
      </c>
      <c r="N393" s="108">
        <f>M393*2*H393/1000</f>
        <v>0</v>
      </c>
      <c r="O393" s="121">
        <f>(D393)-N393</f>
        <v>2.8</v>
      </c>
      <c r="P393" s="121">
        <f>(I393*J393*O393)+L393</f>
        <v>36.4</v>
      </c>
      <c r="Q393" s="113" t="str">
        <f t="shared" si="30"/>
        <v/>
      </c>
      <c r="R393" s="113" t="str">
        <f t="shared" si="31"/>
        <v/>
      </c>
      <c r="S393" s="113" t="str">
        <f t="shared" si="32"/>
        <v/>
      </c>
      <c r="T393" s="113" t="str">
        <f t="shared" si="33"/>
        <v/>
      </c>
      <c r="U393" s="113" t="str">
        <f t="shared" si="34"/>
        <v/>
      </c>
      <c r="V393" s="113">
        <f t="shared" si="35"/>
        <v>36.4</v>
      </c>
      <c r="W393" s="114"/>
    </row>
    <row r="394" spans="1:23">
      <c r="A394" s="101"/>
      <c r="B394" s="130" t="s">
        <v>284</v>
      </c>
      <c r="C394" s="116"/>
      <c r="D394" s="126"/>
      <c r="E394" s="126"/>
      <c r="F394" s="127"/>
      <c r="G394" s="117"/>
      <c r="H394" s="107"/>
      <c r="I394" s="108"/>
      <c r="J394" s="110"/>
      <c r="K394" s="118"/>
      <c r="L394" s="119"/>
      <c r="M394" s="120"/>
      <c r="N394" s="108"/>
      <c r="O394" s="121"/>
      <c r="P394" s="121"/>
      <c r="Q394" s="113" t="str">
        <f t="shared" si="30"/>
        <v/>
      </c>
      <c r="R394" s="113" t="str">
        <f t="shared" si="31"/>
        <v/>
      </c>
      <c r="S394" s="113" t="str">
        <f t="shared" si="32"/>
        <v/>
      </c>
      <c r="T394" s="113" t="str">
        <f t="shared" si="33"/>
        <v/>
      </c>
      <c r="U394" s="113" t="str">
        <f t="shared" si="34"/>
        <v/>
      </c>
      <c r="V394" s="113" t="str">
        <f t="shared" si="35"/>
        <v/>
      </c>
      <c r="W394" s="114"/>
    </row>
    <row r="395" spans="1:23">
      <c r="A395" s="101"/>
      <c r="B395" s="130"/>
      <c r="C395" s="116"/>
      <c r="D395" s="126"/>
      <c r="E395" s="126"/>
      <c r="F395" s="127"/>
      <c r="G395" s="117"/>
      <c r="H395" s="107"/>
      <c r="I395" s="108"/>
      <c r="J395" s="110"/>
      <c r="K395" s="118"/>
      <c r="L395" s="119"/>
      <c r="M395" s="120"/>
      <c r="N395" s="108"/>
      <c r="O395" s="121"/>
      <c r="P395" s="121"/>
      <c r="Q395" s="113" t="str">
        <f t="shared" si="30"/>
        <v/>
      </c>
      <c r="R395" s="113" t="str">
        <f t="shared" si="31"/>
        <v/>
      </c>
      <c r="S395" s="113" t="str">
        <f t="shared" si="32"/>
        <v/>
      </c>
      <c r="T395" s="113" t="str">
        <f t="shared" si="33"/>
        <v/>
      </c>
      <c r="U395" s="113" t="str">
        <f t="shared" si="34"/>
        <v/>
      </c>
      <c r="V395" s="113" t="str">
        <f t="shared" si="35"/>
        <v/>
      </c>
      <c r="W395" s="114"/>
    </row>
    <row r="396" spans="1:23" ht="15" customHeight="1">
      <c r="A396" s="101">
        <v>76</v>
      </c>
      <c r="B396" s="130" t="s">
        <v>432</v>
      </c>
      <c r="C396" s="131"/>
      <c r="D396" s="538">
        <f>1.25+0.6+1.25</f>
        <v>3.1</v>
      </c>
      <c r="E396" s="538"/>
      <c r="F396" s="127"/>
      <c r="G396" s="117">
        <v>0.25</v>
      </c>
      <c r="H396" s="107">
        <v>25</v>
      </c>
      <c r="I396" s="108">
        <v>1</v>
      </c>
      <c r="J396" s="110">
        <f>ROUND(2.8/G396+1,0)</f>
        <v>12</v>
      </c>
      <c r="K396" s="118">
        <f>D396</f>
        <v>3.1</v>
      </c>
      <c r="L396" s="119" t="str">
        <f>IF(O396&lt;12,"0",0.049*H396)</f>
        <v>0</v>
      </c>
      <c r="M396" s="120">
        <v>0</v>
      </c>
      <c r="N396" s="108">
        <f>M396*2*H396/1000</f>
        <v>0</v>
      </c>
      <c r="O396" s="121">
        <f>(D396)-N396</f>
        <v>3.1</v>
      </c>
      <c r="P396" s="121">
        <f>(I396*J396*O396)+L396</f>
        <v>37.200000000000003</v>
      </c>
      <c r="Q396" s="113" t="str">
        <f t="shared" si="30"/>
        <v/>
      </c>
      <c r="R396" s="113" t="str">
        <f t="shared" si="31"/>
        <v/>
      </c>
      <c r="S396" s="113" t="str">
        <f t="shared" si="32"/>
        <v/>
      </c>
      <c r="T396" s="113" t="str">
        <f t="shared" si="33"/>
        <v/>
      </c>
      <c r="U396" s="113" t="str">
        <f t="shared" si="34"/>
        <v/>
      </c>
      <c r="V396" s="113">
        <f t="shared" si="35"/>
        <v>37.200000000000003</v>
      </c>
      <c r="W396" s="114"/>
    </row>
    <row r="397" spans="1:23">
      <c r="A397" s="101"/>
      <c r="B397" s="130" t="s">
        <v>309</v>
      </c>
      <c r="C397" s="116"/>
      <c r="D397" s="126"/>
      <c r="E397" s="126"/>
      <c r="F397" s="127"/>
      <c r="G397" s="117"/>
      <c r="H397" s="107"/>
      <c r="I397" s="108"/>
      <c r="J397" s="110"/>
      <c r="K397" s="118"/>
      <c r="L397" s="119"/>
      <c r="M397" s="120"/>
      <c r="N397" s="108"/>
      <c r="O397" s="121"/>
      <c r="P397" s="121"/>
      <c r="Q397" s="113" t="str">
        <f t="shared" si="30"/>
        <v/>
      </c>
      <c r="R397" s="113" t="str">
        <f t="shared" si="31"/>
        <v/>
      </c>
      <c r="S397" s="113" t="str">
        <f t="shared" si="32"/>
        <v/>
      </c>
      <c r="T397" s="113" t="str">
        <f t="shared" si="33"/>
        <v/>
      </c>
      <c r="U397" s="113" t="str">
        <f t="shared" si="34"/>
        <v/>
      </c>
      <c r="V397" s="113" t="str">
        <f t="shared" si="35"/>
        <v/>
      </c>
      <c r="W397" s="114"/>
    </row>
    <row r="398" spans="1:23">
      <c r="A398" s="101"/>
      <c r="B398" s="130"/>
      <c r="C398" s="116"/>
      <c r="D398" s="126"/>
      <c r="E398" s="126"/>
      <c r="F398" s="127"/>
      <c r="G398" s="117"/>
      <c r="H398" s="107"/>
      <c r="I398" s="108"/>
      <c r="J398" s="110"/>
      <c r="K398" s="118"/>
      <c r="L398" s="119"/>
      <c r="M398" s="120"/>
      <c r="N398" s="108"/>
      <c r="O398" s="121"/>
      <c r="P398" s="121"/>
      <c r="Q398" s="113" t="str">
        <f t="shared" si="30"/>
        <v/>
      </c>
      <c r="R398" s="113" t="str">
        <f t="shared" si="31"/>
        <v/>
      </c>
      <c r="S398" s="113" t="str">
        <f t="shared" si="32"/>
        <v/>
      </c>
      <c r="T398" s="113" t="str">
        <f t="shared" si="33"/>
        <v/>
      </c>
      <c r="U398" s="113" t="str">
        <f t="shared" si="34"/>
        <v/>
      </c>
      <c r="V398" s="113" t="str">
        <f t="shared" si="35"/>
        <v/>
      </c>
      <c r="W398" s="114"/>
    </row>
    <row r="399" spans="1:23" ht="15" customHeight="1">
      <c r="A399" s="101">
        <v>77</v>
      </c>
      <c r="B399" s="130" t="s">
        <v>431</v>
      </c>
      <c r="C399" s="131"/>
      <c r="D399" s="538">
        <f>0.75-0.05+0.3+1.25</f>
        <v>2.25</v>
      </c>
      <c r="E399" s="538"/>
      <c r="F399" s="127"/>
      <c r="G399" s="117">
        <v>0.25</v>
      </c>
      <c r="H399" s="107">
        <v>25</v>
      </c>
      <c r="I399" s="108">
        <v>1</v>
      </c>
      <c r="J399" s="110">
        <f>ROUND(2.6/G399+1,0)</f>
        <v>11</v>
      </c>
      <c r="K399" s="118">
        <f>D399</f>
        <v>2.25</v>
      </c>
      <c r="L399" s="119" t="str">
        <f>IF(O399&lt;12,"0",0.049*H399)</f>
        <v>0</v>
      </c>
      <c r="M399" s="120">
        <v>0</v>
      </c>
      <c r="N399" s="108">
        <f>M399*2*H399/1000</f>
        <v>0</v>
      </c>
      <c r="O399" s="121">
        <f>(D399)-N399</f>
        <v>2.25</v>
      </c>
      <c r="P399" s="121">
        <f>(I399*J399*O399)+L399</f>
        <v>24.75</v>
      </c>
      <c r="Q399" s="113" t="str">
        <f t="shared" si="30"/>
        <v/>
      </c>
      <c r="R399" s="113" t="str">
        <f t="shared" si="31"/>
        <v/>
      </c>
      <c r="S399" s="113" t="str">
        <f t="shared" si="32"/>
        <v/>
      </c>
      <c r="T399" s="113" t="str">
        <f t="shared" si="33"/>
        <v/>
      </c>
      <c r="U399" s="113" t="str">
        <f t="shared" si="34"/>
        <v/>
      </c>
      <c r="V399" s="113">
        <f t="shared" si="35"/>
        <v>24.75</v>
      </c>
      <c r="W399" s="114"/>
    </row>
    <row r="400" spans="1:23">
      <c r="A400" s="101"/>
      <c r="B400" s="130" t="s">
        <v>310</v>
      </c>
      <c r="C400" s="116"/>
      <c r="D400" s="126"/>
      <c r="E400" s="126"/>
      <c r="F400" s="127"/>
      <c r="G400" s="117"/>
      <c r="H400" s="107"/>
      <c r="I400" s="108"/>
      <c r="J400" s="110"/>
      <c r="K400" s="118"/>
      <c r="L400" s="119"/>
      <c r="M400" s="120"/>
      <c r="N400" s="108"/>
      <c r="O400" s="121"/>
      <c r="P400" s="121"/>
      <c r="Q400" s="113" t="str">
        <f t="shared" si="30"/>
        <v/>
      </c>
      <c r="R400" s="113" t="str">
        <f t="shared" si="31"/>
        <v/>
      </c>
      <c r="S400" s="113" t="str">
        <f t="shared" si="32"/>
        <v/>
      </c>
      <c r="T400" s="113" t="str">
        <f t="shared" si="33"/>
        <v/>
      </c>
      <c r="U400" s="113" t="str">
        <f t="shared" si="34"/>
        <v/>
      </c>
      <c r="V400" s="113" t="str">
        <f t="shared" si="35"/>
        <v/>
      </c>
      <c r="W400" s="114"/>
    </row>
    <row r="401" spans="1:23">
      <c r="A401" s="101"/>
      <c r="B401" s="130"/>
      <c r="C401" s="116"/>
      <c r="D401" s="126"/>
      <c r="E401" s="126"/>
      <c r="F401" s="127"/>
      <c r="G401" s="117"/>
      <c r="H401" s="107"/>
      <c r="I401" s="108"/>
      <c r="J401" s="110"/>
      <c r="K401" s="118"/>
      <c r="L401" s="119"/>
      <c r="M401" s="120"/>
      <c r="N401" s="108"/>
      <c r="O401" s="121"/>
      <c r="P401" s="121"/>
      <c r="Q401" s="113" t="str">
        <f t="shared" si="30"/>
        <v/>
      </c>
      <c r="R401" s="113" t="str">
        <f t="shared" si="31"/>
        <v/>
      </c>
      <c r="S401" s="113" t="str">
        <f t="shared" si="32"/>
        <v/>
      </c>
      <c r="T401" s="113" t="str">
        <f t="shared" si="33"/>
        <v/>
      </c>
      <c r="U401" s="113" t="str">
        <f t="shared" si="34"/>
        <v/>
      </c>
      <c r="V401" s="113" t="str">
        <f t="shared" si="35"/>
        <v/>
      </c>
      <c r="W401" s="114"/>
    </row>
    <row r="402" spans="1:23" ht="15" customHeight="1">
      <c r="A402" s="101">
        <v>78</v>
      </c>
      <c r="B402" s="130" t="s">
        <v>432</v>
      </c>
      <c r="C402" s="131"/>
      <c r="D402" s="537">
        <f>1+0.6+1</f>
        <v>2.6</v>
      </c>
      <c r="E402" s="537"/>
      <c r="F402" s="127"/>
      <c r="G402" s="117">
        <v>0.25</v>
      </c>
      <c r="H402" s="107">
        <v>20</v>
      </c>
      <c r="I402" s="108">
        <v>1</v>
      </c>
      <c r="J402" s="110">
        <f>ROUND(2.25/G402+1,0)</f>
        <v>10</v>
      </c>
      <c r="K402" s="118">
        <f>D402</f>
        <v>2.6</v>
      </c>
      <c r="L402" s="119" t="str">
        <f>IF(O402&lt;12,"0",0.049*H402)</f>
        <v>0</v>
      </c>
      <c r="M402" s="120">
        <v>0</v>
      </c>
      <c r="N402" s="108">
        <f>M402*2*H402/1000</f>
        <v>0</v>
      </c>
      <c r="O402" s="121">
        <f>(D402)-N402</f>
        <v>2.6</v>
      </c>
      <c r="P402" s="121">
        <f>(I402*J402*O402)+L402</f>
        <v>26</v>
      </c>
      <c r="Q402" s="113" t="str">
        <f t="shared" si="30"/>
        <v/>
      </c>
      <c r="R402" s="113" t="str">
        <f t="shared" si="31"/>
        <v/>
      </c>
      <c r="S402" s="113" t="str">
        <f t="shared" si="32"/>
        <v/>
      </c>
      <c r="T402" s="113" t="str">
        <f t="shared" si="33"/>
        <v/>
      </c>
      <c r="U402" s="113">
        <f t="shared" si="34"/>
        <v>26</v>
      </c>
      <c r="V402" s="113" t="str">
        <f t="shared" si="35"/>
        <v/>
      </c>
      <c r="W402" s="114"/>
    </row>
    <row r="403" spans="1:23">
      <c r="A403" s="101"/>
      <c r="B403" s="130" t="s">
        <v>310</v>
      </c>
      <c r="C403" s="116"/>
      <c r="D403" s="126"/>
      <c r="E403" s="126"/>
      <c r="F403" s="127"/>
      <c r="G403" s="117"/>
      <c r="H403" s="107"/>
      <c r="I403" s="108"/>
      <c r="J403" s="110"/>
      <c r="K403" s="118"/>
      <c r="L403" s="119"/>
      <c r="M403" s="120"/>
      <c r="N403" s="108"/>
      <c r="O403" s="121"/>
      <c r="P403" s="121"/>
      <c r="Q403" s="113" t="str">
        <f t="shared" si="30"/>
        <v/>
      </c>
      <c r="R403" s="113" t="str">
        <f t="shared" si="31"/>
        <v/>
      </c>
      <c r="S403" s="113" t="str">
        <f t="shared" si="32"/>
        <v/>
      </c>
      <c r="T403" s="113" t="str">
        <f t="shared" si="33"/>
        <v/>
      </c>
      <c r="U403" s="113" t="str">
        <f t="shared" si="34"/>
        <v/>
      </c>
      <c r="V403" s="113" t="str">
        <f t="shared" si="35"/>
        <v/>
      </c>
      <c r="W403" s="114"/>
    </row>
    <row r="404" spans="1:23">
      <c r="A404" s="101"/>
      <c r="B404" s="130"/>
      <c r="C404" s="116"/>
      <c r="D404" s="126"/>
      <c r="E404" s="126"/>
      <c r="F404" s="127"/>
      <c r="G404" s="117"/>
      <c r="H404" s="107"/>
      <c r="I404" s="108"/>
      <c r="J404" s="110"/>
      <c r="K404" s="118"/>
      <c r="L404" s="119"/>
      <c r="M404" s="120"/>
      <c r="N404" s="108"/>
      <c r="O404" s="121"/>
      <c r="P404" s="121"/>
      <c r="Q404" s="113" t="str">
        <f t="shared" si="30"/>
        <v/>
      </c>
      <c r="R404" s="113" t="str">
        <f t="shared" si="31"/>
        <v/>
      </c>
      <c r="S404" s="113" t="str">
        <f t="shared" si="32"/>
        <v/>
      </c>
      <c r="T404" s="113" t="str">
        <f t="shared" si="33"/>
        <v/>
      </c>
      <c r="U404" s="113" t="str">
        <f t="shared" si="34"/>
        <v/>
      </c>
      <c r="V404" s="113" t="str">
        <f t="shared" si="35"/>
        <v/>
      </c>
      <c r="W404" s="114"/>
    </row>
    <row r="405" spans="1:23" ht="15" customHeight="1">
      <c r="A405" s="101">
        <v>79</v>
      </c>
      <c r="B405" s="130" t="s">
        <v>431</v>
      </c>
      <c r="C405" s="131"/>
      <c r="D405" s="538">
        <f>0.75-0.05+0.3+1.25</f>
        <v>2.25</v>
      </c>
      <c r="E405" s="538"/>
      <c r="F405" s="127"/>
      <c r="G405" s="117">
        <v>0.25</v>
      </c>
      <c r="H405" s="107">
        <v>25</v>
      </c>
      <c r="I405" s="108">
        <v>1</v>
      </c>
      <c r="J405" s="110">
        <f>ROUND(3.1/G405+1,0)</f>
        <v>13</v>
      </c>
      <c r="K405" s="118">
        <f>D405</f>
        <v>2.25</v>
      </c>
      <c r="L405" s="119" t="str">
        <f>IF(O405&lt;12,"0",0.049*H405)</f>
        <v>0</v>
      </c>
      <c r="M405" s="120">
        <v>0</v>
      </c>
      <c r="N405" s="108">
        <f>M405*2*H405/1000</f>
        <v>0</v>
      </c>
      <c r="O405" s="121">
        <f>(D405)-N405</f>
        <v>2.25</v>
      </c>
      <c r="P405" s="121">
        <f>(I405*J405*O405)+L405</f>
        <v>29.25</v>
      </c>
      <c r="Q405" s="113" t="str">
        <f t="shared" si="30"/>
        <v/>
      </c>
      <c r="R405" s="113" t="str">
        <f t="shared" si="31"/>
        <v/>
      </c>
      <c r="S405" s="113" t="str">
        <f t="shared" si="32"/>
        <v/>
      </c>
      <c r="T405" s="113" t="str">
        <f t="shared" si="33"/>
        <v/>
      </c>
      <c r="U405" s="113" t="str">
        <f t="shared" si="34"/>
        <v/>
      </c>
      <c r="V405" s="113">
        <f t="shared" si="35"/>
        <v>29.25</v>
      </c>
      <c r="W405" s="114"/>
    </row>
    <row r="406" spans="1:23">
      <c r="A406" s="101"/>
      <c r="B406" s="130" t="s">
        <v>311</v>
      </c>
      <c r="C406" s="116"/>
      <c r="D406" s="126"/>
      <c r="E406" s="126"/>
      <c r="F406" s="127"/>
      <c r="G406" s="117"/>
      <c r="H406" s="107"/>
      <c r="I406" s="108"/>
      <c r="J406" s="110"/>
      <c r="K406" s="118"/>
      <c r="L406" s="119"/>
      <c r="M406" s="120"/>
      <c r="N406" s="108"/>
      <c r="O406" s="121"/>
      <c r="P406" s="121"/>
      <c r="Q406" s="113" t="str">
        <f t="shared" si="30"/>
        <v/>
      </c>
      <c r="R406" s="113" t="str">
        <f t="shared" si="31"/>
        <v/>
      </c>
      <c r="S406" s="113" t="str">
        <f t="shared" si="32"/>
        <v/>
      </c>
      <c r="T406" s="113" t="str">
        <f t="shared" si="33"/>
        <v/>
      </c>
      <c r="U406" s="113" t="str">
        <f t="shared" si="34"/>
        <v/>
      </c>
      <c r="V406" s="113" t="str">
        <f t="shared" si="35"/>
        <v/>
      </c>
      <c r="W406" s="114"/>
    </row>
    <row r="407" spans="1:23">
      <c r="A407" s="101"/>
      <c r="B407" s="130"/>
      <c r="C407" s="116"/>
      <c r="D407" s="126"/>
      <c r="E407" s="126"/>
      <c r="F407" s="127"/>
      <c r="G407" s="117"/>
      <c r="H407" s="107"/>
      <c r="I407" s="108"/>
      <c r="J407" s="110"/>
      <c r="K407" s="118"/>
      <c r="L407" s="119"/>
      <c r="M407" s="120"/>
      <c r="N407" s="108"/>
      <c r="O407" s="121"/>
      <c r="P407" s="121"/>
      <c r="Q407" s="113" t="str">
        <f t="shared" si="30"/>
        <v/>
      </c>
      <c r="R407" s="113" t="str">
        <f t="shared" si="31"/>
        <v/>
      </c>
      <c r="S407" s="113" t="str">
        <f t="shared" si="32"/>
        <v/>
      </c>
      <c r="T407" s="113" t="str">
        <f t="shared" si="33"/>
        <v/>
      </c>
      <c r="U407" s="113" t="str">
        <f t="shared" si="34"/>
        <v/>
      </c>
      <c r="V407" s="113" t="str">
        <f t="shared" si="35"/>
        <v/>
      </c>
      <c r="W407" s="114"/>
    </row>
    <row r="408" spans="1:23" ht="15" customHeight="1">
      <c r="A408" s="101">
        <v>80</v>
      </c>
      <c r="B408" s="130" t="s">
        <v>432</v>
      </c>
      <c r="C408" s="131"/>
      <c r="D408" s="537">
        <f>1.25+0.6+1.25</f>
        <v>3.1</v>
      </c>
      <c r="E408" s="537"/>
      <c r="F408" s="127"/>
      <c r="G408" s="117">
        <v>0.25</v>
      </c>
      <c r="H408" s="107">
        <v>25</v>
      </c>
      <c r="I408" s="108">
        <v>1</v>
      </c>
      <c r="J408" s="110">
        <f>ROUND(2.25/G408+1,0)</f>
        <v>10</v>
      </c>
      <c r="K408" s="118">
        <f>D408</f>
        <v>3.1</v>
      </c>
      <c r="L408" s="119" t="str">
        <f>IF(O408&lt;12,"0",0.049*H408)</f>
        <v>0</v>
      </c>
      <c r="M408" s="120">
        <v>0</v>
      </c>
      <c r="N408" s="108">
        <f>M408*2*H408/1000</f>
        <v>0</v>
      </c>
      <c r="O408" s="121">
        <f>(D408)-N408</f>
        <v>3.1</v>
      </c>
      <c r="P408" s="121">
        <f>(I408*J408*O408)+L408</f>
        <v>31</v>
      </c>
      <c r="Q408" s="113" t="str">
        <f t="shared" si="30"/>
        <v/>
      </c>
      <c r="R408" s="113" t="str">
        <f t="shared" si="31"/>
        <v/>
      </c>
      <c r="S408" s="113" t="str">
        <f t="shared" si="32"/>
        <v/>
      </c>
      <c r="T408" s="113" t="str">
        <f t="shared" si="33"/>
        <v/>
      </c>
      <c r="U408" s="113" t="str">
        <f t="shared" si="34"/>
        <v/>
      </c>
      <c r="V408" s="113">
        <f t="shared" si="35"/>
        <v>31</v>
      </c>
      <c r="W408" s="114"/>
    </row>
    <row r="409" spans="1:23">
      <c r="A409" s="101"/>
      <c r="B409" s="130" t="s">
        <v>311</v>
      </c>
      <c r="C409" s="116"/>
      <c r="D409" s="126"/>
      <c r="E409" s="126"/>
      <c r="F409" s="127"/>
      <c r="G409" s="117"/>
      <c r="H409" s="107"/>
      <c r="I409" s="108"/>
      <c r="J409" s="110"/>
      <c r="K409" s="118"/>
      <c r="L409" s="119"/>
      <c r="M409" s="120"/>
      <c r="N409" s="108"/>
      <c r="O409" s="121"/>
      <c r="P409" s="121"/>
      <c r="Q409" s="113" t="str">
        <f t="shared" si="30"/>
        <v/>
      </c>
      <c r="R409" s="113" t="str">
        <f t="shared" si="31"/>
        <v/>
      </c>
      <c r="S409" s="113" t="str">
        <f t="shared" si="32"/>
        <v/>
      </c>
      <c r="T409" s="113" t="str">
        <f t="shared" si="33"/>
        <v/>
      </c>
      <c r="U409" s="113" t="str">
        <f t="shared" si="34"/>
        <v/>
      </c>
      <c r="V409" s="113" t="str">
        <f t="shared" si="35"/>
        <v/>
      </c>
      <c r="W409" s="114"/>
    </row>
    <row r="410" spans="1:23">
      <c r="A410" s="101"/>
      <c r="B410" s="130"/>
      <c r="C410" s="116"/>
      <c r="D410" s="126"/>
      <c r="E410" s="126"/>
      <c r="F410" s="127"/>
      <c r="G410" s="117"/>
      <c r="H410" s="107"/>
      <c r="I410" s="108"/>
      <c r="J410" s="110"/>
      <c r="K410" s="118"/>
      <c r="L410" s="119"/>
      <c r="M410" s="120"/>
      <c r="N410" s="108"/>
      <c r="O410" s="121"/>
      <c r="P410" s="121"/>
      <c r="Q410" s="113" t="str">
        <f t="shared" si="30"/>
        <v/>
      </c>
      <c r="R410" s="113" t="str">
        <f t="shared" si="31"/>
        <v/>
      </c>
      <c r="S410" s="113" t="str">
        <f t="shared" si="32"/>
        <v/>
      </c>
      <c r="T410" s="113" t="str">
        <f t="shared" si="33"/>
        <v/>
      </c>
      <c r="U410" s="113" t="str">
        <f t="shared" si="34"/>
        <v/>
      </c>
      <c r="V410" s="113" t="str">
        <f t="shared" si="35"/>
        <v/>
      </c>
      <c r="W410" s="114"/>
    </row>
    <row r="411" spans="1:23" ht="15" customHeight="1">
      <c r="A411" s="101">
        <v>81</v>
      </c>
      <c r="B411" s="130" t="s">
        <v>431</v>
      </c>
      <c r="C411" s="131"/>
      <c r="D411" s="537">
        <v>3.65</v>
      </c>
      <c r="E411" s="537"/>
      <c r="F411" s="127"/>
      <c r="G411" s="117">
        <v>0.25</v>
      </c>
      <c r="H411" s="107">
        <v>20</v>
      </c>
      <c r="I411" s="108">
        <v>1</v>
      </c>
      <c r="J411" s="110">
        <f>ROUND(4.045/G411+1,0)</f>
        <v>17</v>
      </c>
      <c r="K411" s="118">
        <f>D411</f>
        <v>3.65</v>
      </c>
      <c r="L411" s="119" t="str">
        <f>IF(O411&lt;12,"0",0.049*H411)</f>
        <v>0</v>
      </c>
      <c r="M411" s="120">
        <v>0</v>
      </c>
      <c r="N411" s="108">
        <f>M411*2*H411/1000</f>
        <v>0</v>
      </c>
      <c r="O411" s="121">
        <f>(D411)-N411</f>
        <v>3.65</v>
      </c>
      <c r="P411" s="121">
        <f>(I411*J411*O411)+L411</f>
        <v>62.05</v>
      </c>
      <c r="Q411" s="113" t="str">
        <f t="shared" si="30"/>
        <v/>
      </c>
      <c r="R411" s="113" t="str">
        <f t="shared" si="31"/>
        <v/>
      </c>
      <c r="S411" s="113" t="str">
        <f t="shared" si="32"/>
        <v/>
      </c>
      <c r="T411" s="113" t="str">
        <f t="shared" si="33"/>
        <v/>
      </c>
      <c r="U411" s="113">
        <f t="shared" si="34"/>
        <v>62.05</v>
      </c>
      <c r="V411" s="113" t="str">
        <f t="shared" si="35"/>
        <v/>
      </c>
      <c r="W411" s="114"/>
    </row>
    <row r="412" spans="1:23">
      <c r="A412" s="101"/>
      <c r="B412" s="130" t="s">
        <v>312</v>
      </c>
      <c r="C412" s="116"/>
      <c r="D412" s="126"/>
      <c r="E412" s="126"/>
      <c r="F412" s="127"/>
      <c r="G412" s="117"/>
      <c r="H412" s="107"/>
      <c r="I412" s="108"/>
      <c r="J412" s="110"/>
      <c r="K412" s="118"/>
      <c r="L412" s="119"/>
      <c r="M412" s="120"/>
      <c r="N412" s="108"/>
      <c r="O412" s="121"/>
      <c r="P412" s="121"/>
      <c r="Q412" s="113" t="str">
        <f t="shared" si="30"/>
        <v/>
      </c>
      <c r="R412" s="113" t="str">
        <f t="shared" si="31"/>
        <v/>
      </c>
      <c r="S412" s="113" t="str">
        <f t="shared" si="32"/>
        <v/>
      </c>
      <c r="T412" s="113" t="str">
        <f t="shared" si="33"/>
        <v/>
      </c>
      <c r="U412" s="113" t="str">
        <f t="shared" si="34"/>
        <v/>
      </c>
      <c r="V412" s="113" t="str">
        <f t="shared" si="35"/>
        <v/>
      </c>
      <c r="W412" s="114"/>
    </row>
    <row r="413" spans="1:23">
      <c r="A413" s="101"/>
      <c r="B413" s="130"/>
      <c r="C413" s="116"/>
      <c r="D413" s="126"/>
      <c r="E413" s="126"/>
      <c r="F413" s="127"/>
      <c r="G413" s="117"/>
      <c r="H413" s="107"/>
      <c r="I413" s="108"/>
      <c r="J413" s="110"/>
      <c r="K413" s="118"/>
      <c r="L413" s="119"/>
      <c r="M413" s="120"/>
      <c r="N413" s="108"/>
      <c r="O413" s="121"/>
      <c r="P413" s="121"/>
      <c r="Q413" s="113" t="str">
        <f t="shared" si="30"/>
        <v/>
      </c>
      <c r="R413" s="113" t="str">
        <f t="shared" si="31"/>
        <v/>
      </c>
      <c r="S413" s="113" t="str">
        <f t="shared" si="32"/>
        <v/>
      </c>
      <c r="T413" s="113" t="str">
        <f t="shared" si="33"/>
        <v/>
      </c>
      <c r="U413" s="113" t="str">
        <f t="shared" si="34"/>
        <v/>
      </c>
      <c r="V413" s="113" t="str">
        <f t="shared" si="35"/>
        <v/>
      </c>
      <c r="W413" s="114"/>
    </row>
    <row r="414" spans="1:23" ht="15" customHeight="1">
      <c r="A414" s="101">
        <v>82</v>
      </c>
      <c r="B414" s="130" t="s">
        <v>432</v>
      </c>
      <c r="C414" s="131"/>
      <c r="D414" s="537">
        <v>4.3449999999999998</v>
      </c>
      <c r="E414" s="537"/>
      <c r="F414" s="127"/>
      <c r="G414" s="117">
        <v>0.25</v>
      </c>
      <c r="H414" s="107">
        <v>20</v>
      </c>
      <c r="I414" s="108">
        <v>1</v>
      </c>
      <c r="J414" s="110">
        <f>ROUND(3.535/G414+1,0)</f>
        <v>15</v>
      </c>
      <c r="K414" s="118">
        <f>D414</f>
        <v>4.3449999999999998</v>
      </c>
      <c r="L414" s="119" t="str">
        <f>IF(O414&lt;12,"0",0.049*H414)</f>
        <v>0</v>
      </c>
      <c r="M414" s="120">
        <v>0</v>
      </c>
      <c r="N414" s="108">
        <f>M414*2*H414/1000</f>
        <v>0</v>
      </c>
      <c r="O414" s="121">
        <f>(D414)-N414</f>
        <v>4.3449999999999998</v>
      </c>
      <c r="P414" s="121">
        <f>(I414*J414*O414)+L414</f>
        <v>65.174999999999997</v>
      </c>
      <c r="Q414" s="113" t="str">
        <f t="shared" si="30"/>
        <v/>
      </c>
      <c r="R414" s="113" t="str">
        <f t="shared" si="31"/>
        <v/>
      </c>
      <c r="S414" s="113" t="str">
        <f t="shared" si="32"/>
        <v/>
      </c>
      <c r="T414" s="113" t="str">
        <f t="shared" si="33"/>
        <v/>
      </c>
      <c r="U414" s="113">
        <f t="shared" si="34"/>
        <v>65.174999999999997</v>
      </c>
      <c r="V414" s="113" t="str">
        <f t="shared" si="35"/>
        <v/>
      </c>
      <c r="W414" s="114"/>
    </row>
    <row r="415" spans="1:23">
      <c r="A415" s="101"/>
      <c r="B415" s="130" t="s">
        <v>312</v>
      </c>
      <c r="C415" s="116"/>
      <c r="D415" s="126"/>
      <c r="E415" s="126"/>
      <c r="F415" s="127"/>
      <c r="G415" s="117"/>
      <c r="H415" s="107"/>
      <c r="I415" s="108"/>
      <c r="J415" s="110"/>
      <c r="K415" s="118"/>
      <c r="L415" s="119"/>
      <c r="M415" s="120"/>
      <c r="N415" s="108"/>
      <c r="O415" s="121"/>
      <c r="P415" s="121"/>
      <c r="Q415" s="113" t="str">
        <f t="shared" si="30"/>
        <v/>
      </c>
      <c r="R415" s="113" t="str">
        <f t="shared" si="31"/>
        <v/>
      </c>
      <c r="S415" s="113" t="str">
        <f t="shared" si="32"/>
        <v/>
      </c>
      <c r="T415" s="113" t="str">
        <f t="shared" si="33"/>
        <v/>
      </c>
      <c r="U415" s="113" t="str">
        <f t="shared" si="34"/>
        <v/>
      </c>
      <c r="V415" s="113" t="str">
        <f t="shared" si="35"/>
        <v/>
      </c>
      <c r="W415" s="114"/>
    </row>
    <row r="416" spans="1:23">
      <c r="A416" s="101"/>
      <c r="B416" s="130"/>
      <c r="C416" s="116"/>
      <c r="D416" s="126"/>
      <c r="E416" s="126"/>
      <c r="F416" s="127"/>
      <c r="G416" s="117"/>
      <c r="H416" s="107"/>
      <c r="I416" s="108"/>
      <c r="J416" s="110"/>
      <c r="K416" s="118"/>
      <c r="L416" s="119"/>
      <c r="M416" s="120"/>
      <c r="N416" s="108"/>
      <c r="O416" s="121"/>
      <c r="P416" s="121"/>
      <c r="Q416" s="113" t="str">
        <f t="shared" si="30"/>
        <v/>
      </c>
      <c r="R416" s="113" t="str">
        <f t="shared" si="31"/>
        <v/>
      </c>
      <c r="S416" s="113" t="str">
        <f t="shared" si="32"/>
        <v/>
      </c>
      <c r="T416" s="113" t="str">
        <f t="shared" si="33"/>
        <v/>
      </c>
      <c r="U416" s="113" t="str">
        <f t="shared" si="34"/>
        <v/>
      </c>
      <c r="V416" s="113" t="str">
        <f t="shared" si="35"/>
        <v/>
      </c>
      <c r="W416" s="114"/>
    </row>
    <row r="417" spans="1:23" ht="15" customHeight="1">
      <c r="A417" s="101">
        <v>83</v>
      </c>
      <c r="B417" s="130" t="s">
        <v>431</v>
      </c>
      <c r="C417" s="131"/>
      <c r="D417" s="537">
        <f>0.6+0.715+0.6</f>
        <v>1.915</v>
      </c>
      <c r="E417" s="537"/>
      <c r="F417" s="127"/>
      <c r="G417" s="117">
        <v>0.25</v>
      </c>
      <c r="H417" s="107">
        <v>12</v>
      </c>
      <c r="I417" s="108">
        <v>1</v>
      </c>
      <c r="J417" s="110">
        <f>ROUND(D420/G417+1,0)</f>
        <v>7</v>
      </c>
      <c r="K417" s="118">
        <f>D417</f>
        <v>1.915</v>
      </c>
      <c r="L417" s="119" t="str">
        <f>IF(O417&lt;12,"0",0.049*H417)</f>
        <v>0</v>
      </c>
      <c r="M417" s="120">
        <v>0</v>
      </c>
      <c r="N417" s="108">
        <f>M417*2*H417/1000</f>
        <v>0</v>
      </c>
      <c r="O417" s="121">
        <f>(D417)-N417</f>
        <v>1.915</v>
      </c>
      <c r="P417" s="121">
        <f>(I417*J417*O417)+L417</f>
        <v>13.405000000000001</v>
      </c>
      <c r="Q417" s="113" t="str">
        <f t="shared" si="30"/>
        <v/>
      </c>
      <c r="R417" s="113" t="str">
        <f t="shared" si="31"/>
        <v/>
      </c>
      <c r="S417" s="113">
        <f t="shared" si="32"/>
        <v>13.405000000000001</v>
      </c>
      <c r="T417" s="113" t="str">
        <f t="shared" si="33"/>
        <v/>
      </c>
      <c r="U417" s="113" t="str">
        <f t="shared" si="34"/>
        <v/>
      </c>
      <c r="V417" s="113" t="str">
        <f t="shared" si="35"/>
        <v/>
      </c>
      <c r="W417" s="114"/>
    </row>
    <row r="418" spans="1:23">
      <c r="A418" s="101"/>
      <c r="B418" s="130" t="s">
        <v>313</v>
      </c>
      <c r="C418" s="116"/>
      <c r="D418" s="126"/>
      <c r="E418" s="126"/>
      <c r="F418" s="127"/>
      <c r="G418" s="117"/>
      <c r="H418" s="107"/>
      <c r="I418" s="108"/>
      <c r="J418" s="110"/>
      <c r="K418" s="118"/>
      <c r="L418" s="119"/>
      <c r="M418" s="120"/>
      <c r="N418" s="108"/>
      <c r="O418" s="121"/>
      <c r="P418" s="121"/>
      <c r="Q418" s="113" t="str">
        <f t="shared" si="30"/>
        <v/>
      </c>
      <c r="R418" s="113" t="str">
        <f t="shared" si="31"/>
        <v/>
      </c>
      <c r="S418" s="113" t="str">
        <f t="shared" si="32"/>
        <v/>
      </c>
      <c r="T418" s="113" t="str">
        <f t="shared" si="33"/>
        <v/>
      </c>
      <c r="U418" s="113" t="str">
        <f t="shared" si="34"/>
        <v/>
      </c>
      <c r="V418" s="113" t="str">
        <f t="shared" si="35"/>
        <v/>
      </c>
      <c r="W418" s="114"/>
    </row>
    <row r="419" spans="1:23">
      <c r="A419" s="101"/>
      <c r="B419" s="130"/>
      <c r="C419" s="116"/>
      <c r="D419" s="126"/>
      <c r="E419" s="126"/>
      <c r="F419" s="127"/>
      <c r="G419" s="117"/>
      <c r="H419" s="107"/>
      <c r="I419" s="108"/>
      <c r="J419" s="110"/>
      <c r="K419" s="118"/>
      <c r="L419" s="119"/>
      <c r="M419" s="120"/>
      <c r="N419" s="108"/>
      <c r="O419" s="121"/>
      <c r="P419" s="121"/>
      <c r="Q419" s="113" t="str">
        <f t="shared" si="30"/>
        <v/>
      </c>
      <c r="R419" s="113" t="str">
        <f t="shared" si="31"/>
        <v/>
      </c>
      <c r="S419" s="113" t="str">
        <f t="shared" si="32"/>
        <v/>
      </c>
      <c r="T419" s="113" t="str">
        <f t="shared" si="33"/>
        <v/>
      </c>
      <c r="U419" s="113" t="str">
        <f t="shared" si="34"/>
        <v/>
      </c>
      <c r="V419" s="113" t="str">
        <f t="shared" si="35"/>
        <v/>
      </c>
      <c r="W419" s="114"/>
    </row>
    <row r="420" spans="1:23" ht="15" customHeight="1">
      <c r="A420" s="101">
        <v>84</v>
      </c>
      <c r="B420" s="130" t="s">
        <v>432</v>
      </c>
      <c r="C420" s="131"/>
      <c r="D420" s="537">
        <f>0.75-0.05+0.3+0.6</f>
        <v>1.6</v>
      </c>
      <c r="E420" s="537"/>
      <c r="F420" s="127"/>
      <c r="G420" s="117">
        <v>0.25</v>
      </c>
      <c r="H420" s="107">
        <v>12</v>
      </c>
      <c r="I420" s="108">
        <v>1</v>
      </c>
      <c r="J420" s="110">
        <f>ROUND(D417/G420+1,0)</f>
        <v>9</v>
      </c>
      <c r="K420" s="118">
        <f>D420</f>
        <v>1.6</v>
      </c>
      <c r="L420" s="119" t="str">
        <f>IF(O420&lt;12,"0",0.049*H420)</f>
        <v>0</v>
      </c>
      <c r="M420" s="120">
        <v>0</v>
      </c>
      <c r="N420" s="108">
        <f>M420*2*H420/1000</f>
        <v>0</v>
      </c>
      <c r="O420" s="121">
        <f>(D420)-N420</f>
        <v>1.6</v>
      </c>
      <c r="P420" s="121">
        <f>(I420*J420*O420)+L420</f>
        <v>14.4</v>
      </c>
      <c r="Q420" s="113" t="str">
        <f t="shared" si="30"/>
        <v/>
      </c>
      <c r="R420" s="113" t="str">
        <f t="shared" si="31"/>
        <v/>
      </c>
      <c r="S420" s="113">
        <f t="shared" si="32"/>
        <v>14.4</v>
      </c>
      <c r="T420" s="113" t="str">
        <f t="shared" si="33"/>
        <v/>
      </c>
      <c r="U420" s="113" t="str">
        <f t="shared" si="34"/>
        <v/>
      </c>
      <c r="V420" s="113" t="str">
        <f t="shared" si="35"/>
        <v/>
      </c>
      <c r="W420" s="114"/>
    </row>
    <row r="421" spans="1:23">
      <c r="A421" s="101"/>
      <c r="B421" s="130" t="s">
        <v>313</v>
      </c>
      <c r="C421" s="116"/>
      <c r="D421" s="126"/>
      <c r="E421" s="126"/>
      <c r="F421" s="127"/>
      <c r="G421" s="117"/>
      <c r="H421" s="107"/>
      <c r="I421" s="108"/>
      <c r="J421" s="110"/>
      <c r="K421" s="118"/>
      <c r="L421" s="119"/>
      <c r="M421" s="120"/>
      <c r="N421" s="108"/>
      <c r="O421" s="121"/>
      <c r="P421" s="121"/>
      <c r="Q421" s="113" t="str">
        <f t="shared" si="30"/>
        <v/>
      </c>
      <c r="R421" s="113" t="str">
        <f t="shared" si="31"/>
        <v/>
      </c>
      <c r="S421" s="113" t="str">
        <f t="shared" si="32"/>
        <v/>
      </c>
      <c r="T421" s="113" t="str">
        <f t="shared" si="33"/>
        <v/>
      </c>
      <c r="U421" s="113" t="str">
        <f t="shared" si="34"/>
        <v/>
      </c>
      <c r="V421" s="113" t="str">
        <f t="shared" si="35"/>
        <v/>
      </c>
      <c r="W421" s="114"/>
    </row>
    <row r="422" spans="1:23">
      <c r="A422" s="101"/>
      <c r="B422" s="130"/>
      <c r="C422" s="116"/>
      <c r="D422" s="126"/>
      <c r="E422" s="126"/>
      <c r="F422" s="127"/>
      <c r="G422" s="117"/>
      <c r="H422" s="107"/>
      <c r="I422" s="108"/>
      <c r="J422" s="110"/>
      <c r="K422" s="118"/>
      <c r="L422" s="119"/>
      <c r="M422" s="120"/>
      <c r="N422" s="108"/>
      <c r="O422" s="121"/>
      <c r="P422" s="121"/>
      <c r="Q422" s="113" t="str">
        <f t="shared" si="30"/>
        <v/>
      </c>
      <c r="R422" s="113" t="str">
        <f t="shared" si="31"/>
        <v/>
      </c>
      <c r="S422" s="113" t="str">
        <f t="shared" si="32"/>
        <v/>
      </c>
      <c r="T422" s="113" t="str">
        <f t="shared" si="33"/>
        <v/>
      </c>
      <c r="U422" s="113" t="str">
        <f t="shared" si="34"/>
        <v/>
      </c>
      <c r="V422" s="113" t="str">
        <f t="shared" si="35"/>
        <v/>
      </c>
      <c r="W422" s="114"/>
    </row>
    <row r="423" spans="1:23" ht="15" customHeight="1">
      <c r="A423" s="101">
        <v>85</v>
      </c>
      <c r="B423" s="130" t="s">
        <v>431</v>
      </c>
      <c r="C423" s="131"/>
      <c r="D423" s="537">
        <f>0.6+0.715+0.6</f>
        <v>1.915</v>
      </c>
      <c r="E423" s="537"/>
      <c r="F423" s="127"/>
      <c r="G423" s="117">
        <v>0.25</v>
      </c>
      <c r="H423" s="107">
        <v>12</v>
      </c>
      <c r="I423" s="108">
        <v>1</v>
      </c>
      <c r="J423" s="110">
        <f>ROUND(D426/G423+1,0)</f>
        <v>7</v>
      </c>
      <c r="K423" s="118">
        <f>D423</f>
        <v>1.915</v>
      </c>
      <c r="L423" s="119" t="str">
        <f>IF(O423&lt;12,"0",0.049*H423)</f>
        <v>0</v>
      </c>
      <c r="M423" s="120">
        <v>0</v>
      </c>
      <c r="N423" s="108">
        <f>M423*2*H423/1000</f>
        <v>0</v>
      </c>
      <c r="O423" s="121">
        <f>(D423)-N423</f>
        <v>1.915</v>
      </c>
      <c r="P423" s="121">
        <f>(I423*J423*O423)+L423</f>
        <v>13.405000000000001</v>
      </c>
      <c r="Q423" s="113" t="str">
        <f t="shared" si="30"/>
        <v/>
      </c>
      <c r="R423" s="113" t="str">
        <f t="shared" si="31"/>
        <v/>
      </c>
      <c r="S423" s="113">
        <f t="shared" si="32"/>
        <v>13.405000000000001</v>
      </c>
      <c r="T423" s="113" t="str">
        <f t="shared" si="33"/>
        <v/>
      </c>
      <c r="U423" s="113" t="str">
        <f t="shared" si="34"/>
        <v/>
      </c>
      <c r="V423" s="113" t="str">
        <f t="shared" si="35"/>
        <v/>
      </c>
      <c r="W423" s="114"/>
    </row>
    <row r="424" spans="1:23">
      <c r="A424" s="101"/>
      <c r="B424" s="130" t="s">
        <v>314</v>
      </c>
      <c r="C424" s="116"/>
      <c r="D424" s="126"/>
      <c r="E424" s="126"/>
      <c r="F424" s="127"/>
      <c r="G424" s="117"/>
      <c r="H424" s="107"/>
      <c r="I424" s="108"/>
      <c r="J424" s="110"/>
      <c r="K424" s="118"/>
      <c r="L424" s="119"/>
      <c r="M424" s="120"/>
      <c r="N424" s="108"/>
      <c r="O424" s="121"/>
      <c r="P424" s="121"/>
      <c r="Q424" s="113" t="str">
        <f t="shared" si="30"/>
        <v/>
      </c>
      <c r="R424" s="113" t="str">
        <f t="shared" si="31"/>
        <v/>
      </c>
      <c r="S424" s="113" t="str">
        <f t="shared" si="32"/>
        <v/>
      </c>
      <c r="T424" s="113" t="str">
        <f t="shared" si="33"/>
        <v/>
      </c>
      <c r="U424" s="113" t="str">
        <f t="shared" si="34"/>
        <v/>
      </c>
      <c r="V424" s="113" t="str">
        <f t="shared" si="35"/>
        <v/>
      </c>
      <c r="W424" s="114"/>
    </row>
    <row r="425" spans="1:23">
      <c r="A425" s="101"/>
      <c r="B425" s="130"/>
      <c r="C425" s="116"/>
      <c r="D425" s="126"/>
      <c r="E425" s="126"/>
      <c r="F425" s="127"/>
      <c r="G425" s="117"/>
      <c r="H425" s="107"/>
      <c r="I425" s="108"/>
      <c r="J425" s="110"/>
      <c r="K425" s="118"/>
      <c r="L425" s="119"/>
      <c r="M425" s="120"/>
      <c r="N425" s="108"/>
      <c r="O425" s="121"/>
      <c r="P425" s="121"/>
      <c r="Q425" s="113" t="str">
        <f t="shared" si="30"/>
        <v/>
      </c>
      <c r="R425" s="113" t="str">
        <f t="shared" si="31"/>
        <v/>
      </c>
      <c r="S425" s="113" t="str">
        <f t="shared" si="32"/>
        <v/>
      </c>
      <c r="T425" s="113" t="str">
        <f t="shared" si="33"/>
        <v/>
      </c>
      <c r="U425" s="113" t="str">
        <f t="shared" si="34"/>
        <v/>
      </c>
      <c r="V425" s="113" t="str">
        <f t="shared" si="35"/>
        <v/>
      </c>
      <c r="W425" s="114"/>
    </row>
    <row r="426" spans="1:23" ht="15" customHeight="1">
      <c r="A426" s="101">
        <v>86</v>
      </c>
      <c r="B426" s="130" t="s">
        <v>432</v>
      </c>
      <c r="C426" s="131"/>
      <c r="D426" s="537">
        <f>0.75-0.05+0.3+0.6</f>
        <v>1.6</v>
      </c>
      <c r="E426" s="537"/>
      <c r="F426" s="127"/>
      <c r="G426" s="117">
        <v>0.25</v>
      </c>
      <c r="H426" s="107">
        <v>12</v>
      </c>
      <c r="I426" s="108">
        <v>1</v>
      </c>
      <c r="J426" s="110">
        <f>ROUND(D423/G426+1,0)</f>
        <v>9</v>
      </c>
      <c r="K426" s="118">
        <f>D426</f>
        <v>1.6</v>
      </c>
      <c r="L426" s="119" t="str">
        <f>IF(O426&lt;12,"0",0.049*H426)</f>
        <v>0</v>
      </c>
      <c r="M426" s="120">
        <v>0</v>
      </c>
      <c r="N426" s="108">
        <f>M426*2*H426/1000</f>
        <v>0</v>
      </c>
      <c r="O426" s="121">
        <f>(D426)-N426</f>
        <v>1.6</v>
      </c>
      <c r="P426" s="121">
        <f>(I426*J426*O426)+L426</f>
        <v>14.4</v>
      </c>
      <c r="Q426" s="113" t="str">
        <f t="shared" si="30"/>
        <v/>
      </c>
      <c r="R426" s="113" t="str">
        <f t="shared" si="31"/>
        <v/>
      </c>
      <c r="S426" s="113">
        <f t="shared" si="32"/>
        <v>14.4</v>
      </c>
      <c r="T426" s="113" t="str">
        <f t="shared" si="33"/>
        <v/>
      </c>
      <c r="U426" s="113" t="str">
        <f t="shared" si="34"/>
        <v/>
      </c>
      <c r="V426" s="113" t="str">
        <f t="shared" si="35"/>
        <v/>
      </c>
      <c r="W426" s="114"/>
    </row>
    <row r="427" spans="1:23">
      <c r="A427" s="101"/>
      <c r="B427" s="130" t="s">
        <v>314</v>
      </c>
      <c r="C427" s="116"/>
      <c r="D427" s="126"/>
      <c r="E427" s="126"/>
      <c r="F427" s="127"/>
      <c r="G427" s="117"/>
      <c r="H427" s="107"/>
      <c r="I427" s="108"/>
      <c r="J427" s="110"/>
      <c r="K427" s="118"/>
      <c r="L427" s="119"/>
      <c r="M427" s="120"/>
      <c r="N427" s="108"/>
      <c r="O427" s="121"/>
      <c r="P427" s="121"/>
      <c r="Q427" s="113" t="str">
        <f t="shared" si="30"/>
        <v/>
      </c>
      <c r="R427" s="113" t="str">
        <f t="shared" si="31"/>
        <v/>
      </c>
      <c r="S427" s="113" t="str">
        <f t="shared" si="32"/>
        <v/>
      </c>
      <c r="T427" s="113" t="str">
        <f t="shared" si="33"/>
        <v/>
      </c>
      <c r="U427" s="113" t="str">
        <f t="shared" si="34"/>
        <v/>
      </c>
      <c r="V427" s="113" t="str">
        <f t="shared" si="35"/>
        <v/>
      </c>
      <c r="W427" s="114"/>
    </row>
    <row r="428" spans="1:23">
      <c r="A428" s="101"/>
      <c r="B428" s="130"/>
      <c r="C428" s="116"/>
      <c r="D428" s="126"/>
      <c r="E428" s="126"/>
      <c r="F428" s="127"/>
      <c r="G428" s="117"/>
      <c r="H428" s="107"/>
      <c r="I428" s="108"/>
      <c r="J428" s="110"/>
      <c r="K428" s="118"/>
      <c r="L428" s="119"/>
      <c r="M428" s="120"/>
      <c r="N428" s="108"/>
      <c r="O428" s="121"/>
      <c r="P428" s="121"/>
      <c r="Q428" s="113" t="str">
        <f t="shared" si="30"/>
        <v/>
      </c>
      <c r="R428" s="113" t="str">
        <f t="shared" si="31"/>
        <v/>
      </c>
      <c r="S428" s="113" t="str">
        <f t="shared" si="32"/>
        <v/>
      </c>
      <c r="T428" s="113" t="str">
        <f t="shared" si="33"/>
        <v/>
      </c>
      <c r="U428" s="113" t="str">
        <f t="shared" si="34"/>
        <v/>
      </c>
      <c r="V428" s="113" t="str">
        <f t="shared" si="35"/>
        <v/>
      </c>
      <c r="W428" s="114"/>
    </row>
    <row r="429" spans="1:23" ht="15" customHeight="1">
      <c r="A429" s="101">
        <v>87</v>
      </c>
      <c r="B429" s="130" t="s">
        <v>431</v>
      </c>
      <c r="C429" s="131"/>
      <c r="D429" s="537">
        <f>1+0.3+1</f>
        <v>2.2999999999999998</v>
      </c>
      <c r="E429" s="537"/>
      <c r="F429" s="127"/>
      <c r="G429" s="117">
        <v>0.25</v>
      </c>
      <c r="H429" s="107">
        <v>25</v>
      </c>
      <c r="I429" s="108">
        <v>1</v>
      </c>
      <c r="J429" s="110">
        <f>ROUND(D432/G429+1,0)</f>
        <v>10</v>
      </c>
      <c r="K429" s="118">
        <f>D429</f>
        <v>2.2999999999999998</v>
      </c>
      <c r="L429" s="119" t="str">
        <f>IF(O429&lt;12,"0",0.049*H429)</f>
        <v>0</v>
      </c>
      <c r="M429" s="120">
        <v>0</v>
      </c>
      <c r="N429" s="108">
        <f>M429*2*H429/1000</f>
        <v>0</v>
      </c>
      <c r="O429" s="121">
        <f>(D429)-N429</f>
        <v>2.2999999999999998</v>
      </c>
      <c r="P429" s="121">
        <f>(I429*J429*O429)+L429</f>
        <v>23</v>
      </c>
      <c r="Q429" s="113" t="str">
        <f t="shared" ref="Q429:Q492" si="36">IF($H429=8,$P429,"")</f>
        <v/>
      </c>
      <c r="R429" s="113" t="str">
        <f t="shared" ref="R429:R492" si="37">IF($H429=10,$P429,"")</f>
        <v/>
      </c>
      <c r="S429" s="113" t="str">
        <f t="shared" ref="S429:S492" si="38">IF($H429=12,$P429,"")</f>
        <v/>
      </c>
      <c r="T429" s="113" t="str">
        <f t="shared" ref="T429:T492" si="39">IF($H429=16,$P429,"")</f>
        <v/>
      </c>
      <c r="U429" s="113" t="str">
        <f t="shared" ref="U429:U492" si="40">IF($H429=20,$P429,"")</f>
        <v/>
      </c>
      <c r="V429" s="113">
        <f t="shared" ref="V429:V492" si="41">IF($H429=25,$P429,"")</f>
        <v>23</v>
      </c>
      <c r="W429" s="114"/>
    </row>
    <row r="430" spans="1:23">
      <c r="A430" s="101"/>
      <c r="B430" s="130" t="s">
        <v>315</v>
      </c>
      <c r="C430" s="116"/>
      <c r="D430" s="126"/>
      <c r="E430" s="126"/>
      <c r="F430" s="127"/>
      <c r="G430" s="117"/>
      <c r="H430" s="107"/>
      <c r="I430" s="108"/>
      <c r="J430" s="110"/>
      <c r="K430" s="118"/>
      <c r="L430" s="119"/>
      <c r="M430" s="120"/>
      <c r="N430" s="108"/>
      <c r="O430" s="121"/>
      <c r="P430" s="121"/>
      <c r="Q430" s="113" t="str">
        <f t="shared" si="36"/>
        <v/>
      </c>
      <c r="R430" s="113" t="str">
        <f t="shared" si="37"/>
        <v/>
      </c>
      <c r="S430" s="113" t="str">
        <f t="shared" si="38"/>
        <v/>
      </c>
      <c r="T430" s="113" t="str">
        <f t="shared" si="39"/>
        <v/>
      </c>
      <c r="U430" s="113" t="str">
        <f t="shared" si="40"/>
        <v/>
      </c>
      <c r="V430" s="113" t="str">
        <f t="shared" si="41"/>
        <v/>
      </c>
      <c r="W430" s="114"/>
    </row>
    <row r="431" spans="1:23">
      <c r="A431" s="101"/>
      <c r="B431" s="130"/>
      <c r="C431" s="116"/>
      <c r="D431" s="126"/>
      <c r="E431" s="126"/>
      <c r="F431" s="127"/>
      <c r="G431" s="117"/>
      <c r="H431" s="107"/>
      <c r="I431" s="108"/>
      <c r="J431" s="110"/>
      <c r="K431" s="118"/>
      <c r="L431" s="119"/>
      <c r="M431" s="120"/>
      <c r="N431" s="108"/>
      <c r="O431" s="121"/>
      <c r="P431" s="121"/>
      <c r="Q431" s="113" t="str">
        <f t="shared" si="36"/>
        <v/>
      </c>
      <c r="R431" s="113" t="str">
        <f t="shared" si="37"/>
        <v/>
      </c>
      <c r="S431" s="113" t="str">
        <f t="shared" si="38"/>
        <v/>
      </c>
      <c r="T431" s="113" t="str">
        <f t="shared" si="39"/>
        <v/>
      </c>
      <c r="U431" s="113" t="str">
        <f t="shared" si="40"/>
        <v/>
      </c>
      <c r="V431" s="113" t="str">
        <f t="shared" si="41"/>
        <v/>
      </c>
      <c r="W431" s="114"/>
    </row>
    <row r="432" spans="1:23" ht="15" customHeight="1">
      <c r="A432" s="101">
        <v>88</v>
      </c>
      <c r="B432" s="130" t="s">
        <v>432</v>
      </c>
      <c r="C432" s="131"/>
      <c r="D432" s="537">
        <f>0.8+0.6+0.8</f>
        <v>2.2000000000000002</v>
      </c>
      <c r="E432" s="537"/>
      <c r="F432" s="127"/>
      <c r="G432" s="117">
        <v>0.25</v>
      </c>
      <c r="H432" s="107">
        <v>16</v>
      </c>
      <c r="I432" s="108">
        <v>1</v>
      </c>
      <c r="J432" s="110">
        <f>ROUND(D429/G432+1,0)</f>
        <v>10</v>
      </c>
      <c r="K432" s="118">
        <f>D432</f>
        <v>2.2000000000000002</v>
      </c>
      <c r="L432" s="119" t="str">
        <f>IF(O432&lt;12,"0",0.049*H432)</f>
        <v>0</v>
      </c>
      <c r="M432" s="120">
        <v>0</v>
      </c>
      <c r="N432" s="108">
        <f>M432*2*H432/1000</f>
        <v>0</v>
      </c>
      <c r="O432" s="121">
        <f>(D432)-N432</f>
        <v>2.2000000000000002</v>
      </c>
      <c r="P432" s="121">
        <f>(I432*J432*O432)+L432</f>
        <v>22</v>
      </c>
      <c r="Q432" s="113" t="str">
        <f t="shared" si="36"/>
        <v/>
      </c>
      <c r="R432" s="113" t="str">
        <f t="shared" si="37"/>
        <v/>
      </c>
      <c r="S432" s="113" t="str">
        <f t="shared" si="38"/>
        <v/>
      </c>
      <c r="T432" s="113">
        <f t="shared" si="39"/>
        <v>22</v>
      </c>
      <c r="U432" s="113" t="str">
        <f t="shared" si="40"/>
        <v/>
      </c>
      <c r="V432" s="113" t="str">
        <f t="shared" si="41"/>
        <v/>
      </c>
      <c r="W432" s="114"/>
    </row>
    <row r="433" spans="1:23">
      <c r="A433" s="101"/>
      <c r="B433" s="130" t="s">
        <v>315</v>
      </c>
      <c r="C433" s="116"/>
      <c r="D433" s="126"/>
      <c r="E433" s="126"/>
      <c r="F433" s="127"/>
      <c r="G433" s="117"/>
      <c r="H433" s="107"/>
      <c r="I433" s="108"/>
      <c r="J433" s="110"/>
      <c r="K433" s="118"/>
      <c r="L433" s="119"/>
      <c r="M433" s="120"/>
      <c r="N433" s="108"/>
      <c r="O433" s="121"/>
      <c r="P433" s="121"/>
      <c r="Q433" s="113" t="str">
        <f t="shared" si="36"/>
        <v/>
      </c>
      <c r="R433" s="113" t="str">
        <f t="shared" si="37"/>
        <v/>
      </c>
      <c r="S433" s="113" t="str">
        <f t="shared" si="38"/>
        <v/>
      </c>
      <c r="T433" s="113" t="str">
        <f t="shared" si="39"/>
        <v/>
      </c>
      <c r="U433" s="113" t="str">
        <f t="shared" si="40"/>
        <v/>
      </c>
      <c r="V433" s="113" t="str">
        <f t="shared" si="41"/>
        <v/>
      </c>
      <c r="W433" s="114"/>
    </row>
    <row r="434" spans="1:23">
      <c r="A434" s="101"/>
      <c r="B434" s="130"/>
      <c r="C434" s="116"/>
      <c r="D434" s="126"/>
      <c r="E434" s="126"/>
      <c r="F434" s="127"/>
      <c r="G434" s="117"/>
      <c r="H434" s="107"/>
      <c r="I434" s="108"/>
      <c r="J434" s="110"/>
      <c r="K434" s="118"/>
      <c r="L434" s="119"/>
      <c r="M434" s="120"/>
      <c r="N434" s="108"/>
      <c r="O434" s="121"/>
      <c r="P434" s="121"/>
      <c r="Q434" s="113" t="str">
        <f t="shared" si="36"/>
        <v/>
      </c>
      <c r="R434" s="113" t="str">
        <f t="shared" si="37"/>
        <v/>
      </c>
      <c r="S434" s="113" t="str">
        <f t="shared" si="38"/>
        <v/>
      </c>
      <c r="T434" s="113" t="str">
        <f t="shared" si="39"/>
        <v/>
      </c>
      <c r="U434" s="113" t="str">
        <f t="shared" si="40"/>
        <v/>
      </c>
      <c r="V434" s="113" t="str">
        <f t="shared" si="41"/>
        <v/>
      </c>
      <c r="W434" s="114"/>
    </row>
    <row r="435" spans="1:23" ht="15" customHeight="1">
      <c r="A435" s="101">
        <v>89</v>
      </c>
      <c r="B435" s="130" t="s">
        <v>431</v>
      </c>
      <c r="C435" s="131"/>
      <c r="D435" s="537">
        <f>1+0.3+1</f>
        <v>2.2999999999999998</v>
      </c>
      <c r="E435" s="537"/>
      <c r="F435" s="127"/>
      <c r="G435" s="117">
        <v>0.25</v>
      </c>
      <c r="H435" s="107">
        <v>25</v>
      </c>
      <c r="I435" s="108">
        <v>1</v>
      </c>
      <c r="J435" s="110">
        <f>ROUND(D438/G435+1,0)</f>
        <v>10</v>
      </c>
      <c r="K435" s="118">
        <f>D435</f>
        <v>2.2999999999999998</v>
      </c>
      <c r="L435" s="119" t="str">
        <f>IF(O435&lt;12,"0",0.049*H435)</f>
        <v>0</v>
      </c>
      <c r="M435" s="120">
        <v>0</v>
      </c>
      <c r="N435" s="108">
        <f>M435*2*H435/1000</f>
        <v>0</v>
      </c>
      <c r="O435" s="121">
        <f>(D435)-N435</f>
        <v>2.2999999999999998</v>
      </c>
      <c r="P435" s="121">
        <f>(I435*J435*O435)+L435</f>
        <v>23</v>
      </c>
      <c r="Q435" s="113" t="str">
        <f t="shared" si="36"/>
        <v/>
      </c>
      <c r="R435" s="113" t="str">
        <f t="shared" si="37"/>
        <v/>
      </c>
      <c r="S435" s="113" t="str">
        <f t="shared" si="38"/>
        <v/>
      </c>
      <c r="T435" s="113" t="str">
        <f t="shared" si="39"/>
        <v/>
      </c>
      <c r="U435" s="113" t="str">
        <f t="shared" si="40"/>
        <v/>
      </c>
      <c r="V435" s="113">
        <f t="shared" si="41"/>
        <v>23</v>
      </c>
      <c r="W435" s="114"/>
    </row>
    <row r="436" spans="1:23">
      <c r="A436" s="101"/>
      <c r="B436" s="130" t="s">
        <v>316</v>
      </c>
      <c r="C436" s="116"/>
      <c r="D436" s="126"/>
      <c r="E436" s="126"/>
      <c r="F436" s="127"/>
      <c r="G436" s="117"/>
      <c r="H436" s="107"/>
      <c r="I436" s="108"/>
      <c r="J436" s="110"/>
      <c r="K436" s="118"/>
      <c r="L436" s="119"/>
      <c r="M436" s="120"/>
      <c r="N436" s="108"/>
      <c r="O436" s="121"/>
      <c r="P436" s="121"/>
      <c r="Q436" s="113" t="str">
        <f t="shared" si="36"/>
        <v/>
      </c>
      <c r="R436" s="113" t="str">
        <f t="shared" si="37"/>
        <v/>
      </c>
      <c r="S436" s="113" t="str">
        <f t="shared" si="38"/>
        <v/>
      </c>
      <c r="T436" s="113" t="str">
        <f t="shared" si="39"/>
        <v/>
      </c>
      <c r="U436" s="113" t="str">
        <f t="shared" si="40"/>
        <v/>
      </c>
      <c r="V436" s="113" t="str">
        <f t="shared" si="41"/>
        <v/>
      </c>
      <c r="W436" s="114"/>
    </row>
    <row r="437" spans="1:23">
      <c r="A437" s="101"/>
      <c r="B437" s="130"/>
      <c r="C437" s="116"/>
      <c r="D437" s="126"/>
      <c r="E437" s="126"/>
      <c r="F437" s="127"/>
      <c r="G437" s="117"/>
      <c r="H437" s="107"/>
      <c r="I437" s="108"/>
      <c r="J437" s="110"/>
      <c r="K437" s="118"/>
      <c r="L437" s="119"/>
      <c r="M437" s="120"/>
      <c r="N437" s="108"/>
      <c r="O437" s="121"/>
      <c r="P437" s="121"/>
      <c r="Q437" s="113" t="str">
        <f t="shared" si="36"/>
        <v/>
      </c>
      <c r="R437" s="113" t="str">
        <f t="shared" si="37"/>
        <v/>
      </c>
      <c r="S437" s="113" t="str">
        <f t="shared" si="38"/>
        <v/>
      </c>
      <c r="T437" s="113" t="str">
        <f t="shared" si="39"/>
        <v/>
      </c>
      <c r="U437" s="113" t="str">
        <f t="shared" si="40"/>
        <v/>
      </c>
      <c r="V437" s="113" t="str">
        <f t="shared" si="41"/>
        <v/>
      </c>
      <c r="W437" s="114"/>
    </row>
    <row r="438" spans="1:23" ht="15" customHeight="1">
      <c r="A438" s="101">
        <v>90</v>
      </c>
      <c r="B438" s="130" t="s">
        <v>432</v>
      </c>
      <c r="C438" s="131"/>
      <c r="D438" s="537">
        <f>0.8+0.6+0.8</f>
        <v>2.2000000000000002</v>
      </c>
      <c r="E438" s="537"/>
      <c r="F438" s="127"/>
      <c r="G438" s="117">
        <v>0.25</v>
      </c>
      <c r="H438" s="107">
        <v>16</v>
      </c>
      <c r="I438" s="108">
        <v>1</v>
      </c>
      <c r="J438" s="110">
        <f>ROUND(D435/G438+1,0)</f>
        <v>10</v>
      </c>
      <c r="K438" s="118">
        <f>D438</f>
        <v>2.2000000000000002</v>
      </c>
      <c r="L438" s="119" t="str">
        <f>IF(O438&lt;12,"0",0.049*H438)</f>
        <v>0</v>
      </c>
      <c r="M438" s="120">
        <v>0</v>
      </c>
      <c r="N438" s="108">
        <f>M438*2*H438/1000</f>
        <v>0</v>
      </c>
      <c r="O438" s="121">
        <f>(D438)-N438</f>
        <v>2.2000000000000002</v>
      </c>
      <c r="P438" s="121">
        <f>(I438*J438*O438)+L438</f>
        <v>22</v>
      </c>
      <c r="Q438" s="113" t="str">
        <f t="shared" si="36"/>
        <v/>
      </c>
      <c r="R438" s="113" t="str">
        <f t="shared" si="37"/>
        <v/>
      </c>
      <c r="S438" s="113" t="str">
        <f t="shared" si="38"/>
        <v/>
      </c>
      <c r="T438" s="113">
        <f t="shared" si="39"/>
        <v>22</v>
      </c>
      <c r="U438" s="113" t="str">
        <f t="shared" si="40"/>
        <v/>
      </c>
      <c r="V438" s="113" t="str">
        <f t="shared" si="41"/>
        <v/>
      </c>
      <c r="W438" s="114"/>
    </row>
    <row r="439" spans="1:23">
      <c r="A439" s="101"/>
      <c r="B439" s="130" t="s">
        <v>316</v>
      </c>
      <c r="C439" s="116"/>
      <c r="D439" s="126"/>
      <c r="E439" s="126"/>
      <c r="F439" s="127"/>
      <c r="G439" s="117"/>
      <c r="H439" s="107"/>
      <c r="I439" s="108"/>
      <c r="J439" s="110"/>
      <c r="K439" s="118"/>
      <c r="L439" s="119"/>
      <c r="M439" s="120"/>
      <c r="N439" s="108"/>
      <c r="O439" s="121"/>
      <c r="P439" s="121"/>
      <c r="Q439" s="113" t="str">
        <f t="shared" si="36"/>
        <v/>
      </c>
      <c r="R439" s="113" t="str">
        <f t="shared" si="37"/>
        <v/>
      </c>
      <c r="S439" s="113" t="str">
        <f t="shared" si="38"/>
        <v/>
      </c>
      <c r="T439" s="113" t="str">
        <f t="shared" si="39"/>
        <v/>
      </c>
      <c r="U439" s="113" t="str">
        <f t="shared" si="40"/>
        <v/>
      </c>
      <c r="V439" s="113" t="str">
        <f t="shared" si="41"/>
        <v/>
      </c>
      <c r="W439" s="114"/>
    </row>
    <row r="440" spans="1:23">
      <c r="A440" s="101"/>
      <c r="B440" s="130"/>
      <c r="C440" s="116"/>
      <c r="D440" s="126"/>
      <c r="E440" s="126"/>
      <c r="F440" s="127"/>
      <c r="G440" s="117"/>
      <c r="H440" s="107"/>
      <c r="I440" s="108"/>
      <c r="J440" s="110"/>
      <c r="K440" s="118"/>
      <c r="L440" s="119"/>
      <c r="M440" s="120"/>
      <c r="N440" s="108"/>
      <c r="O440" s="121"/>
      <c r="P440" s="121"/>
      <c r="Q440" s="113" t="str">
        <f t="shared" si="36"/>
        <v/>
      </c>
      <c r="R440" s="113" t="str">
        <f t="shared" si="37"/>
        <v/>
      </c>
      <c r="S440" s="113" t="str">
        <f t="shared" si="38"/>
        <v/>
      </c>
      <c r="T440" s="113" t="str">
        <f t="shared" si="39"/>
        <v/>
      </c>
      <c r="U440" s="113" t="str">
        <f t="shared" si="40"/>
        <v/>
      </c>
      <c r="V440" s="113" t="str">
        <f t="shared" si="41"/>
        <v/>
      </c>
      <c r="W440" s="114"/>
    </row>
    <row r="441" spans="1:23" ht="15" customHeight="1">
      <c r="A441" s="101">
        <v>91</v>
      </c>
      <c r="B441" s="130" t="s">
        <v>431</v>
      </c>
      <c r="C441" s="131"/>
      <c r="D441" s="537">
        <f>1.25+0.75+1.25</f>
        <v>3.25</v>
      </c>
      <c r="E441" s="537"/>
      <c r="F441" s="127"/>
      <c r="G441" s="117">
        <v>0.25</v>
      </c>
      <c r="H441" s="107">
        <v>25</v>
      </c>
      <c r="I441" s="108">
        <v>1</v>
      </c>
      <c r="J441" s="110">
        <f>ROUND(D444/G441+1,0)</f>
        <v>12</v>
      </c>
      <c r="K441" s="118">
        <f>D441</f>
        <v>3.25</v>
      </c>
      <c r="L441" s="119" t="str">
        <f>IF(O441&lt;12,"0",0.049*H441)</f>
        <v>0</v>
      </c>
      <c r="M441" s="120">
        <v>0</v>
      </c>
      <c r="N441" s="108">
        <f>M441*2*H441/1000</f>
        <v>0</v>
      </c>
      <c r="O441" s="121">
        <f>(D441)-N441</f>
        <v>3.25</v>
      </c>
      <c r="P441" s="121">
        <f>(I441*J441*O441)+L441</f>
        <v>39</v>
      </c>
      <c r="Q441" s="113" t="str">
        <f t="shared" si="36"/>
        <v/>
      </c>
      <c r="R441" s="113" t="str">
        <f t="shared" si="37"/>
        <v/>
      </c>
      <c r="S441" s="113" t="str">
        <f t="shared" si="38"/>
        <v/>
      </c>
      <c r="T441" s="113" t="str">
        <f t="shared" si="39"/>
        <v/>
      </c>
      <c r="U441" s="113" t="str">
        <f t="shared" si="40"/>
        <v/>
      </c>
      <c r="V441" s="113">
        <f t="shared" si="41"/>
        <v>39</v>
      </c>
      <c r="W441" s="114"/>
    </row>
    <row r="442" spans="1:23">
      <c r="A442" s="101"/>
      <c r="B442" s="130" t="s">
        <v>317</v>
      </c>
      <c r="C442" s="116"/>
      <c r="D442" s="126"/>
      <c r="E442" s="126"/>
      <c r="F442" s="127"/>
      <c r="G442" s="117"/>
      <c r="H442" s="107"/>
      <c r="I442" s="108"/>
      <c r="J442" s="110"/>
      <c r="K442" s="118"/>
      <c r="L442" s="119"/>
      <c r="M442" s="120"/>
      <c r="N442" s="108"/>
      <c r="O442" s="121"/>
      <c r="P442" s="121"/>
      <c r="Q442" s="113" t="str">
        <f t="shared" si="36"/>
        <v/>
      </c>
      <c r="R442" s="113" t="str">
        <f t="shared" si="37"/>
        <v/>
      </c>
      <c r="S442" s="113" t="str">
        <f t="shared" si="38"/>
        <v/>
      </c>
      <c r="T442" s="113" t="str">
        <f t="shared" si="39"/>
        <v/>
      </c>
      <c r="U442" s="113" t="str">
        <f t="shared" si="40"/>
        <v/>
      </c>
      <c r="V442" s="113" t="str">
        <f t="shared" si="41"/>
        <v/>
      </c>
      <c r="W442" s="114"/>
    </row>
    <row r="443" spans="1:23">
      <c r="A443" s="101"/>
      <c r="B443" s="130"/>
      <c r="C443" s="116"/>
      <c r="D443" s="126"/>
      <c r="E443" s="126"/>
      <c r="F443" s="127"/>
      <c r="G443" s="117"/>
      <c r="H443" s="107"/>
      <c r="I443" s="108"/>
      <c r="J443" s="110"/>
      <c r="K443" s="118"/>
      <c r="L443" s="119"/>
      <c r="M443" s="120"/>
      <c r="N443" s="108"/>
      <c r="O443" s="121"/>
      <c r="P443" s="121"/>
      <c r="Q443" s="113" t="str">
        <f t="shared" si="36"/>
        <v/>
      </c>
      <c r="R443" s="113" t="str">
        <f t="shared" si="37"/>
        <v/>
      </c>
      <c r="S443" s="113" t="str">
        <f t="shared" si="38"/>
        <v/>
      </c>
      <c r="T443" s="113" t="str">
        <f t="shared" si="39"/>
        <v/>
      </c>
      <c r="U443" s="113" t="str">
        <f t="shared" si="40"/>
        <v/>
      </c>
      <c r="V443" s="113" t="str">
        <f t="shared" si="41"/>
        <v/>
      </c>
      <c r="W443" s="114"/>
    </row>
    <row r="444" spans="1:23" ht="15" customHeight="1">
      <c r="A444" s="101">
        <v>92</v>
      </c>
      <c r="B444" s="130" t="s">
        <v>432</v>
      </c>
      <c r="C444" s="131"/>
      <c r="D444" s="537">
        <f>1.25+0.3+1.25</f>
        <v>2.8</v>
      </c>
      <c r="E444" s="537"/>
      <c r="F444" s="127"/>
      <c r="G444" s="117">
        <v>0.25</v>
      </c>
      <c r="H444" s="107">
        <v>25</v>
      </c>
      <c r="I444" s="108">
        <v>1</v>
      </c>
      <c r="J444" s="110">
        <f>ROUND(D441/G444+1,0)</f>
        <v>14</v>
      </c>
      <c r="K444" s="118">
        <f>D444</f>
        <v>2.8</v>
      </c>
      <c r="L444" s="119" t="str">
        <f>IF(O444&lt;12,"0",0.049*H444)</f>
        <v>0</v>
      </c>
      <c r="M444" s="120">
        <v>0</v>
      </c>
      <c r="N444" s="108">
        <f>M444*2*H444/1000</f>
        <v>0</v>
      </c>
      <c r="O444" s="121">
        <f>(D444)-N444</f>
        <v>2.8</v>
      </c>
      <c r="P444" s="121">
        <f>(I444*J444*O444)+L444</f>
        <v>39.199999999999996</v>
      </c>
      <c r="Q444" s="113" t="str">
        <f t="shared" si="36"/>
        <v/>
      </c>
      <c r="R444" s="113" t="str">
        <f t="shared" si="37"/>
        <v/>
      </c>
      <c r="S444" s="113" t="str">
        <f t="shared" si="38"/>
        <v/>
      </c>
      <c r="T444" s="113" t="str">
        <f t="shared" si="39"/>
        <v/>
      </c>
      <c r="U444" s="113" t="str">
        <f t="shared" si="40"/>
        <v/>
      </c>
      <c r="V444" s="113">
        <f t="shared" si="41"/>
        <v>39.199999999999996</v>
      </c>
      <c r="W444" s="114"/>
    </row>
    <row r="445" spans="1:23">
      <c r="A445" s="101"/>
      <c r="B445" s="130" t="s">
        <v>317</v>
      </c>
      <c r="C445" s="116"/>
      <c r="D445" s="126"/>
      <c r="E445" s="126"/>
      <c r="F445" s="127"/>
      <c r="G445" s="117"/>
      <c r="H445" s="107"/>
      <c r="I445" s="108"/>
      <c r="J445" s="110"/>
      <c r="K445" s="118"/>
      <c r="L445" s="119"/>
      <c r="M445" s="120"/>
      <c r="N445" s="108"/>
      <c r="O445" s="121"/>
      <c r="P445" s="121"/>
      <c r="Q445" s="113" t="str">
        <f t="shared" si="36"/>
        <v/>
      </c>
      <c r="R445" s="113" t="str">
        <f t="shared" si="37"/>
        <v/>
      </c>
      <c r="S445" s="113" t="str">
        <f t="shared" si="38"/>
        <v/>
      </c>
      <c r="T445" s="113" t="str">
        <f t="shared" si="39"/>
        <v/>
      </c>
      <c r="U445" s="113" t="str">
        <f t="shared" si="40"/>
        <v/>
      </c>
      <c r="V445" s="113" t="str">
        <f t="shared" si="41"/>
        <v/>
      </c>
      <c r="W445" s="114"/>
    </row>
    <row r="446" spans="1:23">
      <c r="A446" s="101"/>
      <c r="B446" s="130"/>
      <c r="C446" s="116"/>
      <c r="D446" s="126"/>
      <c r="E446" s="126"/>
      <c r="F446" s="127"/>
      <c r="G446" s="117"/>
      <c r="H446" s="107"/>
      <c r="I446" s="108"/>
      <c r="J446" s="110"/>
      <c r="K446" s="118"/>
      <c r="L446" s="119"/>
      <c r="M446" s="120"/>
      <c r="N446" s="108"/>
      <c r="O446" s="121"/>
      <c r="P446" s="121"/>
      <c r="Q446" s="113" t="str">
        <f t="shared" si="36"/>
        <v/>
      </c>
      <c r="R446" s="113" t="str">
        <f t="shared" si="37"/>
        <v/>
      </c>
      <c r="S446" s="113" t="str">
        <f t="shared" si="38"/>
        <v/>
      </c>
      <c r="T446" s="113" t="str">
        <f t="shared" si="39"/>
        <v/>
      </c>
      <c r="U446" s="113" t="str">
        <f t="shared" si="40"/>
        <v/>
      </c>
      <c r="V446" s="113" t="str">
        <f t="shared" si="41"/>
        <v/>
      </c>
      <c r="W446" s="114"/>
    </row>
    <row r="447" spans="1:23" ht="15" customHeight="1">
      <c r="A447" s="101">
        <v>91</v>
      </c>
      <c r="B447" s="130" t="s">
        <v>431</v>
      </c>
      <c r="C447" s="131"/>
      <c r="D447" s="537">
        <f>1.25+0.75+1.25</f>
        <v>3.25</v>
      </c>
      <c r="E447" s="537"/>
      <c r="F447" s="127"/>
      <c r="G447" s="117">
        <v>0.25</v>
      </c>
      <c r="H447" s="107">
        <v>25</v>
      </c>
      <c r="I447" s="108">
        <v>1</v>
      </c>
      <c r="J447" s="110">
        <f>ROUND(D450/G447+1,0)</f>
        <v>12</v>
      </c>
      <c r="K447" s="118">
        <f>D447</f>
        <v>3.25</v>
      </c>
      <c r="L447" s="119" t="str">
        <f>IF(O447&lt;12,"0",0.049*H447)</f>
        <v>0</v>
      </c>
      <c r="M447" s="120">
        <v>0</v>
      </c>
      <c r="N447" s="108">
        <f>M447*2*H447/1000</f>
        <v>0</v>
      </c>
      <c r="O447" s="121">
        <f>(D447)-N447</f>
        <v>3.25</v>
      </c>
      <c r="P447" s="121">
        <f>(I447*J447*O447)+L447</f>
        <v>39</v>
      </c>
      <c r="Q447" s="113" t="str">
        <f t="shared" si="36"/>
        <v/>
      </c>
      <c r="R447" s="113" t="str">
        <f t="shared" si="37"/>
        <v/>
      </c>
      <c r="S447" s="113" t="str">
        <f t="shared" si="38"/>
        <v/>
      </c>
      <c r="T447" s="113" t="str">
        <f t="shared" si="39"/>
        <v/>
      </c>
      <c r="U447" s="113" t="str">
        <f t="shared" si="40"/>
        <v/>
      </c>
      <c r="V447" s="113">
        <f t="shared" si="41"/>
        <v>39</v>
      </c>
      <c r="W447" s="114"/>
    </row>
    <row r="448" spans="1:23">
      <c r="A448" s="101"/>
      <c r="B448" s="130" t="s">
        <v>318</v>
      </c>
      <c r="C448" s="116"/>
      <c r="D448" s="126"/>
      <c r="E448" s="126"/>
      <c r="F448" s="127"/>
      <c r="G448" s="117"/>
      <c r="H448" s="107"/>
      <c r="I448" s="108"/>
      <c r="J448" s="110"/>
      <c r="K448" s="118"/>
      <c r="L448" s="119"/>
      <c r="M448" s="120"/>
      <c r="N448" s="108"/>
      <c r="O448" s="121"/>
      <c r="P448" s="121"/>
      <c r="Q448" s="113" t="str">
        <f t="shared" si="36"/>
        <v/>
      </c>
      <c r="R448" s="113" t="str">
        <f t="shared" si="37"/>
        <v/>
      </c>
      <c r="S448" s="113" t="str">
        <f t="shared" si="38"/>
        <v/>
      </c>
      <c r="T448" s="113" t="str">
        <f t="shared" si="39"/>
        <v/>
      </c>
      <c r="U448" s="113" t="str">
        <f t="shared" si="40"/>
        <v/>
      </c>
      <c r="V448" s="113" t="str">
        <f t="shared" si="41"/>
        <v/>
      </c>
      <c r="W448" s="114"/>
    </row>
    <row r="449" spans="1:23">
      <c r="A449" s="101"/>
      <c r="B449" s="130"/>
      <c r="C449" s="116"/>
      <c r="D449" s="126"/>
      <c r="E449" s="126"/>
      <c r="F449" s="127"/>
      <c r="G449" s="117"/>
      <c r="H449" s="107"/>
      <c r="I449" s="108"/>
      <c r="J449" s="110"/>
      <c r="K449" s="118"/>
      <c r="L449" s="119"/>
      <c r="M449" s="120"/>
      <c r="N449" s="108"/>
      <c r="O449" s="121"/>
      <c r="P449" s="121"/>
      <c r="Q449" s="113" t="str">
        <f t="shared" si="36"/>
        <v/>
      </c>
      <c r="R449" s="113" t="str">
        <f t="shared" si="37"/>
        <v/>
      </c>
      <c r="S449" s="113" t="str">
        <f t="shared" si="38"/>
        <v/>
      </c>
      <c r="T449" s="113" t="str">
        <f t="shared" si="39"/>
        <v/>
      </c>
      <c r="U449" s="113" t="str">
        <f t="shared" si="40"/>
        <v/>
      </c>
      <c r="V449" s="113" t="str">
        <f t="shared" si="41"/>
        <v/>
      </c>
      <c r="W449" s="114"/>
    </row>
    <row r="450" spans="1:23" ht="15" customHeight="1">
      <c r="A450" s="101">
        <v>92</v>
      </c>
      <c r="B450" s="130" t="s">
        <v>432</v>
      </c>
      <c r="C450" s="131"/>
      <c r="D450" s="537">
        <f>1.25+0.3+1.25</f>
        <v>2.8</v>
      </c>
      <c r="E450" s="537"/>
      <c r="F450" s="127"/>
      <c r="G450" s="117">
        <v>0.25</v>
      </c>
      <c r="H450" s="107">
        <v>20</v>
      </c>
      <c r="I450" s="108">
        <v>1</v>
      </c>
      <c r="J450" s="110">
        <f>ROUND(D447/G450+1,0)</f>
        <v>14</v>
      </c>
      <c r="K450" s="118">
        <f>D450</f>
        <v>2.8</v>
      </c>
      <c r="L450" s="119" t="str">
        <f>IF(O450&lt;12,"0",0.049*H450)</f>
        <v>0</v>
      </c>
      <c r="M450" s="120">
        <v>0</v>
      </c>
      <c r="N450" s="108">
        <f>M450*2*H450/1000</f>
        <v>0</v>
      </c>
      <c r="O450" s="121">
        <f>(D450)-N450</f>
        <v>2.8</v>
      </c>
      <c r="P450" s="121">
        <f>(I450*J450*O450)+L450</f>
        <v>39.199999999999996</v>
      </c>
      <c r="Q450" s="113" t="str">
        <f t="shared" si="36"/>
        <v/>
      </c>
      <c r="R450" s="113" t="str">
        <f t="shared" si="37"/>
        <v/>
      </c>
      <c r="S450" s="113" t="str">
        <f t="shared" si="38"/>
        <v/>
      </c>
      <c r="T450" s="113" t="str">
        <f t="shared" si="39"/>
        <v/>
      </c>
      <c r="U450" s="113">
        <f t="shared" si="40"/>
        <v>39.199999999999996</v>
      </c>
      <c r="V450" s="113" t="str">
        <f t="shared" si="41"/>
        <v/>
      </c>
      <c r="W450" s="114"/>
    </row>
    <row r="451" spans="1:23">
      <c r="A451" s="101"/>
      <c r="B451" s="130" t="s">
        <v>318</v>
      </c>
      <c r="C451" s="116"/>
      <c r="D451" s="126"/>
      <c r="E451" s="126"/>
      <c r="F451" s="127"/>
      <c r="G451" s="117"/>
      <c r="H451" s="107"/>
      <c r="I451" s="108"/>
      <c r="J451" s="110"/>
      <c r="K451" s="118"/>
      <c r="L451" s="119"/>
      <c r="M451" s="120"/>
      <c r="N451" s="108"/>
      <c r="O451" s="121"/>
      <c r="P451" s="121"/>
      <c r="Q451" s="113" t="str">
        <f t="shared" si="36"/>
        <v/>
      </c>
      <c r="R451" s="113" t="str">
        <f t="shared" si="37"/>
        <v/>
      </c>
      <c r="S451" s="113" t="str">
        <f t="shared" si="38"/>
        <v/>
      </c>
      <c r="T451" s="113" t="str">
        <f t="shared" si="39"/>
        <v/>
      </c>
      <c r="U451" s="113" t="str">
        <f t="shared" si="40"/>
        <v/>
      </c>
      <c r="V451" s="113" t="str">
        <f t="shared" si="41"/>
        <v/>
      </c>
      <c r="W451" s="114"/>
    </row>
    <row r="452" spans="1:23">
      <c r="A452" s="101"/>
      <c r="B452" s="130"/>
      <c r="C452" s="116"/>
      <c r="D452" s="126"/>
      <c r="E452" s="126"/>
      <c r="F452" s="127"/>
      <c r="G452" s="117"/>
      <c r="H452" s="107"/>
      <c r="I452" s="108"/>
      <c r="J452" s="110"/>
      <c r="K452" s="118"/>
      <c r="L452" s="119"/>
      <c r="M452" s="120"/>
      <c r="N452" s="108"/>
      <c r="O452" s="121"/>
      <c r="P452" s="121"/>
      <c r="Q452" s="113" t="str">
        <f t="shared" si="36"/>
        <v/>
      </c>
      <c r="R452" s="113" t="str">
        <f t="shared" si="37"/>
        <v/>
      </c>
      <c r="S452" s="113" t="str">
        <f t="shared" si="38"/>
        <v/>
      </c>
      <c r="T452" s="113" t="str">
        <f t="shared" si="39"/>
        <v/>
      </c>
      <c r="U452" s="113" t="str">
        <f t="shared" si="40"/>
        <v/>
      </c>
      <c r="V452" s="113" t="str">
        <f t="shared" si="41"/>
        <v/>
      </c>
      <c r="W452" s="114"/>
    </row>
    <row r="453" spans="1:23" ht="15" customHeight="1">
      <c r="A453" s="101">
        <v>93</v>
      </c>
      <c r="B453" s="130" t="s">
        <v>432</v>
      </c>
      <c r="C453" s="131"/>
      <c r="D453" s="537">
        <f>1.25+0.3+1.25</f>
        <v>2.8</v>
      </c>
      <c r="E453" s="537"/>
      <c r="F453" s="127"/>
      <c r="G453" s="117">
        <v>0.25</v>
      </c>
      <c r="H453" s="107">
        <v>20</v>
      </c>
      <c r="I453" s="108">
        <v>1</v>
      </c>
      <c r="J453" s="110">
        <f>ROUND(D450/G453+1,0)</f>
        <v>12</v>
      </c>
      <c r="K453" s="118">
        <f>D453</f>
        <v>2.8</v>
      </c>
      <c r="L453" s="119" t="str">
        <f>IF(O453&lt;12,"0",0.049*H453)</f>
        <v>0</v>
      </c>
      <c r="M453" s="120">
        <v>0</v>
      </c>
      <c r="N453" s="108">
        <f>M453*2*H453/1000</f>
        <v>0</v>
      </c>
      <c r="O453" s="121">
        <f>(D453)-N453</f>
        <v>2.8</v>
      </c>
      <c r="P453" s="121">
        <f>(I453*J453*O453)+L453</f>
        <v>33.599999999999994</v>
      </c>
      <c r="Q453" s="113" t="str">
        <f t="shared" si="36"/>
        <v/>
      </c>
      <c r="R453" s="113" t="str">
        <f t="shared" si="37"/>
        <v/>
      </c>
      <c r="S453" s="113" t="str">
        <f t="shared" si="38"/>
        <v/>
      </c>
      <c r="T453" s="113" t="str">
        <f t="shared" si="39"/>
        <v/>
      </c>
      <c r="U453" s="113">
        <f t="shared" si="40"/>
        <v>33.599999999999994</v>
      </c>
      <c r="V453" s="113" t="str">
        <f t="shared" si="41"/>
        <v/>
      </c>
      <c r="W453" s="114"/>
    </row>
    <row r="454" spans="1:23">
      <c r="A454" s="101"/>
      <c r="B454" s="130" t="s">
        <v>318</v>
      </c>
      <c r="C454" s="116"/>
      <c r="D454" s="126"/>
      <c r="E454" s="126"/>
      <c r="F454" s="127"/>
      <c r="G454" s="117"/>
      <c r="H454" s="107"/>
      <c r="I454" s="108"/>
      <c r="J454" s="110"/>
      <c r="K454" s="118"/>
      <c r="L454" s="119"/>
      <c r="M454" s="120"/>
      <c r="N454" s="108"/>
      <c r="O454" s="121"/>
      <c r="P454" s="121"/>
      <c r="Q454" s="113" t="str">
        <f t="shared" si="36"/>
        <v/>
      </c>
      <c r="R454" s="113" t="str">
        <f t="shared" si="37"/>
        <v/>
      </c>
      <c r="S454" s="113" t="str">
        <f t="shared" si="38"/>
        <v/>
      </c>
      <c r="T454" s="113" t="str">
        <f t="shared" si="39"/>
        <v/>
      </c>
      <c r="U454" s="113" t="str">
        <f t="shared" si="40"/>
        <v/>
      </c>
      <c r="V454" s="113" t="str">
        <f t="shared" si="41"/>
        <v/>
      </c>
      <c r="W454" s="114"/>
    </row>
    <row r="455" spans="1:23">
      <c r="A455" s="101"/>
      <c r="B455" s="130"/>
      <c r="C455" s="116"/>
      <c r="D455" s="126"/>
      <c r="E455" s="126"/>
      <c r="F455" s="127"/>
      <c r="G455" s="117"/>
      <c r="H455" s="107"/>
      <c r="I455" s="108"/>
      <c r="J455" s="110"/>
      <c r="K455" s="118"/>
      <c r="L455" s="119"/>
      <c r="M455" s="120"/>
      <c r="N455" s="108"/>
      <c r="O455" s="121"/>
      <c r="P455" s="121"/>
      <c r="Q455" s="113" t="str">
        <f t="shared" si="36"/>
        <v/>
      </c>
      <c r="R455" s="113" t="str">
        <f t="shared" si="37"/>
        <v/>
      </c>
      <c r="S455" s="113" t="str">
        <f t="shared" si="38"/>
        <v/>
      </c>
      <c r="T455" s="113" t="str">
        <f t="shared" si="39"/>
        <v/>
      </c>
      <c r="U455" s="113" t="str">
        <f t="shared" si="40"/>
        <v/>
      </c>
      <c r="V455" s="113" t="str">
        <f t="shared" si="41"/>
        <v/>
      </c>
      <c r="W455" s="114"/>
    </row>
    <row r="456" spans="1:23" ht="15" customHeight="1">
      <c r="A456" s="101">
        <v>94</v>
      </c>
      <c r="B456" s="130" t="s">
        <v>431</v>
      </c>
      <c r="C456" s="131"/>
      <c r="D456" s="537">
        <f>1.25+0.3+1.25</f>
        <v>2.8</v>
      </c>
      <c r="E456" s="537"/>
      <c r="F456" s="127"/>
      <c r="G456" s="117">
        <v>0.25</v>
      </c>
      <c r="H456" s="107">
        <v>25</v>
      </c>
      <c r="I456" s="108">
        <v>1</v>
      </c>
      <c r="J456" s="110">
        <f>ROUND(D459/G456+1,0)</f>
        <v>13</v>
      </c>
      <c r="K456" s="118">
        <f>D456</f>
        <v>2.8</v>
      </c>
      <c r="L456" s="119" t="str">
        <f>IF(O456&lt;12,"0",0.049*H456)</f>
        <v>0</v>
      </c>
      <c r="M456" s="120">
        <v>0</v>
      </c>
      <c r="N456" s="108">
        <f>M456*2*H456/1000</f>
        <v>0</v>
      </c>
      <c r="O456" s="121">
        <f>(D456)-N456</f>
        <v>2.8</v>
      </c>
      <c r="P456" s="121">
        <f>(I456*J456*O456)+L456</f>
        <v>36.4</v>
      </c>
      <c r="Q456" s="113" t="str">
        <f t="shared" si="36"/>
        <v/>
      </c>
      <c r="R456" s="113" t="str">
        <f t="shared" si="37"/>
        <v/>
      </c>
      <c r="S456" s="113" t="str">
        <f t="shared" si="38"/>
        <v/>
      </c>
      <c r="T456" s="113" t="str">
        <f t="shared" si="39"/>
        <v/>
      </c>
      <c r="U456" s="113" t="str">
        <f t="shared" si="40"/>
        <v/>
      </c>
      <c r="V456" s="113">
        <f t="shared" si="41"/>
        <v>36.4</v>
      </c>
      <c r="W456" s="114"/>
    </row>
    <row r="457" spans="1:23">
      <c r="A457" s="101"/>
      <c r="B457" s="130" t="s">
        <v>319</v>
      </c>
      <c r="C457" s="116"/>
      <c r="D457" s="126"/>
      <c r="E457" s="126"/>
      <c r="F457" s="127"/>
      <c r="G457" s="117"/>
      <c r="H457" s="107"/>
      <c r="I457" s="108"/>
      <c r="J457" s="110"/>
      <c r="K457" s="118"/>
      <c r="L457" s="119"/>
      <c r="M457" s="120"/>
      <c r="N457" s="108"/>
      <c r="O457" s="121"/>
      <c r="P457" s="121"/>
      <c r="Q457" s="113" t="str">
        <f t="shared" si="36"/>
        <v/>
      </c>
      <c r="R457" s="113" t="str">
        <f t="shared" si="37"/>
        <v/>
      </c>
      <c r="S457" s="113" t="str">
        <f t="shared" si="38"/>
        <v/>
      </c>
      <c r="T457" s="113" t="str">
        <f t="shared" si="39"/>
        <v/>
      </c>
      <c r="U457" s="113" t="str">
        <f t="shared" si="40"/>
        <v/>
      </c>
      <c r="V457" s="113" t="str">
        <f t="shared" si="41"/>
        <v/>
      </c>
      <c r="W457" s="114"/>
    </row>
    <row r="458" spans="1:23">
      <c r="A458" s="101"/>
      <c r="B458" s="130"/>
      <c r="C458" s="116"/>
      <c r="D458" s="126"/>
      <c r="E458" s="126"/>
      <c r="F458" s="127"/>
      <c r="G458" s="117"/>
      <c r="H458" s="107"/>
      <c r="I458" s="108"/>
      <c r="J458" s="110"/>
      <c r="K458" s="118"/>
      <c r="L458" s="119"/>
      <c r="M458" s="120"/>
      <c r="N458" s="108"/>
      <c r="O458" s="121"/>
      <c r="P458" s="121"/>
      <c r="Q458" s="113" t="str">
        <f t="shared" si="36"/>
        <v/>
      </c>
      <c r="R458" s="113" t="str">
        <f t="shared" si="37"/>
        <v/>
      </c>
      <c r="S458" s="113" t="str">
        <f t="shared" si="38"/>
        <v/>
      </c>
      <c r="T458" s="113" t="str">
        <f t="shared" si="39"/>
        <v/>
      </c>
      <c r="U458" s="113" t="str">
        <f t="shared" si="40"/>
        <v/>
      </c>
      <c r="V458" s="113" t="str">
        <f t="shared" si="41"/>
        <v/>
      </c>
      <c r="W458" s="114"/>
    </row>
    <row r="459" spans="1:23" ht="15" customHeight="1">
      <c r="A459" s="101">
        <v>95</v>
      </c>
      <c r="B459" s="130" t="s">
        <v>432</v>
      </c>
      <c r="C459" s="131"/>
      <c r="D459" s="537">
        <f>1.25+0.6+1.25</f>
        <v>3.1</v>
      </c>
      <c r="E459" s="537"/>
      <c r="F459" s="127"/>
      <c r="G459" s="117">
        <v>0.25</v>
      </c>
      <c r="H459" s="107">
        <v>25</v>
      </c>
      <c r="I459" s="108">
        <v>1</v>
      </c>
      <c r="J459" s="110">
        <f>ROUND(D456/G459+1,0)</f>
        <v>12</v>
      </c>
      <c r="K459" s="118">
        <f>D459</f>
        <v>3.1</v>
      </c>
      <c r="L459" s="119" t="str">
        <f>IF(O459&lt;12,"0",0.049*H459)</f>
        <v>0</v>
      </c>
      <c r="M459" s="120">
        <v>0</v>
      </c>
      <c r="N459" s="108">
        <f>M459*2*H459/1000</f>
        <v>0</v>
      </c>
      <c r="O459" s="121">
        <f>(D459)-N459</f>
        <v>3.1</v>
      </c>
      <c r="P459" s="121">
        <f>(I459*J459*O459)+L459</f>
        <v>37.200000000000003</v>
      </c>
      <c r="Q459" s="113" t="str">
        <f t="shared" si="36"/>
        <v/>
      </c>
      <c r="R459" s="113" t="str">
        <f t="shared" si="37"/>
        <v/>
      </c>
      <c r="S459" s="113" t="str">
        <f t="shared" si="38"/>
        <v/>
      </c>
      <c r="T459" s="113" t="str">
        <f t="shared" si="39"/>
        <v/>
      </c>
      <c r="U459" s="113" t="str">
        <f t="shared" si="40"/>
        <v/>
      </c>
      <c r="V459" s="113">
        <f t="shared" si="41"/>
        <v>37.200000000000003</v>
      </c>
      <c r="W459" s="114"/>
    </row>
    <row r="460" spans="1:23">
      <c r="A460" s="101"/>
      <c r="B460" s="130" t="s">
        <v>319</v>
      </c>
      <c r="C460" s="116"/>
      <c r="D460" s="126"/>
      <c r="E460" s="126"/>
      <c r="F460" s="127"/>
      <c r="G460" s="117"/>
      <c r="H460" s="107"/>
      <c r="I460" s="108"/>
      <c r="J460" s="110"/>
      <c r="K460" s="118"/>
      <c r="L460" s="119"/>
      <c r="M460" s="120"/>
      <c r="N460" s="108"/>
      <c r="O460" s="121"/>
      <c r="P460" s="121"/>
      <c r="Q460" s="113" t="str">
        <f t="shared" si="36"/>
        <v/>
      </c>
      <c r="R460" s="113" t="str">
        <f t="shared" si="37"/>
        <v/>
      </c>
      <c r="S460" s="113" t="str">
        <f t="shared" si="38"/>
        <v/>
      </c>
      <c r="T460" s="113" t="str">
        <f t="shared" si="39"/>
        <v/>
      </c>
      <c r="U460" s="113" t="str">
        <f t="shared" si="40"/>
        <v/>
      </c>
      <c r="V460" s="113" t="str">
        <f t="shared" si="41"/>
        <v/>
      </c>
      <c r="W460" s="114"/>
    </row>
    <row r="461" spans="1:23">
      <c r="A461" s="101"/>
      <c r="B461" s="130"/>
      <c r="C461" s="116"/>
      <c r="D461" s="126"/>
      <c r="E461" s="126"/>
      <c r="F461" s="127"/>
      <c r="G461" s="117"/>
      <c r="H461" s="107"/>
      <c r="I461" s="108"/>
      <c r="J461" s="110"/>
      <c r="K461" s="118"/>
      <c r="L461" s="119"/>
      <c r="M461" s="120"/>
      <c r="N461" s="108"/>
      <c r="O461" s="121"/>
      <c r="P461" s="121"/>
      <c r="Q461" s="113" t="str">
        <f t="shared" si="36"/>
        <v/>
      </c>
      <c r="R461" s="113" t="str">
        <f t="shared" si="37"/>
        <v/>
      </c>
      <c r="S461" s="113" t="str">
        <f t="shared" si="38"/>
        <v/>
      </c>
      <c r="T461" s="113" t="str">
        <f t="shared" si="39"/>
        <v/>
      </c>
      <c r="U461" s="113" t="str">
        <f t="shared" si="40"/>
        <v/>
      </c>
      <c r="V461" s="113" t="str">
        <f t="shared" si="41"/>
        <v/>
      </c>
      <c r="W461" s="114"/>
    </row>
    <row r="462" spans="1:23" ht="15" customHeight="1">
      <c r="A462" s="101">
        <v>96</v>
      </c>
      <c r="B462" s="130" t="s">
        <v>431</v>
      </c>
      <c r="C462" s="131"/>
      <c r="D462" s="537">
        <f>1+0.75+1</f>
        <v>2.75</v>
      </c>
      <c r="E462" s="537"/>
      <c r="F462" s="127"/>
      <c r="G462" s="117">
        <v>0.25</v>
      </c>
      <c r="H462" s="107">
        <v>20</v>
      </c>
      <c r="I462" s="108">
        <v>1</v>
      </c>
      <c r="J462" s="110">
        <f>ROUND(D465/G462+1,0)</f>
        <v>8</v>
      </c>
      <c r="K462" s="118">
        <f>D462</f>
        <v>2.75</v>
      </c>
      <c r="L462" s="119" t="str">
        <f>IF(O462&lt;12,"0",0.049*H462)</f>
        <v>0</v>
      </c>
      <c r="M462" s="120">
        <v>0</v>
      </c>
      <c r="N462" s="108">
        <f>M462*2*H462/1000</f>
        <v>0</v>
      </c>
      <c r="O462" s="121">
        <f>(D462)-N462</f>
        <v>2.75</v>
      </c>
      <c r="P462" s="121">
        <f>(I462*J462*O462)+L462</f>
        <v>22</v>
      </c>
      <c r="Q462" s="113" t="str">
        <f t="shared" si="36"/>
        <v/>
      </c>
      <c r="R462" s="113" t="str">
        <f t="shared" si="37"/>
        <v/>
      </c>
      <c r="S462" s="113" t="str">
        <f t="shared" si="38"/>
        <v/>
      </c>
      <c r="T462" s="113" t="str">
        <f t="shared" si="39"/>
        <v/>
      </c>
      <c r="U462" s="113">
        <f t="shared" si="40"/>
        <v>22</v>
      </c>
      <c r="V462" s="113" t="str">
        <f t="shared" si="41"/>
        <v/>
      </c>
      <c r="W462" s="114"/>
    </row>
    <row r="463" spans="1:23">
      <c r="A463" s="101"/>
      <c r="B463" s="130" t="s">
        <v>320</v>
      </c>
      <c r="C463" s="116"/>
      <c r="D463" s="126"/>
      <c r="E463" s="126"/>
      <c r="F463" s="127"/>
      <c r="G463" s="117"/>
      <c r="H463" s="107"/>
      <c r="I463" s="108"/>
      <c r="J463" s="110"/>
      <c r="K463" s="118"/>
      <c r="L463" s="119"/>
      <c r="M463" s="120"/>
      <c r="N463" s="108"/>
      <c r="O463" s="121"/>
      <c r="P463" s="121"/>
      <c r="Q463" s="113" t="str">
        <f t="shared" si="36"/>
        <v/>
      </c>
      <c r="R463" s="113" t="str">
        <f t="shared" si="37"/>
        <v/>
      </c>
      <c r="S463" s="113" t="str">
        <f t="shared" si="38"/>
        <v/>
      </c>
      <c r="T463" s="113" t="str">
        <f t="shared" si="39"/>
        <v/>
      </c>
      <c r="U463" s="113" t="str">
        <f t="shared" si="40"/>
        <v/>
      </c>
      <c r="V463" s="113" t="str">
        <f t="shared" si="41"/>
        <v/>
      </c>
      <c r="W463" s="114"/>
    </row>
    <row r="464" spans="1:23">
      <c r="A464" s="101"/>
      <c r="B464" s="130"/>
      <c r="C464" s="116"/>
      <c r="D464" s="126"/>
      <c r="E464" s="126"/>
      <c r="F464" s="127"/>
      <c r="G464" s="117"/>
      <c r="H464" s="107"/>
      <c r="I464" s="108"/>
      <c r="J464" s="110"/>
      <c r="K464" s="118"/>
      <c r="L464" s="119"/>
      <c r="M464" s="120"/>
      <c r="N464" s="108"/>
      <c r="O464" s="121"/>
      <c r="P464" s="121"/>
      <c r="Q464" s="113" t="str">
        <f t="shared" si="36"/>
        <v/>
      </c>
      <c r="R464" s="113" t="str">
        <f t="shared" si="37"/>
        <v/>
      </c>
      <c r="S464" s="113" t="str">
        <f t="shared" si="38"/>
        <v/>
      </c>
      <c r="T464" s="113" t="str">
        <f t="shared" si="39"/>
        <v/>
      </c>
      <c r="U464" s="113" t="str">
        <f t="shared" si="40"/>
        <v/>
      </c>
      <c r="V464" s="113" t="str">
        <f t="shared" si="41"/>
        <v/>
      </c>
      <c r="W464" s="114"/>
    </row>
    <row r="465" spans="1:23" ht="15" customHeight="1">
      <c r="A465" s="101">
        <v>97</v>
      </c>
      <c r="B465" s="130" t="s">
        <v>432</v>
      </c>
      <c r="C465" s="131"/>
      <c r="D465" s="537">
        <v>1.85</v>
      </c>
      <c r="E465" s="537"/>
      <c r="F465" s="127"/>
      <c r="G465" s="117">
        <v>0.25</v>
      </c>
      <c r="H465" s="107">
        <v>20</v>
      </c>
      <c r="I465" s="108">
        <v>1</v>
      </c>
      <c r="J465" s="110">
        <f>ROUND(D462/G465+1,0)</f>
        <v>12</v>
      </c>
      <c r="K465" s="118">
        <f>D465</f>
        <v>1.85</v>
      </c>
      <c r="L465" s="119" t="str">
        <f>IF(O465&lt;12,"0",0.049*H465)</f>
        <v>0</v>
      </c>
      <c r="M465" s="120">
        <v>0</v>
      </c>
      <c r="N465" s="108">
        <f>M465*2*H465/1000</f>
        <v>0</v>
      </c>
      <c r="O465" s="121">
        <f>(D465)-N465</f>
        <v>1.85</v>
      </c>
      <c r="P465" s="121">
        <f>(I465*J465*O465)+L465</f>
        <v>22.200000000000003</v>
      </c>
      <c r="Q465" s="113" t="str">
        <f t="shared" si="36"/>
        <v/>
      </c>
      <c r="R465" s="113" t="str">
        <f t="shared" si="37"/>
        <v/>
      </c>
      <c r="S465" s="113" t="str">
        <f t="shared" si="38"/>
        <v/>
      </c>
      <c r="T465" s="113" t="str">
        <f t="shared" si="39"/>
        <v/>
      </c>
      <c r="U465" s="113">
        <f t="shared" si="40"/>
        <v>22.200000000000003</v>
      </c>
      <c r="V465" s="113" t="str">
        <f t="shared" si="41"/>
        <v/>
      </c>
      <c r="W465" s="114"/>
    </row>
    <row r="466" spans="1:23">
      <c r="A466" s="101"/>
      <c r="B466" s="130" t="s">
        <v>320</v>
      </c>
      <c r="C466" s="116"/>
      <c r="D466" s="126"/>
      <c r="E466" s="126"/>
      <c r="F466" s="127"/>
      <c r="G466" s="117"/>
      <c r="H466" s="107"/>
      <c r="I466" s="108"/>
      <c r="J466" s="110"/>
      <c r="K466" s="118"/>
      <c r="L466" s="119"/>
      <c r="M466" s="120"/>
      <c r="N466" s="108"/>
      <c r="O466" s="121"/>
      <c r="P466" s="121"/>
      <c r="Q466" s="113" t="str">
        <f t="shared" si="36"/>
        <v/>
      </c>
      <c r="R466" s="113" t="str">
        <f t="shared" si="37"/>
        <v/>
      </c>
      <c r="S466" s="113" t="str">
        <f t="shared" si="38"/>
        <v/>
      </c>
      <c r="T466" s="113" t="str">
        <f t="shared" si="39"/>
        <v/>
      </c>
      <c r="U466" s="113" t="str">
        <f t="shared" si="40"/>
        <v/>
      </c>
      <c r="V466" s="113" t="str">
        <f t="shared" si="41"/>
        <v/>
      </c>
      <c r="W466" s="114"/>
    </row>
    <row r="467" spans="1:23">
      <c r="A467" s="101"/>
      <c r="B467" s="130"/>
      <c r="C467" s="116"/>
      <c r="D467" s="126"/>
      <c r="E467" s="126"/>
      <c r="F467" s="127"/>
      <c r="G467" s="117"/>
      <c r="H467" s="107"/>
      <c r="I467" s="108"/>
      <c r="J467" s="110"/>
      <c r="K467" s="118"/>
      <c r="L467" s="119"/>
      <c r="M467" s="120"/>
      <c r="N467" s="108"/>
      <c r="O467" s="121"/>
      <c r="P467" s="121"/>
      <c r="Q467" s="113" t="str">
        <f t="shared" si="36"/>
        <v/>
      </c>
      <c r="R467" s="113" t="str">
        <f t="shared" si="37"/>
        <v/>
      </c>
      <c r="S467" s="113" t="str">
        <f t="shared" si="38"/>
        <v/>
      </c>
      <c r="T467" s="113" t="str">
        <f t="shared" si="39"/>
        <v/>
      </c>
      <c r="U467" s="113" t="str">
        <f t="shared" si="40"/>
        <v/>
      </c>
      <c r="V467" s="113" t="str">
        <f t="shared" si="41"/>
        <v/>
      </c>
      <c r="W467" s="114"/>
    </row>
    <row r="468" spans="1:23" ht="15" customHeight="1">
      <c r="A468" s="101">
        <v>98</v>
      </c>
      <c r="B468" s="130" t="s">
        <v>432</v>
      </c>
      <c r="C468" s="131"/>
      <c r="D468" s="537">
        <v>1.85</v>
      </c>
      <c r="E468" s="537"/>
      <c r="F468" s="127"/>
      <c r="G468" s="117">
        <v>0.25</v>
      </c>
      <c r="H468" s="107">
        <v>20</v>
      </c>
      <c r="I468" s="108">
        <v>1</v>
      </c>
      <c r="J468" s="110">
        <f>ROUND(D465/G468+1,0)</f>
        <v>8</v>
      </c>
      <c r="K468" s="118">
        <f>D468</f>
        <v>1.85</v>
      </c>
      <c r="L468" s="119" t="str">
        <f>IF(O468&lt;12,"0",0.049*H468)</f>
        <v>0</v>
      </c>
      <c r="M468" s="120">
        <v>0</v>
      </c>
      <c r="N468" s="108">
        <f>M468*2*H468/1000</f>
        <v>0</v>
      </c>
      <c r="O468" s="121">
        <f>(D468)-N468</f>
        <v>1.85</v>
      </c>
      <c r="P468" s="121">
        <f>(I468*J468*O468)+L468</f>
        <v>14.8</v>
      </c>
      <c r="Q468" s="113" t="str">
        <f t="shared" si="36"/>
        <v/>
      </c>
      <c r="R468" s="113" t="str">
        <f t="shared" si="37"/>
        <v/>
      </c>
      <c r="S468" s="113" t="str">
        <f t="shared" si="38"/>
        <v/>
      </c>
      <c r="T468" s="113" t="str">
        <f t="shared" si="39"/>
        <v/>
      </c>
      <c r="U468" s="113">
        <f t="shared" si="40"/>
        <v>14.8</v>
      </c>
      <c r="V468" s="113" t="str">
        <f t="shared" si="41"/>
        <v/>
      </c>
      <c r="W468" s="114"/>
    </row>
    <row r="469" spans="1:23">
      <c r="A469" s="101"/>
      <c r="B469" s="130" t="s">
        <v>320</v>
      </c>
      <c r="C469" s="116"/>
      <c r="D469" s="126"/>
      <c r="E469" s="126"/>
      <c r="F469" s="127"/>
      <c r="G469" s="117"/>
      <c r="H469" s="107"/>
      <c r="I469" s="108"/>
      <c r="J469" s="110"/>
      <c r="K469" s="118"/>
      <c r="L469" s="119"/>
      <c r="M469" s="120"/>
      <c r="N469" s="108"/>
      <c r="O469" s="121"/>
      <c r="P469" s="121"/>
      <c r="Q469" s="113" t="str">
        <f t="shared" si="36"/>
        <v/>
      </c>
      <c r="R469" s="113" t="str">
        <f t="shared" si="37"/>
        <v/>
      </c>
      <c r="S469" s="113" t="str">
        <f t="shared" si="38"/>
        <v/>
      </c>
      <c r="T469" s="113" t="str">
        <f t="shared" si="39"/>
        <v/>
      </c>
      <c r="U469" s="113" t="str">
        <f t="shared" si="40"/>
        <v/>
      </c>
      <c r="V469" s="113" t="str">
        <f t="shared" si="41"/>
        <v/>
      </c>
      <c r="W469" s="114"/>
    </row>
    <row r="470" spans="1:23">
      <c r="A470" s="101"/>
      <c r="B470" s="130"/>
      <c r="C470" s="116"/>
      <c r="D470" s="126"/>
      <c r="E470" s="126"/>
      <c r="F470" s="127"/>
      <c r="G470" s="117"/>
      <c r="H470" s="107"/>
      <c r="I470" s="108"/>
      <c r="J470" s="110"/>
      <c r="K470" s="118"/>
      <c r="L470" s="119"/>
      <c r="M470" s="120"/>
      <c r="N470" s="108"/>
      <c r="O470" s="121"/>
      <c r="P470" s="121"/>
      <c r="Q470" s="113" t="str">
        <f t="shared" si="36"/>
        <v/>
      </c>
      <c r="R470" s="113" t="str">
        <f t="shared" si="37"/>
        <v/>
      </c>
      <c r="S470" s="113" t="str">
        <f t="shared" si="38"/>
        <v/>
      </c>
      <c r="T470" s="113" t="str">
        <f t="shared" si="39"/>
        <v/>
      </c>
      <c r="U470" s="113" t="str">
        <f t="shared" si="40"/>
        <v/>
      </c>
      <c r="V470" s="113" t="str">
        <f t="shared" si="41"/>
        <v/>
      </c>
      <c r="W470" s="114"/>
    </row>
    <row r="471" spans="1:23" ht="15" customHeight="1">
      <c r="A471" s="101">
        <v>99</v>
      </c>
      <c r="B471" s="130" t="s">
        <v>431</v>
      </c>
      <c r="C471" s="131"/>
      <c r="D471" s="537">
        <f>1.25+0.75+1.25</f>
        <v>3.25</v>
      </c>
      <c r="E471" s="537"/>
      <c r="F471" s="127"/>
      <c r="G471" s="117">
        <v>0.25</v>
      </c>
      <c r="H471" s="107">
        <v>25</v>
      </c>
      <c r="I471" s="108">
        <v>1</v>
      </c>
      <c r="J471" s="110">
        <f>ROUND(D474/G471+1,0)</f>
        <v>10</v>
      </c>
      <c r="K471" s="118">
        <f>D471</f>
        <v>3.25</v>
      </c>
      <c r="L471" s="119" t="str">
        <f>IF(O471&lt;12,"0",0.049*H471)</f>
        <v>0</v>
      </c>
      <c r="M471" s="120">
        <v>0</v>
      </c>
      <c r="N471" s="108">
        <f>M471*2*H471/1000</f>
        <v>0</v>
      </c>
      <c r="O471" s="121">
        <f>(D471)-N471</f>
        <v>3.25</v>
      </c>
      <c r="P471" s="121">
        <f>(I471*J471*O471)+L471</f>
        <v>32.5</v>
      </c>
      <c r="Q471" s="113" t="str">
        <f t="shared" si="36"/>
        <v/>
      </c>
      <c r="R471" s="113" t="str">
        <f t="shared" si="37"/>
        <v/>
      </c>
      <c r="S471" s="113" t="str">
        <f t="shared" si="38"/>
        <v/>
      </c>
      <c r="T471" s="113" t="str">
        <f t="shared" si="39"/>
        <v/>
      </c>
      <c r="U471" s="113" t="str">
        <f t="shared" si="40"/>
        <v/>
      </c>
      <c r="V471" s="113">
        <f t="shared" si="41"/>
        <v>32.5</v>
      </c>
      <c r="W471" s="114"/>
    </row>
    <row r="472" spans="1:23">
      <c r="A472" s="101"/>
      <c r="B472" s="130" t="s">
        <v>321</v>
      </c>
      <c r="C472" s="116"/>
      <c r="D472" s="126"/>
      <c r="E472" s="126"/>
      <c r="F472" s="127"/>
      <c r="G472" s="117"/>
      <c r="H472" s="107"/>
      <c r="I472" s="108"/>
      <c r="J472" s="110"/>
      <c r="K472" s="118"/>
      <c r="L472" s="119"/>
      <c r="M472" s="120"/>
      <c r="N472" s="108"/>
      <c r="O472" s="121"/>
      <c r="P472" s="121"/>
      <c r="Q472" s="113" t="str">
        <f t="shared" si="36"/>
        <v/>
      </c>
      <c r="R472" s="113" t="str">
        <f t="shared" si="37"/>
        <v/>
      </c>
      <c r="S472" s="113" t="str">
        <f t="shared" si="38"/>
        <v/>
      </c>
      <c r="T472" s="113" t="str">
        <f t="shared" si="39"/>
        <v/>
      </c>
      <c r="U472" s="113" t="str">
        <f t="shared" si="40"/>
        <v/>
      </c>
      <c r="V472" s="113" t="str">
        <f t="shared" si="41"/>
        <v/>
      </c>
      <c r="W472" s="114"/>
    </row>
    <row r="473" spans="1:23">
      <c r="A473" s="101"/>
      <c r="B473" s="130"/>
      <c r="C473" s="116"/>
      <c r="D473" s="126"/>
      <c r="E473" s="126"/>
      <c r="F473" s="127"/>
      <c r="G473" s="117"/>
      <c r="H473" s="107"/>
      <c r="I473" s="108"/>
      <c r="J473" s="110"/>
      <c r="K473" s="118"/>
      <c r="L473" s="119"/>
      <c r="M473" s="120"/>
      <c r="N473" s="108"/>
      <c r="O473" s="121"/>
      <c r="P473" s="121"/>
      <c r="Q473" s="113" t="str">
        <f t="shared" si="36"/>
        <v/>
      </c>
      <c r="R473" s="113" t="str">
        <f t="shared" si="37"/>
        <v/>
      </c>
      <c r="S473" s="113" t="str">
        <f t="shared" si="38"/>
        <v/>
      </c>
      <c r="T473" s="113" t="str">
        <f t="shared" si="39"/>
        <v/>
      </c>
      <c r="U473" s="113" t="str">
        <f t="shared" si="40"/>
        <v/>
      </c>
      <c r="V473" s="113" t="str">
        <f t="shared" si="41"/>
        <v/>
      </c>
      <c r="W473" s="114"/>
    </row>
    <row r="474" spans="1:23" ht="15" customHeight="1">
      <c r="A474" s="101">
        <v>100</v>
      </c>
      <c r="B474" s="130" t="s">
        <v>432</v>
      </c>
      <c r="C474" s="131"/>
      <c r="D474" s="537">
        <f>1+0.3+1</f>
        <v>2.2999999999999998</v>
      </c>
      <c r="E474" s="537"/>
      <c r="F474" s="127"/>
      <c r="G474" s="117">
        <v>0.25</v>
      </c>
      <c r="H474" s="107">
        <v>20</v>
      </c>
      <c r="I474" s="108">
        <v>1</v>
      </c>
      <c r="J474" s="110">
        <f>ROUND(D471/G474+1,0)</f>
        <v>14</v>
      </c>
      <c r="K474" s="118">
        <f>D474</f>
        <v>2.2999999999999998</v>
      </c>
      <c r="L474" s="119" t="str">
        <f>IF(O474&lt;12,"0",0.049*H474)</f>
        <v>0</v>
      </c>
      <c r="M474" s="120">
        <v>0</v>
      </c>
      <c r="N474" s="108">
        <f>M474*2*H474/1000</f>
        <v>0</v>
      </c>
      <c r="O474" s="121">
        <f>(D474)-N474</f>
        <v>2.2999999999999998</v>
      </c>
      <c r="P474" s="121">
        <f>(I474*J474*O474)+L474</f>
        <v>32.199999999999996</v>
      </c>
      <c r="Q474" s="113" t="str">
        <f t="shared" si="36"/>
        <v/>
      </c>
      <c r="R474" s="113" t="str">
        <f t="shared" si="37"/>
        <v/>
      </c>
      <c r="S474" s="113" t="str">
        <f t="shared" si="38"/>
        <v/>
      </c>
      <c r="T474" s="113" t="str">
        <f t="shared" si="39"/>
        <v/>
      </c>
      <c r="U474" s="113">
        <f t="shared" si="40"/>
        <v>32.199999999999996</v>
      </c>
      <c r="V474" s="113" t="str">
        <f t="shared" si="41"/>
        <v/>
      </c>
      <c r="W474" s="114"/>
    </row>
    <row r="475" spans="1:23">
      <c r="A475" s="101"/>
      <c r="B475" s="130" t="s">
        <v>321</v>
      </c>
      <c r="C475" s="116"/>
      <c r="D475" s="126"/>
      <c r="E475" s="126"/>
      <c r="F475" s="127"/>
      <c r="G475" s="117"/>
      <c r="H475" s="107"/>
      <c r="I475" s="108"/>
      <c r="J475" s="110"/>
      <c r="K475" s="118"/>
      <c r="L475" s="119"/>
      <c r="M475" s="120"/>
      <c r="N475" s="108"/>
      <c r="O475" s="121"/>
      <c r="P475" s="121"/>
      <c r="Q475" s="113" t="str">
        <f t="shared" si="36"/>
        <v/>
      </c>
      <c r="R475" s="113" t="str">
        <f t="shared" si="37"/>
        <v/>
      </c>
      <c r="S475" s="113" t="str">
        <f t="shared" si="38"/>
        <v/>
      </c>
      <c r="T475" s="113" t="str">
        <f t="shared" si="39"/>
        <v/>
      </c>
      <c r="U475" s="113" t="str">
        <f t="shared" si="40"/>
        <v/>
      </c>
      <c r="V475" s="113" t="str">
        <f t="shared" si="41"/>
        <v/>
      </c>
      <c r="W475" s="114"/>
    </row>
    <row r="476" spans="1:23">
      <c r="A476" s="101"/>
      <c r="B476" s="130"/>
      <c r="C476" s="116"/>
      <c r="D476" s="126"/>
      <c r="E476" s="126"/>
      <c r="F476" s="127"/>
      <c r="G476" s="117"/>
      <c r="H476" s="107"/>
      <c r="I476" s="108"/>
      <c r="J476" s="110"/>
      <c r="K476" s="118"/>
      <c r="L476" s="119"/>
      <c r="M476" s="120"/>
      <c r="N476" s="108"/>
      <c r="O476" s="121"/>
      <c r="P476" s="121"/>
      <c r="Q476" s="113" t="str">
        <f t="shared" si="36"/>
        <v/>
      </c>
      <c r="R476" s="113" t="str">
        <f t="shared" si="37"/>
        <v/>
      </c>
      <c r="S476" s="113" t="str">
        <f t="shared" si="38"/>
        <v/>
      </c>
      <c r="T476" s="113" t="str">
        <f t="shared" si="39"/>
        <v/>
      </c>
      <c r="U476" s="113" t="str">
        <f t="shared" si="40"/>
        <v/>
      </c>
      <c r="V476" s="113" t="str">
        <f t="shared" si="41"/>
        <v/>
      </c>
      <c r="W476" s="114"/>
    </row>
    <row r="477" spans="1:23" ht="15" customHeight="1">
      <c r="A477" s="101">
        <v>101</v>
      </c>
      <c r="B477" s="130" t="s">
        <v>431</v>
      </c>
      <c r="C477" s="131"/>
      <c r="D477" s="537">
        <f>1+0.75+1</f>
        <v>2.75</v>
      </c>
      <c r="E477" s="537"/>
      <c r="F477" s="127"/>
      <c r="G477" s="117">
        <v>0.25</v>
      </c>
      <c r="H477" s="107">
        <v>20</v>
      </c>
      <c r="I477" s="108">
        <v>1</v>
      </c>
      <c r="J477" s="110">
        <f>ROUND(D480/G477+1,0)</f>
        <v>10</v>
      </c>
      <c r="K477" s="118">
        <f>D477</f>
        <v>2.75</v>
      </c>
      <c r="L477" s="119" t="str">
        <f>IF(O477&lt;12,"0",0.049*H477)</f>
        <v>0</v>
      </c>
      <c r="M477" s="120">
        <v>0</v>
      </c>
      <c r="N477" s="108">
        <f>M477*2*H477/1000</f>
        <v>0</v>
      </c>
      <c r="O477" s="121">
        <f>(D477)-N477</f>
        <v>2.75</v>
      </c>
      <c r="P477" s="121">
        <f>(I477*J477*O477)+L477</f>
        <v>27.5</v>
      </c>
      <c r="Q477" s="113" t="str">
        <f t="shared" si="36"/>
        <v/>
      </c>
      <c r="R477" s="113" t="str">
        <f t="shared" si="37"/>
        <v/>
      </c>
      <c r="S477" s="113" t="str">
        <f t="shared" si="38"/>
        <v/>
      </c>
      <c r="T477" s="113" t="str">
        <f t="shared" si="39"/>
        <v/>
      </c>
      <c r="U477" s="113">
        <f t="shared" si="40"/>
        <v>27.5</v>
      </c>
      <c r="V477" s="113" t="str">
        <f t="shared" si="41"/>
        <v/>
      </c>
      <c r="W477" s="114"/>
    </row>
    <row r="478" spans="1:23">
      <c r="A478" s="101"/>
      <c r="B478" s="130" t="s">
        <v>322</v>
      </c>
      <c r="C478" s="116"/>
      <c r="D478" s="126"/>
      <c r="E478" s="126"/>
      <c r="F478" s="127"/>
      <c r="G478" s="117"/>
      <c r="H478" s="107"/>
      <c r="I478" s="108"/>
      <c r="J478" s="110"/>
      <c r="K478" s="118"/>
      <c r="L478" s="119"/>
      <c r="M478" s="120"/>
      <c r="N478" s="108"/>
      <c r="O478" s="121"/>
      <c r="P478" s="121"/>
      <c r="Q478" s="113" t="str">
        <f t="shared" si="36"/>
        <v/>
      </c>
      <c r="R478" s="113" t="str">
        <f t="shared" si="37"/>
        <v/>
      </c>
      <c r="S478" s="113" t="str">
        <f t="shared" si="38"/>
        <v/>
      </c>
      <c r="T478" s="113" t="str">
        <f t="shared" si="39"/>
        <v/>
      </c>
      <c r="U478" s="113" t="str">
        <f t="shared" si="40"/>
        <v/>
      </c>
      <c r="V478" s="113" t="str">
        <f t="shared" si="41"/>
        <v/>
      </c>
      <c r="W478" s="114"/>
    </row>
    <row r="479" spans="1:23">
      <c r="A479" s="101"/>
      <c r="B479" s="130"/>
      <c r="C479" s="116"/>
      <c r="D479" s="126"/>
      <c r="E479" s="126"/>
      <c r="F479" s="127"/>
      <c r="G479" s="117"/>
      <c r="H479" s="107"/>
      <c r="I479" s="108"/>
      <c r="J479" s="110"/>
      <c r="K479" s="118"/>
      <c r="L479" s="119"/>
      <c r="M479" s="120"/>
      <c r="N479" s="108"/>
      <c r="O479" s="121"/>
      <c r="P479" s="121"/>
      <c r="Q479" s="113" t="str">
        <f t="shared" si="36"/>
        <v/>
      </c>
      <c r="R479" s="113" t="str">
        <f t="shared" si="37"/>
        <v/>
      </c>
      <c r="S479" s="113" t="str">
        <f t="shared" si="38"/>
        <v/>
      </c>
      <c r="T479" s="113" t="str">
        <f t="shared" si="39"/>
        <v/>
      </c>
      <c r="U479" s="113" t="str">
        <f t="shared" si="40"/>
        <v/>
      </c>
      <c r="V479" s="113" t="str">
        <f t="shared" si="41"/>
        <v/>
      </c>
      <c r="W479" s="114"/>
    </row>
    <row r="480" spans="1:23" ht="15" customHeight="1">
      <c r="A480" s="101">
        <v>102</v>
      </c>
      <c r="B480" s="130" t="s">
        <v>432</v>
      </c>
      <c r="C480" s="131"/>
      <c r="D480" s="537">
        <f>1+0.3+1</f>
        <v>2.2999999999999998</v>
      </c>
      <c r="E480" s="537"/>
      <c r="F480" s="127"/>
      <c r="G480" s="117">
        <v>0.25</v>
      </c>
      <c r="H480" s="107">
        <v>20</v>
      </c>
      <c r="I480" s="108">
        <v>1</v>
      </c>
      <c r="J480" s="110">
        <f>ROUND(D477/G480+1,0)</f>
        <v>12</v>
      </c>
      <c r="K480" s="118">
        <f>D480</f>
        <v>2.2999999999999998</v>
      </c>
      <c r="L480" s="119" t="str">
        <f>IF(O480&lt;12,"0",0.049*H480)</f>
        <v>0</v>
      </c>
      <c r="M480" s="120">
        <v>0</v>
      </c>
      <c r="N480" s="108">
        <f>M480*2*H480/1000</f>
        <v>0</v>
      </c>
      <c r="O480" s="121">
        <f>(D480)-N480</f>
        <v>2.2999999999999998</v>
      </c>
      <c r="P480" s="121">
        <f>(I480*J480*O480)+L480</f>
        <v>27.599999999999998</v>
      </c>
      <c r="Q480" s="113" t="str">
        <f t="shared" si="36"/>
        <v/>
      </c>
      <c r="R480" s="113" t="str">
        <f t="shared" si="37"/>
        <v/>
      </c>
      <c r="S480" s="113" t="str">
        <f t="shared" si="38"/>
        <v/>
      </c>
      <c r="T480" s="113" t="str">
        <f t="shared" si="39"/>
        <v/>
      </c>
      <c r="U480" s="113">
        <f t="shared" si="40"/>
        <v>27.599999999999998</v>
      </c>
      <c r="V480" s="113" t="str">
        <f t="shared" si="41"/>
        <v/>
      </c>
      <c r="W480" s="114"/>
    </row>
    <row r="481" spans="1:23">
      <c r="A481" s="101"/>
      <c r="B481" s="130" t="s">
        <v>322</v>
      </c>
      <c r="C481" s="116"/>
      <c r="D481" s="126"/>
      <c r="E481" s="126"/>
      <c r="F481" s="127"/>
      <c r="G481" s="117"/>
      <c r="H481" s="107"/>
      <c r="I481" s="108"/>
      <c r="J481" s="110"/>
      <c r="K481" s="118"/>
      <c r="L481" s="119"/>
      <c r="M481" s="120"/>
      <c r="N481" s="108"/>
      <c r="O481" s="121"/>
      <c r="P481" s="121"/>
      <c r="Q481" s="113" t="str">
        <f t="shared" si="36"/>
        <v/>
      </c>
      <c r="R481" s="113" t="str">
        <f t="shared" si="37"/>
        <v/>
      </c>
      <c r="S481" s="113" t="str">
        <f t="shared" si="38"/>
        <v/>
      </c>
      <c r="T481" s="113" t="str">
        <f t="shared" si="39"/>
        <v/>
      </c>
      <c r="U481" s="113" t="str">
        <f t="shared" si="40"/>
        <v/>
      </c>
      <c r="V481" s="113" t="str">
        <f t="shared" si="41"/>
        <v/>
      </c>
      <c r="W481" s="114"/>
    </row>
    <row r="482" spans="1:23">
      <c r="A482" s="101"/>
      <c r="B482" s="130"/>
      <c r="C482" s="116"/>
      <c r="D482" s="126"/>
      <c r="E482" s="126"/>
      <c r="F482" s="127"/>
      <c r="G482" s="117"/>
      <c r="H482" s="107"/>
      <c r="I482" s="108"/>
      <c r="J482" s="110"/>
      <c r="K482" s="118"/>
      <c r="L482" s="119"/>
      <c r="M482" s="120"/>
      <c r="N482" s="108"/>
      <c r="O482" s="121"/>
      <c r="P482" s="121"/>
      <c r="Q482" s="113" t="str">
        <f t="shared" si="36"/>
        <v/>
      </c>
      <c r="R482" s="113" t="str">
        <f t="shared" si="37"/>
        <v/>
      </c>
      <c r="S482" s="113" t="str">
        <f t="shared" si="38"/>
        <v/>
      </c>
      <c r="T482" s="113" t="str">
        <f t="shared" si="39"/>
        <v/>
      </c>
      <c r="U482" s="113" t="str">
        <f t="shared" si="40"/>
        <v/>
      </c>
      <c r="V482" s="113" t="str">
        <f t="shared" si="41"/>
        <v/>
      </c>
      <c r="W482" s="114"/>
    </row>
    <row r="483" spans="1:23" ht="15" customHeight="1">
      <c r="A483" s="101">
        <v>103</v>
      </c>
      <c r="B483" s="130" t="s">
        <v>432</v>
      </c>
      <c r="C483" s="131"/>
      <c r="D483" s="537">
        <f>1+0.3+1</f>
        <v>2.2999999999999998</v>
      </c>
      <c r="E483" s="537"/>
      <c r="F483" s="127"/>
      <c r="G483" s="117">
        <v>0.25</v>
      </c>
      <c r="H483" s="107">
        <v>20</v>
      </c>
      <c r="I483" s="108">
        <v>1</v>
      </c>
      <c r="J483" s="110">
        <f>ROUND(D477/G483+1,0)</f>
        <v>12</v>
      </c>
      <c r="K483" s="118">
        <f>D483</f>
        <v>2.2999999999999998</v>
      </c>
      <c r="L483" s="119" t="str">
        <f>IF(O483&lt;12,"0",0.049*H483)</f>
        <v>0</v>
      </c>
      <c r="M483" s="120">
        <v>0</v>
      </c>
      <c r="N483" s="108">
        <f>M483*2*H483/1000</f>
        <v>0</v>
      </c>
      <c r="O483" s="121">
        <f>(D483)-N483</f>
        <v>2.2999999999999998</v>
      </c>
      <c r="P483" s="121">
        <f>(I483*J483*O483)+L483</f>
        <v>27.599999999999998</v>
      </c>
      <c r="Q483" s="113" t="str">
        <f t="shared" si="36"/>
        <v/>
      </c>
      <c r="R483" s="113" t="str">
        <f t="shared" si="37"/>
        <v/>
      </c>
      <c r="S483" s="113" t="str">
        <f t="shared" si="38"/>
        <v/>
      </c>
      <c r="T483" s="113" t="str">
        <f t="shared" si="39"/>
        <v/>
      </c>
      <c r="U483" s="113">
        <f t="shared" si="40"/>
        <v>27.599999999999998</v>
      </c>
      <c r="V483" s="113" t="str">
        <f t="shared" si="41"/>
        <v/>
      </c>
      <c r="W483" s="114"/>
    </row>
    <row r="484" spans="1:23">
      <c r="A484" s="101"/>
      <c r="B484" s="130" t="s">
        <v>322</v>
      </c>
      <c r="C484" s="116"/>
      <c r="D484" s="126"/>
      <c r="E484" s="126"/>
      <c r="F484" s="127"/>
      <c r="G484" s="117"/>
      <c r="H484" s="107"/>
      <c r="I484" s="108"/>
      <c r="J484" s="110"/>
      <c r="K484" s="118"/>
      <c r="L484" s="119"/>
      <c r="M484" s="120"/>
      <c r="N484" s="108"/>
      <c r="O484" s="121"/>
      <c r="P484" s="121"/>
      <c r="Q484" s="113" t="str">
        <f t="shared" si="36"/>
        <v/>
      </c>
      <c r="R484" s="113" t="str">
        <f t="shared" si="37"/>
        <v/>
      </c>
      <c r="S484" s="113" t="str">
        <f t="shared" si="38"/>
        <v/>
      </c>
      <c r="T484" s="113" t="str">
        <f t="shared" si="39"/>
        <v/>
      </c>
      <c r="U484" s="113" t="str">
        <f t="shared" si="40"/>
        <v/>
      </c>
      <c r="V484" s="113" t="str">
        <f t="shared" si="41"/>
        <v/>
      </c>
      <c r="W484" s="114"/>
    </row>
    <row r="485" spans="1:23">
      <c r="A485" s="101"/>
      <c r="B485" s="130"/>
      <c r="C485" s="116"/>
      <c r="D485" s="126"/>
      <c r="E485" s="126"/>
      <c r="F485" s="127"/>
      <c r="G485" s="117"/>
      <c r="H485" s="107"/>
      <c r="I485" s="108"/>
      <c r="J485" s="110"/>
      <c r="K485" s="118"/>
      <c r="L485" s="119"/>
      <c r="M485" s="120"/>
      <c r="N485" s="108"/>
      <c r="O485" s="121"/>
      <c r="P485" s="121"/>
      <c r="Q485" s="113" t="str">
        <f t="shared" si="36"/>
        <v/>
      </c>
      <c r="R485" s="113" t="str">
        <f t="shared" si="37"/>
        <v/>
      </c>
      <c r="S485" s="113" t="str">
        <f t="shared" si="38"/>
        <v/>
      </c>
      <c r="T485" s="113" t="str">
        <f t="shared" si="39"/>
        <v/>
      </c>
      <c r="U485" s="113" t="str">
        <f t="shared" si="40"/>
        <v/>
      </c>
      <c r="V485" s="113" t="str">
        <f t="shared" si="41"/>
        <v/>
      </c>
      <c r="W485" s="114"/>
    </row>
    <row r="486" spans="1:23" ht="15" customHeight="1">
      <c r="A486" s="101">
        <v>104</v>
      </c>
      <c r="B486" s="130" t="s">
        <v>431</v>
      </c>
      <c r="C486" s="131"/>
      <c r="D486" s="537">
        <f>1+0.3+1</f>
        <v>2.2999999999999998</v>
      </c>
      <c r="E486" s="537"/>
      <c r="F486" s="127"/>
      <c r="G486" s="117">
        <v>0.25</v>
      </c>
      <c r="H486" s="107">
        <v>20</v>
      </c>
      <c r="I486" s="108">
        <v>1</v>
      </c>
      <c r="J486" s="110">
        <f>ROUND(D489/G486+1,0)</f>
        <v>13</v>
      </c>
      <c r="K486" s="118">
        <f>D486</f>
        <v>2.2999999999999998</v>
      </c>
      <c r="L486" s="119" t="str">
        <f>IF(O486&lt;12,"0",0.049*H486)</f>
        <v>0</v>
      </c>
      <c r="M486" s="120">
        <v>0</v>
      </c>
      <c r="N486" s="108">
        <f>M486*2*H486/1000</f>
        <v>0</v>
      </c>
      <c r="O486" s="121">
        <f>(D486)-N486</f>
        <v>2.2999999999999998</v>
      </c>
      <c r="P486" s="121">
        <f>(I486*J486*O486)+L486</f>
        <v>29.9</v>
      </c>
      <c r="Q486" s="113" t="str">
        <f t="shared" si="36"/>
        <v/>
      </c>
      <c r="R486" s="113" t="str">
        <f t="shared" si="37"/>
        <v/>
      </c>
      <c r="S486" s="113" t="str">
        <f t="shared" si="38"/>
        <v/>
      </c>
      <c r="T486" s="113" t="str">
        <f t="shared" si="39"/>
        <v/>
      </c>
      <c r="U486" s="113">
        <f t="shared" si="40"/>
        <v>29.9</v>
      </c>
      <c r="V486" s="113" t="str">
        <f t="shared" si="41"/>
        <v/>
      </c>
      <c r="W486" s="114"/>
    </row>
    <row r="487" spans="1:23">
      <c r="A487" s="101"/>
      <c r="B487" s="130" t="s">
        <v>323</v>
      </c>
      <c r="C487" s="116"/>
      <c r="D487" s="126"/>
      <c r="E487" s="126"/>
      <c r="F487" s="127"/>
      <c r="G487" s="117"/>
      <c r="H487" s="107"/>
      <c r="I487" s="108"/>
      <c r="J487" s="110"/>
      <c r="K487" s="118"/>
      <c r="L487" s="119"/>
      <c r="M487" s="120"/>
      <c r="N487" s="108"/>
      <c r="O487" s="121"/>
      <c r="P487" s="121"/>
      <c r="Q487" s="113" t="str">
        <f t="shared" si="36"/>
        <v/>
      </c>
      <c r="R487" s="113" t="str">
        <f t="shared" si="37"/>
        <v/>
      </c>
      <c r="S487" s="113" t="str">
        <f t="shared" si="38"/>
        <v/>
      </c>
      <c r="T487" s="113" t="str">
        <f t="shared" si="39"/>
        <v/>
      </c>
      <c r="U487" s="113" t="str">
        <f t="shared" si="40"/>
        <v/>
      </c>
      <c r="V487" s="113" t="str">
        <f t="shared" si="41"/>
        <v/>
      </c>
      <c r="W487" s="114"/>
    </row>
    <row r="488" spans="1:23">
      <c r="A488" s="101"/>
      <c r="B488" s="130"/>
      <c r="C488" s="116"/>
      <c r="D488" s="126"/>
      <c r="E488" s="126"/>
      <c r="F488" s="127"/>
      <c r="G488" s="117"/>
      <c r="H488" s="107"/>
      <c r="I488" s="108"/>
      <c r="J488" s="110"/>
      <c r="K488" s="118"/>
      <c r="L488" s="119"/>
      <c r="M488" s="120"/>
      <c r="N488" s="108"/>
      <c r="O488" s="121"/>
      <c r="P488" s="121"/>
      <c r="Q488" s="113" t="str">
        <f t="shared" si="36"/>
        <v/>
      </c>
      <c r="R488" s="113" t="str">
        <f t="shared" si="37"/>
        <v/>
      </c>
      <c r="S488" s="113" t="str">
        <f t="shared" si="38"/>
        <v/>
      </c>
      <c r="T488" s="113" t="str">
        <f t="shared" si="39"/>
        <v/>
      </c>
      <c r="U488" s="113" t="str">
        <f t="shared" si="40"/>
        <v/>
      </c>
      <c r="V488" s="113" t="str">
        <f t="shared" si="41"/>
        <v/>
      </c>
      <c r="W488" s="114"/>
    </row>
    <row r="489" spans="1:23" ht="15" customHeight="1">
      <c r="A489" s="101">
        <v>105</v>
      </c>
      <c r="B489" s="130" t="s">
        <v>432</v>
      </c>
      <c r="C489" s="131"/>
      <c r="D489" s="537">
        <f>1.25+0.6+1.25</f>
        <v>3.1</v>
      </c>
      <c r="E489" s="537"/>
      <c r="F489" s="127"/>
      <c r="G489" s="117">
        <v>0.25</v>
      </c>
      <c r="H489" s="107">
        <v>20</v>
      </c>
      <c r="I489" s="108">
        <v>1</v>
      </c>
      <c r="J489" s="110">
        <f>ROUND(D486/G489+1,0)</f>
        <v>10</v>
      </c>
      <c r="K489" s="118">
        <f>D489</f>
        <v>3.1</v>
      </c>
      <c r="L489" s="119" t="str">
        <f>IF(O489&lt;12,"0",0.049*H489)</f>
        <v>0</v>
      </c>
      <c r="M489" s="120">
        <v>0</v>
      </c>
      <c r="N489" s="108">
        <f>M489*2*H489/1000</f>
        <v>0</v>
      </c>
      <c r="O489" s="121">
        <f>(D489)-N489</f>
        <v>3.1</v>
      </c>
      <c r="P489" s="121">
        <f>(I489*J489*O489)+L489</f>
        <v>31</v>
      </c>
      <c r="Q489" s="113" t="str">
        <f t="shared" si="36"/>
        <v/>
      </c>
      <c r="R489" s="113" t="str">
        <f t="shared" si="37"/>
        <v/>
      </c>
      <c r="S489" s="113" t="str">
        <f t="shared" si="38"/>
        <v/>
      </c>
      <c r="T489" s="113" t="str">
        <f t="shared" si="39"/>
        <v/>
      </c>
      <c r="U489" s="113">
        <f t="shared" si="40"/>
        <v>31</v>
      </c>
      <c r="V489" s="113" t="str">
        <f t="shared" si="41"/>
        <v/>
      </c>
      <c r="W489" s="114"/>
    </row>
    <row r="490" spans="1:23">
      <c r="A490" s="101"/>
      <c r="B490" s="130" t="s">
        <v>323</v>
      </c>
      <c r="C490" s="116"/>
      <c r="D490" s="126"/>
      <c r="E490" s="126"/>
      <c r="F490" s="127"/>
      <c r="G490" s="117"/>
      <c r="H490" s="107"/>
      <c r="I490" s="108"/>
      <c r="J490" s="110"/>
      <c r="K490" s="118"/>
      <c r="L490" s="119"/>
      <c r="M490" s="120"/>
      <c r="N490" s="108"/>
      <c r="O490" s="121"/>
      <c r="P490" s="121"/>
      <c r="Q490" s="113" t="str">
        <f t="shared" si="36"/>
        <v/>
      </c>
      <c r="R490" s="113" t="str">
        <f t="shared" si="37"/>
        <v/>
      </c>
      <c r="S490" s="113" t="str">
        <f t="shared" si="38"/>
        <v/>
      </c>
      <c r="T490" s="113" t="str">
        <f t="shared" si="39"/>
        <v/>
      </c>
      <c r="U490" s="113" t="str">
        <f t="shared" si="40"/>
        <v/>
      </c>
      <c r="V490" s="113" t="str">
        <f t="shared" si="41"/>
        <v/>
      </c>
      <c r="W490" s="114"/>
    </row>
    <row r="491" spans="1:23">
      <c r="A491" s="101"/>
      <c r="B491" s="130"/>
      <c r="C491" s="116"/>
      <c r="D491" s="126"/>
      <c r="E491" s="126"/>
      <c r="F491" s="127"/>
      <c r="G491" s="117"/>
      <c r="H491" s="107"/>
      <c r="I491" s="108"/>
      <c r="J491" s="110"/>
      <c r="K491" s="118"/>
      <c r="L491" s="119"/>
      <c r="M491" s="120"/>
      <c r="N491" s="108"/>
      <c r="O491" s="121"/>
      <c r="P491" s="121"/>
      <c r="Q491" s="113" t="str">
        <f t="shared" si="36"/>
        <v/>
      </c>
      <c r="R491" s="113" t="str">
        <f t="shared" si="37"/>
        <v/>
      </c>
      <c r="S491" s="113" t="str">
        <f t="shared" si="38"/>
        <v/>
      </c>
      <c r="T491" s="113" t="str">
        <f t="shared" si="39"/>
        <v/>
      </c>
      <c r="U491" s="113" t="str">
        <f t="shared" si="40"/>
        <v/>
      </c>
      <c r="V491" s="113" t="str">
        <f t="shared" si="41"/>
        <v/>
      </c>
      <c r="W491" s="114"/>
    </row>
    <row r="492" spans="1:23" ht="15" customHeight="1">
      <c r="A492" s="101">
        <v>106</v>
      </c>
      <c r="B492" s="130" t="s">
        <v>431</v>
      </c>
      <c r="C492" s="131"/>
      <c r="D492" s="537">
        <f>0.6+0.715+0.6</f>
        <v>1.915</v>
      </c>
      <c r="E492" s="537"/>
      <c r="F492" s="127"/>
      <c r="G492" s="117">
        <v>0.25</v>
      </c>
      <c r="H492" s="107">
        <v>12</v>
      </c>
      <c r="I492" s="108">
        <v>1</v>
      </c>
      <c r="J492" s="110">
        <f>ROUND(D495/G492+1,0)</f>
        <v>9</v>
      </c>
      <c r="K492" s="118">
        <f>D492</f>
        <v>1.915</v>
      </c>
      <c r="L492" s="119" t="str">
        <f>IF(O492&lt;12,"0",0.049*H492)</f>
        <v>0</v>
      </c>
      <c r="M492" s="120">
        <v>0</v>
      </c>
      <c r="N492" s="108">
        <f>M492*2*H492/1000</f>
        <v>0</v>
      </c>
      <c r="O492" s="121">
        <f>(D492)-N492</f>
        <v>1.915</v>
      </c>
      <c r="P492" s="121">
        <f>(I492*J492*O492)+L492</f>
        <v>17.234999999999999</v>
      </c>
      <c r="Q492" s="113" t="str">
        <f t="shared" si="36"/>
        <v/>
      </c>
      <c r="R492" s="113" t="str">
        <f t="shared" si="37"/>
        <v/>
      </c>
      <c r="S492" s="113">
        <f t="shared" si="38"/>
        <v>17.234999999999999</v>
      </c>
      <c r="T492" s="113" t="str">
        <f t="shared" si="39"/>
        <v/>
      </c>
      <c r="U492" s="113" t="str">
        <f t="shared" si="40"/>
        <v/>
      </c>
      <c r="V492" s="113" t="str">
        <f t="shared" si="41"/>
        <v/>
      </c>
      <c r="W492" s="114"/>
    </row>
    <row r="493" spans="1:23">
      <c r="A493" s="101"/>
      <c r="B493" s="130" t="s">
        <v>324</v>
      </c>
      <c r="C493" s="116"/>
      <c r="D493" s="126"/>
      <c r="E493" s="126"/>
      <c r="F493" s="127"/>
      <c r="G493" s="117"/>
      <c r="H493" s="107"/>
      <c r="I493" s="108"/>
      <c r="J493" s="110"/>
      <c r="K493" s="118"/>
      <c r="L493" s="119"/>
      <c r="M493" s="120"/>
      <c r="N493" s="108"/>
      <c r="O493" s="121"/>
      <c r="P493" s="121"/>
      <c r="Q493" s="113" t="str">
        <f t="shared" ref="Q493:Q556" si="42">IF($H493=8,$P493,"")</f>
        <v/>
      </c>
      <c r="R493" s="113" t="str">
        <f t="shared" ref="R493:R556" si="43">IF($H493=10,$P493,"")</f>
        <v/>
      </c>
      <c r="S493" s="113" t="str">
        <f t="shared" ref="S493:S556" si="44">IF($H493=12,$P493,"")</f>
        <v/>
      </c>
      <c r="T493" s="113" t="str">
        <f t="shared" ref="T493:T556" si="45">IF($H493=16,$P493,"")</f>
        <v/>
      </c>
      <c r="U493" s="113" t="str">
        <f t="shared" ref="U493:U556" si="46">IF($H493=20,$P493,"")</f>
        <v/>
      </c>
      <c r="V493" s="113" t="str">
        <f t="shared" ref="V493:V556" si="47">IF($H493=25,$P493,"")</f>
        <v/>
      </c>
      <c r="W493" s="114"/>
    </row>
    <row r="494" spans="1:23">
      <c r="A494" s="101"/>
      <c r="B494" s="130"/>
      <c r="C494" s="116"/>
      <c r="D494" s="126"/>
      <c r="E494" s="126"/>
      <c r="F494" s="127"/>
      <c r="G494" s="117"/>
      <c r="H494" s="107"/>
      <c r="I494" s="108"/>
      <c r="J494" s="110"/>
      <c r="K494" s="118"/>
      <c r="L494" s="119"/>
      <c r="M494" s="120"/>
      <c r="N494" s="108"/>
      <c r="O494" s="121"/>
      <c r="P494" s="121"/>
      <c r="Q494" s="113" t="str">
        <f t="shared" si="42"/>
        <v/>
      </c>
      <c r="R494" s="113" t="str">
        <f t="shared" si="43"/>
        <v/>
      </c>
      <c r="S494" s="113" t="str">
        <f t="shared" si="44"/>
        <v/>
      </c>
      <c r="T494" s="113" t="str">
        <f t="shared" si="45"/>
        <v/>
      </c>
      <c r="U494" s="113" t="str">
        <f t="shared" si="46"/>
        <v/>
      </c>
      <c r="V494" s="113" t="str">
        <f t="shared" si="47"/>
        <v/>
      </c>
      <c r="W494" s="114"/>
    </row>
    <row r="495" spans="1:23" ht="15" customHeight="1">
      <c r="A495" s="101">
        <v>107</v>
      </c>
      <c r="B495" s="130" t="s">
        <v>432</v>
      </c>
      <c r="C495" s="131"/>
      <c r="D495" s="537">
        <f>1+0.3+0.75-0.05</f>
        <v>1.9999999999999998</v>
      </c>
      <c r="E495" s="537"/>
      <c r="F495" s="127"/>
      <c r="G495" s="117">
        <v>0.25</v>
      </c>
      <c r="H495" s="107">
        <v>20</v>
      </c>
      <c r="I495" s="108">
        <v>1</v>
      </c>
      <c r="J495" s="110">
        <f>ROUND(D492/G495+1,0)</f>
        <v>9</v>
      </c>
      <c r="K495" s="118">
        <f>D495</f>
        <v>1.9999999999999998</v>
      </c>
      <c r="L495" s="119" t="str">
        <f>IF(O495&lt;12,"0",0.049*H495)</f>
        <v>0</v>
      </c>
      <c r="M495" s="120">
        <v>0</v>
      </c>
      <c r="N495" s="108">
        <f>M495*2*H495/1000</f>
        <v>0</v>
      </c>
      <c r="O495" s="121">
        <f>(D495)-N495</f>
        <v>1.9999999999999998</v>
      </c>
      <c r="P495" s="121">
        <f>(I495*J495*O495)+L495</f>
        <v>17.999999999999996</v>
      </c>
      <c r="Q495" s="113" t="str">
        <f t="shared" si="42"/>
        <v/>
      </c>
      <c r="R495" s="113" t="str">
        <f t="shared" si="43"/>
        <v/>
      </c>
      <c r="S495" s="113" t="str">
        <f t="shared" si="44"/>
        <v/>
      </c>
      <c r="T495" s="113" t="str">
        <f t="shared" si="45"/>
        <v/>
      </c>
      <c r="U495" s="113">
        <f t="shared" si="46"/>
        <v>17.999999999999996</v>
      </c>
      <c r="V495" s="113" t="str">
        <f t="shared" si="47"/>
        <v/>
      </c>
      <c r="W495" s="114"/>
    </row>
    <row r="496" spans="1:23">
      <c r="A496" s="101"/>
      <c r="B496" s="130" t="s">
        <v>324</v>
      </c>
      <c r="C496" s="116"/>
      <c r="D496" s="126"/>
      <c r="E496" s="126"/>
      <c r="F496" s="127"/>
      <c r="G496" s="117"/>
      <c r="H496" s="107"/>
      <c r="I496" s="108"/>
      <c r="J496" s="110"/>
      <c r="K496" s="118"/>
      <c r="L496" s="119"/>
      <c r="M496" s="120"/>
      <c r="N496" s="108"/>
      <c r="O496" s="121"/>
      <c r="P496" s="121"/>
      <c r="Q496" s="113" t="str">
        <f t="shared" si="42"/>
        <v/>
      </c>
      <c r="R496" s="113" t="str">
        <f t="shared" si="43"/>
        <v/>
      </c>
      <c r="S496" s="113" t="str">
        <f t="shared" si="44"/>
        <v/>
      </c>
      <c r="T496" s="113" t="str">
        <f t="shared" si="45"/>
        <v/>
      </c>
      <c r="U496" s="113" t="str">
        <f t="shared" si="46"/>
        <v/>
      </c>
      <c r="V496" s="113" t="str">
        <f t="shared" si="47"/>
        <v/>
      </c>
      <c r="W496" s="114"/>
    </row>
    <row r="497" spans="1:23">
      <c r="A497" s="101"/>
      <c r="B497" s="130"/>
      <c r="C497" s="116"/>
      <c r="D497" s="126"/>
      <c r="E497" s="126"/>
      <c r="F497" s="127"/>
      <c r="G497" s="117"/>
      <c r="H497" s="107"/>
      <c r="I497" s="108"/>
      <c r="J497" s="110"/>
      <c r="K497" s="118"/>
      <c r="L497" s="119"/>
      <c r="M497" s="120"/>
      <c r="N497" s="108"/>
      <c r="O497" s="121"/>
      <c r="P497" s="121"/>
      <c r="Q497" s="113" t="str">
        <f t="shared" si="42"/>
        <v/>
      </c>
      <c r="R497" s="113" t="str">
        <f t="shared" si="43"/>
        <v/>
      </c>
      <c r="S497" s="113" t="str">
        <f t="shared" si="44"/>
        <v/>
      </c>
      <c r="T497" s="113" t="str">
        <f t="shared" si="45"/>
        <v/>
      </c>
      <c r="U497" s="113" t="str">
        <f t="shared" si="46"/>
        <v/>
      </c>
      <c r="V497" s="113" t="str">
        <f t="shared" si="47"/>
        <v/>
      </c>
      <c r="W497" s="114"/>
    </row>
    <row r="498" spans="1:23" ht="15" customHeight="1">
      <c r="A498" s="101">
        <v>108</v>
      </c>
      <c r="B498" s="130" t="s">
        <v>431</v>
      </c>
      <c r="C498" s="131"/>
      <c r="D498" s="537">
        <f>0.75-0.05+0.115+0.47+0.515+1.17+1.935+0.055+1</f>
        <v>5.9599999999999991</v>
      </c>
      <c r="E498" s="537"/>
      <c r="F498" s="127"/>
      <c r="G498" s="117">
        <v>0.25</v>
      </c>
      <c r="H498" s="107">
        <v>25</v>
      </c>
      <c r="I498" s="108">
        <v>1</v>
      </c>
      <c r="J498" s="110">
        <f>ROUND(2.6/G498+1,0)</f>
        <v>11</v>
      </c>
      <c r="K498" s="118">
        <f>D498</f>
        <v>5.9599999999999991</v>
      </c>
      <c r="L498" s="119" t="str">
        <f>IF(O498&lt;12,"0",0.049*H498)</f>
        <v>0</v>
      </c>
      <c r="M498" s="120">
        <v>0</v>
      </c>
      <c r="N498" s="108">
        <f>M498*2*H498/1000</f>
        <v>0</v>
      </c>
      <c r="O498" s="121">
        <f>(D498)-N498</f>
        <v>5.9599999999999991</v>
      </c>
      <c r="P498" s="121">
        <f>(I498*J498*O498)+L498</f>
        <v>65.559999999999988</v>
      </c>
      <c r="Q498" s="113" t="str">
        <f t="shared" si="42"/>
        <v/>
      </c>
      <c r="R498" s="113" t="str">
        <f t="shared" si="43"/>
        <v/>
      </c>
      <c r="S498" s="113" t="str">
        <f t="shared" si="44"/>
        <v/>
      </c>
      <c r="T498" s="113" t="str">
        <f t="shared" si="45"/>
        <v/>
      </c>
      <c r="U498" s="113" t="str">
        <f t="shared" si="46"/>
        <v/>
      </c>
      <c r="V498" s="113">
        <f t="shared" si="47"/>
        <v>65.559999999999988</v>
      </c>
      <c r="W498" s="114"/>
    </row>
    <row r="499" spans="1:23">
      <c r="A499" s="101"/>
      <c r="B499" s="130" t="s">
        <v>325</v>
      </c>
      <c r="C499" s="116"/>
      <c r="D499" s="126"/>
      <c r="E499" s="126"/>
      <c r="F499" s="127"/>
      <c r="G499" s="117"/>
      <c r="H499" s="107"/>
      <c r="I499" s="108"/>
      <c r="J499" s="110"/>
      <c r="K499" s="118"/>
      <c r="L499" s="119"/>
      <c r="M499" s="120"/>
      <c r="N499" s="108"/>
      <c r="O499" s="121"/>
      <c r="P499" s="121"/>
      <c r="Q499" s="113" t="str">
        <f t="shared" si="42"/>
        <v/>
      </c>
      <c r="R499" s="113" t="str">
        <f t="shared" si="43"/>
        <v/>
      </c>
      <c r="S499" s="113" t="str">
        <f t="shared" si="44"/>
        <v/>
      </c>
      <c r="T499" s="113" t="str">
        <f t="shared" si="45"/>
        <v/>
      </c>
      <c r="U499" s="113" t="str">
        <f t="shared" si="46"/>
        <v/>
      </c>
      <c r="V499" s="113" t="str">
        <f t="shared" si="47"/>
        <v/>
      </c>
      <c r="W499" s="114"/>
    </row>
    <row r="500" spans="1:23">
      <c r="A500" s="101"/>
      <c r="B500" s="130"/>
      <c r="C500" s="116"/>
      <c r="D500" s="126"/>
      <c r="E500" s="126"/>
      <c r="F500" s="127"/>
      <c r="G500" s="117"/>
      <c r="H500" s="107"/>
      <c r="I500" s="108"/>
      <c r="J500" s="110"/>
      <c r="K500" s="118"/>
      <c r="L500" s="119"/>
      <c r="M500" s="120"/>
      <c r="N500" s="108"/>
      <c r="O500" s="121"/>
      <c r="P500" s="121"/>
      <c r="Q500" s="113" t="str">
        <f t="shared" si="42"/>
        <v/>
      </c>
      <c r="R500" s="113" t="str">
        <f t="shared" si="43"/>
        <v/>
      </c>
      <c r="S500" s="113" t="str">
        <f t="shared" si="44"/>
        <v/>
      </c>
      <c r="T500" s="113" t="str">
        <f t="shared" si="45"/>
        <v/>
      </c>
      <c r="U500" s="113" t="str">
        <f t="shared" si="46"/>
        <v/>
      </c>
      <c r="V500" s="113" t="str">
        <f t="shared" si="47"/>
        <v/>
      </c>
      <c r="W500" s="114"/>
    </row>
    <row r="501" spans="1:23" ht="15" customHeight="1">
      <c r="A501" s="101">
        <v>109</v>
      </c>
      <c r="B501" s="130" t="s">
        <v>431</v>
      </c>
      <c r="C501" s="131"/>
      <c r="D501" s="537">
        <f>0.75-0.05+0.115+0.47+0.515+1.17+1.935+0.055+1</f>
        <v>5.9599999999999991</v>
      </c>
      <c r="E501" s="537"/>
      <c r="F501" s="127"/>
      <c r="G501" s="117">
        <v>0.25</v>
      </c>
      <c r="H501" s="107">
        <v>25</v>
      </c>
      <c r="I501" s="108">
        <v>1</v>
      </c>
      <c r="J501" s="110">
        <f>ROUND(2.6/G501+1,0)</f>
        <v>11</v>
      </c>
      <c r="K501" s="118">
        <f>D501</f>
        <v>5.9599999999999991</v>
      </c>
      <c r="L501" s="119" t="str">
        <f>IF(O501&lt;12,"0",0.049*H501)</f>
        <v>0</v>
      </c>
      <c r="M501" s="120">
        <v>0</v>
      </c>
      <c r="N501" s="108">
        <f>M501*2*H501/1000</f>
        <v>0</v>
      </c>
      <c r="O501" s="121">
        <f>(D501)-N501</f>
        <v>5.9599999999999991</v>
      </c>
      <c r="P501" s="121">
        <f>(I501*J501*O501)+L501</f>
        <v>65.559999999999988</v>
      </c>
      <c r="Q501" s="113" t="str">
        <f t="shared" si="42"/>
        <v/>
      </c>
      <c r="R501" s="113" t="str">
        <f t="shared" si="43"/>
        <v/>
      </c>
      <c r="S501" s="113" t="str">
        <f t="shared" si="44"/>
        <v/>
      </c>
      <c r="T501" s="113" t="str">
        <f t="shared" si="45"/>
        <v/>
      </c>
      <c r="U501" s="113" t="str">
        <f t="shared" si="46"/>
        <v/>
      </c>
      <c r="V501" s="113">
        <f t="shared" si="47"/>
        <v>65.559999999999988</v>
      </c>
      <c r="W501" s="114"/>
    </row>
    <row r="502" spans="1:23">
      <c r="A502" s="101"/>
      <c r="B502" s="130" t="s">
        <v>325</v>
      </c>
      <c r="C502" s="116"/>
      <c r="D502" s="126"/>
      <c r="E502" s="126"/>
      <c r="F502" s="127"/>
      <c r="G502" s="117"/>
      <c r="H502" s="107"/>
      <c r="I502" s="108"/>
      <c r="J502" s="110"/>
      <c r="K502" s="118"/>
      <c r="L502" s="119"/>
      <c r="M502" s="120"/>
      <c r="N502" s="108"/>
      <c r="O502" s="121"/>
      <c r="P502" s="121"/>
      <c r="Q502" s="113" t="str">
        <f t="shared" si="42"/>
        <v/>
      </c>
      <c r="R502" s="113" t="str">
        <f t="shared" si="43"/>
        <v/>
      </c>
      <c r="S502" s="113" t="str">
        <f t="shared" si="44"/>
        <v/>
      </c>
      <c r="T502" s="113" t="str">
        <f t="shared" si="45"/>
        <v/>
      </c>
      <c r="U502" s="113" t="str">
        <f t="shared" si="46"/>
        <v/>
      </c>
      <c r="V502" s="113" t="str">
        <f t="shared" si="47"/>
        <v/>
      </c>
      <c r="W502" s="114"/>
    </row>
    <row r="503" spans="1:23">
      <c r="A503" s="101"/>
      <c r="B503" s="130"/>
      <c r="C503" s="116"/>
      <c r="D503" s="126"/>
      <c r="E503" s="126"/>
      <c r="F503" s="127"/>
      <c r="G503" s="117"/>
      <c r="H503" s="107"/>
      <c r="I503" s="108"/>
      <c r="J503" s="110"/>
      <c r="K503" s="118"/>
      <c r="L503" s="119"/>
      <c r="M503" s="120"/>
      <c r="N503" s="108"/>
      <c r="O503" s="121"/>
      <c r="P503" s="121"/>
      <c r="Q503" s="113" t="str">
        <f t="shared" si="42"/>
        <v/>
      </c>
      <c r="R503" s="113" t="str">
        <f t="shared" si="43"/>
        <v/>
      </c>
      <c r="S503" s="113" t="str">
        <f t="shared" si="44"/>
        <v/>
      </c>
      <c r="T503" s="113" t="str">
        <f t="shared" si="45"/>
        <v/>
      </c>
      <c r="U503" s="113" t="str">
        <f t="shared" si="46"/>
        <v/>
      </c>
      <c r="V503" s="113" t="str">
        <f t="shared" si="47"/>
        <v/>
      </c>
      <c r="W503" s="114"/>
    </row>
    <row r="504" spans="1:23" ht="15" customHeight="1">
      <c r="A504" s="101">
        <v>110</v>
      </c>
      <c r="B504" s="130" t="s">
        <v>432</v>
      </c>
      <c r="C504" s="131"/>
      <c r="D504" s="537">
        <f>0.75-0.05+0.65+1.25</f>
        <v>2.6</v>
      </c>
      <c r="E504" s="537"/>
      <c r="F504" s="127"/>
      <c r="G504" s="117">
        <v>0.25</v>
      </c>
      <c r="H504" s="107">
        <v>20</v>
      </c>
      <c r="I504" s="108">
        <v>1</v>
      </c>
      <c r="J504" s="110">
        <f>ROUND(5.96/G504+1,0)</f>
        <v>25</v>
      </c>
      <c r="K504" s="118">
        <f>D504</f>
        <v>2.6</v>
      </c>
      <c r="L504" s="119" t="str">
        <f>IF(O504&lt;12,"0",0.049*H504)</f>
        <v>0</v>
      </c>
      <c r="M504" s="120">
        <v>0</v>
      </c>
      <c r="N504" s="108">
        <f>M504*2*H504/1000</f>
        <v>0</v>
      </c>
      <c r="O504" s="121">
        <f>(D504)-N504</f>
        <v>2.6</v>
      </c>
      <c r="P504" s="121">
        <f>(I504*J504*O504)+L504</f>
        <v>65</v>
      </c>
      <c r="Q504" s="113" t="str">
        <f t="shared" si="42"/>
        <v/>
      </c>
      <c r="R504" s="113" t="str">
        <f t="shared" si="43"/>
        <v/>
      </c>
      <c r="S504" s="113" t="str">
        <f t="shared" si="44"/>
        <v/>
      </c>
      <c r="T504" s="113" t="str">
        <f t="shared" si="45"/>
        <v/>
      </c>
      <c r="U504" s="113">
        <f t="shared" si="46"/>
        <v>65</v>
      </c>
      <c r="V504" s="113" t="str">
        <f t="shared" si="47"/>
        <v/>
      </c>
      <c r="W504" s="114"/>
    </row>
    <row r="505" spans="1:23">
      <c r="A505" s="101"/>
      <c r="B505" s="130" t="s">
        <v>325</v>
      </c>
      <c r="C505" s="116"/>
      <c r="D505" s="126"/>
      <c r="E505" s="126"/>
      <c r="F505" s="127"/>
      <c r="G505" s="117"/>
      <c r="H505" s="107"/>
      <c r="I505" s="108"/>
      <c r="J505" s="110"/>
      <c r="K505" s="118"/>
      <c r="L505" s="119"/>
      <c r="M505" s="120"/>
      <c r="N505" s="108"/>
      <c r="O505" s="121"/>
      <c r="P505" s="121"/>
      <c r="Q505" s="113" t="str">
        <f t="shared" si="42"/>
        <v/>
      </c>
      <c r="R505" s="113" t="str">
        <f t="shared" si="43"/>
        <v/>
      </c>
      <c r="S505" s="113" t="str">
        <f t="shared" si="44"/>
        <v/>
      </c>
      <c r="T505" s="113" t="str">
        <f t="shared" si="45"/>
        <v/>
      </c>
      <c r="U505" s="113" t="str">
        <f t="shared" si="46"/>
        <v/>
      </c>
      <c r="V505" s="113" t="str">
        <f t="shared" si="47"/>
        <v/>
      </c>
      <c r="W505" s="114"/>
    </row>
    <row r="506" spans="1:23">
      <c r="A506" s="101"/>
      <c r="B506" s="130"/>
      <c r="C506" s="116"/>
      <c r="D506" s="126"/>
      <c r="E506" s="126"/>
      <c r="F506" s="127"/>
      <c r="G506" s="117"/>
      <c r="H506" s="107"/>
      <c r="I506" s="108"/>
      <c r="J506" s="110"/>
      <c r="K506" s="118"/>
      <c r="L506" s="119"/>
      <c r="M506" s="120"/>
      <c r="N506" s="108"/>
      <c r="O506" s="121"/>
      <c r="P506" s="121"/>
      <c r="Q506" s="113" t="str">
        <f t="shared" si="42"/>
        <v/>
      </c>
      <c r="R506" s="113" t="str">
        <f t="shared" si="43"/>
        <v/>
      </c>
      <c r="S506" s="113" t="str">
        <f t="shared" si="44"/>
        <v/>
      </c>
      <c r="T506" s="113" t="str">
        <f t="shared" si="45"/>
        <v/>
      </c>
      <c r="U506" s="113" t="str">
        <f t="shared" si="46"/>
        <v/>
      </c>
      <c r="V506" s="113" t="str">
        <f t="shared" si="47"/>
        <v/>
      </c>
      <c r="W506" s="114"/>
    </row>
    <row r="507" spans="1:23" ht="15" customHeight="1">
      <c r="A507" s="101">
        <v>111</v>
      </c>
      <c r="B507" s="130" t="s">
        <v>431</v>
      </c>
      <c r="C507" s="131"/>
      <c r="D507" s="537">
        <f>0.75-0.05+0.115+0.47+0.515+1.17+1.935+0.055+1</f>
        <v>5.9599999999999991</v>
      </c>
      <c r="E507" s="537"/>
      <c r="F507" s="127"/>
      <c r="G507" s="117">
        <v>0.25</v>
      </c>
      <c r="H507" s="107">
        <v>20</v>
      </c>
      <c r="I507" s="108">
        <v>1</v>
      </c>
      <c r="J507" s="110">
        <f>ROUND(2.35/G507+1,0)</f>
        <v>10</v>
      </c>
      <c r="K507" s="118">
        <f>D507</f>
        <v>5.9599999999999991</v>
      </c>
      <c r="L507" s="119" t="str">
        <f>IF(O507&lt;12,"0",0.049*H507)</f>
        <v>0</v>
      </c>
      <c r="M507" s="120">
        <v>0</v>
      </c>
      <c r="N507" s="108">
        <f>M507*2*H507/1000</f>
        <v>0</v>
      </c>
      <c r="O507" s="121">
        <f>(D507)-N507</f>
        <v>5.9599999999999991</v>
      </c>
      <c r="P507" s="121">
        <f>(I507*J507*O507)+L507</f>
        <v>59.599999999999994</v>
      </c>
      <c r="Q507" s="113" t="str">
        <f t="shared" si="42"/>
        <v/>
      </c>
      <c r="R507" s="113" t="str">
        <f t="shared" si="43"/>
        <v/>
      </c>
      <c r="S507" s="113" t="str">
        <f t="shared" si="44"/>
        <v/>
      </c>
      <c r="T507" s="113" t="str">
        <f t="shared" si="45"/>
        <v/>
      </c>
      <c r="U507" s="113">
        <f t="shared" si="46"/>
        <v>59.599999999999994</v>
      </c>
      <c r="V507" s="113" t="str">
        <f t="shared" si="47"/>
        <v/>
      </c>
      <c r="W507" s="114"/>
    </row>
    <row r="508" spans="1:23">
      <c r="A508" s="101"/>
      <c r="B508" s="130" t="s">
        <v>326</v>
      </c>
      <c r="C508" s="116"/>
      <c r="D508" s="126"/>
      <c r="E508" s="126"/>
      <c r="F508" s="127"/>
      <c r="G508" s="117"/>
      <c r="H508" s="107"/>
      <c r="I508" s="108"/>
      <c r="J508" s="110"/>
      <c r="K508" s="118"/>
      <c r="L508" s="119"/>
      <c r="M508" s="120"/>
      <c r="N508" s="108"/>
      <c r="O508" s="121"/>
      <c r="P508" s="121"/>
      <c r="Q508" s="113" t="str">
        <f t="shared" si="42"/>
        <v/>
      </c>
      <c r="R508" s="113" t="str">
        <f t="shared" si="43"/>
        <v/>
      </c>
      <c r="S508" s="113" t="str">
        <f t="shared" si="44"/>
        <v/>
      </c>
      <c r="T508" s="113" t="str">
        <f t="shared" si="45"/>
        <v/>
      </c>
      <c r="U508" s="113" t="str">
        <f t="shared" si="46"/>
        <v/>
      </c>
      <c r="V508" s="113" t="str">
        <f t="shared" si="47"/>
        <v/>
      </c>
      <c r="W508" s="114"/>
    </row>
    <row r="509" spans="1:23">
      <c r="A509" s="101"/>
      <c r="B509" s="130"/>
      <c r="C509" s="116"/>
      <c r="D509" s="126"/>
      <c r="E509" s="126"/>
      <c r="F509" s="127"/>
      <c r="G509" s="117"/>
      <c r="H509" s="107"/>
      <c r="I509" s="108"/>
      <c r="J509" s="110"/>
      <c r="K509" s="118"/>
      <c r="L509" s="119"/>
      <c r="M509" s="120"/>
      <c r="N509" s="108"/>
      <c r="O509" s="121"/>
      <c r="P509" s="121"/>
      <c r="Q509" s="113" t="str">
        <f t="shared" si="42"/>
        <v/>
      </c>
      <c r="R509" s="113" t="str">
        <f t="shared" si="43"/>
        <v/>
      </c>
      <c r="S509" s="113" t="str">
        <f t="shared" si="44"/>
        <v/>
      </c>
      <c r="T509" s="113" t="str">
        <f t="shared" si="45"/>
        <v/>
      </c>
      <c r="U509" s="113" t="str">
        <f t="shared" si="46"/>
        <v/>
      </c>
      <c r="V509" s="113" t="str">
        <f t="shared" si="47"/>
        <v/>
      </c>
      <c r="W509" s="114"/>
    </row>
    <row r="510" spans="1:23" ht="15" customHeight="1">
      <c r="A510" s="101">
        <v>112</v>
      </c>
      <c r="B510" s="130" t="s">
        <v>432</v>
      </c>
      <c r="C510" s="131"/>
      <c r="D510" s="537">
        <f>0.75-0.05+0.65+1</f>
        <v>2.35</v>
      </c>
      <c r="E510" s="537"/>
      <c r="F510" s="127"/>
      <c r="G510" s="117">
        <v>0.25</v>
      </c>
      <c r="H510" s="107">
        <v>20</v>
      </c>
      <c r="I510" s="108">
        <v>1</v>
      </c>
      <c r="J510" s="110">
        <f>ROUND(5.96/G510+1,0)</f>
        <v>25</v>
      </c>
      <c r="K510" s="118">
        <f>D510</f>
        <v>2.35</v>
      </c>
      <c r="L510" s="119" t="str">
        <f>IF(O510&lt;12,"0",0.049*H510)</f>
        <v>0</v>
      </c>
      <c r="M510" s="120">
        <v>0</v>
      </c>
      <c r="N510" s="108">
        <f>M510*2*H510/1000</f>
        <v>0</v>
      </c>
      <c r="O510" s="121">
        <f>(D510)-N510</f>
        <v>2.35</v>
      </c>
      <c r="P510" s="121">
        <f>(I510*J510*O510)+L510</f>
        <v>58.75</v>
      </c>
      <c r="Q510" s="113" t="str">
        <f t="shared" si="42"/>
        <v/>
      </c>
      <c r="R510" s="113" t="str">
        <f t="shared" si="43"/>
        <v/>
      </c>
      <c r="S510" s="113" t="str">
        <f t="shared" si="44"/>
        <v/>
      </c>
      <c r="T510" s="113" t="str">
        <f t="shared" si="45"/>
        <v/>
      </c>
      <c r="U510" s="113">
        <f t="shared" si="46"/>
        <v>58.75</v>
      </c>
      <c r="V510" s="113" t="str">
        <f t="shared" si="47"/>
        <v/>
      </c>
      <c r="W510" s="114"/>
    </row>
    <row r="511" spans="1:23">
      <c r="A511" s="101"/>
      <c r="B511" s="130" t="s">
        <v>326</v>
      </c>
      <c r="C511" s="116"/>
      <c r="D511" s="126"/>
      <c r="E511" s="126"/>
      <c r="F511" s="127"/>
      <c r="G511" s="117"/>
      <c r="H511" s="107"/>
      <c r="I511" s="108"/>
      <c r="J511" s="110"/>
      <c r="K511" s="118"/>
      <c r="L511" s="119"/>
      <c r="M511" s="120"/>
      <c r="N511" s="108"/>
      <c r="O511" s="121"/>
      <c r="P511" s="121"/>
      <c r="Q511" s="113" t="str">
        <f t="shared" si="42"/>
        <v/>
      </c>
      <c r="R511" s="113" t="str">
        <f t="shared" si="43"/>
        <v/>
      </c>
      <c r="S511" s="113" t="str">
        <f t="shared" si="44"/>
        <v/>
      </c>
      <c r="T511" s="113" t="str">
        <f t="shared" si="45"/>
        <v/>
      </c>
      <c r="U511" s="113" t="str">
        <f t="shared" si="46"/>
        <v/>
      </c>
      <c r="V511" s="113" t="str">
        <f t="shared" si="47"/>
        <v/>
      </c>
      <c r="W511" s="114"/>
    </row>
    <row r="512" spans="1:23">
      <c r="A512" s="101"/>
      <c r="B512" s="130"/>
      <c r="C512" s="116"/>
      <c r="D512" s="126"/>
      <c r="E512" s="126"/>
      <c r="F512" s="127"/>
      <c r="G512" s="117"/>
      <c r="H512" s="107"/>
      <c r="I512" s="108"/>
      <c r="J512" s="110"/>
      <c r="K512" s="118"/>
      <c r="L512" s="119"/>
      <c r="M512" s="120"/>
      <c r="N512" s="108"/>
      <c r="O512" s="121"/>
      <c r="P512" s="121"/>
      <c r="Q512" s="113" t="str">
        <f t="shared" si="42"/>
        <v/>
      </c>
      <c r="R512" s="113" t="str">
        <f t="shared" si="43"/>
        <v/>
      </c>
      <c r="S512" s="113" t="str">
        <f t="shared" si="44"/>
        <v/>
      </c>
      <c r="T512" s="113" t="str">
        <f t="shared" si="45"/>
        <v/>
      </c>
      <c r="U512" s="113" t="str">
        <f t="shared" si="46"/>
        <v/>
      </c>
      <c r="V512" s="113" t="str">
        <f t="shared" si="47"/>
        <v/>
      </c>
      <c r="W512" s="114"/>
    </row>
    <row r="513" spans="1:23" ht="15" customHeight="1">
      <c r="A513" s="101">
        <v>113</v>
      </c>
      <c r="B513" s="130" t="s">
        <v>431</v>
      </c>
      <c r="C513" s="131"/>
      <c r="D513" s="537">
        <f>0.75-0.05+0.6+1</f>
        <v>2.2999999999999998</v>
      </c>
      <c r="E513" s="537"/>
      <c r="F513" s="127"/>
      <c r="G513" s="117">
        <v>0.25</v>
      </c>
      <c r="H513" s="107">
        <v>20</v>
      </c>
      <c r="I513" s="108">
        <v>1</v>
      </c>
      <c r="J513" s="110">
        <f>ROUND(3.1/G513+1,0)</f>
        <v>13</v>
      </c>
      <c r="K513" s="118">
        <f>D513</f>
        <v>2.2999999999999998</v>
      </c>
      <c r="L513" s="119" t="str">
        <f>IF(O513&lt;12,"0",0.049*H513)</f>
        <v>0</v>
      </c>
      <c r="M513" s="120">
        <v>0</v>
      </c>
      <c r="N513" s="108">
        <f>M513*2*H513/1000</f>
        <v>0</v>
      </c>
      <c r="O513" s="121">
        <f>(D513)-N513</f>
        <v>2.2999999999999998</v>
      </c>
      <c r="P513" s="121">
        <f>(I513*J513*O513)+L513</f>
        <v>29.9</v>
      </c>
      <c r="Q513" s="113" t="str">
        <f t="shared" si="42"/>
        <v/>
      </c>
      <c r="R513" s="113" t="str">
        <f t="shared" si="43"/>
        <v/>
      </c>
      <c r="S513" s="113" t="str">
        <f t="shared" si="44"/>
        <v/>
      </c>
      <c r="T513" s="113" t="str">
        <f t="shared" si="45"/>
        <v/>
      </c>
      <c r="U513" s="113">
        <f t="shared" si="46"/>
        <v>29.9</v>
      </c>
      <c r="V513" s="113" t="str">
        <f t="shared" si="47"/>
        <v/>
      </c>
      <c r="W513" s="114"/>
    </row>
    <row r="514" spans="1:23">
      <c r="A514" s="101"/>
      <c r="B514" s="130" t="s">
        <v>327</v>
      </c>
      <c r="C514" s="116"/>
      <c r="D514" s="126"/>
      <c r="E514" s="126"/>
      <c r="F514" s="127"/>
      <c r="G514" s="117"/>
      <c r="H514" s="107"/>
      <c r="I514" s="108"/>
      <c r="J514" s="110"/>
      <c r="K514" s="118"/>
      <c r="L514" s="119"/>
      <c r="M514" s="120"/>
      <c r="N514" s="108"/>
      <c r="O514" s="121"/>
      <c r="P514" s="121"/>
      <c r="Q514" s="113" t="str">
        <f t="shared" si="42"/>
        <v/>
      </c>
      <c r="R514" s="113" t="str">
        <f t="shared" si="43"/>
        <v/>
      </c>
      <c r="S514" s="113" t="str">
        <f t="shared" si="44"/>
        <v/>
      </c>
      <c r="T514" s="113" t="str">
        <f t="shared" si="45"/>
        <v/>
      </c>
      <c r="U514" s="113" t="str">
        <f t="shared" si="46"/>
        <v/>
      </c>
      <c r="V514" s="113" t="str">
        <f t="shared" si="47"/>
        <v/>
      </c>
      <c r="W514" s="114"/>
    </row>
    <row r="515" spans="1:23">
      <c r="A515" s="101"/>
      <c r="B515" s="130"/>
      <c r="C515" s="116"/>
      <c r="D515" s="126"/>
      <c r="E515" s="126"/>
      <c r="F515" s="127"/>
      <c r="G515" s="117"/>
      <c r="H515" s="107"/>
      <c r="I515" s="108"/>
      <c r="J515" s="110"/>
      <c r="K515" s="118"/>
      <c r="L515" s="119"/>
      <c r="M515" s="120"/>
      <c r="N515" s="108"/>
      <c r="O515" s="121"/>
      <c r="P515" s="121"/>
      <c r="Q515" s="113" t="str">
        <f t="shared" si="42"/>
        <v/>
      </c>
      <c r="R515" s="113" t="str">
        <f t="shared" si="43"/>
        <v/>
      </c>
      <c r="S515" s="113" t="str">
        <f t="shared" si="44"/>
        <v/>
      </c>
      <c r="T515" s="113" t="str">
        <f t="shared" si="45"/>
        <v/>
      </c>
      <c r="U515" s="113" t="str">
        <f t="shared" si="46"/>
        <v/>
      </c>
      <c r="V515" s="113" t="str">
        <f t="shared" si="47"/>
        <v/>
      </c>
      <c r="W515" s="114"/>
    </row>
    <row r="516" spans="1:23" ht="15" customHeight="1">
      <c r="A516" s="101">
        <v>114</v>
      </c>
      <c r="B516" s="130" t="s">
        <v>432</v>
      </c>
      <c r="C516" s="131"/>
      <c r="D516" s="537">
        <f>1.25+0.3+1.25</f>
        <v>2.8</v>
      </c>
      <c r="E516" s="537"/>
      <c r="F516" s="127"/>
      <c r="G516" s="117">
        <v>0.25</v>
      </c>
      <c r="H516" s="107">
        <v>25</v>
      </c>
      <c r="I516" s="108">
        <v>1</v>
      </c>
      <c r="J516" s="110">
        <f>ROUND(2.3/G516+1,0)</f>
        <v>10</v>
      </c>
      <c r="K516" s="118">
        <f>D516</f>
        <v>2.8</v>
      </c>
      <c r="L516" s="119" t="str">
        <f>IF(O516&lt;12,"0",0.049*H516)</f>
        <v>0</v>
      </c>
      <c r="M516" s="120">
        <v>0</v>
      </c>
      <c r="N516" s="108">
        <f>M516*2*H516/1000</f>
        <v>0</v>
      </c>
      <c r="O516" s="121">
        <f>(D516)-N516</f>
        <v>2.8</v>
      </c>
      <c r="P516" s="121">
        <f>(I516*J516*O516)+L516</f>
        <v>28</v>
      </c>
      <c r="Q516" s="113" t="str">
        <f t="shared" si="42"/>
        <v/>
      </c>
      <c r="R516" s="113" t="str">
        <f t="shared" si="43"/>
        <v/>
      </c>
      <c r="S516" s="113" t="str">
        <f t="shared" si="44"/>
        <v/>
      </c>
      <c r="T516" s="113" t="str">
        <f t="shared" si="45"/>
        <v/>
      </c>
      <c r="U516" s="113" t="str">
        <f t="shared" si="46"/>
        <v/>
      </c>
      <c r="V516" s="113">
        <f t="shared" si="47"/>
        <v>28</v>
      </c>
      <c r="W516" s="114"/>
    </row>
    <row r="517" spans="1:23">
      <c r="A517" s="101"/>
      <c r="B517" s="130" t="s">
        <v>327</v>
      </c>
      <c r="C517" s="116"/>
      <c r="D517" s="126"/>
      <c r="E517" s="126"/>
      <c r="F517" s="127"/>
      <c r="G517" s="117"/>
      <c r="H517" s="107"/>
      <c r="I517" s="108"/>
      <c r="J517" s="110"/>
      <c r="K517" s="118"/>
      <c r="L517" s="119"/>
      <c r="M517" s="120"/>
      <c r="N517" s="108"/>
      <c r="O517" s="121"/>
      <c r="P517" s="121"/>
      <c r="Q517" s="113" t="str">
        <f t="shared" si="42"/>
        <v/>
      </c>
      <c r="R517" s="113" t="str">
        <f t="shared" si="43"/>
        <v/>
      </c>
      <c r="S517" s="113" t="str">
        <f t="shared" si="44"/>
        <v/>
      </c>
      <c r="T517" s="113" t="str">
        <f t="shared" si="45"/>
        <v/>
      </c>
      <c r="U517" s="113" t="str">
        <f t="shared" si="46"/>
        <v/>
      </c>
      <c r="V517" s="113" t="str">
        <f t="shared" si="47"/>
        <v/>
      </c>
      <c r="W517" s="114"/>
    </row>
    <row r="518" spans="1:23">
      <c r="A518" s="101"/>
      <c r="B518" s="130"/>
      <c r="C518" s="116"/>
      <c r="D518" s="126"/>
      <c r="E518" s="126"/>
      <c r="F518" s="127"/>
      <c r="G518" s="117"/>
      <c r="H518" s="107"/>
      <c r="I518" s="108"/>
      <c r="J518" s="110"/>
      <c r="K518" s="118"/>
      <c r="L518" s="119"/>
      <c r="M518" s="120"/>
      <c r="N518" s="108"/>
      <c r="O518" s="121"/>
      <c r="P518" s="121"/>
      <c r="Q518" s="113" t="str">
        <f t="shared" si="42"/>
        <v/>
      </c>
      <c r="R518" s="113" t="str">
        <f t="shared" si="43"/>
        <v/>
      </c>
      <c r="S518" s="113" t="str">
        <f t="shared" si="44"/>
        <v/>
      </c>
      <c r="T518" s="113" t="str">
        <f t="shared" si="45"/>
        <v/>
      </c>
      <c r="U518" s="113" t="str">
        <f t="shared" si="46"/>
        <v/>
      </c>
      <c r="V518" s="113" t="str">
        <f t="shared" si="47"/>
        <v/>
      </c>
      <c r="W518" s="114"/>
    </row>
    <row r="519" spans="1:23" ht="15" customHeight="1">
      <c r="A519" s="101">
        <v>115</v>
      </c>
      <c r="B519" s="130" t="s">
        <v>431</v>
      </c>
      <c r="C519" s="131"/>
      <c r="D519" s="537">
        <f>0.75-0.05+0.715+1</f>
        <v>2.415</v>
      </c>
      <c r="E519" s="537"/>
      <c r="F519" s="127"/>
      <c r="G519" s="117">
        <v>0.25</v>
      </c>
      <c r="H519" s="107">
        <v>20</v>
      </c>
      <c r="I519" s="108">
        <v>1</v>
      </c>
      <c r="J519" s="110">
        <f>ROUND(2.3/G519+1,0)</f>
        <v>10</v>
      </c>
      <c r="K519" s="118">
        <f>D519</f>
        <v>2.415</v>
      </c>
      <c r="L519" s="119" t="str">
        <f>IF(O519&lt;12,"0",0.049*H519)</f>
        <v>0</v>
      </c>
      <c r="M519" s="120">
        <v>0</v>
      </c>
      <c r="N519" s="108">
        <f>M519*2*H519/1000</f>
        <v>0</v>
      </c>
      <c r="O519" s="121">
        <f>(D519)-N519</f>
        <v>2.415</v>
      </c>
      <c r="P519" s="121">
        <f>(I519*J519*O519)+L519</f>
        <v>24.15</v>
      </c>
      <c r="Q519" s="113" t="str">
        <f t="shared" si="42"/>
        <v/>
      </c>
      <c r="R519" s="113" t="str">
        <f t="shared" si="43"/>
        <v/>
      </c>
      <c r="S519" s="113" t="str">
        <f t="shared" si="44"/>
        <v/>
      </c>
      <c r="T519" s="113" t="str">
        <f t="shared" si="45"/>
        <v/>
      </c>
      <c r="U519" s="113">
        <f t="shared" si="46"/>
        <v>24.15</v>
      </c>
      <c r="V519" s="113" t="str">
        <f t="shared" si="47"/>
        <v/>
      </c>
      <c r="W519" s="114"/>
    </row>
    <row r="520" spans="1:23">
      <c r="A520" s="101"/>
      <c r="B520" s="130" t="s">
        <v>328</v>
      </c>
      <c r="C520" s="116"/>
      <c r="D520" s="126"/>
      <c r="E520" s="126"/>
      <c r="F520" s="127"/>
      <c r="G520" s="117"/>
      <c r="H520" s="107"/>
      <c r="I520" s="108"/>
      <c r="J520" s="110"/>
      <c r="K520" s="118"/>
      <c r="L520" s="119"/>
      <c r="M520" s="120"/>
      <c r="N520" s="108"/>
      <c r="O520" s="121"/>
      <c r="P520" s="121"/>
      <c r="Q520" s="113" t="str">
        <f t="shared" si="42"/>
        <v/>
      </c>
      <c r="R520" s="113" t="str">
        <f t="shared" si="43"/>
        <v/>
      </c>
      <c r="S520" s="113" t="str">
        <f t="shared" si="44"/>
        <v/>
      </c>
      <c r="T520" s="113" t="str">
        <f t="shared" si="45"/>
        <v/>
      </c>
      <c r="U520" s="113" t="str">
        <f t="shared" si="46"/>
        <v/>
      </c>
      <c r="V520" s="113" t="str">
        <f t="shared" si="47"/>
        <v/>
      </c>
      <c r="W520" s="114"/>
    </row>
    <row r="521" spans="1:23">
      <c r="A521" s="101"/>
      <c r="B521" s="130"/>
      <c r="C521" s="116"/>
      <c r="D521" s="126"/>
      <c r="E521" s="126"/>
      <c r="F521" s="127"/>
      <c r="G521" s="117"/>
      <c r="H521" s="107"/>
      <c r="I521" s="108"/>
      <c r="J521" s="110"/>
      <c r="K521" s="118"/>
      <c r="L521" s="119"/>
      <c r="M521" s="120"/>
      <c r="N521" s="108"/>
      <c r="O521" s="121"/>
      <c r="P521" s="121"/>
      <c r="Q521" s="113" t="str">
        <f t="shared" si="42"/>
        <v/>
      </c>
      <c r="R521" s="113" t="str">
        <f t="shared" si="43"/>
        <v/>
      </c>
      <c r="S521" s="113" t="str">
        <f t="shared" si="44"/>
        <v/>
      </c>
      <c r="T521" s="113" t="str">
        <f t="shared" si="45"/>
        <v/>
      </c>
      <c r="U521" s="113" t="str">
        <f t="shared" si="46"/>
        <v/>
      </c>
      <c r="V521" s="113" t="str">
        <f t="shared" si="47"/>
        <v/>
      </c>
      <c r="W521" s="114"/>
    </row>
    <row r="522" spans="1:23" ht="15" customHeight="1">
      <c r="A522" s="101">
        <v>116</v>
      </c>
      <c r="B522" s="130" t="s">
        <v>432</v>
      </c>
      <c r="C522" s="131"/>
      <c r="D522" s="537">
        <f>1+0.3+1</f>
        <v>2.2999999999999998</v>
      </c>
      <c r="E522" s="537"/>
      <c r="F522" s="127"/>
      <c r="G522" s="117">
        <v>0.25</v>
      </c>
      <c r="H522" s="107">
        <v>20</v>
      </c>
      <c r="I522" s="108">
        <v>1</v>
      </c>
      <c r="J522" s="110">
        <f>ROUND(1.835/G522+1,0)</f>
        <v>8</v>
      </c>
      <c r="K522" s="118">
        <f>D522</f>
        <v>2.2999999999999998</v>
      </c>
      <c r="L522" s="119" t="str">
        <f>IF(O522&lt;12,"0",0.049*H522)</f>
        <v>0</v>
      </c>
      <c r="M522" s="120">
        <v>0</v>
      </c>
      <c r="N522" s="108">
        <f>M522*2*H522/1000</f>
        <v>0</v>
      </c>
      <c r="O522" s="121">
        <f>(D522)-N522</f>
        <v>2.2999999999999998</v>
      </c>
      <c r="P522" s="121">
        <f>(I522*J522*O522)+L522</f>
        <v>18.399999999999999</v>
      </c>
      <c r="Q522" s="113" t="str">
        <f t="shared" si="42"/>
        <v/>
      </c>
      <c r="R522" s="113" t="str">
        <f t="shared" si="43"/>
        <v/>
      </c>
      <c r="S522" s="113" t="str">
        <f t="shared" si="44"/>
        <v/>
      </c>
      <c r="T522" s="113" t="str">
        <f t="shared" si="45"/>
        <v/>
      </c>
      <c r="U522" s="113">
        <f t="shared" si="46"/>
        <v>18.399999999999999</v>
      </c>
      <c r="V522" s="113" t="str">
        <f t="shared" si="47"/>
        <v/>
      </c>
      <c r="W522" s="114"/>
    </row>
    <row r="523" spans="1:23">
      <c r="A523" s="101"/>
      <c r="B523" s="130" t="s">
        <v>328</v>
      </c>
      <c r="C523" s="116"/>
      <c r="D523" s="126"/>
      <c r="E523" s="126"/>
      <c r="F523" s="127"/>
      <c r="G523" s="117"/>
      <c r="H523" s="107"/>
      <c r="I523" s="108"/>
      <c r="J523" s="110"/>
      <c r="K523" s="118"/>
      <c r="L523" s="119"/>
      <c r="M523" s="120"/>
      <c r="N523" s="108"/>
      <c r="O523" s="121"/>
      <c r="P523" s="121"/>
      <c r="Q523" s="113" t="str">
        <f t="shared" si="42"/>
        <v/>
      </c>
      <c r="R523" s="113" t="str">
        <f t="shared" si="43"/>
        <v/>
      </c>
      <c r="S523" s="113" t="str">
        <f t="shared" si="44"/>
        <v/>
      </c>
      <c r="T523" s="113" t="str">
        <f t="shared" si="45"/>
        <v/>
      </c>
      <c r="U523" s="113" t="str">
        <f t="shared" si="46"/>
        <v/>
      </c>
      <c r="V523" s="113" t="str">
        <f t="shared" si="47"/>
        <v/>
      </c>
      <c r="W523" s="114"/>
    </row>
    <row r="524" spans="1:23">
      <c r="A524" s="101"/>
      <c r="B524" s="130"/>
      <c r="C524" s="116"/>
      <c r="D524" s="126"/>
      <c r="E524" s="126"/>
      <c r="F524" s="127"/>
      <c r="G524" s="117"/>
      <c r="H524" s="107"/>
      <c r="I524" s="108"/>
      <c r="J524" s="110"/>
      <c r="K524" s="118"/>
      <c r="L524" s="119"/>
      <c r="M524" s="120"/>
      <c r="N524" s="108"/>
      <c r="O524" s="121"/>
      <c r="P524" s="121"/>
      <c r="Q524" s="113" t="str">
        <f t="shared" si="42"/>
        <v/>
      </c>
      <c r="R524" s="113" t="str">
        <f t="shared" si="43"/>
        <v/>
      </c>
      <c r="S524" s="113" t="str">
        <f t="shared" si="44"/>
        <v/>
      </c>
      <c r="T524" s="113" t="str">
        <f t="shared" si="45"/>
        <v/>
      </c>
      <c r="U524" s="113" t="str">
        <f t="shared" si="46"/>
        <v/>
      </c>
      <c r="V524" s="113" t="str">
        <f t="shared" si="47"/>
        <v/>
      </c>
      <c r="W524" s="114"/>
    </row>
    <row r="525" spans="1:23" ht="15" customHeight="1">
      <c r="A525" s="101">
        <v>117</v>
      </c>
      <c r="B525" s="130" t="s">
        <v>431</v>
      </c>
      <c r="C525" s="131"/>
      <c r="D525" s="537">
        <f>0.75-0.05+0.715+1</f>
        <v>2.415</v>
      </c>
      <c r="E525" s="537"/>
      <c r="F525" s="127"/>
      <c r="G525" s="117">
        <v>0.25</v>
      </c>
      <c r="H525" s="107">
        <v>20</v>
      </c>
      <c r="I525" s="108">
        <v>1</v>
      </c>
      <c r="J525" s="110">
        <f>ROUND(2.3/G525+1,0)</f>
        <v>10</v>
      </c>
      <c r="K525" s="118">
        <f>D525</f>
        <v>2.415</v>
      </c>
      <c r="L525" s="119" t="str">
        <f>IF(O525&lt;12,"0",0.049*H525)</f>
        <v>0</v>
      </c>
      <c r="M525" s="120">
        <v>0</v>
      </c>
      <c r="N525" s="108">
        <f>M525*2*H525/1000</f>
        <v>0</v>
      </c>
      <c r="O525" s="121">
        <f>(D525)-N525</f>
        <v>2.415</v>
      </c>
      <c r="P525" s="121">
        <f>(I525*J525*O525)+L525</f>
        <v>24.15</v>
      </c>
      <c r="Q525" s="113" t="str">
        <f t="shared" si="42"/>
        <v/>
      </c>
      <c r="R525" s="113" t="str">
        <f t="shared" si="43"/>
        <v/>
      </c>
      <c r="S525" s="113" t="str">
        <f t="shared" si="44"/>
        <v/>
      </c>
      <c r="T525" s="113" t="str">
        <f t="shared" si="45"/>
        <v/>
      </c>
      <c r="U525" s="113">
        <f t="shared" si="46"/>
        <v>24.15</v>
      </c>
      <c r="V525" s="113" t="str">
        <f t="shared" si="47"/>
        <v/>
      </c>
      <c r="W525" s="114"/>
    </row>
    <row r="526" spans="1:23">
      <c r="A526" s="101"/>
      <c r="B526" s="130" t="s">
        <v>329</v>
      </c>
      <c r="C526" s="116"/>
      <c r="D526" s="126"/>
      <c r="E526" s="126"/>
      <c r="F526" s="127"/>
      <c r="G526" s="117"/>
      <c r="H526" s="107"/>
      <c r="I526" s="108"/>
      <c r="J526" s="110"/>
      <c r="K526" s="118"/>
      <c r="L526" s="119"/>
      <c r="M526" s="120"/>
      <c r="N526" s="108"/>
      <c r="O526" s="121"/>
      <c r="P526" s="121"/>
      <c r="Q526" s="113" t="str">
        <f t="shared" si="42"/>
        <v/>
      </c>
      <c r="R526" s="113" t="str">
        <f t="shared" si="43"/>
        <v/>
      </c>
      <c r="S526" s="113" t="str">
        <f t="shared" si="44"/>
        <v/>
      </c>
      <c r="T526" s="113" t="str">
        <f t="shared" si="45"/>
        <v/>
      </c>
      <c r="U526" s="113" t="str">
        <f t="shared" si="46"/>
        <v/>
      </c>
      <c r="V526" s="113" t="str">
        <f t="shared" si="47"/>
        <v/>
      </c>
      <c r="W526" s="114"/>
    </row>
    <row r="527" spans="1:23">
      <c r="A527" s="101"/>
      <c r="B527" s="130"/>
      <c r="C527" s="116"/>
      <c r="D527" s="126"/>
      <c r="E527" s="126"/>
      <c r="F527" s="127"/>
      <c r="G527" s="117"/>
      <c r="H527" s="107"/>
      <c r="I527" s="108"/>
      <c r="J527" s="110"/>
      <c r="K527" s="118"/>
      <c r="L527" s="119"/>
      <c r="M527" s="120"/>
      <c r="N527" s="108"/>
      <c r="O527" s="121"/>
      <c r="P527" s="121"/>
      <c r="Q527" s="113" t="str">
        <f t="shared" si="42"/>
        <v/>
      </c>
      <c r="R527" s="113" t="str">
        <f t="shared" si="43"/>
        <v/>
      </c>
      <c r="S527" s="113" t="str">
        <f t="shared" si="44"/>
        <v/>
      </c>
      <c r="T527" s="113" t="str">
        <f t="shared" si="45"/>
        <v/>
      </c>
      <c r="U527" s="113" t="str">
        <f t="shared" si="46"/>
        <v/>
      </c>
      <c r="V527" s="113" t="str">
        <f t="shared" si="47"/>
        <v/>
      </c>
      <c r="W527" s="114"/>
    </row>
    <row r="528" spans="1:23" ht="15" customHeight="1">
      <c r="A528" s="101">
        <v>118</v>
      </c>
      <c r="B528" s="130" t="s">
        <v>432</v>
      </c>
      <c r="C528" s="131"/>
      <c r="D528" s="537">
        <f>1+0.3+1</f>
        <v>2.2999999999999998</v>
      </c>
      <c r="E528" s="537"/>
      <c r="F528" s="127"/>
      <c r="G528" s="117">
        <v>0.25</v>
      </c>
      <c r="H528" s="107">
        <v>20</v>
      </c>
      <c r="I528" s="108">
        <v>1</v>
      </c>
      <c r="J528" s="110">
        <f>ROUND(1.835/G528+1,0)</f>
        <v>8</v>
      </c>
      <c r="K528" s="118">
        <f>D528</f>
        <v>2.2999999999999998</v>
      </c>
      <c r="L528" s="119" t="str">
        <f>IF(O528&lt;12,"0",0.049*H528)</f>
        <v>0</v>
      </c>
      <c r="M528" s="120">
        <v>0</v>
      </c>
      <c r="N528" s="108">
        <f>M528*2*H528/1000</f>
        <v>0</v>
      </c>
      <c r="O528" s="121">
        <f>(D528)-N528</f>
        <v>2.2999999999999998</v>
      </c>
      <c r="P528" s="121">
        <f>(I528*J528*O528)+L528</f>
        <v>18.399999999999999</v>
      </c>
      <c r="Q528" s="113" t="str">
        <f t="shared" si="42"/>
        <v/>
      </c>
      <c r="R528" s="113" t="str">
        <f t="shared" si="43"/>
        <v/>
      </c>
      <c r="S528" s="113" t="str">
        <f t="shared" si="44"/>
        <v/>
      </c>
      <c r="T528" s="113" t="str">
        <f t="shared" si="45"/>
        <v/>
      </c>
      <c r="U528" s="113">
        <f t="shared" si="46"/>
        <v>18.399999999999999</v>
      </c>
      <c r="V528" s="113" t="str">
        <f t="shared" si="47"/>
        <v/>
      </c>
      <c r="W528" s="114"/>
    </row>
    <row r="529" spans="1:23">
      <c r="A529" s="101"/>
      <c r="B529" s="130" t="s">
        <v>329</v>
      </c>
      <c r="C529" s="116"/>
      <c r="D529" s="126"/>
      <c r="E529" s="126"/>
      <c r="F529" s="127"/>
      <c r="G529" s="117"/>
      <c r="H529" s="107"/>
      <c r="I529" s="108"/>
      <c r="J529" s="110"/>
      <c r="K529" s="118"/>
      <c r="L529" s="119"/>
      <c r="M529" s="120"/>
      <c r="N529" s="108"/>
      <c r="O529" s="121"/>
      <c r="P529" s="121"/>
      <c r="Q529" s="113" t="str">
        <f t="shared" si="42"/>
        <v/>
      </c>
      <c r="R529" s="113" t="str">
        <f t="shared" si="43"/>
        <v/>
      </c>
      <c r="S529" s="113" t="str">
        <f t="shared" si="44"/>
        <v/>
      </c>
      <c r="T529" s="113" t="str">
        <f t="shared" si="45"/>
        <v/>
      </c>
      <c r="U529" s="113" t="str">
        <f t="shared" si="46"/>
        <v/>
      </c>
      <c r="V529" s="113" t="str">
        <f t="shared" si="47"/>
        <v/>
      </c>
      <c r="W529" s="114"/>
    </row>
    <row r="530" spans="1:23">
      <c r="A530" s="101"/>
      <c r="B530" s="130"/>
      <c r="C530" s="116"/>
      <c r="D530" s="126"/>
      <c r="E530" s="126"/>
      <c r="F530" s="127"/>
      <c r="G530" s="117"/>
      <c r="H530" s="107"/>
      <c r="I530" s="108"/>
      <c r="J530" s="110"/>
      <c r="K530" s="118"/>
      <c r="L530" s="119"/>
      <c r="M530" s="120"/>
      <c r="N530" s="108"/>
      <c r="O530" s="121"/>
      <c r="P530" s="121"/>
      <c r="Q530" s="113" t="str">
        <f t="shared" si="42"/>
        <v/>
      </c>
      <c r="R530" s="113" t="str">
        <f t="shared" si="43"/>
        <v/>
      </c>
      <c r="S530" s="113" t="str">
        <f t="shared" si="44"/>
        <v/>
      </c>
      <c r="T530" s="113" t="str">
        <f t="shared" si="45"/>
        <v/>
      </c>
      <c r="U530" s="113" t="str">
        <f t="shared" si="46"/>
        <v/>
      </c>
      <c r="V530" s="113" t="str">
        <f t="shared" si="47"/>
        <v/>
      </c>
      <c r="W530" s="114"/>
    </row>
    <row r="531" spans="1:23" ht="15" customHeight="1">
      <c r="A531" s="101">
        <v>119</v>
      </c>
      <c r="B531" s="130" t="s">
        <v>431</v>
      </c>
      <c r="C531" s="131"/>
      <c r="D531" s="537">
        <f>0.75-0.05+0.6+1</f>
        <v>2.2999999999999998</v>
      </c>
      <c r="E531" s="537"/>
      <c r="F531" s="127"/>
      <c r="G531" s="117">
        <v>0.25</v>
      </c>
      <c r="H531" s="107">
        <v>20</v>
      </c>
      <c r="I531" s="108">
        <v>1</v>
      </c>
      <c r="J531" s="110">
        <f>ROUND(3.1/G531+1,0)</f>
        <v>13</v>
      </c>
      <c r="K531" s="118">
        <f>D531</f>
        <v>2.2999999999999998</v>
      </c>
      <c r="L531" s="119" t="str">
        <f>IF(O531&lt;12,"0",0.049*H531)</f>
        <v>0</v>
      </c>
      <c r="M531" s="120">
        <v>0</v>
      </c>
      <c r="N531" s="108">
        <f>M531*2*H531/1000</f>
        <v>0</v>
      </c>
      <c r="O531" s="121">
        <f>(D531)-N531</f>
        <v>2.2999999999999998</v>
      </c>
      <c r="P531" s="121">
        <f>(I531*J531*O531)+L531</f>
        <v>29.9</v>
      </c>
      <c r="Q531" s="113" t="str">
        <f t="shared" si="42"/>
        <v/>
      </c>
      <c r="R531" s="113" t="str">
        <f t="shared" si="43"/>
        <v/>
      </c>
      <c r="S531" s="113" t="str">
        <f t="shared" si="44"/>
        <v/>
      </c>
      <c r="T531" s="113" t="str">
        <f t="shared" si="45"/>
        <v/>
      </c>
      <c r="U531" s="113">
        <f t="shared" si="46"/>
        <v>29.9</v>
      </c>
      <c r="V531" s="113" t="str">
        <f t="shared" si="47"/>
        <v/>
      </c>
      <c r="W531" s="114"/>
    </row>
    <row r="532" spans="1:23">
      <c r="A532" s="101"/>
      <c r="B532" s="130" t="s">
        <v>330</v>
      </c>
      <c r="C532" s="116"/>
      <c r="D532" s="126"/>
      <c r="E532" s="126"/>
      <c r="F532" s="127"/>
      <c r="G532" s="117"/>
      <c r="H532" s="107"/>
      <c r="I532" s="108"/>
      <c r="J532" s="110"/>
      <c r="K532" s="118"/>
      <c r="L532" s="119"/>
      <c r="M532" s="120"/>
      <c r="N532" s="108"/>
      <c r="O532" s="121"/>
      <c r="P532" s="121"/>
      <c r="Q532" s="113" t="str">
        <f t="shared" si="42"/>
        <v/>
      </c>
      <c r="R532" s="113" t="str">
        <f t="shared" si="43"/>
        <v/>
      </c>
      <c r="S532" s="113" t="str">
        <f t="shared" si="44"/>
        <v/>
      </c>
      <c r="T532" s="113" t="str">
        <f t="shared" si="45"/>
        <v/>
      </c>
      <c r="U532" s="113" t="str">
        <f t="shared" si="46"/>
        <v/>
      </c>
      <c r="V532" s="113" t="str">
        <f t="shared" si="47"/>
        <v/>
      </c>
      <c r="W532" s="114"/>
    </row>
    <row r="533" spans="1:23">
      <c r="A533" s="101"/>
      <c r="B533" s="130"/>
      <c r="C533" s="116"/>
      <c r="D533" s="126"/>
      <c r="E533" s="126"/>
      <c r="F533" s="127"/>
      <c r="G533" s="117"/>
      <c r="H533" s="107"/>
      <c r="I533" s="108"/>
      <c r="J533" s="110"/>
      <c r="K533" s="118"/>
      <c r="L533" s="119"/>
      <c r="M533" s="120"/>
      <c r="N533" s="108"/>
      <c r="O533" s="121"/>
      <c r="P533" s="121"/>
      <c r="Q533" s="113" t="str">
        <f t="shared" si="42"/>
        <v/>
      </c>
      <c r="R533" s="113" t="str">
        <f t="shared" si="43"/>
        <v/>
      </c>
      <c r="S533" s="113" t="str">
        <f t="shared" si="44"/>
        <v/>
      </c>
      <c r="T533" s="113" t="str">
        <f t="shared" si="45"/>
        <v/>
      </c>
      <c r="U533" s="113" t="str">
        <f t="shared" si="46"/>
        <v/>
      </c>
      <c r="V533" s="113" t="str">
        <f t="shared" si="47"/>
        <v/>
      </c>
      <c r="W533" s="114"/>
    </row>
    <row r="534" spans="1:23" ht="15" customHeight="1">
      <c r="A534" s="101">
        <v>120</v>
      </c>
      <c r="B534" s="130" t="s">
        <v>432</v>
      </c>
      <c r="C534" s="131"/>
      <c r="D534" s="537">
        <f>1.25+0.3+1.25</f>
        <v>2.8</v>
      </c>
      <c r="E534" s="537"/>
      <c r="F534" s="127"/>
      <c r="G534" s="117">
        <v>0.25</v>
      </c>
      <c r="H534" s="107">
        <v>25</v>
      </c>
      <c r="I534" s="108">
        <v>1</v>
      </c>
      <c r="J534" s="110">
        <f>ROUND(2.3/G534+1,0)</f>
        <v>10</v>
      </c>
      <c r="K534" s="118">
        <f>D534</f>
        <v>2.8</v>
      </c>
      <c r="L534" s="119" t="str">
        <f>IF(O534&lt;12,"0",0.049*H534)</f>
        <v>0</v>
      </c>
      <c r="M534" s="120">
        <v>0</v>
      </c>
      <c r="N534" s="108">
        <f>M534*2*H534/1000</f>
        <v>0</v>
      </c>
      <c r="O534" s="121">
        <f>(D534)-N534</f>
        <v>2.8</v>
      </c>
      <c r="P534" s="121">
        <f>(I534*J534*O534)+L534</f>
        <v>28</v>
      </c>
      <c r="Q534" s="113" t="str">
        <f t="shared" si="42"/>
        <v/>
      </c>
      <c r="R534" s="113" t="str">
        <f t="shared" si="43"/>
        <v/>
      </c>
      <c r="S534" s="113" t="str">
        <f t="shared" si="44"/>
        <v/>
      </c>
      <c r="T534" s="113" t="str">
        <f t="shared" si="45"/>
        <v/>
      </c>
      <c r="U534" s="113" t="str">
        <f t="shared" si="46"/>
        <v/>
      </c>
      <c r="V534" s="113">
        <f t="shared" si="47"/>
        <v>28</v>
      </c>
      <c r="W534" s="114"/>
    </row>
    <row r="535" spans="1:23">
      <c r="A535" s="101"/>
      <c r="B535" s="130" t="s">
        <v>330</v>
      </c>
      <c r="C535" s="116"/>
      <c r="D535" s="126"/>
      <c r="E535" s="126"/>
      <c r="F535" s="127"/>
      <c r="G535" s="117"/>
      <c r="H535" s="107"/>
      <c r="I535" s="108"/>
      <c r="J535" s="110"/>
      <c r="K535" s="118"/>
      <c r="L535" s="119"/>
      <c r="M535" s="120"/>
      <c r="N535" s="108"/>
      <c r="O535" s="121"/>
      <c r="P535" s="121"/>
      <c r="Q535" s="113" t="str">
        <f t="shared" si="42"/>
        <v/>
      </c>
      <c r="R535" s="113" t="str">
        <f t="shared" si="43"/>
        <v/>
      </c>
      <c r="S535" s="113" t="str">
        <f t="shared" si="44"/>
        <v/>
      </c>
      <c r="T535" s="113" t="str">
        <f t="shared" si="45"/>
        <v/>
      </c>
      <c r="U535" s="113" t="str">
        <f t="shared" si="46"/>
        <v/>
      </c>
      <c r="V535" s="113" t="str">
        <f t="shared" si="47"/>
        <v/>
      </c>
      <c r="W535" s="114"/>
    </row>
    <row r="536" spans="1:23">
      <c r="A536" s="101"/>
      <c r="B536" s="130"/>
      <c r="C536" s="116"/>
      <c r="D536" s="126"/>
      <c r="E536" s="126"/>
      <c r="F536" s="127"/>
      <c r="G536" s="117"/>
      <c r="H536" s="107"/>
      <c r="I536" s="108"/>
      <c r="J536" s="110"/>
      <c r="K536" s="118"/>
      <c r="L536" s="119"/>
      <c r="M536" s="120"/>
      <c r="N536" s="108"/>
      <c r="O536" s="121"/>
      <c r="P536" s="121"/>
      <c r="Q536" s="113" t="str">
        <f t="shared" si="42"/>
        <v/>
      </c>
      <c r="R536" s="113" t="str">
        <f t="shared" si="43"/>
        <v/>
      </c>
      <c r="S536" s="113" t="str">
        <f t="shared" si="44"/>
        <v/>
      </c>
      <c r="T536" s="113" t="str">
        <f t="shared" si="45"/>
        <v/>
      </c>
      <c r="U536" s="113" t="str">
        <f t="shared" si="46"/>
        <v/>
      </c>
      <c r="V536" s="113" t="str">
        <f t="shared" si="47"/>
        <v/>
      </c>
      <c r="W536" s="114"/>
    </row>
    <row r="537" spans="1:23" ht="15" customHeight="1">
      <c r="A537" s="101">
        <v>121</v>
      </c>
      <c r="B537" s="130" t="s">
        <v>431</v>
      </c>
      <c r="C537" s="131"/>
      <c r="D537" s="537">
        <f>1.25+0.75+1.25</f>
        <v>3.25</v>
      </c>
      <c r="E537" s="537"/>
      <c r="F537" s="127"/>
      <c r="G537" s="117">
        <v>0.25</v>
      </c>
      <c r="H537" s="107">
        <v>25</v>
      </c>
      <c r="I537" s="108">
        <v>1</v>
      </c>
      <c r="J537" s="110">
        <f>ROUND(2.8/G537+1,0)</f>
        <v>12</v>
      </c>
      <c r="K537" s="118">
        <f>D537</f>
        <v>3.25</v>
      </c>
      <c r="L537" s="119" t="str">
        <f>IF(O537&lt;12,"0",0.049*H537)</f>
        <v>0</v>
      </c>
      <c r="M537" s="120">
        <v>0</v>
      </c>
      <c r="N537" s="108">
        <f>M537*2*H537/1000</f>
        <v>0</v>
      </c>
      <c r="O537" s="121">
        <f>(D537)-N537</f>
        <v>3.25</v>
      </c>
      <c r="P537" s="121">
        <f>(I537*J537*O537)+L537</f>
        <v>39</v>
      </c>
      <c r="Q537" s="113" t="str">
        <f t="shared" si="42"/>
        <v/>
      </c>
      <c r="R537" s="113" t="str">
        <f t="shared" si="43"/>
        <v/>
      </c>
      <c r="S537" s="113" t="str">
        <f t="shared" si="44"/>
        <v/>
      </c>
      <c r="T537" s="113" t="str">
        <f t="shared" si="45"/>
        <v/>
      </c>
      <c r="U537" s="113" t="str">
        <f t="shared" si="46"/>
        <v/>
      </c>
      <c r="V537" s="113">
        <f t="shared" si="47"/>
        <v>39</v>
      </c>
      <c r="W537" s="114"/>
    </row>
    <row r="538" spans="1:23">
      <c r="A538" s="101"/>
      <c r="B538" s="130" t="s">
        <v>331</v>
      </c>
      <c r="C538" s="116"/>
      <c r="D538" s="126"/>
      <c r="E538" s="126"/>
      <c r="F538" s="127"/>
      <c r="G538" s="117"/>
      <c r="H538" s="107"/>
      <c r="I538" s="108"/>
      <c r="J538" s="110"/>
      <c r="K538" s="118"/>
      <c r="L538" s="119"/>
      <c r="M538" s="120"/>
      <c r="N538" s="108"/>
      <c r="O538" s="121"/>
      <c r="P538" s="121"/>
      <c r="Q538" s="113" t="str">
        <f t="shared" si="42"/>
        <v/>
      </c>
      <c r="R538" s="113" t="str">
        <f t="shared" si="43"/>
        <v/>
      </c>
      <c r="S538" s="113" t="str">
        <f t="shared" si="44"/>
        <v/>
      </c>
      <c r="T538" s="113" t="str">
        <f t="shared" si="45"/>
        <v/>
      </c>
      <c r="U538" s="113" t="str">
        <f t="shared" si="46"/>
        <v/>
      </c>
      <c r="V538" s="113" t="str">
        <f t="shared" si="47"/>
        <v/>
      </c>
      <c r="W538" s="114"/>
    </row>
    <row r="539" spans="1:23">
      <c r="A539" s="101"/>
      <c r="B539" s="130"/>
      <c r="C539" s="116"/>
      <c r="D539" s="126"/>
      <c r="E539" s="126"/>
      <c r="F539" s="127"/>
      <c r="G539" s="117"/>
      <c r="H539" s="107"/>
      <c r="I539" s="108"/>
      <c r="J539" s="110"/>
      <c r="K539" s="118"/>
      <c r="L539" s="119"/>
      <c r="M539" s="120"/>
      <c r="N539" s="108"/>
      <c r="O539" s="121"/>
      <c r="P539" s="121"/>
      <c r="Q539" s="113" t="str">
        <f t="shared" si="42"/>
        <v/>
      </c>
      <c r="R539" s="113" t="str">
        <f t="shared" si="43"/>
        <v/>
      </c>
      <c r="S539" s="113" t="str">
        <f t="shared" si="44"/>
        <v/>
      </c>
      <c r="T539" s="113" t="str">
        <f t="shared" si="45"/>
        <v/>
      </c>
      <c r="U539" s="113" t="str">
        <f t="shared" si="46"/>
        <v/>
      </c>
      <c r="V539" s="113" t="str">
        <f t="shared" si="47"/>
        <v/>
      </c>
      <c r="W539" s="114"/>
    </row>
    <row r="540" spans="1:23" ht="15" customHeight="1">
      <c r="A540" s="101">
        <v>122</v>
      </c>
      <c r="B540" s="130" t="s">
        <v>432</v>
      </c>
      <c r="C540" s="131"/>
      <c r="D540" s="537">
        <f>1+0.3+1</f>
        <v>2.2999999999999998</v>
      </c>
      <c r="E540" s="537"/>
      <c r="F540" s="127"/>
      <c r="G540" s="117">
        <v>0.25</v>
      </c>
      <c r="H540" s="107">
        <v>20</v>
      </c>
      <c r="I540" s="108">
        <v>1</v>
      </c>
      <c r="J540" s="110">
        <f>ROUND(3.25/G540+1,0)</f>
        <v>14</v>
      </c>
      <c r="K540" s="118">
        <f>D540</f>
        <v>2.2999999999999998</v>
      </c>
      <c r="L540" s="119" t="str">
        <f>IF(O540&lt;12,"0",0.049*H540)</f>
        <v>0</v>
      </c>
      <c r="M540" s="120">
        <v>0</v>
      </c>
      <c r="N540" s="108">
        <f>M540*2*H540/1000</f>
        <v>0</v>
      </c>
      <c r="O540" s="121">
        <f>(D540)-N540</f>
        <v>2.2999999999999998</v>
      </c>
      <c r="P540" s="121">
        <f>(I540*J540*O540)+L540</f>
        <v>32.199999999999996</v>
      </c>
      <c r="Q540" s="113" t="str">
        <f t="shared" si="42"/>
        <v/>
      </c>
      <c r="R540" s="113" t="str">
        <f t="shared" si="43"/>
        <v/>
      </c>
      <c r="S540" s="113" t="str">
        <f t="shared" si="44"/>
        <v/>
      </c>
      <c r="T540" s="113" t="str">
        <f t="shared" si="45"/>
        <v/>
      </c>
      <c r="U540" s="113">
        <f t="shared" si="46"/>
        <v>32.199999999999996</v>
      </c>
      <c r="V540" s="113" t="str">
        <f t="shared" si="47"/>
        <v/>
      </c>
      <c r="W540" s="114"/>
    </row>
    <row r="541" spans="1:23">
      <c r="A541" s="101"/>
      <c r="B541" s="130" t="s">
        <v>331</v>
      </c>
      <c r="C541" s="116"/>
      <c r="D541" s="126"/>
      <c r="E541" s="126"/>
      <c r="F541" s="127"/>
      <c r="G541" s="117"/>
      <c r="H541" s="107"/>
      <c r="I541" s="108"/>
      <c r="J541" s="110"/>
      <c r="K541" s="118"/>
      <c r="L541" s="119"/>
      <c r="M541" s="120"/>
      <c r="N541" s="108"/>
      <c r="O541" s="121"/>
      <c r="P541" s="121"/>
      <c r="Q541" s="113" t="str">
        <f t="shared" si="42"/>
        <v/>
      </c>
      <c r="R541" s="113" t="str">
        <f t="shared" si="43"/>
        <v/>
      </c>
      <c r="S541" s="113" t="str">
        <f t="shared" si="44"/>
        <v/>
      </c>
      <c r="T541" s="113" t="str">
        <f t="shared" si="45"/>
        <v/>
      </c>
      <c r="U541" s="113" t="str">
        <f t="shared" si="46"/>
        <v/>
      </c>
      <c r="V541" s="113" t="str">
        <f t="shared" si="47"/>
        <v/>
      </c>
      <c r="W541" s="114"/>
    </row>
    <row r="542" spans="1:23">
      <c r="A542" s="101"/>
      <c r="B542" s="130"/>
      <c r="C542" s="116"/>
      <c r="D542" s="126"/>
      <c r="E542" s="126"/>
      <c r="F542" s="127"/>
      <c r="G542" s="117"/>
      <c r="H542" s="107"/>
      <c r="I542" s="108"/>
      <c r="J542" s="110"/>
      <c r="K542" s="118"/>
      <c r="L542" s="119"/>
      <c r="M542" s="120"/>
      <c r="N542" s="108"/>
      <c r="O542" s="121"/>
      <c r="P542" s="121"/>
      <c r="Q542" s="113" t="str">
        <f t="shared" si="42"/>
        <v/>
      </c>
      <c r="R542" s="113" t="str">
        <f t="shared" si="43"/>
        <v/>
      </c>
      <c r="S542" s="113" t="str">
        <f t="shared" si="44"/>
        <v/>
      </c>
      <c r="T542" s="113" t="str">
        <f t="shared" si="45"/>
        <v/>
      </c>
      <c r="U542" s="113" t="str">
        <f t="shared" si="46"/>
        <v/>
      </c>
      <c r="V542" s="113" t="str">
        <f t="shared" si="47"/>
        <v/>
      </c>
      <c r="W542" s="114"/>
    </row>
    <row r="543" spans="1:23" ht="15" customHeight="1">
      <c r="A543" s="101">
        <v>123</v>
      </c>
      <c r="B543" s="130" t="s">
        <v>431</v>
      </c>
      <c r="C543" s="131"/>
      <c r="D543" s="537">
        <f>1+0.75+1</f>
        <v>2.75</v>
      </c>
      <c r="E543" s="537"/>
      <c r="F543" s="127"/>
      <c r="G543" s="117">
        <v>0.25</v>
      </c>
      <c r="H543" s="107">
        <v>25</v>
      </c>
      <c r="I543" s="108">
        <v>1</v>
      </c>
      <c r="J543" s="110">
        <f>ROUND(2.8/G543+1,0)</f>
        <v>12</v>
      </c>
      <c r="K543" s="118">
        <f>D543</f>
        <v>2.75</v>
      </c>
      <c r="L543" s="119" t="str">
        <f>IF(O543&lt;12,"0",0.049*H543)</f>
        <v>0</v>
      </c>
      <c r="M543" s="120">
        <v>0</v>
      </c>
      <c r="N543" s="108">
        <f>M543*2*H543/1000</f>
        <v>0</v>
      </c>
      <c r="O543" s="121">
        <f>(D543)-N543</f>
        <v>2.75</v>
      </c>
      <c r="P543" s="121">
        <f>(I543*J543*O543)+L543</f>
        <v>33</v>
      </c>
      <c r="Q543" s="113" t="str">
        <f t="shared" si="42"/>
        <v/>
      </c>
      <c r="R543" s="113" t="str">
        <f t="shared" si="43"/>
        <v/>
      </c>
      <c r="S543" s="113" t="str">
        <f t="shared" si="44"/>
        <v/>
      </c>
      <c r="T543" s="113" t="str">
        <f t="shared" si="45"/>
        <v/>
      </c>
      <c r="U543" s="113" t="str">
        <f t="shared" si="46"/>
        <v/>
      </c>
      <c r="V543" s="113">
        <f t="shared" si="47"/>
        <v>33</v>
      </c>
      <c r="W543" s="114"/>
    </row>
    <row r="544" spans="1:23">
      <c r="A544" s="101"/>
      <c r="B544" s="130" t="s">
        <v>332</v>
      </c>
      <c r="C544" s="116"/>
      <c r="D544" s="126"/>
      <c r="E544" s="126"/>
      <c r="F544" s="127"/>
      <c r="G544" s="117"/>
      <c r="H544" s="107"/>
      <c r="I544" s="108"/>
      <c r="J544" s="110"/>
      <c r="K544" s="118"/>
      <c r="L544" s="119"/>
      <c r="M544" s="120"/>
      <c r="N544" s="108"/>
      <c r="O544" s="121"/>
      <c r="P544" s="121"/>
      <c r="Q544" s="113" t="str">
        <f t="shared" si="42"/>
        <v/>
      </c>
      <c r="R544" s="113" t="str">
        <f t="shared" si="43"/>
        <v/>
      </c>
      <c r="S544" s="113" t="str">
        <f t="shared" si="44"/>
        <v/>
      </c>
      <c r="T544" s="113" t="str">
        <f t="shared" si="45"/>
        <v/>
      </c>
      <c r="U544" s="113" t="str">
        <f t="shared" si="46"/>
        <v/>
      </c>
      <c r="V544" s="113" t="str">
        <f t="shared" si="47"/>
        <v/>
      </c>
      <c r="W544" s="114"/>
    </row>
    <row r="545" spans="1:23">
      <c r="A545" s="101"/>
      <c r="B545" s="130"/>
      <c r="C545" s="116"/>
      <c r="D545" s="126"/>
      <c r="E545" s="126"/>
      <c r="F545" s="127"/>
      <c r="G545" s="117"/>
      <c r="H545" s="107"/>
      <c r="I545" s="108"/>
      <c r="J545" s="110"/>
      <c r="K545" s="118"/>
      <c r="L545" s="119"/>
      <c r="M545" s="120"/>
      <c r="N545" s="108"/>
      <c r="O545" s="121"/>
      <c r="P545" s="121"/>
      <c r="Q545" s="113" t="str">
        <f t="shared" si="42"/>
        <v/>
      </c>
      <c r="R545" s="113" t="str">
        <f t="shared" si="43"/>
        <v/>
      </c>
      <c r="S545" s="113" t="str">
        <f t="shared" si="44"/>
        <v/>
      </c>
      <c r="T545" s="113" t="str">
        <f t="shared" si="45"/>
        <v/>
      </c>
      <c r="U545" s="113" t="str">
        <f t="shared" si="46"/>
        <v/>
      </c>
      <c r="V545" s="113" t="str">
        <f t="shared" si="47"/>
        <v/>
      </c>
      <c r="W545" s="114"/>
    </row>
    <row r="546" spans="1:23" ht="15" customHeight="1">
      <c r="A546" s="101">
        <v>124</v>
      </c>
      <c r="B546" s="130" t="s">
        <v>431</v>
      </c>
      <c r="C546" s="131"/>
      <c r="D546" s="537">
        <f>1+0.75+1</f>
        <v>2.75</v>
      </c>
      <c r="E546" s="537"/>
      <c r="F546" s="127"/>
      <c r="G546" s="117">
        <v>0.25</v>
      </c>
      <c r="H546" s="107">
        <v>20</v>
      </c>
      <c r="I546" s="108">
        <v>1</v>
      </c>
      <c r="J546" s="110">
        <f>ROUND(2.8/G546+1,0)</f>
        <v>12</v>
      </c>
      <c r="K546" s="118">
        <f>D546</f>
        <v>2.75</v>
      </c>
      <c r="L546" s="119" t="str">
        <f>IF(O546&lt;12,"0",0.049*H546)</f>
        <v>0</v>
      </c>
      <c r="M546" s="120">
        <v>0</v>
      </c>
      <c r="N546" s="108">
        <f>M546*2*H546/1000</f>
        <v>0</v>
      </c>
      <c r="O546" s="121">
        <f>(D546)-N546</f>
        <v>2.75</v>
      </c>
      <c r="P546" s="121">
        <f>(I546*J546*O546)+L546</f>
        <v>33</v>
      </c>
      <c r="Q546" s="113" t="str">
        <f t="shared" si="42"/>
        <v/>
      </c>
      <c r="R546" s="113" t="str">
        <f t="shared" si="43"/>
        <v/>
      </c>
      <c r="S546" s="113" t="str">
        <f t="shared" si="44"/>
        <v/>
      </c>
      <c r="T546" s="113" t="str">
        <f t="shared" si="45"/>
        <v/>
      </c>
      <c r="U546" s="113">
        <f t="shared" si="46"/>
        <v>33</v>
      </c>
      <c r="V546" s="113" t="str">
        <f t="shared" si="47"/>
        <v/>
      </c>
      <c r="W546" s="114"/>
    </row>
    <row r="547" spans="1:23">
      <c r="A547" s="101"/>
      <c r="B547" s="130" t="s">
        <v>332</v>
      </c>
      <c r="C547" s="116"/>
      <c r="D547" s="126"/>
      <c r="E547" s="126"/>
      <c r="F547" s="127"/>
      <c r="G547" s="117"/>
      <c r="H547" s="107"/>
      <c r="I547" s="108"/>
      <c r="J547" s="110"/>
      <c r="K547" s="118"/>
      <c r="L547" s="119"/>
      <c r="M547" s="120"/>
      <c r="N547" s="108"/>
      <c r="O547" s="121"/>
      <c r="P547" s="121"/>
      <c r="Q547" s="113" t="str">
        <f t="shared" si="42"/>
        <v/>
      </c>
      <c r="R547" s="113" t="str">
        <f t="shared" si="43"/>
        <v/>
      </c>
      <c r="S547" s="113" t="str">
        <f t="shared" si="44"/>
        <v/>
      </c>
      <c r="T547" s="113" t="str">
        <f t="shared" si="45"/>
        <v/>
      </c>
      <c r="U547" s="113" t="str">
        <f t="shared" si="46"/>
        <v/>
      </c>
      <c r="V547" s="113" t="str">
        <f t="shared" si="47"/>
        <v/>
      </c>
      <c r="W547" s="114"/>
    </row>
    <row r="548" spans="1:23">
      <c r="A548" s="101"/>
      <c r="B548" s="130"/>
      <c r="C548" s="116"/>
      <c r="D548" s="126"/>
      <c r="E548" s="126"/>
      <c r="F548" s="127"/>
      <c r="G548" s="117"/>
      <c r="H548" s="107"/>
      <c r="I548" s="108"/>
      <c r="J548" s="110"/>
      <c r="K548" s="118"/>
      <c r="L548" s="119"/>
      <c r="M548" s="120"/>
      <c r="N548" s="108"/>
      <c r="O548" s="121"/>
      <c r="P548" s="121"/>
      <c r="Q548" s="113" t="str">
        <f t="shared" si="42"/>
        <v/>
      </c>
      <c r="R548" s="113" t="str">
        <f t="shared" si="43"/>
        <v/>
      </c>
      <c r="S548" s="113" t="str">
        <f t="shared" si="44"/>
        <v/>
      </c>
      <c r="T548" s="113" t="str">
        <f t="shared" si="45"/>
        <v/>
      </c>
      <c r="U548" s="113" t="str">
        <f t="shared" si="46"/>
        <v/>
      </c>
      <c r="V548" s="113" t="str">
        <f t="shared" si="47"/>
        <v/>
      </c>
      <c r="W548" s="114"/>
    </row>
    <row r="549" spans="1:23" ht="15" customHeight="1">
      <c r="A549" s="101">
        <v>125</v>
      </c>
      <c r="B549" s="130" t="s">
        <v>432</v>
      </c>
      <c r="C549" s="131"/>
      <c r="D549" s="537">
        <f>1.25+0.3+1.25</f>
        <v>2.8</v>
      </c>
      <c r="E549" s="537"/>
      <c r="F549" s="127"/>
      <c r="G549" s="117">
        <v>0.25</v>
      </c>
      <c r="H549" s="107">
        <v>25</v>
      </c>
      <c r="I549" s="108">
        <v>1</v>
      </c>
      <c r="J549" s="110">
        <f>ROUND(2.75/G549+1,0)</f>
        <v>12</v>
      </c>
      <c r="K549" s="118">
        <f>D549</f>
        <v>2.8</v>
      </c>
      <c r="L549" s="119" t="str">
        <f>IF(O549&lt;12,"0",0.049*H549)</f>
        <v>0</v>
      </c>
      <c r="M549" s="120">
        <v>0</v>
      </c>
      <c r="N549" s="108">
        <f>M549*2*H549/1000</f>
        <v>0</v>
      </c>
      <c r="O549" s="121">
        <f>(D549)-N549</f>
        <v>2.8</v>
      </c>
      <c r="P549" s="121">
        <f>(I549*J549*O549)+L549</f>
        <v>33.599999999999994</v>
      </c>
      <c r="Q549" s="113" t="str">
        <f t="shared" si="42"/>
        <v/>
      </c>
      <c r="R549" s="113" t="str">
        <f t="shared" si="43"/>
        <v/>
      </c>
      <c r="S549" s="113" t="str">
        <f t="shared" si="44"/>
        <v/>
      </c>
      <c r="T549" s="113" t="str">
        <f t="shared" si="45"/>
        <v/>
      </c>
      <c r="U549" s="113" t="str">
        <f t="shared" si="46"/>
        <v/>
      </c>
      <c r="V549" s="113">
        <f t="shared" si="47"/>
        <v>33.599999999999994</v>
      </c>
      <c r="W549" s="114"/>
    </row>
    <row r="550" spans="1:23">
      <c r="A550" s="101"/>
      <c r="B550" s="130" t="s">
        <v>332</v>
      </c>
      <c r="C550" s="116"/>
      <c r="D550" s="126"/>
      <c r="E550" s="126"/>
      <c r="F550" s="127"/>
      <c r="G550" s="117"/>
      <c r="H550" s="107"/>
      <c r="I550" s="108"/>
      <c r="J550" s="110"/>
      <c r="K550" s="118"/>
      <c r="L550" s="119"/>
      <c r="M550" s="120"/>
      <c r="N550" s="108"/>
      <c r="O550" s="121"/>
      <c r="P550" s="121"/>
      <c r="Q550" s="113" t="str">
        <f t="shared" si="42"/>
        <v/>
      </c>
      <c r="R550" s="113" t="str">
        <f t="shared" si="43"/>
        <v/>
      </c>
      <c r="S550" s="113" t="str">
        <f t="shared" si="44"/>
        <v/>
      </c>
      <c r="T550" s="113" t="str">
        <f t="shared" si="45"/>
        <v/>
      </c>
      <c r="U550" s="113" t="str">
        <f t="shared" si="46"/>
        <v/>
      </c>
      <c r="V550" s="113" t="str">
        <f t="shared" si="47"/>
        <v/>
      </c>
      <c r="W550" s="114"/>
    </row>
    <row r="551" spans="1:23">
      <c r="A551" s="101"/>
      <c r="B551" s="130"/>
      <c r="C551" s="116"/>
      <c r="D551" s="126"/>
      <c r="E551" s="126"/>
      <c r="F551" s="127"/>
      <c r="G551" s="117"/>
      <c r="H551" s="107"/>
      <c r="I551" s="108"/>
      <c r="J551" s="110"/>
      <c r="K551" s="118"/>
      <c r="L551" s="119"/>
      <c r="M551" s="120"/>
      <c r="N551" s="108"/>
      <c r="O551" s="121"/>
      <c r="P551" s="121"/>
      <c r="Q551" s="113" t="str">
        <f t="shared" si="42"/>
        <v/>
      </c>
      <c r="R551" s="113" t="str">
        <f t="shared" si="43"/>
        <v/>
      </c>
      <c r="S551" s="113" t="str">
        <f t="shared" si="44"/>
        <v/>
      </c>
      <c r="T551" s="113" t="str">
        <f t="shared" si="45"/>
        <v/>
      </c>
      <c r="U551" s="113" t="str">
        <f t="shared" si="46"/>
        <v/>
      </c>
      <c r="V551" s="113" t="str">
        <f t="shared" si="47"/>
        <v/>
      </c>
      <c r="W551" s="114"/>
    </row>
    <row r="552" spans="1:23" ht="15" customHeight="1">
      <c r="A552" s="101">
        <v>126</v>
      </c>
      <c r="B552" s="130" t="s">
        <v>432</v>
      </c>
      <c r="C552" s="131"/>
      <c r="D552" s="537">
        <f>1.25+0.3+1.25</f>
        <v>2.8</v>
      </c>
      <c r="E552" s="537"/>
      <c r="F552" s="127"/>
      <c r="G552" s="117">
        <v>0.25</v>
      </c>
      <c r="H552" s="107">
        <v>20</v>
      </c>
      <c r="I552" s="108">
        <v>1</v>
      </c>
      <c r="J552" s="110">
        <f>ROUND(2.75/G552+1,0)</f>
        <v>12</v>
      </c>
      <c r="K552" s="118">
        <f>D552</f>
        <v>2.8</v>
      </c>
      <c r="L552" s="119" t="str">
        <f>IF(O552&lt;12,"0",0.049*H552)</f>
        <v>0</v>
      </c>
      <c r="M552" s="120">
        <v>0</v>
      </c>
      <c r="N552" s="108">
        <f>M552*2*H552/1000</f>
        <v>0</v>
      </c>
      <c r="O552" s="121">
        <f>(D552)-N552</f>
        <v>2.8</v>
      </c>
      <c r="P552" s="121">
        <f>(I552*J552*O552)+L552</f>
        <v>33.599999999999994</v>
      </c>
      <c r="Q552" s="113" t="str">
        <f t="shared" si="42"/>
        <v/>
      </c>
      <c r="R552" s="113" t="str">
        <f t="shared" si="43"/>
        <v/>
      </c>
      <c r="S552" s="113" t="str">
        <f t="shared" si="44"/>
        <v/>
      </c>
      <c r="T552" s="113" t="str">
        <f t="shared" si="45"/>
        <v/>
      </c>
      <c r="U552" s="113">
        <f t="shared" si="46"/>
        <v>33.599999999999994</v>
      </c>
      <c r="V552" s="113" t="str">
        <f t="shared" si="47"/>
        <v/>
      </c>
      <c r="W552" s="114"/>
    </row>
    <row r="553" spans="1:23">
      <c r="A553" s="101"/>
      <c r="B553" s="130" t="s">
        <v>332</v>
      </c>
      <c r="C553" s="116"/>
      <c r="D553" s="126"/>
      <c r="E553" s="126"/>
      <c r="F553" s="127"/>
      <c r="G553" s="117"/>
      <c r="H553" s="107"/>
      <c r="I553" s="108"/>
      <c r="J553" s="110"/>
      <c r="K553" s="118"/>
      <c r="L553" s="119"/>
      <c r="M553" s="120"/>
      <c r="N553" s="108"/>
      <c r="O553" s="121"/>
      <c r="P553" s="121"/>
      <c r="Q553" s="113" t="str">
        <f t="shared" si="42"/>
        <v/>
      </c>
      <c r="R553" s="113" t="str">
        <f t="shared" si="43"/>
        <v/>
      </c>
      <c r="S553" s="113" t="str">
        <f t="shared" si="44"/>
        <v/>
      </c>
      <c r="T553" s="113" t="str">
        <f t="shared" si="45"/>
        <v/>
      </c>
      <c r="U553" s="113" t="str">
        <f t="shared" si="46"/>
        <v/>
      </c>
      <c r="V553" s="113" t="str">
        <f t="shared" si="47"/>
        <v/>
      </c>
      <c r="W553" s="114"/>
    </row>
    <row r="554" spans="1:23">
      <c r="A554" s="101"/>
      <c r="B554" s="130"/>
      <c r="C554" s="116"/>
      <c r="D554" s="126"/>
      <c r="E554" s="126"/>
      <c r="F554" s="127"/>
      <c r="G554" s="117"/>
      <c r="H554" s="107"/>
      <c r="I554" s="108"/>
      <c r="J554" s="110"/>
      <c r="K554" s="118"/>
      <c r="L554" s="119"/>
      <c r="M554" s="120"/>
      <c r="N554" s="108"/>
      <c r="O554" s="121"/>
      <c r="P554" s="121"/>
      <c r="Q554" s="113" t="str">
        <f t="shared" si="42"/>
        <v/>
      </c>
      <c r="R554" s="113" t="str">
        <f t="shared" si="43"/>
        <v/>
      </c>
      <c r="S554" s="113" t="str">
        <f t="shared" si="44"/>
        <v/>
      </c>
      <c r="T554" s="113" t="str">
        <f t="shared" si="45"/>
        <v/>
      </c>
      <c r="U554" s="113" t="str">
        <f t="shared" si="46"/>
        <v/>
      </c>
      <c r="V554" s="113" t="str">
        <f t="shared" si="47"/>
        <v/>
      </c>
      <c r="W554" s="114"/>
    </row>
    <row r="555" spans="1:23" ht="15" customHeight="1">
      <c r="A555" s="101">
        <v>127</v>
      </c>
      <c r="B555" s="130" t="s">
        <v>431</v>
      </c>
      <c r="C555" s="131"/>
      <c r="D555" s="537">
        <f>1.25+0.75+1.25</f>
        <v>3.25</v>
      </c>
      <c r="E555" s="537"/>
      <c r="F555" s="127"/>
      <c r="G555" s="117">
        <v>0.25</v>
      </c>
      <c r="H555" s="107">
        <v>25</v>
      </c>
      <c r="I555" s="108">
        <v>1</v>
      </c>
      <c r="J555" s="110">
        <f>ROUND(2.3/G555+1,0)</f>
        <v>10</v>
      </c>
      <c r="K555" s="118">
        <f>D555</f>
        <v>3.25</v>
      </c>
      <c r="L555" s="119" t="str">
        <f>IF(O555&lt;12,"0",0.049*H555)</f>
        <v>0</v>
      </c>
      <c r="M555" s="120">
        <v>0</v>
      </c>
      <c r="N555" s="108">
        <f>M555*2*H555/1000</f>
        <v>0</v>
      </c>
      <c r="O555" s="121">
        <f>(D555)-N555</f>
        <v>3.25</v>
      </c>
      <c r="P555" s="121">
        <f>(I555*J555*O555)+L555</f>
        <v>32.5</v>
      </c>
      <c r="Q555" s="113" t="str">
        <f t="shared" si="42"/>
        <v/>
      </c>
      <c r="R555" s="113" t="str">
        <f t="shared" si="43"/>
        <v/>
      </c>
      <c r="S555" s="113" t="str">
        <f t="shared" si="44"/>
        <v/>
      </c>
      <c r="T555" s="113" t="str">
        <f t="shared" si="45"/>
        <v/>
      </c>
      <c r="U555" s="113" t="str">
        <f t="shared" si="46"/>
        <v/>
      </c>
      <c r="V555" s="113">
        <f t="shared" si="47"/>
        <v>32.5</v>
      </c>
      <c r="W555" s="114"/>
    </row>
    <row r="556" spans="1:23">
      <c r="A556" s="101"/>
      <c r="B556" s="130" t="s">
        <v>333</v>
      </c>
      <c r="C556" s="116"/>
      <c r="D556" s="126"/>
      <c r="E556" s="126"/>
      <c r="F556" s="127"/>
      <c r="G556" s="117"/>
      <c r="H556" s="107"/>
      <c r="I556" s="108"/>
      <c r="J556" s="110"/>
      <c r="K556" s="118"/>
      <c r="L556" s="119"/>
      <c r="M556" s="120"/>
      <c r="N556" s="108"/>
      <c r="O556" s="121"/>
      <c r="P556" s="121"/>
      <c r="Q556" s="113" t="str">
        <f t="shared" si="42"/>
        <v/>
      </c>
      <c r="R556" s="113" t="str">
        <f t="shared" si="43"/>
        <v/>
      </c>
      <c r="S556" s="113" t="str">
        <f t="shared" si="44"/>
        <v/>
      </c>
      <c r="T556" s="113" t="str">
        <f t="shared" si="45"/>
        <v/>
      </c>
      <c r="U556" s="113" t="str">
        <f t="shared" si="46"/>
        <v/>
      </c>
      <c r="V556" s="113" t="str">
        <f t="shared" si="47"/>
        <v/>
      </c>
      <c r="W556" s="114"/>
    </row>
    <row r="557" spans="1:23">
      <c r="A557" s="101"/>
      <c r="B557" s="130"/>
      <c r="C557" s="116"/>
      <c r="D557" s="126"/>
      <c r="E557" s="126"/>
      <c r="F557" s="127"/>
      <c r="G557" s="117"/>
      <c r="H557" s="107"/>
      <c r="I557" s="108"/>
      <c r="J557" s="110"/>
      <c r="K557" s="118"/>
      <c r="L557" s="119"/>
      <c r="M557" s="120"/>
      <c r="N557" s="108"/>
      <c r="O557" s="121"/>
      <c r="P557" s="121"/>
      <c r="Q557" s="113" t="str">
        <f t="shared" ref="Q557:Q659" si="48">IF($H557=8,$P557,"")</f>
        <v/>
      </c>
      <c r="R557" s="113" t="str">
        <f t="shared" ref="R557:R659" si="49">IF($H557=10,$P557,"")</f>
        <v/>
      </c>
      <c r="S557" s="113" t="str">
        <f t="shared" ref="S557:S659" si="50">IF($H557=12,$P557,"")</f>
        <v/>
      </c>
      <c r="T557" s="113" t="str">
        <f t="shared" ref="T557:T659" si="51">IF($H557=16,$P557,"")</f>
        <v/>
      </c>
      <c r="U557" s="113" t="str">
        <f t="shared" ref="U557:U659" si="52">IF($H557=20,$P557,"")</f>
        <v/>
      </c>
      <c r="V557" s="113" t="str">
        <f t="shared" ref="V557:V659" si="53">IF($H557=25,$P557,"")</f>
        <v/>
      </c>
      <c r="W557" s="114"/>
    </row>
    <row r="558" spans="1:23" ht="15" customHeight="1">
      <c r="A558" s="101">
        <v>128</v>
      </c>
      <c r="B558" s="130" t="s">
        <v>432</v>
      </c>
      <c r="C558" s="131"/>
      <c r="D558" s="537">
        <f>1+0.3+1</f>
        <v>2.2999999999999998</v>
      </c>
      <c r="E558" s="537"/>
      <c r="F558" s="127"/>
      <c r="G558" s="117">
        <v>0.25</v>
      </c>
      <c r="H558" s="107">
        <v>20</v>
      </c>
      <c r="I558" s="108">
        <v>1</v>
      </c>
      <c r="J558" s="110">
        <f>ROUND(3.25/G558+1,0)</f>
        <v>14</v>
      </c>
      <c r="K558" s="118">
        <f>D558</f>
        <v>2.2999999999999998</v>
      </c>
      <c r="L558" s="119" t="str">
        <f>IF(O558&lt;12,"0",0.049*H558)</f>
        <v>0</v>
      </c>
      <c r="M558" s="120">
        <v>0</v>
      </c>
      <c r="N558" s="108">
        <f>M558*2*H558/1000</f>
        <v>0</v>
      </c>
      <c r="O558" s="121">
        <f>(D558)-N558</f>
        <v>2.2999999999999998</v>
      </c>
      <c r="P558" s="121">
        <f>(I558*J558*O558)+L558</f>
        <v>32.199999999999996</v>
      </c>
      <c r="Q558" s="113" t="str">
        <f t="shared" si="48"/>
        <v/>
      </c>
      <c r="R558" s="113" t="str">
        <f t="shared" si="49"/>
        <v/>
      </c>
      <c r="S558" s="113" t="str">
        <f t="shared" si="50"/>
        <v/>
      </c>
      <c r="T558" s="113" t="str">
        <f t="shared" si="51"/>
        <v/>
      </c>
      <c r="U558" s="113">
        <f t="shared" si="52"/>
        <v>32.199999999999996</v>
      </c>
      <c r="V558" s="113" t="str">
        <f t="shared" si="53"/>
        <v/>
      </c>
      <c r="W558" s="114"/>
    </row>
    <row r="559" spans="1:23">
      <c r="A559" s="101"/>
      <c r="B559" s="130" t="s">
        <v>333</v>
      </c>
      <c r="C559" s="116"/>
      <c r="D559" s="126"/>
      <c r="E559" s="126"/>
      <c r="F559" s="127"/>
      <c r="G559" s="117"/>
      <c r="H559" s="107"/>
      <c r="I559" s="108"/>
      <c r="J559" s="110"/>
      <c r="K559" s="118"/>
      <c r="L559" s="119"/>
      <c r="M559" s="120"/>
      <c r="N559" s="108"/>
      <c r="O559" s="121"/>
      <c r="P559" s="121"/>
      <c r="Q559" s="113" t="str">
        <f t="shared" si="48"/>
        <v/>
      </c>
      <c r="R559" s="113" t="str">
        <f t="shared" si="49"/>
        <v/>
      </c>
      <c r="S559" s="113" t="str">
        <f t="shared" si="50"/>
        <v/>
      </c>
      <c r="T559" s="113" t="str">
        <f t="shared" si="51"/>
        <v/>
      </c>
      <c r="U559" s="113" t="str">
        <f t="shared" si="52"/>
        <v/>
      </c>
      <c r="V559" s="113" t="str">
        <f t="shared" si="53"/>
        <v/>
      </c>
      <c r="W559" s="114"/>
    </row>
    <row r="560" spans="1:23">
      <c r="A560" s="101"/>
      <c r="B560" s="130"/>
      <c r="C560" s="116"/>
      <c r="D560" s="126"/>
      <c r="E560" s="126"/>
      <c r="F560" s="127"/>
      <c r="G560" s="117"/>
      <c r="H560" s="107"/>
      <c r="I560" s="108"/>
      <c r="J560" s="110"/>
      <c r="K560" s="118"/>
      <c r="L560" s="119"/>
      <c r="M560" s="120"/>
      <c r="N560" s="108"/>
      <c r="O560" s="121"/>
      <c r="P560" s="121"/>
      <c r="Q560" s="113" t="str">
        <f t="shared" si="48"/>
        <v/>
      </c>
      <c r="R560" s="113" t="str">
        <f t="shared" si="49"/>
        <v/>
      </c>
      <c r="S560" s="113" t="str">
        <f t="shared" si="50"/>
        <v/>
      </c>
      <c r="T560" s="113" t="str">
        <f t="shared" si="51"/>
        <v/>
      </c>
      <c r="U560" s="113" t="str">
        <f t="shared" si="52"/>
        <v/>
      </c>
      <c r="V560" s="113" t="str">
        <f t="shared" si="53"/>
        <v/>
      </c>
      <c r="W560" s="114"/>
    </row>
    <row r="561" spans="1:23" ht="15" customHeight="1">
      <c r="A561" s="101">
        <v>129</v>
      </c>
      <c r="B561" s="130" t="s">
        <v>431</v>
      </c>
      <c r="C561" s="131"/>
      <c r="D561" s="537">
        <f>1.25+0.3+1.25</f>
        <v>2.8</v>
      </c>
      <c r="E561" s="537"/>
      <c r="F561" s="127"/>
      <c r="G561" s="117">
        <v>0.25</v>
      </c>
      <c r="H561" s="107">
        <v>25</v>
      </c>
      <c r="I561" s="108">
        <v>1</v>
      </c>
      <c r="J561" s="110">
        <f>ROUND(2.75/G561+1,0)</f>
        <v>12</v>
      </c>
      <c r="K561" s="118">
        <f>D561</f>
        <v>2.8</v>
      </c>
      <c r="L561" s="119" t="str">
        <f>IF(O561&lt;12,"0",0.049*H561)</f>
        <v>0</v>
      </c>
      <c r="M561" s="120">
        <v>0</v>
      </c>
      <c r="N561" s="108">
        <f>M561*2*H561/1000</f>
        <v>0</v>
      </c>
      <c r="O561" s="121">
        <f>(D561)-N561</f>
        <v>2.8</v>
      </c>
      <c r="P561" s="121">
        <f>(I561*J561*O561)+L561</f>
        <v>33.599999999999994</v>
      </c>
      <c r="Q561" s="113" t="str">
        <f t="shared" si="48"/>
        <v/>
      </c>
      <c r="R561" s="113" t="str">
        <f t="shared" si="49"/>
        <v/>
      </c>
      <c r="S561" s="113" t="str">
        <f t="shared" si="50"/>
        <v/>
      </c>
      <c r="T561" s="113" t="str">
        <f t="shared" si="51"/>
        <v/>
      </c>
      <c r="U561" s="113" t="str">
        <f t="shared" si="52"/>
        <v/>
      </c>
      <c r="V561" s="113">
        <f t="shared" si="53"/>
        <v>33.599999999999994</v>
      </c>
      <c r="W561" s="114"/>
    </row>
    <row r="562" spans="1:23">
      <c r="A562" s="101"/>
      <c r="B562" s="130" t="s">
        <v>334</v>
      </c>
      <c r="C562" s="116"/>
      <c r="D562" s="126"/>
      <c r="E562" s="126"/>
      <c r="F562" s="127"/>
      <c r="G562" s="117"/>
      <c r="H562" s="107"/>
      <c r="I562" s="108"/>
      <c r="J562" s="110"/>
      <c r="K562" s="118"/>
      <c r="L562" s="119"/>
      <c r="M562" s="120"/>
      <c r="N562" s="108"/>
      <c r="O562" s="121"/>
      <c r="P562" s="121"/>
      <c r="Q562" s="113" t="str">
        <f t="shared" si="48"/>
        <v/>
      </c>
      <c r="R562" s="113" t="str">
        <f t="shared" si="49"/>
        <v/>
      </c>
      <c r="S562" s="113" t="str">
        <f t="shared" si="50"/>
        <v/>
      </c>
      <c r="T562" s="113" t="str">
        <f t="shared" si="51"/>
        <v/>
      </c>
      <c r="U562" s="113" t="str">
        <f t="shared" si="52"/>
        <v/>
      </c>
      <c r="V562" s="113" t="str">
        <f t="shared" si="53"/>
        <v/>
      </c>
      <c r="W562" s="114"/>
    </row>
    <row r="563" spans="1:23">
      <c r="A563" s="101"/>
      <c r="B563" s="130"/>
      <c r="C563" s="116"/>
      <c r="D563" s="126"/>
      <c r="E563" s="126"/>
      <c r="F563" s="127"/>
      <c r="G563" s="117"/>
      <c r="H563" s="107"/>
      <c r="I563" s="108"/>
      <c r="J563" s="110"/>
      <c r="K563" s="118"/>
      <c r="L563" s="119"/>
      <c r="M563" s="120"/>
      <c r="N563" s="108"/>
      <c r="O563" s="121"/>
      <c r="P563" s="121"/>
      <c r="Q563" s="113" t="str">
        <f t="shared" si="48"/>
        <v/>
      </c>
      <c r="R563" s="113" t="str">
        <f t="shared" si="49"/>
        <v/>
      </c>
      <c r="S563" s="113" t="str">
        <f t="shared" si="50"/>
        <v/>
      </c>
      <c r="T563" s="113" t="str">
        <f t="shared" si="51"/>
        <v/>
      </c>
      <c r="U563" s="113" t="str">
        <f t="shared" si="52"/>
        <v/>
      </c>
      <c r="V563" s="113" t="str">
        <f t="shared" si="53"/>
        <v/>
      </c>
      <c r="W563" s="114"/>
    </row>
    <row r="564" spans="1:23" ht="15" customHeight="1">
      <c r="A564" s="101">
        <v>130</v>
      </c>
      <c r="B564" s="130" t="s">
        <v>432</v>
      </c>
      <c r="C564" s="131"/>
      <c r="D564" s="537">
        <f>1.25+0.3+1.25</f>
        <v>2.8</v>
      </c>
      <c r="E564" s="537"/>
      <c r="F564" s="127"/>
      <c r="G564" s="117">
        <v>0.25</v>
      </c>
      <c r="H564" s="107">
        <v>25</v>
      </c>
      <c r="I564" s="108">
        <v>1</v>
      </c>
      <c r="J564" s="110">
        <f>ROUND(2.75/G564+1,0)</f>
        <v>12</v>
      </c>
      <c r="K564" s="118">
        <f>D564</f>
        <v>2.8</v>
      </c>
      <c r="L564" s="119" t="str">
        <f>IF(O564&lt;12,"0",0.049*H564)</f>
        <v>0</v>
      </c>
      <c r="M564" s="120">
        <v>0</v>
      </c>
      <c r="N564" s="108">
        <f>M564*2*H564/1000</f>
        <v>0</v>
      </c>
      <c r="O564" s="121">
        <f>(D564)-N564</f>
        <v>2.8</v>
      </c>
      <c r="P564" s="121">
        <f>(I564*J564*O564)+L564</f>
        <v>33.599999999999994</v>
      </c>
      <c r="Q564" s="113" t="str">
        <f t="shared" si="48"/>
        <v/>
      </c>
      <c r="R564" s="113" t="str">
        <f t="shared" si="49"/>
        <v/>
      </c>
      <c r="S564" s="113" t="str">
        <f t="shared" si="50"/>
        <v/>
      </c>
      <c r="T564" s="113" t="str">
        <f t="shared" si="51"/>
        <v/>
      </c>
      <c r="U564" s="113" t="str">
        <f t="shared" si="52"/>
        <v/>
      </c>
      <c r="V564" s="113">
        <f t="shared" si="53"/>
        <v>33.599999999999994</v>
      </c>
      <c r="W564" s="114"/>
    </row>
    <row r="565" spans="1:23">
      <c r="A565" s="101"/>
      <c r="B565" s="130" t="s">
        <v>334</v>
      </c>
      <c r="C565" s="116"/>
      <c r="D565" s="126"/>
      <c r="E565" s="126"/>
      <c r="F565" s="127"/>
      <c r="G565" s="117"/>
      <c r="H565" s="107"/>
      <c r="I565" s="108"/>
      <c r="J565" s="110"/>
      <c r="K565" s="118"/>
      <c r="L565" s="119"/>
      <c r="M565" s="120"/>
      <c r="N565" s="108"/>
      <c r="O565" s="121"/>
      <c r="P565" s="121"/>
      <c r="Q565" s="113" t="str">
        <f t="shared" si="48"/>
        <v/>
      </c>
      <c r="R565" s="113" t="str">
        <f t="shared" si="49"/>
        <v/>
      </c>
      <c r="S565" s="113" t="str">
        <f t="shared" si="50"/>
        <v/>
      </c>
      <c r="T565" s="113" t="str">
        <f t="shared" si="51"/>
        <v/>
      </c>
      <c r="U565" s="113" t="str">
        <f t="shared" si="52"/>
        <v/>
      </c>
      <c r="V565" s="113" t="str">
        <f t="shared" si="53"/>
        <v/>
      </c>
      <c r="W565" s="114"/>
    </row>
    <row r="566" spans="1:23">
      <c r="A566" s="101"/>
      <c r="B566" s="130"/>
      <c r="C566" s="116"/>
      <c r="D566" s="126"/>
      <c r="E566" s="126"/>
      <c r="F566" s="127"/>
      <c r="G566" s="117"/>
      <c r="H566" s="107"/>
      <c r="I566" s="108"/>
      <c r="J566" s="110"/>
      <c r="K566" s="118"/>
      <c r="L566" s="119"/>
      <c r="M566" s="120"/>
      <c r="N566" s="108"/>
      <c r="O566" s="121"/>
      <c r="P566" s="121"/>
      <c r="Q566" s="113" t="str">
        <f t="shared" si="48"/>
        <v/>
      </c>
      <c r="R566" s="113" t="str">
        <f t="shared" si="49"/>
        <v/>
      </c>
      <c r="S566" s="113" t="str">
        <f t="shared" si="50"/>
        <v/>
      </c>
      <c r="T566" s="113" t="str">
        <f t="shared" si="51"/>
        <v/>
      </c>
      <c r="U566" s="113" t="str">
        <f t="shared" si="52"/>
        <v/>
      </c>
      <c r="V566" s="113" t="str">
        <f t="shared" si="53"/>
        <v/>
      </c>
      <c r="W566" s="114"/>
    </row>
    <row r="567" spans="1:23" ht="15" customHeight="1">
      <c r="A567" s="101">
        <v>131</v>
      </c>
      <c r="B567" s="130" t="s">
        <v>432</v>
      </c>
      <c r="C567" s="131"/>
      <c r="D567" s="537">
        <f>1+0.75+1</f>
        <v>2.75</v>
      </c>
      <c r="E567" s="537"/>
      <c r="F567" s="127"/>
      <c r="G567" s="117">
        <v>0.25</v>
      </c>
      <c r="H567" s="107">
        <v>20</v>
      </c>
      <c r="I567" s="108">
        <v>1</v>
      </c>
      <c r="J567" s="110">
        <f>ROUND(2.75/G567+1,0)</f>
        <v>12</v>
      </c>
      <c r="K567" s="118">
        <f>D567</f>
        <v>2.75</v>
      </c>
      <c r="L567" s="119" t="str">
        <f>IF(O567&lt;12,"0",0.049*H567)</f>
        <v>0</v>
      </c>
      <c r="M567" s="120">
        <v>0</v>
      </c>
      <c r="N567" s="108">
        <f>M567*2*H567/1000</f>
        <v>0</v>
      </c>
      <c r="O567" s="121">
        <f>(D567)-N567</f>
        <v>2.75</v>
      </c>
      <c r="P567" s="121">
        <f>(I567*J567*O567)+L567</f>
        <v>33</v>
      </c>
      <c r="Q567" s="113" t="str">
        <f t="shared" si="48"/>
        <v/>
      </c>
      <c r="R567" s="113" t="str">
        <f t="shared" si="49"/>
        <v/>
      </c>
      <c r="S567" s="113" t="str">
        <f>IF($H567=12,$P567,"")</f>
        <v/>
      </c>
      <c r="T567" s="113" t="str">
        <f t="shared" si="51"/>
        <v/>
      </c>
      <c r="U567" s="113">
        <f t="shared" si="52"/>
        <v>33</v>
      </c>
      <c r="V567" s="113" t="str">
        <f t="shared" si="53"/>
        <v/>
      </c>
      <c r="W567" s="114"/>
    </row>
    <row r="568" spans="1:23">
      <c r="A568" s="101"/>
      <c r="B568" s="130" t="s">
        <v>334</v>
      </c>
      <c r="C568" s="116"/>
      <c r="D568" s="126"/>
      <c r="E568" s="126"/>
      <c r="F568" s="127"/>
      <c r="G568" s="117"/>
      <c r="H568" s="107"/>
      <c r="I568" s="108"/>
      <c r="J568" s="110"/>
      <c r="K568" s="118"/>
      <c r="L568" s="119"/>
      <c r="M568" s="120"/>
      <c r="N568" s="108"/>
      <c r="O568" s="121"/>
      <c r="P568" s="121"/>
      <c r="Q568" s="113" t="str">
        <f t="shared" si="48"/>
        <v/>
      </c>
      <c r="R568" s="113" t="str">
        <f t="shared" si="49"/>
        <v/>
      </c>
      <c r="S568" s="113" t="str">
        <f t="shared" si="50"/>
        <v/>
      </c>
      <c r="T568" s="113" t="str">
        <f t="shared" si="51"/>
        <v/>
      </c>
      <c r="U568" s="113" t="str">
        <f t="shared" si="52"/>
        <v/>
      </c>
      <c r="V568" s="113" t="str">
        <f t="shared" si="53"/>
        <v/>
      </c>
      <c r="W568" s="114"/>
    </row>
    <row r="569" spans="1:23">
      <c r="A569" s="101"/>
      <c r="B569" s="130"/>
      <c r="C569" s="116"/>
      <c r="D569" s="126"/>
      <c r="E569" s="126"/>
      <c r="F569" s="127"/>
      <c r="G569" s="117"/>
      <c r="H569" s="107"/>
      <c r="I569" s="108"/>
      <c r="J569" s="110"/>
      <c r="K569" s="118"/>
      <c r="L569" s="119"/>
      <c r="M569" s="120"/>
      <c r="N569" s="108"/>
      <c r="O569" s="121"/>
      <c r="P569" s="121"/>
      <c r="Q569" s="113" t="str">
        <f t="shared" si="48"/>
        <v/>
      </c>
      <c r="R569" s="113" t="str">
        <f t="shared" si="49"/>
        <v/>
      </c>
      <c r="S569" s="113" t="str">
        <f t="shared" si="50"/>
        <v/>
      </c>
      <c r="T569" s="113" t="str">
        <f t="shared" si="51"/>
        <v/>
      </c>
      <c r="U569" s="113" t="str">
        <f t="shared" si="52"/>
        <v/>
      </c>
      <c r="V569" s="113" t="str">
        <f t="shared" si="53"/>
        <v/>
      </c>
      <c r="W569" s="114"/>
    </row>
    <row r="570" spans="1:23" ht="15" customHeight="1">
      <c r="A570" s="101">
        <v>132</v>
      </c>
      <c r="B570" s="130" t="s">
        <v>431</v>
      </c>
      <c r="C570" s="131"/>
      <c r="D570" s="537">
        <f>1.25+0.75+1.25</f>
        <v>3.25</v>
      </c>
      <c r="E570" s="537"/>
      <c r="F570" s="127"/>
      <c r="G570" s="117">
        <v>0.25</v>
      </c>
      <c r="H570" s="107">
        <v>25</v>
      </c>
      <c r="I570" s="108">
        <v>1</v>
      </c>
      <c r="J570" s="110">
        <f>ROUND(2.3/G570+1,0)</f>
        <v>10</v>
      </c>
      <c r="K570" s="118">
        <f>D570</f>
        <v>3.25</v>
      </c>
      <c r="L570" s="119" t="str">
        <f>IF(O570&lt;12,"0",0.049*H570)</f>
        <v>0</v>
      </c>
      <c r="M570" s="120">
        <v>0</v>
      </c>
      <c r="N570" s="108">
        <f>M570*2*H570/1000</f>
        <v>0</v>
      </c>
      <c r="O570" s="121">
        <f>(D570)-N570</f>
        <v>3.25</v>
      </c>
      <c r="P570" s="121">
        <f>(I570*J570*O570)+L570</f>
        <v>32.5</v>
      </c>
      <c r="Q570" s="113" t="str">
        <f t="shared" si="48"/>
        <v/>
      </c>
      <c r="R570" s="113" t="str">
        <f t="shared" si="49"/>
        <v/>
      </c>
      <c r="S570" s="113" t="str">
        <f t="shared" si="50"/>
        <v/>
      </c>
      <c r="T570" s="113" t="str">
        <f t="shared" si="51"/>
        <v/>
      </c>
      <c r="U570" s="113" t="str">
        <f t="shared" si="52"/>
        <v/>
      </c>
      <c r="V570" s="113">
        <f t="shared" si="53"/>
        <v>32.5</v>
      </c>
      <c r="W570" s="114"/>
    </row>
    <row r="571" spans="1:23">
      <c r="A571" s="101"/>
      <c r="B571" s="130" t="s">
        <v>335</v>
      </c>
      <c r="C571" s="116"/>
      <c r="D571" s="126"/>
      <c r="E571" s="126"/>
      <c r="F571" s="127"/>
      <c r="G571" s="117"/>
      <c r="H571" s="107"/>
      <c r="I571" s="108"/>
      <c r="J571" s="110"/>
      <c r="K571" s="118"/>
      <c r="L571" s="119"/>
      <c r="M571" s="120"/>
      <c r="N571" s="108"/>
      <c r="O571" s="121"/>
      <c r="P571" s="121"/>
      <c r="Q571" s="113" t="str">
        <f t="shared" si="48"/>
        <v/>
      </c>
      <c r="R571" s="113" t="str">
        <f t="shared" si="49"/>
        <v/>
      </c>
      <c r="S571" s="113" t="str">
        <f t="shared" si="50"/>
        <v/>
      </c>
      <c r="T571" s="113" t="str">
        <f t="shared" si="51"/>
        <v/>
      </c>
      <c r="U571" s="113" t="str">
        <f t="shared" si="52"/>
        <v/>
      </c>
      <c r="V571" s="113" t="str">
        <f t="shared" si="53"/>
        <v/>
      </c>
      <c r="W571" s="114"/>
    </row>
    <row r="572" spans="1:23">
      <c r="A572" s="101"/>
      <c r="B572" s="130"/>
      <c r="C572" s="116"/>
      <c r="D572" s="126"/>
      <c r="E572" s="126"/>
      <c r="F572" s="127"/>
      <c r="G572" s="117"/>
      <c r="H572" s="107"/>
      <c r="I572" s="108"/>
      <c r="J572" s="110"/>
      <c r="K572" s="118"/>
      <c r="L572" s="119"/>
      <c r="M572" s="120"/>
      <c r="N572" s="108"/>
      <c r="O572" s="121"/>
      <c r="P572" s="121"/>
      <c r="Q572" s="113" t="str">
        <f t="shared" si="48"/>
        <v/>
      </c>
      <c r="R572" s="113" t="str">
        <f t="shared" si="49"/>
        <v/>
      </c>
      <c r="S572" s="113" t="str">
        <f t="shared" si="50"/>
        <v/>
      </c>
      <c r="T572" s="113" t="str">
        <f t="shared" si="51"/>
        <v/>
      </c>
      <c r="U572" s="113" t="str">
        <f t="shared" si="52"/>
        <v/>
      </c>
      <c r="V572" s="113" t="str">
        <f t="shared" si="53"/>
        <v/>
      </c>
      <c r="W572" s="114"/>
    </row>
    <row r="573" spans="1:23" ht="15" customHeight="1">
      <c r="A573" s="101">
        <v>133</v>
      </c>
      <c r="B573" s="130" t="s">
        <v>432</v>
      </c>
      <c r="C573" s="131"/>
      <c r="D573" s="537">
        <f>1+0.3+1</f>
        <v>2.2999999999999998</v>
      </c>
      <c r="E573" s="537"/>
      <c r="F573" s="127"/>
      <c r="G573" s="117">
        <v>0.25</v>
      </c>
      <c r="H573" s="107">
        <v>20</v>
      </c>
      <c r="I573" s="108">
        <v>1</v>
      </c>
      <c r="J573" s="110">
        <f>ROUND(3.25/G573+1,0)</f>
        <v>14</v>
      </c>
      <c r="K573" s="118">
        <f>D573</f>
        <v>2.2999999999999998</v>
      </c>
      <c r="L573" s="119" t="str">
        <f>IF(O573&lt;12,"0",0.049*H573)</f>
        <v>0</v>
      </c>
      <c r="M573" s="120">
        <v>0</v>
      </c>
      <c r="N573" s="108">
        <f>M573*2*H573/1000</f>
        <v>0</v>
      </c>
      <c r="O573" s="121">
        <f>(D573)-N573</f>
        <v>2.2999999999999998</v>
      </c>
      <c r="P573" s="121">
        <f>(I573*J573*O573)+L573</f>
        <v>32.199999999999996</v>
      </c>
      <c r="Q573" s="113" t="str">
        <f t="shared" si="48"/>
        <v/>
      </c>
      <c r="R573" s="113" t="str">
        <f t="shared" si="49"/>
        <v/>
      </c>
      <c r="S573" s="113" t="str">
        <f t="shared" si="50"/>
        <v/>
      </c>
      <c r="T573" s="113" t="str">
        <f t="shared" si="51"/>
        <v/>
      </c>
      <c r="U573" s="113">
        <f t="shared" si="52"/>
        <v>32.199999999999996</v>
      </c>
      <c r="V573" s="113" t="str">
        <f t="shared" si="53"/>
        <v/>
      </c>
      <c r="W573" s="114"/>
    </row>
    <row r="574" spans="1:23">
      <c r="A574" s="101"/>
      <c r="B574" s="130" t="s">
        <v>335</v>
      </c>
      <c r="C574" s="116"/>
      <c r="D574" s="126"/>
      <c r="E574" s="126"/>
      <c r="F574" s="127"/>
      <c r="G574" s="117"/>
      <c r="H574" s="107"/>
      <c r="I574" s="108"/>
      <c r="J574" s="110"/>
      <c r="K574" s="118"/>
      <c r="L574" s="119"/>
      <c r="M574" s="120"/>
      <c r="N574" s="108"/>
      <c r="O574" s="121"/>
      <c r="P574" s="121"/>
      <c r="Q574" s="113" t="str">
        <f t="shared" si="48"/>
        <v/>
      </c>
      <c r="R574" s="113" t="str">
        <f t="shared" si="49"/>
        <v/>
      </c>
      <c r="S574" s="113" t="str">
        <f t="shared" si="50"/>
        <v/>
      </c>
      <c r="T574" s="113" t="str">
        <f t="shared" si="51"/>
        <v/>
      </c>
      <c r="U574" s="113" t="str">
        <f t="shared" si="52"/>
        <v/>
      </c>
      <c r="V574" s="113" t="str">
        <f t="shared" si="53"/>
        <v/>
      </c>
      <c r="W574" s="114"/>
    </row>
    <row r="575" spans="1:23">
      <c r="A575" s="101"/>
      <c r="B575" s="130"/>
      <c r="C575" s="116"/>
      <c r="D575" s="126"/>
      <c r="E575" s="126"/>
      <c r="F575" s="127"/>
      <c r="G575" s="117"/>
      <c r="H575" s="107"/>
      <c r="I575" s="108"/>
      <c r="J575" s="110"/>
      <c r="K575" s="118"/>
      <c r="L575" s="119"/>
      <c r="M575" s="120"/>
      <c r="N575" s="108"/>
      <c r="O575" s="121"/>
      <c r="P575" s="121"/>
      <c r="Q575" s="113" t="str">
        <f t="shared" si="48"/>
        <v/>
      </c>
      <c r="R575" s="113" t="str">
        <f t="shared" si="49"/>
        <v/>
      </c>
      <c r="S575" s="113" t="str">
        <f t="shared" si="50"/>
        <v/>
      </c>
      <c r="T575" s="113" t="str">
        <f t="shared" si="51"/>
        <v/>
      </c>
      <c r="U575" s="113" t="str">
        <f t="shared" si="52"/>
        <v/>
      </c>
      <c r="V575" s="113" t="str">
        <f t="shared" si="53"/>
        <v/>
      </c>
      <c r="W575" s="114"/>
    </row>
    <row r="576" spans="1:23">
      <c r="A576" s="101">
        <v>134</v>
      </c>
      <c r="B576" s="130" t="s">
        <v>431</v>
      </c>
      <c r="C576" s="131"/>
      <c r="D576" s="538">
        <f>5.145</f>
        <v>5.1449999999999996</v>
      </c>
      <c r="E576" s="538"/>
      <c r="F576" s="127"/>
      <c r="G576" s="117">
        <v>0.25</v>
      </c>
      <c r="H576" s="107">
        <v>20</v>
      </c>
      <c r="I576" s="108">
        <v>1</v>
      </c>
      <c r="J576" s="110">
        <f>ROUND(6.165/G576+1,0)</f>
        <v>26</v>
      </c>
      <c r="K576" s="118">
        <f>D576</f>
        <v>5.1449999999999996</v>
      </c>
      <c r="L576" s="119" t="str">
        <f>IF(O576&lt;12,"0",0.049*H576)</f>
        <v>0</v>
      </c>
      <c r="M576" s="120">
        <v>0</v>
      </c>
      <c r="N576" s="108">
        <f>M576*2*H576/1000</f>
        <v>0</v>
      </c>
      <c r="O576" s="121">
        <f>(D576)-N576</f>
        <v>5.1449999999999996</v>
      </c>
      <c r="P576" s="121">
        <f>(I576*J576*O576)+L576</f>
        <v>133.76999999999998</v>
      </c>
      <c r="Q576" s="113" t="str">
        <f t="shared" si="48"/>
        <v/>
      </c>
      <c r="R576" s="113" t="str">
        <f t="shared" si="49"/>
        <v/>
      </c>
      <c r="S576" s="113" t="str">
        <f t="shared" si="50"/>
        <v/>
      </c>
      <c r="T576" s="113" t="str">
        <f t="shared" si="51"/>
        <v/>
      </c>
      <c r="U576" s="113">
        <f t="shared" si="52"/>
        <v>133.76999999999998</v>
      </c>
      <c r="V576" s="113" t="str">
        <f t="shared" si="53"/>
        <v/>
      </c>
      <c r="W576" s="114"/>
    </row>
    <row r="577" spans="1:23">
      <c r="A577" s="101"/>
      <c r="B577" s="133" t="s">
        <v>336</v>
      </c>
      <c r="C577" s="116"/>
      <c r="D577" s="126"/>
      <c r="E577" s="126"/>
      <c r="F577" s="127"/>
      <c r="G577" s="117"/>
      <c r="H577" s="107"/>
      <c r="I577" s="108"/>
      <c r="J577" s="110"/>
      <c r="K577" s="118"/>
      <c r="L577" s="119"/>
      <c r="M577" s="120"/>
      <c r="N577" s="108"/>
      <c r="O577" s="121"/>
      <c r="P577" s="121"/>
      <c r="Q577" s="113" t="str">
        <f t="shared" si="48"/>
        <v/>
      </c>
      <c r="R577" s="113" t="str">
        <f t="shared" si="49"/>
        <v/>
      </c>
      <c r="S577" s="113" t="str">
        <f t="shared" si="50"/>
        <v/>
      </c>
      <c r="T577" s="113" t="str">
        <f t="shared" si="51"/>
        <v/>
      </c>
      <c r="U577" s="113" t="str">
        <f t="shared" si="52"/>
        <v/>
      </c>
      <c r="V577" s="113" t="str">
        <f t="shared" si="53"/>
        <v/>
      </c>
      <c r="W577" s="114"/>
    </row>
    <row r="578" spans="1:23">
      <c r="A578" s="101"/>
      <c r="B578" s="130"/>
      <c r="C578" s="116"/>
      <c r="D578" s="126"/>
      <c r="E578" s="126"/>
      <c r="F578" s="127"/>
      <c r="G578" s="117"/>
      <c r="H578" s="107"/>
      <c r="I578" s="108"/>
      <c r="J578" s="110"/>
      <c r="K578" s="118"/>
      <c r="L578" s="119"/>
      <c r="M578" s="120"/>
      <c r="N578" s="108"/>
      <c r="O578" s="121"/>
      <c r="P578" s="121"/>
      <c r="Q578" s="113" t="str">
        <f t="shared" si="48"/>
        <v/>
      </c>
      <c r="R578" s="113" t="str">
        <f t="shared" si="49"/>
        <v/>
      </c>
      <c r="S578" s="113" t="str">
        <f t="shared" si="50"/>
        <v/>
      </c>
      <c r="T578" s="113" t="str">
        <f t="shared" si="51"/>
        <v/>
      </c>
      <c r="U578" s="113" t="str">
        <f t="shared" si="52"/>
        <v/>
      </c>
      <c r="V578" s="113" t="str">
        <f t="shared" si="53"/>
        <v/>
      </c>
      <c r="W578" s="114"/>
    </row>
    <row r="579" spans="1:23">
      <c r="A579" s="101">
        <v>135</v>
      </c>
      <c r="B579" s="130" t="s">
        <v>432</v>
      </c>
      <c r="C579" s="131"/>
      <c r="D579" s="538">
        <v>6.165</v>
      </c>
      <c r="E579" s="538"/>
      <c r="F579" s="127"/>
      <c r="G579" s="117">
        <v>0.25</v>
      </c>
      <c r="H579" s="107">
        <v>20</v>
      </c>
      <c r="I579" s="108">
        <v>1</v>
      </c>
      <c r="J579" s="110">
        <f>ROUND(5.145/G579+1,0)</f>
        <v>22</v>
      </c>
      <c r="K579" s="118">
        <f>D579</f>
        <v>6.165</v>
      </c>
      <c r="L579" s="119" t="str">
        <f>IF(O579&lt;12,"0",0.049*H579)</f>
        <v>0</v>
      </c>
      <c r="M579" s="120">
        <v>0</v>
      </c>
      <c r="N579" s="108">
        <f>M579*2*H579/1000</f>
        <v>0</v>
      </c>
      <c r="O579" s="121">
        <f>(D579)-N579</f>
        <v>6.165</v>
      </c>
      <c r="P579" s="121">
        <f>(I579*J579*O579)+L579</f>
        <v>135.63</v>
      </c>
      <c r="Q579" s="113" t="str">
        <f t="shared" si="48"/>
        <v/>
      </c>
      <c r="R579" s="113" t="str">
        <f t="shared" si="49"/>
        <v/>
      </c>
      <c r="S579" s="113" t="str">
        <f t="shared" si="50"/>
        <v/>
      </c>
      <c r="T579" s="113" t="str">
        <f t="shared" si="51"/>
        <v/>
      </c>
      <c r="U579" s="113">
        <f t="shared" si="52"/>
        <v>135.63</v>
      </c>
      <c r="V579" s="113" t="str">
        <f t="shared" si="53"/>
        <v/>
      </c>
      <c r="W579" s="114"/>
    </row>
    <row r="580" spans="1:23">
      <c r="A580" s="101"/>
      <c r="B580" s="133" t="s">
        <v>336</v>
      </c>
      <c r="C580" s="116"/>
      <c r="D580" s="126"/>
      <c r="E580" s="126"/>
      <c r="F580" s="127"/>
      <c r="G580" s="117"/>
      <c r="H580" s="107"/>
      <c r="I580" s="108"/>
      <c r="J580" s="110"/>
      <c r="K580" s="118"/>
      <c r="L580" s="119"/>
      <c r="M580" s="120"/>
      <c r="N580" s="108"/>
      <c r="O580" s="121"/>
      <c r="P580" s="121"/>
      <c r="Q580" s="113" t="str">
        <f t="shared" si="48"/>
        <v/>
      </c>
      <c r="R580" s="113" t="str">
        <f t="shared" si="49"/>
        <v/>
      </c>
      <c r="S580" s="113" t="str">
        <f t="shared" si="50"/>
        <v/>
      </c>
      <c r="T580" s="113" t="str">
        <f t="shared" si="51"/>
        <v/>
      </c>
      <c r="U580" s="113" t="str">
        <f t="shared" si="52"/>
        <v/>
      </c>
      <c r="V580" s="113" t="str">
        <f t="shared" si="53"/>
        <v/>
      </c>
      <c r="W580" s="114"/>
    </row>
    <row r="581" spans="1:23">
      <c r="A581" s="101"/>
      <c r="B581" s="130"/>
      <c r="C581" s="116"/>
      <c r="D581" s="126"/>
      <c r="E581" s="126"/>
      <c r="F581" s="127"/>
      <c r="G581" s="117"/>
      <c r="H581" s="107"/>
      <c r="I581" s="108"/>
      <c r="J581" s="110"/>
      <c r="K581" s="118"/>
      <c r="L581" s="119"/>
      <c r="M581" s="120"/>
      <c r="N581" s="108"/>
      <c r="O581" s="121"/>
      <c r="P581" s="121"/>
      <c r="Q581" s="113" t="str">
        <f t="shared" si="48"/>
        <v/>
      </c>
      <c r="R581" s="113" t="str">
        <f t="shared" si="49"/>
        <v/>
      </c>
      <c r="S581" s="113" t="str">
        <f t="shared" si="50"/>
        <v/>
      </c>
      <c r="T581" s="113" t="str">
        <f t="shared" si="51"/>
        <v/>
      </c>
      <c r="U581" s="113" t="str">
        <f t="shared" si="52"/>
        <v/>
      </c>
      <c r="V581" s="113" t="str">
        <f t="shared" si="53"/>
        <v/>
      </c>
      <c r="W581" s="114"/>
    </row>
    <row r="582" spans="1:23" ht="15" customHeight="1">
      <c r="A582" s="101">
        <v>136</v>
      </c>
      <c r="B582" s="130" t="s">
        <v>337</v>
      </c>
      <c r="C582" s="131"/>
      <c r="D582" s="538">
        <v>2.75</v>
      </c>
      <c r="E582" s="538"/>
      <c r="F582" s="127"/>
      <c r="G582" s="117"/>
      <c r="H582" s="107">
        <v>20</v>
      </c>
      <c r="I582" s="108">
        <v>1</v>
      </c>
      <c r="J582" s="110">
        <v>3</v>
      </c>
      <c r="K582" s="118">
        <f>D582</f>
        <v>2.75</v>
      </c>
      <c r="L582" s="119" t="str">
        <f>IF(O582&lt;12,"0",0.049*H582)</f>
        <v>0</v>
      </c>
      <c r="M582" s="120">
        <v>0</v>
      </c>
      <c r="N582" s="108">
        <f>M582*2*H582/1000</f>
        <v>0</v>
      </c>
      <c r="O582" s="121">
        <f>(D582)-N582</f>
        <v>2.75</v>
      </c>
      <c r="P582" s="121">
        <f>(I582*J582*O582)+L582</f>
        <v>8.25</v>
      </c>
      <c r="Q582" s="113" t="str">
        <f t="shared" si="48"/>
        <v/>
      </c>
      <c r="R582" s="113" t="str">
        <f t="shared" si="49"/>
        <v/>
      </c>
      <c r="S582" s="113" t="str">
        <f t="shared" si="50"/>
        <v/>
      </c>
      <c r="T582" s="113" t="str">
        <f t="shared" si="51"/>
        <v/>
      </c>
      <c r="U582" s="113">
        <f t="shared" si="52"/>
        <v>8.25</v>
      </c>
      <c r="V582" s="113" t="str">
        <f t="shared" si="53"/>
        <v/>
      </c>
      <c r="W582" s="114"/>
    </row>
    <row r="583" spans="1:23">
      <c r="A583" s="101"/>
      <c r="B583" s="130" t="s">
        <v>303</v>
      </c>
      <c r="C583" s="116"/>
      <c r="D583" s="126"/>
      <c r="E583" s="126"/>
      <c r="F583" s="127"/>
      <c r="G583" s="117"/>
      <c r="H583" s="107"/>
      <c r="I583" s="108"/>
      <c r="J583" s="110"/>
      <c r="K583" s="118"/>
      <c r="L583" s="119"/>
      <c r="M583" s="120"/>
      <c r="N583" s="108"/>
      <c r="O583" s="121"/>
      <c r="P583" s="121"/>
      <c r="Q583" s="113" t="str">
        <f t="shared" si="48"/>
        <v/>
      </c>
      <c r="R583" s="113" t="str">
        <f t="shared" si="49"/>
        <v/>
      </c>
      <c r="S583" s="113" t="str">
        <f t="shared" si="50"/>
        <v/>
      </c>
      <c r="T583" s="113" t="str">
        <f t="shared" si="51"/>
        <v/>
      </c>
      <c r="U583" s="113" t="str">
        <f t="shared" si="52"/>
        <v/>
      </c>
      <c r="V583" s="113" t="str">
        <f t="shared" si="53"/>
        <v/>
      </c>
      <c r="W583" s="114"/>
    </row>
    <row r="584" spans="1:23">
      <c r="A584" s="101"/>
      <c r="B584" s="130"/>
      <c r="C584" s="116"/>
      <c r="D584" s="126"/>
      <c r="E584" s="126"/>
      <c r="F584" s="127"/>
      <c r="G584" s="117"/>
      <c r="H584" s="107"/>
      <c r="I584" s="108"/>
      <c r="J584" s="110"/>
      <c r="K584" s="118"/>
      <c r="L584" s="119"/>
      <c r="M584" s="120"/>
      <c r="N584" s="108"/>
      <c r="O584" s="121"/>
      <c r="P584" s="121"/>
      <c r="Q584" s="113" t="str">
        <f t="shared" si="48"/>
        <v/>
      </c>
      <c r="R584" s="113" t="str">
        <f t="shared" si="49"/>
        <v/>
      </c>
      <c r="S584" s="113" t="str">
        <f t="shared" si="50"/>
        <v/>
      </c>
      <c r="T584" s="113" t="str">
        <f t="shared" si="51"/>
        <v/>
      </c>
      <c r="U584" s="113" t="str">
        <f t="shared" si="52"/>
        <v/>
      </c>
      <c r="V584" s="113" t="str">
        <f t="shared" si="53"/>
        <v/>
      </c>
      <c r="W584" s="114"/>
    </row>
    <row r="585" spans="1:23" ht="15" customHeight="1">
      <c r="A585" s="101">
        <v>137</v>
      </c>
      <c r="B585" s="130" t="s">
        <v>337</v>
      </c>
      <c r="C585" s="131"/>
      <c r="D585" s="538">
        <v>2.75</v>
      </c>
      <c r="E585" s="538"/>
      <c r="F585" s="127"/>
      <c r="G585" s="117"/>
      <c r="H585" s="107">
        <v>20</v>
      </c>
      <c r="I585" s="108">
        <v>1</v>
      </c>
      <c r="J585" s="110">
        <v>3</v>
      </c>
      <c r="K585" s="118">
        <f>D585</f>
        <v>2.75</v>
      </c>
      <c r="L585" s="119" t="str">
        <f>IF(O585&lt;12,"0",0.049*H585)</f>
        <v>0</v>
      </c>
      <c r="M585" s="120">
        <v>0</v>
      </c>
      <c r="N585" s="108">
        <f>M585*2*H585/1000</f>
        <v>0</v>
      </c>
      <c r="O585" s="121">
        <f>(D585)-N585</f>
        <v>2.75</v>
      </c>
      <c r="P585" s="121">
        <f>(I585*J585*O585)+L585</f>
        <v>8.25</v>
      </c>
      <c r="Q585" s="113" t="str">
        <f t="shared" si="48"/>
        <v/>
      </c>
      <c r="R585" s="113" t="str">
        <f t="shared" si="49"/>
        <v/>
      </c>
      <c r="S585" s="113" t="str">
        <f t="shared" si="50"/>
        <v/>
      </c>
      <c r="T585" s="113" t="str">
        <f t="shared" si="51"/>
        <v/>
      </c>
      <c r="U585" s="113">
        <f t="shared" si="52"/>
        <v>8.25</v>
      </c>
      <c r="V585" s="113" t="str">
        <f t="shared" si="53"/>
        <v/>
      </c>
      <c r="W585" s="114"/>
    </row>
    <row r="586" spans="1:23">
      <c r="A586" s="101"/>
      <c r="B586" s="130" t="s">
        <v>338</v>
      </c>
      <c r="C586" s="116"/>
      <c r="D586" s="126"/>
      <c r="E586" s="126"/>
      <c r="F586" s="127"/>
      <c r="G586" s="117"/>
      <c r="H586" s="107"/>
      <c r="I586" s="108"/>
      <c r="J586" s="110"/>
      <c r="K586" s="118"/>
      <c r="L586" s="119"/>
      <c r="M586" s="120"/>
      <c r="N586" s="108"/>
      <c r="O586" s="121"/>
      <c r="P586" s="121"/>
      <c r="Q586" s="113" t="str">
        <f t="shared" si="48"/>
        <v/>
      </c>
      <c r="R586" s="113" t="str">
        <f t="shared" si="49"/>
        <v/>
      </c>
      <c r="S586" s="113" t="str">
        <f t="shared" si="50"/>
        <v/>
      </c>
      <c r="T586" s="113" t="str">
        <f t="shared" si="51"/>
        <v/>
      </c>
      <c r="U586" s="113" t="str">
        <f t="shared" si="52"/>
        <v/>
      </c>
      <c r="V586" s="113" t="str">
        <f t="shared" si="53"/>
        <v/>
      </c>
      <c r="W586" s="114"/>
    </row>
    <row r="587" spans="1:23">
      <c r="A587" s="101"/>
      <c r="B587" s="130"/>
      <c r="C587" s="116"/>
      <c r="D587" s="126"/>
      <c r="E587" s="126"/>
      <c r="F587" s="127"/>
      <c r="G587" s="117"/>
      <c r="H587" s="107"/>
      <c r="I587" s="108"/>
      <c r="J587" s="110"/>
      <c r="K587" s="118"/>
      <c r="L587" s="119"/>
      <c r="M587" s="120"/>
      <c r="N587" s="108"/>
      <c r="O587" s="121"/>
      <c r="P587" s="121"/>
      <c r="Q587" s="113" t="str">
        <f t="shared" si="48"/>
        <v/>
      </c>
      <c r="R587" s="113" t="str">
        <f t="shared" si="49"/>
        <v/>
      </c>
      <c r="S587" s="113" t="str">
        <f t="shared" si="50"/>
        <v/>
      </c>
      <c r="T587" s="113" t="str">
        <f t="shared" si="51"/>
        <v/>
      </c>
      <c r="U587" s="113" t="str">
        <f t="shared" si="52"/>
        <v/>
      </c>
      <c r="V587" s="113" t="str">
        <f t="shared" si="53"/>
        <v/>
      </c>
      <c r="W587" s="114"/>
    </row>
    <row r="588" spans="1:23" ht="15" customHeight="1">
      <c r="A588" s="101">
        <v>138</v>
      </c>
      <c r="B588" s="130" t="s">
        <v>337</v>
      </c>
      <c r="C588" s="131"/>
      <c r="D588" s="538">
        <v>2.75</v>
      </c>
      <c r="E588" s="538"/>
      <c r="F588" s="127"/>
      <c r="G588" s="117"/>
      <c r="H588" s="107">
        <v>20</v>
      </c>
      <c r="I588" s="108">
        <v>1</v>
      </c>
      <c r="J588" s="110">
        <v>3</v>
      </c>
      <c r="K588" s="118">
        <f>D588</f>
        <v>2.75</v>
      </c>
      <c r="L588" s="119" t="str">
        <f>IF(O588&lt;12,"0",0.049*H588)</f>
        <v>0</v>
      </c>
      <c r="M588" s="120">
        <v>0</v>
      </c>
      <c r="N588" s="108">
        <f>M588*2*H588/1000</f>
        <v>0</v>
      </c>
      <c r="O588" s="121">
        <f>(D588)-N588</f>
        <v>2.75</v>
      </c>
      <c r="P588" s="121">
        <f>(I588*J588*O588)+L588</f>
        <v>8.25</v>
      </c>
      <c r="Q588" s="113" t="str">
        <f t="shared" si="48"/>
        <v/>
      </c>
      <c r="R588" s="113" t="str">
        <f t="shared" si="49"/>
        <v/>
      </c>
      <c r="S588" s="113" t="str">
        <f t="shared" si="50"/>
        <v/>
      </c>
      <c r="T588" s="113" t="str">
        <f t="shared" si="51"/>
        <v/>
      </c>
      <c r="U588" s="113">
        <f t="shared" si="52"/>
        <v>8.25</v>
      </c>
      <c r="V588" s="113" t="str">
        <f t="shared" si="53"/>
        <v/>
      </c>
      <c r="W588" s="114"/>
    </row>
    <row r="589" spans="1:23">
      <c r="A589" s="101"/>
      <c r="B589" s="130" t="s">
        <v>300</v>
      </c>
      <c r="C589" s="116"/>
      <c r="D589" s="126"/>
      <c r="E589" s="126"/>
      <c r="F589" s="127"/>
      <c r="G589" s="117"/>
      <c r="H589" s="107"/>
      <c r="I589" s="108"/>
      <c r="J589" s="110"/>
      <c r="K589" s="118"/>
      <c r="L589" s="119"/>
      <c r="M589" s="120"/>
      <c r="N589" s="108"/>
      <c r="O589" s="121"/>
      <c r="P589" s="121"/>
      <c r="Q589" s="113" t="str">
        <f t="shared" si="48"/>
        <v/>
      </c>
      <c r="R589" s="113" t="str">
        <f t="shared" si="49"/>
        <v/>
      </c>
      <c r="S589" s="113" t="str">
        <f t="shared" si="50"/>
        <v/>
      </c>
      <c r="T589" s="113" t="str">
        <f t="shared" si="51"/>
        <v/>
      </c>
      <c r="U589" s="113" t="str">
        <f t="shared" si="52"/>
        <v/>
      </c>
      <c r="V589" s="113" t="str">
        <f t="shared" si="53"/>
        <v/>
      </c>
      <c r="W589" s="114"/>
    </row>
    <row r="590" spans="1:23">
      <c r="A590" s="101"/>
      <c r="B590" s="130"/>
      <c r="C590" s="116"/>
      <c r="D590" s="126"/>
      <c r="E590" s="126"/>
      <c r="F590" s="127"/>
      <c r="G590" s="117"/>
      <c r="H590" s="107"/>
      <c r="I590" s="108"/>
      <c r="J590" s="110"/>
      <c r="K590" s="118"/>
      <c r="L590" s="119"/>
      <c r="M590" s="120"/>
      <c r="N590" s="108"/>
      <c r="O590" s="121"/>
      <c r="P590" s="121"/>
      <c r="Q590" s="113" t="str">
        <f t="shared" si="48"/>
        <v/>
      </c>
      <c r="R590" s="113" t="str">
        <f t="shared" si="49"/>
        <v/>
      </c>
      <c r="S590" s="113" t="str">
        <f t="shared" si="50"/>
        <v/>
      </c>
      <c r="T590" s="113" t="str">
        <f t="shared" si="51"/>
        <v/>
      </c>
      <c r="U590" s="113" t="str">
        <f t="shared" si="52"/>
        <v/>
      </c>
      <c r="V590" s="113" t="str">
        <f t="shared" si="53"/>
        <v/>
      </c>
      <c r="W590" s="114"/>
    </row>
    <row r="591" spans="1:23" ht="15" customHeight="1">
      <c r="A591" s="101">
        <v>139</v>
      </c>
      <c r="B591" s="130" t="s">
        <v>337</v>
      </c>
      <c r="C591" s="131"/>
      <c r="D591" s="538">
        <v>2.8</v>
      </c>
      <c r="E591" s="538"/>
      <c r="F591" s="127"/>
      <c r="G591" s="117"/>
      <c r="H591" s="107">
        <v>20</v>
      </c>
      <c r="I591" s="108">
        <v>1</v>
      </c>
      <c r="J591" s="110">
        <v>3</v>
      </c>
      <c r="K591" s="118">
        <f>D591</f>
        <v>2.8</v>
      </c>
      <c r="L591" s="119" t="str">
        <f>IF(O591&lt;12,"0",0.049*H591)</f>
        <v>0</v>
      </c>
      <c r="M591" s="120">
        <v>0</v>
      </c>
      <c r="N591" s="108">
        <f>M591*2*H591/1000</f>
        <v>0</v>
      </c>
      <c r="O591" s="121">
        <f>(D591)-N591</f>
        <v>2.8</v>
      </c>
      <c r="P591" s="121">
        <f>(I591*J591*O591)+L591</f>
        <v>8.3999999999999986</v>
      </c>
      <c r="Q591" s="113" t="str">
        <f t="shared" si="48"/>
        <v/>
      </c>
      <c r="R591" s="113" t="str">
        <f t="shared" si="49"/>
        <v/>
      </c>
      <c r="S591" s="113" t="str">
        <f t="shared" si="50"/>
        <v/>
      </c>
      <c r="T591" s="113" t="str">
        <f t="shared" si="51"/>
        <v/>
      </c>
      <c r="U591" s="113">
        <f t="shared" si="52"/>
        <v>8.3999999999999986</v>
      </c>
      <c r="V591" s="113" t="str">
        <f t="shared" si="53"/>
        <v/>
      </c>
      <c r="W591" s="114"/>
    </row>
    <row r="592" spans="1:23">
      <c r="A592" s="101"/>
      <c r="B592" s="130" t="s">
        <v>300</v>
      </c>
      <c r="C592" s="116"/>
      <c r="D592" s="126"/>
      <c r="E592" s="126"/>
      <c r="F592" s="127"/>
      <c r="G592" s="117"/>
      <c r="H592" s="107"/>
      <c r="I592" s="108"/>
      <c r="J592" s="110"/>
      <c r="K592" s="118"/>
      <c r="L592" s="119"/>
      <c r="M592" s="120"/>
      <c r="N592" s="108"/>
      <c r="O592" s="121"/>
      <c r="P592" s="121"/>
      <c r="Q592" s="113" t="str">
        <f t="shared" si="48"/>
        <v/>
      </c>
      <c r="R592" s="113" t="str">
        <f t="shared" si="49"/>
        <v/>
      </c>
      <c r="S592" s="113" t="str">
        <f t="shared" si="50"/>
        <v/>
      </c>
      <c r="T592" s="113" t="str">
        <f t="shared" si="51"/>
        <v/>
      </c>
      <c r="U592" s="113" t="str">
        <f t="shared" si="52"/>
        <v/>
      </c>
      <c r="V592" s="113" t="str">
        <f t="shared" si="53"/>
        <v/>
      </c>
      <c r="W592" s="114"/>
    </row>
    <row r="593" spans="1:23">
      <c r="A593" s="101"/>
      <c r="B593" s="130"/>
      <c r="C593" s="116"/>
      <c r="D593" s="126"/>
      <c r="E593" s="126"/>
      <c r="F593" s="127"/>
      <c r="G593" s="117"/>
      <c r="H593" s="107"/>
      <c r="I593" s="108"/>
      <c r="J593" s="110"/>
      <c r="K593" s="118"/>
      <c r="L593" s="119"/>
      <c r="M593" s="120"/>
      <c r="N593" s="108"/>
      <c r="O593" s="121"/>
      <c r="P593" s="121"/>
      <c r="Q593" s="113" t="str">
        <f t="shared" si="48"/>
        <v/>
      </c>
      <c r="R593" s="113" t="str">
        <f t="shared" si="49"/>
        <v/>
      </c>
      <c r="S593" s="113" t="str">
        <f t="shared" si="50"/>
        <v/>
      </c>
      <c r="T593" s="113" t="str">
        <f t="shared" si="51"/>
        <v/>
      </c>
      <c r="U593" s="113" t="str">
        <f t="shared" si="52"/>
        <v/>
      </c>
      <c r="V593" s="113" t="str">
        <f t="shared" si="53"/>
        <v/>
      </c>
      <c r="W593" s="114"/>
    </row>
    <row r="594" spans="1:23" ht="15" customHeight="1">
      <c r="A594" s="101">
        <v>140</v>
      </c>
      <c r="B594" s="130" t="s">
        <v>337</v>
      </c>
      <c r="C594" s="131"/>
      <c r="D594" s="538">
        <v>2.75</v>
      </c>
      <c r="E594" s="538"/>
      <c r="F594" s="127"/>
      <c r="G594" s="117"/>
      <c r="H594" s="107">
        <v>20</v>
      </c>
      <c r="I594" s="108">
        <v>1</v>
      </c>
      <c r="J594" s="110">
        <v>3</v>
      </c>
      <c r="K594" s="118">
        <f>D594</f>
        <v>2.75</v>
      </c>
      <c r="L594" s="119" t="str">
        <f>IF(O594&lt;12,"0",0.049*H594)</f>
        <v>0</v>
      </c>
      <c r="M594" s="120">
        <v>0</v>
      </c>
      <c r="N594" s="108">
        <f>M594*2*H594/1000</f>
        <v>0</v>
      </c>
      <c r="O594" s="121">
        <f>(D594)-N594</f>
        <v>2.75</v>
      </c>
      <c r="P594" s="121">
        <f>(I594*J594*O594)+L594</f>
        <v>8.25</v>
      </c>
      <c r="Q594" s="113" t="str">
        <f t="shared" si="48"/>
        <v/>
      </c>
      <c r="R594" s="113" t="str">
        <f t="shared" si="49"/>
        <v/>
      </c>
      <c r="S594" s="113" t="str">
        <f t="shared" si="50"/>
        <v/>
      </c>
      <c r="T594" s="113" t="str">
        <f t="shared" si="51"/>
        <v/>
      </c>
      <c r="U594" s="113">
        <f t="shared" si="52"/>
        <v>8.25</v>
      </c>
      <c r="V594" s="113" t="str">
        <f t="shared" si="53"/>
        <v/>
      </c>
      <c r="W594" s="114"/>
    </row>
    <row r="595" spans="1:23">
      <c r="A595" s="101"/>
      <c r="B595" s="130" t="s">
        <v>320</v>
      </c>
      <c r="C595" s="116"/>
      <c r="D595" s="126"/>
      <c r="E595" s="126"/>
      <c r="F595" s="127"/>
      <c r="G595" s="117"/>
      <c r="H595" s="107"/>
      <c r="I595" s="108"/>
      <c r="J595" s="110"/>
      <c r="K595" s="118"/>
      <c r="L595" s="119"/>
      <c r="M595" s="120"/>
      <c r="N595" s="108"/>
      <c r="O595" s="121"/>
      <c r="P595" s="121"/>
      <c r="Q595" s="113" t="str">
        <f t="shared" si="48"/>
        <v/>
      </c>
      <c r="R595" s="113" t="str">
        <f t="shared" si="49"/>
        <v/>
      </c>
      <c r="S595" s="113" t="str">
        <f t="shared" si="50"/>
        <v/>
      </c>
      <c r="T595" s="113" t="str">
        <f t="shared" si="51"/>
        <v/>
      </c>
      <c r="U595" s="113" t="str">
        <f t="shared" si="52"/>
        <v/>
      </c>
      <c r="V595" s="113" t="str">
        <f t="shared" si="53"/>
        <v/>
      </c>
      <c r="W595" s="114"/>
    </row>
    <row r="596" spans="1:23">
      <c r="A596" s="101"/>
      <c r="B596" s="130"/>
      <c r="C596" s="116"/>
      <c r="D596" s="126"/>
      <c r="E596" s="126"/>
      <c r="F596" s="127"/>
      <c r="G596" s="117"/>
      <c r="H596" s="107"/>
      <c r="I596" s="108"/>
      <c r="J596" s="110"/>
      <c r="K596" s="118"/>
      <c r="L596" s="119"/>
      <c r="M596" s="120"/>
      <c r="N596" s="108"/>
      <c r="O596" s="121"/>
      <c r="P596" s="121"/>
      <c r="Q596" s="113" t="str">
        <f t="shared" si="48"/>
        <v/>
      </c>
      <c r="R596" s="113" t="str">
        <f t="shared" si="49"/>
        <v/>
      </c>
      <c r="S596" s="113" t="str">
        <f t="shared" si="50"/>
        <v/>
      </c>
      <c r="T596" s="113" t="str">
        <f t="shared" si="51"/>
        <v/>
      </c>
      <c r="U596" s="113" t="str">
        <f t="shared" si="52"/>
        <v/>
      </c>
      <c r="V596" s="113" t="str">
        <f t="shared" si="53"/>
        <v/>
      </c>
      <c r="W596" s="114"/>
    </row>
    <row r="597" spans="1:23" ht="15" customHeight="1">
      <c r="A597" s="101">
        <v>141</v>
      </c>
      <c r="B597" s="130" t="s">
        <v>337</v>
      </c>
      <c r="C597" s="131"/>
      <c r="D597" s="538">
        <v>2.75</v>
      </c>
      <c r="E597" s="538"/>
      <c r="F597" s="127"/>
      <c r="G597" s="117"/>
      <c r="H597" s="107">
        <v>20</v>
      </c>
      <c r="I597" s="108">
        <v>1</v>
      </c>
      <c r="J597" s="110">
        <v>3</v>
      </c>
      <c r="K597" s="118">
        <f>D597</f>
        <v>2.75</v>
      </c>
      <c r="L597" s="119" t="str">
        <f>IF(O597&lt;12,"0",0.049*H597)</f>
        <v>0</v>
      </c>
      <c r="M597" s="120">
        <v>0</v>
      </c>
      <c r="N597" s="108">
        <f>M597*2*H597/1000</f>
        <v>0</v>
      </c>
      <c r="O597" s="121">
        <f>(D597)-N597</f>
        <v>2.75</v>
      </c>
      <c r="P597" s="121">
        <f>(I597*J597*O597)+L597</f>
        <v>8.25</v>
      </c>
      <c r="Q597" s="113" t="str">
        <f t="shared" si="48"/>
        <v/>
      </c>
      <c r="R597" s="113" t="str">
        <f t="shared" si="49"/>
        <v/>
      </c>
      <c r="S597" s="113" t="str">
        <f t="shared" si="50"/>
        <v/>
      </c>
      <c r="T597" s="113" t="str">
        <f t="shared" si="51"/>
        <v/>
      </c>
      <c r="U597" s="113">
        <f t="shared" si="52"/>
        <v>8.25</v>
      </c>
      <c r="V597" s="113" t="str">
        <f t="shared" si="53"/>
        <v/>
      </c>
      <c r="W597" s="114"/>
    </row>
    <row r="598" spans="1:23">
      <c r="A598" s="101"/>
      <c r="B598" s="130" t="s">
        <v>322</v>
      </c>
      <c r="C598" s="116"/>
      <c r="D598" s="126"/>
      <c r="E598" s="126"/>
      <c r="F598" s="127"/>
      <c r="G598" s="117"/>
      <c r="H598" s="107"/>
      <c r="I598" s="108"/>
      <c r="J598" s="110"/>
      <c r="K598" s="118"/>
      <c r="L598" s="119"/>
      <c r="M598" s="120"/>
      <c r="N598" s="108"/>
      <c r="O598" s="121"/>
      <c r="P598" s="121"/>
      <c r="Q598" s="113" t="str">
        <f t="shared" si="48"/>
        <v/>
      </c>
      <c r="R598" s="113" t="str">
        <f t="shared" si="49"/>
        <v/>
      </c>
      <c r="S598" s="113" t="str">
        <f t="shared" si="50"/>
        <v/>
      </c>
      <c r="T598" s="113" t="str">
        <f t="shared" si="51"/>
        <v/>
      </c>
      <c r="U598" s="113" t="str">
        <f t="shared" si="52"/>
        <v/>
      </c>
      <c r="V598" s="113" t="str">
        <f t="shared" si="53"/>
        <v/>
      </c>
      <c r="W598" s="114"/>
    </row>
    <row r="599" spans="1:23">
      <c r="A599" s="101"/>
      <c r="B599" s="130"/>
      <c r="C599" s="116"/>
      <c r="D599" s="126"/>
      <c r="E599" s="126"/>
      <c r="F599" s="127"/>
      <c r="G599" s="117"/>
      <c r="H599" s="107"/>
      <c r="I599" s="108"/>
      <c r="J599" s="110"/>
      <c r="K599" s="118"/>
      <c r="L599" s="119"/>
      <c r="M599" s="120"/>
      <c r="N599" s="108"/>
      <c r="O599" s="121"/>
      <c r="P599" s="121"/>
      <c r="Q599" s="113" t="str">
        <f t="shared" si="48"/>
        <v/>
      </c>
      <c r="R599" s="113" t="str">
        <f t="shared" si="49"/>
        <v/>
      </c>
      <c r="S599" s="113" t="str">
        <f t="shared" si="50"/>
        <v/>
      </c>
      <c r="T599" s="113" t="str">
        <f t="shared" si="51"/>
        <v/>
      </c>
      <c r="U599" s="113" t="str">
        <f t="shared" si="52"/>
        <v/>
      </c>
      <c r="V599" s="113" t="str">
        <f t="shared" si="53"/>
        <v/>
      </c>
      <c r="W599" s="114"/>
    </row>
    <row r="600" spans="1:23" ht="15" customHeight="1">
      <c r="A600" s="101">
        <v>142</v>
      </c>
      <c r="B600" s="130" t="s">
        <v>337</v>
      </c>
      <c r="C600" s="131"/>
      <c r="D600" s="538">
        <v>3.25</v>
      </c>
      <c r="E600" s="538"/>
      <c r="F600" s="127"/>
      <c r="G600" s="117"/>
      <c r="H600" s="107">
        <v>20</v>
      </c>
      <c r="I600" s="108">
        <v>1</v>
      </c>
      <c r="J600" s="110">
        <v>3</v>
      </c>
      <c r="K600" s="118">
        <f>D600</f>
        <v>3.25</v>
      </c>
      <c r="L600" s="119" t="str">
        <f>IF(O600&lt;12,"0",0.049*H600)</f>
        <v>0</v>
      </c>
      <c r="M600" s="120">
        <v>0</v>
      </c>
      <c r="N600" s="108">
        <f>M600*2*H600/1000</f>
        <v>0</v>
      </c>
      <c r="O600" s="121">
        <f>(D600)-N600</f>
        <v>3.25</v>
      </c>
      <c r="P600" s="121">
        <f>(I600*J600*O600)+L600</f>
        <v>9.75</v>
      </c>
      <c r="Q600" s="113" t="str">
        <f t="shared" si="48"/>
        <v/>
      </c>
      <c r="R600" s="113" t="str">
        <f t="shared" si="49"/>
        <v/>
      </c>
      <c r="S600" s="113" t="str">
        <f t="shared" si="50"/>
        <v/>
      </c>
      <c r="T600" s="113" t="str">
        <f t="shared" si="51"/>
        <v/>
      </c>
      <c r="U600" s="113">
        <f t="shared" si="52"/>
        <v>9.75</v>
      </c>
      <c r="V600" s="113" t="str">
        <f t="shared" si="53"/>
        <v/>
      </c>
      <c r="W600" s="114"/>
    </row>
    <row r="601" spans="1:23">
      <c r="A601" s="101"/>
      <c r="B601" s="130" t="s">
        <v>339</v>
      </c>
      <c r="C601" s="116"/>
      <c r="D601" s="126"/>
      <c r="E601" s="126"/>
      <c r="F601" s="127"/>
      <c r="G601" s="117"/>
      <c r="H601" s="107"/>
      <c r="I601" s="108"/>
      <c r="J601" s="110"/>
      <c r="K601" s="118"/>
      <c r="L601" s="119"/>
      <c r="M601" s="120"/>
      <c r="N601" s="108"/>
      <c r="O601" s="121"/>
      <c r="P601" s="121"/>
      <c r="Q601" s="113" t="str">
        <f t="shared" si="48"/>
        <v/>
      </c>
      <c r="R601" s="113" t="str">
        <f t="shared" si="49"/>
        <v/>
      </c>
      <c r="S601" s="113" t="str">
        <f t="shared" si="50"/>
        <v/>
      </c>
      <c r="T601" s="113" t="str">
        <f t="shared" si="51"/>
        <v/>
      </c>
      <c r="U601" s="113" t="str">
        <f t="shared" si="52"/>
        <v/>
      </c>
      <c r="V601" s="113" t="str">
        <f t="shared" si="53"/>
        <v/>
      </c>
      <c r="W601" s="114"/>
    </row>
    <row r="602" spans="1:23">
      <c r="A602" s="101"/>
      <c r="B602" s="130"/>
      <c r="C602" s="116"/>
      <c r="D602" s="126"/>
      <c r="E602" s="126"/>
      <c r="F602" s="127"/>
      <c r="G602" s="117"/>
      <c r="H602" s="107"/>
      <c r="I602" s="108"/>
      <c r="J602" s="110"/>
      <c r="K602" s="118"/>
      <c r="L602" s="119"/>
      <c r="M602" s="120"/>
      <c r="N602" s="108"/>
      <c r="O602" s="121"/>
      <c r="P602" s="121"/>
      <c r="Q602" s="113" t="str">
        <f t="shared" si="48"/>
        <v/>
      </c>
      <c r="R602" s="113" t="str">
        <f t="shared" si="49"/>
        <v/>
      </c>
      <c r="S602" s="113" t="str">
        <f t="shared" si="50"/>
        <v/>
      </c>
      <c r="T602" s="113" t="str">
        <f t="shared" si="51"/>
        <v/>
      </c>
      <c r="U602" s="113" t="str">
        <f t="shared" si="52"/>
        <v/>
      </c>
      <c r="V602" s="113" t="str">
        <f t="shared" si="53"/>
        <v/>
      </c>
      <c r="W602" s="114"/>
    </row>
    <row r="603" spans="1:23" ht="15" customHeight="1">
      <c r="A603" s="101">
        <v>143</v>
      </c>
      <c r="B603" s="130" t="s">
        <v>337</v>
      </c>
      <c r="C603" s="131"/>
      <c r="D603" s="538">
        <v>2.75</v>
      </c>
      <c r="E603" s="538"/>
      <c r="F603" s="127"/>
      <c r="G603" s="117"/>
      <c r="H603" s="107">
        <v>20</v>
      </c>
      <c r="I603" s="108">
        <v>1</v>
      </c>
      <c r="J603" s="110">
        <v>3</v>
      </c>
      <c r="K603" s="118">
        <f>D603</f>
        <v>2.75</v>
      </c>
      <c r="L603" s="119" t="str">
        <f>IF(O603&lt;12,"0",0.049*H603)</f>
        <v>0</v>
      </c>
      <c r="M603" s="120">
        <v>0</v>
      </c>
      <c r="N603" s="108">
        <f>M603*2*H603/1000</f>
        <v>0</v>
      </c>
      <c r="O603" s="121">
        <f>(D603)-N603</f>
        <v>2.75</v>
      </c>
      <c r="P603" s="121">
        <f>(I603*J603*O603)+L603</f>
        <v>8.25</v>
      </c>
      <c r="Q603" s="113" t="str">
        <f t="shared" si="48"/>
        <v/>
      </c>
      <c r="R603" s="113" t="str">
        <f t="shared" si="49"/>
        <v/>
      </c>
      <c r="S603" s="113" t="str">
        <f t="shared" si="50"/>
        <v/>
      </c>
      <c r="T603" s="113" t="str">
        <f t="shared" si="51"/>
        <v/>
      </c>
      <c r="U603" s="113">
        <f t="shared" si="52"/>
        <v>8.25</v>
      </c>
      <c r="V603" s="113" t="str">
        <f t="shared" si="53"/>
        <v/>
      </c>
      <c r="W603" s="114"/>
    </row>
    <row r="604" spans="1:23">
      <c r="A604" s="101"/>
      <c r="B604" s="130" t="s">
        <v>340</v>
      </c>
      <c r="C604" s="116"/>
      <c r="D604" s="126"/>
      <c r="E604" s="126"/>
      <c r="F604" s="127"/>
      <c r="G604" s="117"/>
      <c r="H604" s="107"/>
      <c r="I604" s="108"/>
      <c r="J604" s="110"/>
      <c r="K604" s="118"/>
      <c r="L604" s="119"/>
      <c r="M604" s="120"/>
      <c r="N604" s="108"/>
      <c r="O604" s="121"/>
      <c r="P604" s="121"/>
      <c r="Q604" s="113" t="str">
        <f t="shared" si="48"/>
        <v/>
      </c>
      <c r="R604" s="113" t="str">
        <f t="shared" si="49"/>
        <v/>
      </c>
      <c r="S604" s="113" t="str">
        <f t="shared" si="50"/>
        <v/>
      </c>
      <c r="T604" s="113" t="str">
        <f t="shared" si="51"/>
        <v/>
      </c>
      <c r="U604" s="113" t="str">
        <f t="shared" si="52"/>
        <v/>
      </c>
      <c r="V604" s="113" t="str">
        <f t="shared" si="53"/>
        <v/>
      </c>
      <c r="W604" s="114"/>
    </row>
    <row r="605" spans="1:23">
      <c r="A605" s="101"/>
      <c r="B605" s="130"/>
      <c r="C605" s="116"/>
      <c r="D605" s="126"/>
      <c r="E605" s="126"/>
      <c r="F605" s="127"/>
      <c r="G605" s="117"/>
      <c r="H605" s="107"/>
      <c r="I605" s="108"/>
      <c r="J605" s="110"/>
      <c r="K605" s="118"/>
      <c r="L605" s="119"/>
      <c r="M605" s="120"/>
      <c r="N605" s="108"/>
      <c r="O605" s="121"/>
      <c r="P605" s="121"/>
      <c r="Q605" s="113" t="str">
        <f t="shared" si="48"/>
        <v/>
      </c>
      <c r="R605" s="113" t="str">
        <f t="shared" si="49"/>
        <v/>
      </c>
      <c r="S605" s="113" t="str">
        <f t="shared" si="50"/>
        <v/>
      </c>
      <c r="T605" s="113" t="str">
        <f t="shared" si="51"/>
        <v/>
      </c>
      <c r="U605" s="113" t="str">
        <f t="shared" si="52"/>
        <v/>
      </c>
      <c r="V605" s="113" t="str">
        <f t="shared" si="53"/>
        <v/>
      </c>
      <c r="W605" s="114"/>
    </row>
    <row r="606" spans="1:23" ht="15" customHeight="1">
      <c r="A606" s="101">
        <v>144</v>
      </c>
      <c r="B606" s="130" t="s">
        <v>337</v>
      </c>
      <c r="C606" s="131"/>
      <c r="D606" s="538">
        <v>2.75</v>
      </c>
      <c r="E606" s="538"/>
      <c r="F606" s="127"/>
      <c r="G606" s="117"/>
      <c r="H606" s="107">
        <v>20</v>
      </c>
      <c r="I606" s="108">
        <v>1</v>
      </c>
      <c r="J606" s="110">
        <v>3</v>
      </c>
      <c r="K606" s="118">
        <f>D606</f>
        <v>2.75</v>
      </c>
      <c r="L606" s="119" t="str">
        <f>IF(O606&lt;12,"0",0.049*H606)</f>
        <v>0</v>
      </c>
      <c r="M606" s="120">
        <v>0</v>
      </c>
      <c r="N606" s="108">
        <f>M606*2*H606/1000</f>
        <v>0</v>
      </c>
      <c r="O606" s="121">
        <f>(D606)-N606</f>
        <v>2.75</v>
      </c>
      <c r="P606" s="121">
        <f>(I606*J606*O606)+L606</f>
        <v>8.25</v>
      </c>
      <c r="Q606" s="113" t="str">
        <f t="shared" si="48"/>
        <v/>
      </c>
      <c r="R606" s="113" t="str">
        <f t="shared" si="49"/>
        <v/>
      </c>
      <c r="S606" s="113" t="str">
        <f t="shared" si="50"/>
        <v/>
      </c>
      <c r="T606" s="113" t="str">
        <f t="shared" si="51"/>
        <v/>
      </c>
      <c r="U606" s="113">
        <f t="shared" si="52"/>
        <v>8.25</v>
      </c>
      <c r="V606" s="113" t="str">
        <f t="shared" si="53"/>
        <v/>
      </c>
      <c r="W606" s="114"/>
    </row>
    <row r="607" spans="1:23">
      <c r="A607" s="101"/>
      <c r="B607" s="130" t="s">
        <v>332</v>
      </c>
      <c r="C607" s="116"/>
      <c r="D607" s="126"/>
      <c r="E607" s="126"/>
      <c r="F607" s="127"/>
      <c r="G607" s="117"/>
      <c r="H607" s="107"/>
      <c r="I607" s="108"/>
      <c r="J607" s="110"/>
      <c r="K607" s="118"/>
      <c r="L607" s="119"/>
      <c r="M607" s="120"/>
      <c r="N607" s="108"/>
      <c r="O607" s="121"/>
      <c r="P607" s="121"/>
      <c r="Q607" s="113" t="str">
        <f t="shared" si="48"/>
        <v/>
      </c>
      <c r="R607" s="113" t="str">
        <f t="shared" si="49"/>
        <v/>
      </c>
      <c r="S607" s="113" t="str">
        <f t="shared" si="50"/>
        <v/>
      </c>
      <c r="T607" s="113" t="str">
        <f t="shared" si="51"/>
        <v/>
      </c>
      <c r="U607" s="113" t="str">
        <f t="shared" si="52"/>
        <v/>
      </c>
      <c r="V607" s="113" t="str">
        <f t="shared" si="53"/>
        <v/>
      </c>
      <c r="W607" s="114"/>
    </row>
    <row r="608" spans="1:23">
      <c r="A608" s="101"/>
      <c r="B608" s="130"/>
      <c r="C608" s="116"/>
      <c r="D608" s="126"/>
      <c r="E608" s="126"/>
      <c r="F608" s="127"/>
      <c r="G608" s="117"/>
      <c r="H608" s="107"/>
      <c r="I608" s="108"/>
      <c r="J608" s="110"/>
      <c r="K608" s="118"/>
      <c r="L608" s="119"/>
      <c r="M608" s="120"/>
      <c r="N608" s="108"/>
      <c r="O608" s="121"/>
      <c r="P608" s="121"/>
      <c r="Q608" s="113" t="str">
        <f t="shared" si="48"/>
        <v/>
      </c>
      <c r="R608" s="113" t="str">
        <f t="shared" si="49"/>
        <v/>
      </c>
      <c r="S608" s="113" t="str">
        <f t="shared" si="50"/>
        <v/>
      </c>
      <c r="T608" s="113" t="str">
        <f t="shared" si="51"/>
        <v/>
      </c>
      <c r="U608" s="113" t="str">
        <f t="shared" si="52"/>
        <v/>
      </c>
      <c r="V608" s="113" t="str">
        <f t="shared" si="53"/>
        <v/>
      </c>
      <c r="W608" s="114"/>
    </row>
    <row r="609" spans="1:23" ht="15" customHeight="1">
      <c r="A609" s="101">
        <v>145</v>
      </c>
      <c r="B609" s="130" t="s">
        <v>337</v>
      </c>
      <c r="C609" s="131"/>
      <c r="D609" s="538">
        <v>2.8</v>
      </c>
      <c r="E609" s="538"/>
      <c r="F609" s="127"/>
      <c r="G609" s="117"/>
      <c r="H609" s="107">
        <v>20</v>
      </c>
      <c r="I609" s="108">
        <v>1</v>
      </c>
      <c r="J609" s="110">
        <v>3</v>
      </c>
      <c r="K609" s="118">
        <f>D609</f>
        <v>2.8</v>
      </c>
      <c r="L609" s="119" t="str">
        <f>IF(O609&lt;12,"0",0.049*H609)</f>
        <v>0</v>
      </c>
      <c r="M609" s="120">
        <v>0</v>
      </c>
      <c r="N609" s="108">
        <f>M609*2*H609/1000</f>
        <v>0</v>
      </c>
      <c r="O609" s="121">
        <f>(D609)-N609</f>
        <v>2.8</v>
      </c>
      <c r="P609" s="121">
        <f>(I609*J609*O609)+L609</f>
        <v>8.3999999999999986</v>
      </c>
      <c r="Q609" s="113" t="str">
        <f t="shared" si="48"/>
        <v/>
      </c>
      <c r="R609" s="113" t="str">
        <f t="shared" si="49"/>
        <v/>
      </c>
      <c r="S609" s="113" t="str">
        <f t="shared" si="50"/>
        <v/>
      </c>
      <c r="T609" s="113" t="str">
        <f t="shared" si="51"/>
        <v/>
      </c>
      <c r="U609" s="113">
        <f t="shared" si="52"/>
        <v>8.3999999999999986</v>
      </c>
      <c r="V609" s="113" t="str">
        <f t="shared" si="53"/>
        <v/>
      </c>
      <c r="W609" s="114"/>
    </row>
    <row r="610" spans="1:23">
      <c r="A610" s="101"/>
      <c r="B610" s="130" t="s">
        <v>332</v>
      </c>
      <c r="C610" s="116"/>
      <c r="D610" s="126"/>
      <c r="E610" s="126"/>
      <c r="F610" s="127"/>
      <c r="G610" s="117"/>
      <c r="H610" s="107"/>
      <c r="I610" s="108"/>
      <c r="J610" s="110"/>
      <c r="K610" s="118"/>
      <c r="L610" s="119"/>
      <c r="M610" s="120"/>
      <c r="N610" s="108"/>
      <c r="O610" s="121"/>
      <c r="P610" s="121"/>
      <c r="Q610" s="113" t="str">
        <f t="shared" si="48"/>
        <v/>
      </c>
      <c r="R610" s="113" t="str">
        <f t="shared" si="49"/>
        <v/>
      </c>
      <c r="S610" s="113" t="str">
        <f t="shared" si="50"/>
        <v/>
      </c>
      <c r="T610" s="113" t="str">
        <f t="shared" si="51"/>
        <v/>
      </c>
      <c r="U610" s="113" t="str">
        <f t="shared" si="52"/>
        <v/>
      </c>
      <c r="V610" s="113" t="str">
        <f t="shared" si="53"/>
        <v/>
      </c>
      <c r="W610" s="114"/>
    </row>
    <row r="611" spans="1:23">
      <c r="A611" s="101"/>
      <c r="B611" s="130"/>
      <c r="C611" s="116"/>
      <c r="D611" s="126"/>
      <c r="E611" s="126"/>
      <c r="F611" s="127"/>
      <c r="G611" s="117"/>
      <c r="H611" s="107"/>
      <c r="I611" s="108"/>
      <c r="J611" s="110"/>
      <c r="K611" s="118"/>
      <c r="L611" s="119"/>
      <c r="M611" s="120"/>
      <c r="N611" s="108"/>
      <c r="O611" s="121"/>
      <c r="P611" s="121"/>
      <c r="Q611" s="113" t="str">
        <f t="shared" si="48"/>
        <v/>
      </c>
      <c r="R611" s="113" t="str">
        <f t="shared" si="49"/>
        <v/>
      </c>
      <c r="S611" s="113" t="str">
        <f t="shared" si="50"/>
        <v/>
      </c>
      <c r="T611" s="113" t="str">
        <f t="shared" si="51"/>
        <v/>
      </c>
      <c r="U611" s="113" t="str">
        <f t="shared" si="52"/>
        <v/>
      </c>
      <c r="V611" s="113" t="str">
        <f t="shared" si="53"/>
        <v/>
      </c>
      <c r="W611" s="114"/>
    </row>
    <row r="612" spans="1:23" ht="15" customHeight="1">
      <c r="A612" s="101">
        <v>146</v>
      </c>
      <c r="B612" s="130" t="s">
        <v>337</v>
      </c>
      <c r="C612" s="131"/>
      <c r="D612" s="538">
        <v>6.165</v>
      </c>
      <c r="E612" s="538"/>
      <c r="F612" s="127"/>
      <c r="G612" s="117"/>
      <c r="H612" s="107">
        <v>20</v>
      </c>
      <c r="I612" s="108">
        <v>1</v>
      </c>
      <c r="J612" s="110">
        <v>4</v>
      </c>
      <c r="K612" s="118">
        <f>D612</f>
        <v>6.165</v>
      </c>
      <c r="L612" s="119" t="str">
        <f>IF(O612&lt;12,"0",0.049*H612)</f>
        <v>0</v>
      </c>
      <c r="M612" s="120">
        <v>0</v>
      </c>
      <c r="N612" s="108">
        <f>M612*2*H612/1000</f>
        <v>0</v>
      </c>
      <c r="O612" s="121">
        <f>(D612)-N612</f>
        <v>6.165</v>
      </c>
      <c r="P612" s="121">
        <f>(I612*J612*O612)+L612</f>
        <v>24.66</v>
      </c>
      <c r="Q612" s="113" t="str">
        <f t="shared" si="48"/>
        <v/>
      </c>
      <c r="R612" s="113" t="str">
        <f t="shared" si="49"/>
        <v/>
      </c>
      <c r="S612" s="113" t="str">
        <f t="shared" si="50"/>
        <v/>
      </c>
      <c r="T612" s="113" t="str">
        <f t="shared" si="51"/>
        <v/>
      </c>
      <c r="U612" s="113">
        <f t="shared" si="52"/>
        <v>24.66</v>
      </c>
      <c r="V612" s="113" t="str">
        <f t="shared" si="53"/>
        <v/>
      </c>
      <c r="W612" s="114"/>
    </row>
    <row r="613" spans="1:23">
      <c r="A613" s="101"/>
      <c r="B613" s="133" t="s">
        <v>336</v>
      </c>
      <c r="C613" s="116"/>
      <c r="D613" s="126"/>
      <c r="E613" s="126"/>
      <c r="F613" s="127"/>
      <c r="G613" s="117"/>
      <c r="H613" s="107"/>
      <c r="I613" s="108"/>
      <c r="J613" s="110"/>
      <c r="K613" s="118"/>
      <c r="L613" s="119"/>
      <c r="M613" s="120"/>
      <c r="N613" s="108"/>
      <c r="O613" s="121"/>
      <c r="P613" s="121"/>
      <c r="Q613" s="113" t="str">
        <f t="shared" si="48"/>
        <v/>
      </c>
      <c r="R613" s="113" t="str">
        <f t="shared" si="49"/>
        <v/>
      </c>
      <c r="S613" s="113" t="str">
        <f t="shared" si="50"/>
        <v/>
      </c>
      <c r="T613" s="113" t="str">
        <f t="shared" si="51"/>
        <v/>
      </c>
      <c r="U613" s="113" t="str">
        <f t="shared" si="52"/>
        <v/>
      </c>
      <c r="V613" s="113" t="str">
        <f t="shared" si="53"/>
        <v/>
      </c>
      <c r="W613" s="114"/>
    </row>
    <row r="614" spans="1:23">
      <c r="A614" s="101"/>
      <c r="B614" s="130"/>
      <c r="C614" s="116"/>
      <c r="D614" s="126"/>
      <c r="E614" s="126"/>
      <c r="F614" s="127"/>
      <c r="G614" s="117"/>
      <c r="H614" s="107"/>
      <c r="I614" s="108"/>
      <c r="J614" s="110"/>
      <c r="K614" s="118"/>
      <c r="L614" s="119"/>
      <c r="M614" s="120"/>
      <c r="N614" s="108"/>
      <c r="O614" s="121"/>
      <c r="P614" s="121"/>
      <c r="Q614" s="113" t="str">
        <f t="shared" si="48"/>
        <v/>
      </c>
      <c r="R614" s="113" t="str">
        <f t="shared" si="49"/>
        <v/>
      </c>
      <c r="S614" s="113" t="str">
        <f t="shared" si="50"/>
        <v/>
      </c>
      <c r="T614" s="113" t="str">
        <f t="shared" si="51"/>
        <v/>
      </c>
      <c r="U614" s="113" t="str">
        <f t="shared" si="52"/>
        <v/>
      </c>
      <c r="V614" s="113" t="str">
        <f t="shared" si="53"/>
        <v/>
      </c>
      <c r="W614" s="114"/>
    </row>
    <row r="615" spans="1:23">
      <c r="A615" s="101"/>
      <c r="B615" s="112" t="s">
        <v>341</v>
      </c>
      <c r="C615" s="116"/>
      <c r="D615" s="126"/>
      <c r="E615" s="126"/>
      <c r="F615" s="127"/>
      <c r="G615" s="117"/>
      <c r="H615" s="107"/>
      <c r="I615" s="108"/>
      <c r="J615" s="110"/>
      <c r="K615" s="118"/>
      <c r="L615" s="119"/>
      <c r="M615" s="120"/>
      <c r="N615" s="108"/>
      <c r="O615" s="121"/>
      <c r="P615" s="121"/>
      <c r="Q615" s="113" t="str">
        <f t="shared" si="48"/>
        <v/>
      </c>
      <c r="R615" s="113" t="str">
        <f t="shared" si="49"/>
        <v/>
      </c>
      <c r="S615" s="113" t="str">
        <f t="shared" si="50"/>
        <v/>
      </c>
      <c r="T615" s="113" t="str">
        <f t="shared" si="51"/>
        <v/>
      </c>
      <c r="U615" s="113" t="str">
        <f t="shared" si="52"/>
        <v/>
      </c>
      <c r="V615" s="113" t="str">
        <f t="shared" si="53"/>
        <v/>
      </c>
      <c r="W615" s="114"/>
    </row>
    <row r="616" spans="1:23" ht="15" customHeight="1">
      <c r="A616" s="101">
        <v>1</v>
      </c>
      <c r="B616" s="130" t="s">
        <v>433</v>
      </c>
      <c r="C616" s="131"/>
      <c r="D616" s="538">
        <v>2.4249999999999998</v>
      </c>
      <c r="E616" s="538"/>
      <c r="F616" s="127"/>
      <c r="G616" s="117">
        <v>0.25</v>
      </c>
      <c r="H616" s="107">
        <v>20</v>
      </c>
      <c r="I616" s="108">
        <v>1</v>
      </c>
      <c r="J616" s="110">
        <f>ROUND(5.6/G616+1,0)</f>
        <v>23</v>
      </c>
      <c r="K616" s="118">
        <f>D616</f>
        <v>2.4249999999999998</v>
      </c>
      <c r="L616" s="119" t="str">
        <f>IF(O616&lt;12,"0",0.049*H616)</f>
        <v>0</v>
      </c>
      <c r="M616" s="120">
        <v>0</v>
      </c>
      <c r="N616" s="108">
        <f>M616*2*H616/1000</f>
        <v>0</v>
      </c>
      <c r="O616" s="121">
        <f>(D616)-N616</f>
        <v>2.4249999999999998</v>
      </c>
      <c r="P616" s="121">
        <f>(I616*J616*O616)+L616</f>
        <v>55.774999999999999</v>
      </c>
      <c r="Q616" s="113" t="str">
        <f t="shared" si="48"/>
        <v/>
      </c>
      <c r="R616" s="113" t="str">
        <f t="shared" si="49"/>
        <v/>
      </c>
      <c r="S616" s="113" t="str">
        <f t="shared" si="50"/>
        <v/>
      </c>
      <c r="T616" s="113" t="str">
        <f t="shared" si="51"/>
        <v/>
      </c>
      <c r="U616" s="113">
        <f t="shared" si="52"/>
        <v>55.774999999999999</v>
      </c>
      <c r="V616" s="113" t="str">
        <f t="shared" si="53"/>
        <v/>
      </c>
      <c r="W616" s="114"/>
    </row>
    <row r="617" spans="1:23">
      <c r="A617" s="101"/>
      <c r="B617" s="130" t="s">
        <v>342</v>
      </c>
      <c r="C617" s="116"/>
      <c r="D617" s="126"/>
      <c r="E617" s="126"/>
      <c r="F617" s="127"/>
      <c r="G617" s="117"/>
      <c r="H617" s="107"/>
      <c r="I617" s="108"/>
      <c r="J617" s="110"/>
      <c r="K617" s="118"/>
      <c r="L617" s="119"/>
      <c r="M617" s="120"/>
      <c r="N617" s="108"/>
      <c r="O617" s="121"/>
      <c r="P617" s="121"/>
      <c r="Q617" s="113" t="str">
        <f t="shared" si="48"/>
        <v/>
      </c>
      <c r="R617" s="113" t="str">
        <f t="shared" si="49"/>
        <v/>
      </c>
      <c r="S617" s="113" t="str">
        <f t="shared" si="50"/>
        <v/>
      </c>
      <c r="T617" s="113" t="str">
        <f t="shared" si="51"/>
        <v/>
      </c>
      <c r="U617" s="113" t="str">
        <f t="shared" si="52"/>
        <v/>
      </c>
      <c r="V617" s="113" t="str">
        <f t="shared" si="53"/>
        <v/>
      </c>
      <c r="W617" s="114"/>
    </row>
    <row r="618" spans="1:23">
      <c r="A618" s="101"/>
      <c r="B618" s="132"/>
      <c r="C618" s="116"/>
      <c r="D618" s="126"/>
      <c r="E618" s="126"/>
      <c r="F618" s="127"/>
      <c r="G618" s="117"/>
      <c r="H618" s="107"/>
      <c r="I618" s="108"/>
      <c r="J618" s="110"/>
      <c r="K618" s="118"/>
      <c r="L618" s="119"/>
      <c r="M618" s="120"/>
      <c r="N618" s="108"/>
      <c r="O618" s="121"/>
      <c r="P618" s="121"/>
      <c r="Q618" s="113" t="str">
        <f t="shared" si="48"/>
        <v/>
      </c>
      <c r="R618" s="113" t="str">
        <f t="shared" si="49"/>
        <v/>
      </c>
      <c r="S618" s="113" t="str">
        <f t="shared" si="50"/>
        <v/>
      </c>
      <c r="T618" s="113" t="str">
        <f t="shared" si="51"/>
        <v/>
      </c>
      <c r="U618" s="113" t="str">
        <f t="shared" si="52"/>
        <v/>
      </c>
      <c r="V618" s="113" t="str">
        <f t="shared" si="53"/>
        <v/>
      </c>
      <c r="W618" s="114"/>
    </row>
    <row r="619" spans="1:23" ht="15" customHeight="1">
      <c r="A619" s="101">
        <v>2</v>
      </c>
      <c r="B619" s="130" t="s">
        <v>434</v>
      </c>
      <c r="C619" s="131"/>
      <c r="D619" s="538">
        <v>3.95</v>
      </c>
      <c r="E619" s="538"/>
      <c r="F619" s="127"/>
      <c r="G619" s="117">
        <v>0.25</v>
      </c>
      <c r="H619" s="107">
        <v>16</v>
      </c>
      <c r="I619" s="108">
        <v>1</v>
      </c>
      <c r="J619" s="110">
        <f>ROUND(2.425/G619+1,0)</f>
        <v>11</v>
      </c>
      <c r="K619" s="118">
        <f>D619</f>
        <v>3.95</v>
      </c>
      <c r="L619" s="119" t="str">
        <f>IF(O619&lt;12,"0",0.049*H619)</f>
        <v>0</v>
      </c>
      <c r="M619" s="120">
        <v>0</v>
      </c>
      <c r="N619" s="108">
        <f>M619*2*H619/1000</f>
        <v>0</v>
      </c>
      <c r="O619" s="121">
        <f>(D619)-N619</f>
        <v>3.95</v>
      </c>
      <c r="P619" s="121">
        <f>(I619*J619*O619)+L619</f>
        <v>43.45</v>
      </c>
      <c r="Q619" s="113" t="str">
        <f t="shared" si="48"/>
        <v/>
      </c>
      <c r="R619" s="113" t="str">
        <f t="shared" si="49"/>
        <v/>
      </c>
      <c r="S619" s="113" t="str">
        <f t="shared" si="50"/>
        <v/>
      </c>
      <c r="T619" s="113">
        <f t="shared" si="51"/>
        <v>43.45</v>
      </c>
      <c r="U619" s="113" t="str">
        <f t="shared" si="52"/>
        <v/>
      </c>
      <c r="V619" s="113" t="str">
        <f t="shared" si="53"/>
        <v/>
      </c>
      <c r="W619" s="114"/>
    </row>
    <row r="620" spans="1:23">
      <c r="A620" s="101"/>
      <c r="B620" s="130" t="s">
        <v>342</v>
      </c>
      <c r="C620" s="116"/>
      <c r="D620" s="126"/>
      <c r="E620" s="126"/>
      <c r="F620" s="127"/>
      <c r="G620" s="117"/>
      <c r="H620" s="107"/>
      <c r="I620" s="108"/>
      <c r="J620" s="110"/>
      <c r="K620" s="118"/>
      <c r="L620" s="119"/>
      <c r="M620" s="120"/>
      <c r="N620" s="108"/>
      <c r="O620" s="121"/>
      <c r="P620" s="121"/>
      <c r="Q620" s="113" t="str">
        <f t="shared" si="48"/>
        <v/>
      </c>
      <c r="R620" s="113" t="str">
        <f t="shared" si="49"/>
        <v/>
      </c>
      <c r="S620" s="113" t="str">
        <f t="shared" si="50"/>
        <v/>
      </c>
      <c r="T620" s="113" t="str">
        <f t="shared" si="51"/>
        <v/>
      </c>
      <c r="U620" s="113" t="str">
        <f t="shared" si="52"/>
        <v/>
      </c>
      <c r="V620" s="113" t="str">
        <f t="shared" si="53"/>
        <v/>
      </c>
      <c r="W620" s="114"/>
    </row>
    <row r="621" spans="1:23">
      <c r="A621" s="101"/>
      <c r="B621" s="132"/>
      <c r="C621" s="116"/>
      <c r="D621" s="126"/>
      <c r="E621" s="126"/>
      <c r="F621" s="127"/>
      <c r="G621" s="117"/>
      <c r="H621" s="107"/>
      <c r="I621" s="108"/>
      <c r="J621" s="110"/>
      <c r="K621" s="118"/>
      <c r="L621" s="119"/>
      <c r="M621" s="120"/>
      <c r="N621" s="108"/>
      <c r="O621" s="121"/>
      <c r="P621" s="121"/>
      <c r="Q621" s="113" t="str">
        <f t="shared" si="48"/>
        <v/>
      </c>
      <c r="R621" s="113" t="str">
        <f t="shared" si="49"/>
        <v/>
      </c>
      <c r="S621" s="113" t="str">
        <f t="shared" si="50"/>
        <v/>
      </c>
      <c r="T621" s="113" t="str">
        <f t="shared" si="51"/>
        <v/>
      </c>
      <c r="U621" s="113" t="str">
        <f t="shared" si="52"/>
        <v/>
      </c>
      <c r="V621" s="113" t="str">
        <f t="shared" si="53"/>
        <v/>
      </c>
      <c r="W621" s="114"/>
    </row>
    <row r="622" spans="1:23" ht="15" customHeight="1">
      <c r="A622" s="101">
        <v>3</v>
      </c>
      <c r="B622" s="130" t="s">
        <v>433</v>
      </c>
      <c r="C622" s="131"/>
      <c r="D622" s="538">
        <v>2.2000000000000002</v>
      </c>
      <c r="E622" s="538"/>
      <c r="F622" s="127"/>
      <c r="G622" s="117">
        <v>0.25</v>
      </c>
      <c r="H622" s="107">
        <v>10</v>
      </c>
      <c r="I622" s="108">
        <v>1</v>
      </c>
      <c r="J622" s="110">
        <f>ROUND(7.515/G622+1,0)</f>
        <v>31</v>
      </c>
      <c r="K622" s="118">
        <f>D622</f>
        <v>2.2000000000000002</v>
      </c>
      <c r="L622" s="119" t="str">
        <f>IF(O622&lt;12,"0",0.049*H622)</f>
        <v>0</v>
      </c>
      <c r="M622" s="120">
        <v>0</v>
      </c>
      <c r="N622" s="108">
        <f>M622*2*H622/1000</f>
        <v>0</v>
      </c>
      <c r="O622" s="121">
        <f>(D622)-N622</f>
        <v>2.2000000000000002</v>
      </c>
      <c r="P622" s="121">
        <f>(I622*J622*O622)+L622</f>
        <v>68.2</v>
      </c>
      <c r="Q622" s="113" t="str">
        <f t="shared" si="48"/>
        <v/>
      </c>
      <c r="R622" s="113">
        <f t="shared" si="49"/>
        <v>68.2</v>
      </c>
      <c r="S622" s="113" t="str">
        <f t="shared" si="50"/>
        <v/>
      </c>
      <c r="T622" s="113" t="str">
        <f t="shared" si="51"/>
        <v/>
      </c>
      <c r="U622" s="113" t="str">
        <f t="shared" si="52"/>
        <v/>
      </c>
      <c r="V622" s="113" t="str">
        <f t="shared" si="53"/>
        <v/>
      </c>
      <c r="W622" s="114"/>
    </row>
    <row r="623" spans="1:23">
      <c r="A623" s="101"/>
      <c r="B623" s="130" t="s">
        <v>343</v>
      </c>
      <c r="C623" s="116"/>
      <c r="D623" s="126"/>
      <c r="E623" s="126"/>
      <c r="F623" s="127"/>
      <c r="G623" s="117"/>
      <c r="H623" s="107"/>
      <c r="I623" s="108"/>
      <c r="J623" s="110"/>
      <c r="K623" s="118"/>
      <c r="L623" s="119"/>
      <c r="M623" s="120"/>
      <c r="N623" s="108"/>
      <c r="O623" s="121"/>
      <c r="P623" s="121"/>
      <c r="Q623" s="113" t="str">
        <f t="shared" si="48"/>
        <v/>
      </c>
      <c r="R623" s="113" t="str">
        <f t="shared" si="49"/>
        <v/>
      </c>
      <c r="S623" s="113" t="str">
        <f t="shared" si="50"/>
        <v/>
      </c>
      <c r="T623" s="113" t="str">
        <f t="shared" si="51"/>
        <v/>
      </c>
      <c r="U623" s="113" t="str">
        <f t="shared" si="52"/>
        <v/>
      </c>
      <c r="V623" s="113" t="str">
        <f t="shared" si="53"/>
        <v/>
      </c>
      <c r="W623" s="114"/>
    </row>
    <row r="624" spans="1:23">
      <c r="A624" s="101"/>
      <c r="B624" s="132"/>
      <c r="C624" s="116"/>
      <c r="D624" s="126"/>
      <c r="E624" s="126"/>
      <c r="F624" s="127"/>
      <c r="G624" s="117"/>
      <c r="H624" s="107"/>
      <c r="I624" s="108"/>
      <c r="J624" s="110"/>
      <c r="K624" s="118"/>
      <c r="L624" s="119"/>
      <c r="M624" s="120"/>
      <c r="N624" s="108"/>
      <c r="O624" s="121"/>
      <c r="P624" s="121"/>
      <c r="Q624" s="113" t="str">
        <f t="shared" si="48"/>
        <v/>
      </c>
      <c r="R624" s="113" t="str">
        <f t="shared" si="49"/>
        <v/>
      </c>
      <c r="S624" s="113" t="str">
        <f t="shared" si="50"/>
        <v/>
      </c>
      <c r="T624" s="113" t="str">
        <f t="shared" si="51"/>
        <v/>
      </c>
      <c r="U624" s="113" t="str">
        <f t="shared" si="52"/>
        <v/>
      </c>
      <c r="V624" s="113" t="str">
        <f t="shared" si="53"/>
        <v/>
      </c>
      <c r="W624" s="114"/>
    </row>
    <row r="625" spans="1:23" ht="15" customHeight="1">
      <c r="A625" s="101">
        <v>4</v>
      </c>
      <c r="B625" s="130" t="s">
        <v>434</v>
      </c>
      <c r="C625" s="131"/>
      <c r="D625" s="538">
        <v>6.165</v>
      </c>
      <c r="E625" s="538"/>
      <c r="F625" s="127"/>
      <c r="G625" s="117">
        <v>0.25</v>
      </c>
      <c r="H625" s="107">
        <v>16</v>
      </c>
      <c r="I625" s="108">
        <v>1</v>
      </c>
      <c r="J625" s="110">
        <f>ROUND(2.2/G625+1,0)</f>
        <v>10</v>
      </c>
      <c r="K625" s="118">
        <f>D625</f>
        <v>6.165</v>
      </c>
      <c r="L625" s="119" t="str">
        <f>IF(O625&lt;12,"0",0.049*H625)</f>
        <v>0</v>
      </c>
      <c r="M625" s="120">
        <v>0</v>
      </c>
      <c r="N625" s="108">
        <f>M625*2*H625/1000</f>
        <v>0</v>
      </c>
      <c r="O625" s="121">
        <f>(D625)-N625</f>
        <v>6.165</v>
      </c>
      <c r="P625" s="121">
        <f>(I625*J625*O625)+L625</f>
        <v>61.65</v>
      </c>
      <c r="Q625" s="113" t="str">
        <f t="shared" si="48"/>
        <v/>
      </c>
      <c r="R625" s="113" t="str">
        <f t="shared" si="49"/>
        <v/>
      </c>
      <c r="S625" s="113" t="str">
        <f t="shared" si="50"/>
        <v/>
      </c>
      <c r="T625" s="113">
        <f t="shared" si="51"/>
        <v>61.65</v>
      </c>
      <c r="U625" s="113" t="str">
        <f t="shared" si="52"/>
        <v/>
      </c>
      <c r="V625" s="113" t="str">
        <f t="shared" si="53"/>
        <v/>
      </c>
      <c r="W625" s="114"/>
    </row>
    <row r="626" spans="1:23">
      <c r="A626" s="101"/>
      <c r="B626" s="130" t="s">
        <v>343</v>
      </c>
      <c r="C626" s="116"/>
      <c r="D626" s="126"/>
      <c r="E626" s="126"/>
      <c r="F626" s="127"/>
      <c r="G626" s="117"/>
      <c r="H626" s="107"/>
      <c r="I626" s="108"/>
      <c r="J626" s="110"/>
      <c r="K626" s="118"/>
      <c r="L626" s="119"/>
      <c r="M626" s="120"/>
      <c r="N626" s="108"/>
      <c r="O626" s="121"/>
      <c r="P626" s="121"/>
      <c r="Q626" s="113" t="str">
        <f t="shared" si="48"/>
        <v/>
      </c>
      <c r="R626" s="113" t="str">
        <f t="shared" si="49"/>
        <v/>
      </c>
      <c r="S626" s="113" t="str">
        <f t="shared" si="50"/>
        <v/>
      </c>
      <c r="T626" s="113" t="str">
        <f t="shared" si="51"/>
        <v/>
      </c>
      <c r="U626" s="113" t="str">
        <f t="shared" si="52"/>
        <v/>
      </c>
      <c r="V626" s="113" t="str">
        <f t="shared" si="53"/>
        <v/>
      </c>
      <c r="W626" s="114"/>
    </row>
    <row r="627" spans="1:23">
      <c r="A627" s="101"/>
      <c r="B627" s="132"/>
      <c r="C627" s="116"/>
      <c r="D627" s="126"/>
      <c r="E627" s="126"/>
      <c r="F627" s="127"/>
      <c r="G627" s="117"/>
      <c r="H627" s="107"/>
      <c r="I627" s="108"/>
      <c r="J627" s="110"/>
      <c r="K627" s="118"/>
      <c r="L627" s="119"/>
      <c r="M627" s="120"/>
      <c r="N627" s="108"/>
      <c r="O627" s="121"/>
      <c r="P627" s="121"/>
      <c r="Q627" s="113" t="str">
        <f t="shared" si="48"/>
        <v/>
      </c>
      <c r="R627" s="113" t="str">
        <f t="shared" si="49"/>
        <v/>
      </c>
      <c r="S627" s="113" t="str">
        <f t="shared" si="50"/>
        <v/>
      </c>
      <c r="T627" s="113" t="str">
        <f t="shared" si="51"/>
        <v/>
      </c>
      <c r="U627" s="113" t="str">
        <f t="shared" si="52"/>
        <v/>
      </c>
      <c r="V627" s="113" t="str">
        <f t="shared" si="53"/>
        <v/>
      </c>
      <c r="W627" s="114"/>
    </row>
    <row r="628" spans="1:23" ht="15" customHeight="1">
      <c r="A628" s="101">
        <v>5</v>
      </c>
      <c r="B628" s="130" t="s">
        <v>433</v>
      </c>
      <c r="C628" s="131"/>
      <c r="D628" s="538">
        <v>4.5199999999999996</v>
      </c>
      <c r="E628" s="538"/>
      <c r="F628" s="127"/>
      <c r="G628" s="117">
        <v>0.25</v>
      </c>
      <c r="H628" s="107">
        <v>12</v>
      </c>
      <c r="I628" s="108">
        <v>1</v>
      </c>
      <c r="J628" s="110">
        <f>ROUND(3.12/G628+1,0)</f>
        <v>13</v>
      </c>
      <c r="K628" s="118">
        <f>D628</f>
        <v>4.5199999999999996</v>
      </c>
      <c r="L628" s="119" t="str">
        <f>IF(O628&lt;12,"0",0.049*H628)</f>
        <v>0</v>
      </c>
      <c r="M628" s="120">
        <v>0</v>
      </c>
      <c r="N628" s="108">
        <f>M628*2*H628/1000</f>
        <v>0</v>
      </c>
      <c r="O628" s="121">
        <f>(D628)-N628</f>
        <v>4.5199999999999996</v>
      </c>
      <c r="P628" s="121">
        <f>(I628*J628*O628)+L628</f>
        <v>58.759999999999991</v>
      </c>
      <c r="Q628" s="113" t="str">
        <f t="shared" si="48"/>
        <v/>
      </c>
      <c r="R628" s="113" t="str">
        <f t="shared" si="49"/>
        <v/>
      </c>
      <c r="S628" s="113">
        <f t="shared" si="50"/>
        <v>58.759999999999991</v>
      </c>
      <c r="T628" s="113" t="str">
        <f t="shared" si="51"/>
        <v/>
      </c>
      <c r="U628" s="113" t="str">
        <f t="shared" si="52"/>
        <v/>
      </c>
      <c r="V628" s="113" t="str">
        <f t="shared" si="53"/>
        <v/>
      </c>
      <c r="W628" s="114"/>
    </row>
    <row r="629" spans="1:23">
      <c r="A629" s="101"/>
      <c r="B629" s="130" t="s">
        <v>344</v>
      </c>
      <c r="C629" s="116"/>
      <c r="D629" s="126"/>
      <c r="E629" s="126"/>
      <c r="F629" s="127"/>
      <c r="G629" s="117"/>
      <c r="H629" s="107"/>
      <c r="I629" s="108"/>
      <c r="J629" s="110"/>
      <c r="K629" s="118"/>
      <c r="L629" s="119"/>
      <c r="M629" s="120"/>
      <c r="N629" s="108"/>
      <c r="O629" s="121"/>
      <c r="P629" s="121"/>
      <c r="Q629" s="113" t="str">
        <f t="shared" si="48"/>
        <v/>
      </c>
      <c r="R629" s="113" t="str">
        <f t="shared" si="49"/>
        <v/>
      </c>
      <c r="S629" s="113" t="str">
        <f t="shared" si="50"/>
        <v/>
      </c>
      <c r="T629" s="113" t="str">
        <f t="shared" si="51"/>
        <v/>
      </c>
      <c r="U629" s="113" t="str">
        <f t="shared" si="52"/>
        <v/>
      </c>
      <c r="V629" s="113" t="str">
        <f t="shared" si="53"/>
        <v/>
      </c>
      <c r="W629" s="114"/>
    </row>
    <row r="630" spans="1:23">
      <c r="A630" s="101"/>
      <c r="B630" s="132"/>
      <c r="C630" s="116"/>
      <c r="D630" s="126"/>
      <c r="E630" s="126"/>
      <c r="F630" s="127"/>
      <c r="G630" s="117"/>
      <c r="H630" s="107"/>
      <c r="I630" s="108"/>
      <c r="J630" s="110"/>
      <c r="K630" s="118"/>
      <c r="L630" s="119"/>
      <c r="M630" s="120"/>
      <c r="N630" s="108"/>
      <c r="O630" s="121"/>
      <c r="P630" s="121"/>
      <c r="Q630" s="113" t="str">
        <f t="shared" si="48"/>
        <v/>
      </c>
      <c r="R630" s="113" t="str">
        <f t="shared" si="49"/>
        <v/>
      </c>
      <c r="S630" s="113" t="str">
        <f t="shared" si="50"/>
        <v/>
      </c>
      <c r="T630" s="113" t="str">
        <f t="shared" si="51"/>
        <v/>
      </c>
      <c r="U630" s="113" t="str">
        <f t="shared" si="52"/>
        <v/>
      </c>
      <c r="V630" s="113" t="str">
        <f t="shared" si="53"/>
        <v/>
      </c>
      <c r="W630" s="114"/>
    </row>
    <row r="631" spans="1:23" ht="15" customHeight="1">
      <c r="A631" s="101">
        <v>6</v>
      </c>
      <c r="B631" s="130" t="s">
        <v>433</v>
      </c>
      <c r="C631" s="131"/>
      <c r="D631" s="538">
        <v>2.2749999999999999</v>
      </c>
      <c r="E631" s="538"/>
      <c r="F631" s="127"/>
      <c r="G631" s="117">
        <v>0.25</v>
      </c>
      <c r="H631" s="107">
        <v>10</v>
      </c>
      <c r="I631" s="108">
        <v>1</v>
      </c>
      <c r="J631" s="110">
        <f>ROUND(5.355/G631+1,0)</f>
        <v>22</v>
      </c>
      <c r="K631" s="118">
        <f>D631</f>
        <v>2.2749999999999999</v>
      </c>
      <c r="L631" s="119" t="str">
        <f>IF(O631&lt;12,"0",0.049*H631)</f>
        <v>0</v>
      </c>
      <c r="M631" s="120">
        <v>0</v>
      </c>
      <c r="N631" s="108">
        <f>M631*2*H631/1000</f>
        <v>0</v>
      </c>
      <c r="O631" s="121">
        <f>(D631)-N631</f>
        <v>2.2749999999999999</v>
      </c>
      <c r="P631" s="121">
        <f>(I631*J631*O631)+L631</f>
        <v>50.05</v>
      </c>
      <c r="Q631" s="113" t="str">
        <f t="shared" si="48"/>
        <v/>
      </c>
      <c r="R631" s="113">
        <f t="shared" si="49"/>
        <v>50.05</v>
      </c>
      <c r="S631" s="113" t="str">
        <f t="shared" si="50"/>
        <v/>
      </c>
      <c r="T631" s="113" t="str">
        <f t="shared" si="51"/>
        <v/>
      </c>
      <c r="U631" s="113" t="str">
        <f t="shared" si="52"/>
        <v/>
      </c>
      <c r="V631" s="113" t="str">
        <f t="shared" si="53"/>
        <v/>
      </c>
      <c r="W631" s="114"/>
    </row>
    <row r="632" spans="1:23">
      <c r="A632" s="101"/>
      <c r="B632" s="130" t="s">
        <v>345</v>
      </c>
      <c r="C632" s="116"/>
      <c r="D632" s="126"/>
      <c r="E632" s="126"/>
      <c r="F632" s="127"/>
      <c r="G632" s="117"/>
      <c r="H632" s="107"/>
      <c r="I632" s="108"/>
      <c r="J632" s="110"/>
      <c r="K632" s="118"/>
      <c r="L632" s="119"/>
      <c r="M632" s="120"/>
      <c r="N632" s="108"/>
      <c r="O632" s="121"/>
      <c r="P632" s="121"/>
      <c r="Q632" s="113" t="str">
        <f t="shared" si="48"/>
        <v/>
      </c>
      <c r="R632" s="113" t="str">
        <f t="shared" si="49"/>
        <v/>
      </c>
      <c r="S632" s="113" t="str">
        <f t="shared" si="50"/>
        <v/>
      </c>
      <c r="T632" s="113" t="str">
        <f t="shared" si="51"/>
        <v/>
      </c>
      <c r="U632" s="113" t="str">
        <f t="shared" si="52"/>
        <v/>
      </c>
      <c r="V632" s="113" t="str">
        <f t="shared" si="53"/>
        <v/>
      </c>
      <c r="W632" s="114"/>
    </row>
    <row r="633" spans="1:23">
      <c r="A633" s="101"/>
      <c r="B633" s="132"/>
      <c r="C633" s="116"/>
      <c r="D633" s="126"/>
      <c r="E633" s="126"/>
      <c r="F633" s="127"/>
      <c r="G633" s="117"/>
      <c r="H633" s="107"/>
      <c r="I633" s="108"/>
      <c r="J633" s="110"/>
      <c r="K633" s="118"/>
      <c r="L633" s="119"/>
      <c r="M633" s="120"/>
      <c r="N633" s="108"/>
      <c r="O633" s="121"/>
      <c r="P633" s="121"/>
      <c r="Q633" s="113" t="str">
        <f t="shared" si="48"/>
        <v/>
      </c>
      <c r="R633" s="113" t="str">
        <f t="shared" si="49"/>
        <v/>
      </c>
      <c r="S633" s="113" t="str">
        <f t="shared" si="50"/>
        <v/>
      </c>
      <c r="T633" s="113" t="str">
        <f t="shared" si="51"/>
        <v/>
      </c>
      <c r="U633" s="113" t="str">
        <f t="shared" si="52"/>
        <v/>
      </c>
      <c r="V633" s="113" t="str">
        <f t="shared" si="53"/>
        <v/>
      </c>
      <c r="W633" s="114"/>
    </row>
    <row r="634" spans="1:23" ht="15" customHeight="1">
      <c r="A634" s="101">
        <v>7</v>
      </c>
      <c r="B634" s="130" t="s">
        <v>434</v>
      </c>
      <c r="C634" s="131"/>
      <c r="D634" s="538">
        <v>5.3550000000000004</v>
      </c>
      <c r="E634" s="538"/>
      <c r="F634" s="127"/>
      <c r="G634" s="117">
        <v>0.25</v>
      </c>
      <c r="H634" s="107">
        <v>12</v>
      </c>
      <c r="I634" s="108">
        <v>1</v>
      </c>
      <c r="J634" s="110">
        <f>ROUND(2.275/G634+1,0)</f>
        <v>10</v>
      </c>
      <c r="K634" s="118">
        <f>D634</f>
        <v>5.3550000000000004</v>
      </c>
      <c r="L634" s="119" t="str">
        <f>IF(O634&lt;12,"0",0.049*H634)</f>
        <v>0</v>
      </c>
      <c r="M634" s="120">
        <v>0</v>
      </c>
      <c r="N634" s="108">
        <f>M634*2*H634/1000</f>
        <v>0</v>
      </c>
      <c r="O634" s="121">
        <f>(D634)-N634</f>
        <v>5.3550000000000004</v>
      </c>
      <c r="P634" s="121">
        <f>(I634*J634*O634)+L634</f>
        <v>53.550000000000004</v>
      </c>
      <c r="Q634" s="113" t="str">
        <f t="shared" si="48"/>
        <v/>
      </c>
      <c r="R634" s="113" t="str">
        <f t="shared" si="49"/>
        <v/>
      </c>
      <c r="S634" s="113">
        <f t="shared" si="50"/>
        <v>53.550000000000004</v>
      </c>
      <c r="T634" s="113" t="str">
        <f t="shared" si="51"/>
        <v/>
      </c>
      <c r="U634" s="113" t="str">
        <f t="shared" si="52"/>
        <v/>
      </c>
      <c r="V634" s="113" t="str">
        <f t="shared" si="53"/>
        <v/>
      </c>
      <c r="W634" s="114"/>
    </row>
    <row r="635" spans="1:23">
      <c r="A635" s="101"/>
      <c r="B635" s="130" t="s">
        <v>345</v>
      </c>
      <c r="C635" s="116"/>
      <c r="D635" s="126"/>
      <c r="E635" s="126"/>
      <c r="F635" s="127"/>
      <c r="G635" s="117"/>
      <c r="H635" s="107"/>
      <c r="I635" s="108"/>
      <c r="J635" s="110"/>
      <c r="K635" s="118"/>
      <c r="L635" s="119"/>
      <c r="M635" s="120"/>
      <c r="N635" s="108"/>
      <c r="O635" s="121"/>
      <c r="P635" s="121"/>
      <c r="Q635" s="113" t="str">
        <f t="shared" si="48"/>
        <v/>
      </c>
      <c r="R635" s="113" t="str">
        <f t="shared" si="49"/>
        <v/>
      </c>
      <c r="S635" s="113" t="str">
        <f t="shared" si="50"/>
        <v/>
      </c>
      <c r="T635" s="113" t="str">
        <f t="shared" si="51"/>
        <v/>
      </c>
      <c r="U635" s="113" t="str">
        <f t="shared" si="52"/>
        <v/>
      </c>
      <c r="V635" s="113" t="str">
        <f t="shared" si="53"/>
        <v/>
      </c>
      <c r="W635" s="114"/>
    </row>
    <row r="636" spans="1:23">
      <c r="A636" s="101"/>
      <c r="B636" s="132"/>
      <c r="C636" s="116"/>
      <c r="D636" s="126"/>
      <c r="E636" s="126"/>
      <c r="F636" s="127"/>
      <c r="G636" s="117"/>
      <c r="H636" s="107"/>
      <c r="I636" s="108"/>
      <c r="J636" s="110"/>
      <c r="K636" s="118"/>
      <c r="L636" s="119"/>
      <c r="M636" s="120"/>
      <c r="N636" s="108"/>
      <c r="O636" s="121"/>
      <c r="P636" s="121"/>
      <c r="Q636" s="113" t="str">
        <f t="shared" si="48"/>
        <v/>
      </c>
      <c r="R636" s="113" t="str">
        <f t="shared" si="49"/>
        <v/>
      </c>
      <c r="S636" s="113" t="str">
        <f t="shared" si="50"/>
        <v/>
      </c>
      <c r="T636" s="113" t="str">
        <f t="shared" si="51"/>
        <v/>
      </c>
      <c r="U636" s="113" t="str">
        <f t="shared" si="52"/>
        <v/>
      </c>
      <c r="V636" s="113" t="str">
        <f t="shared" si="53"/>
        <v/>
      </c>
      <c r="W636" s="114"/>
    </row>
    <row r="637" spans="1:23" ht="15" customHeight="1">
      <c r="A637" s="101">
        <v>8</v>
      </c>
      <c r="B637" s="130" t="s">
        <v>433</v>
      </c>
      <c r="C637" s="131"/>
      <c r="D637" s="538">
        <v>2.4500000000000002</v>
      </c>
      <c r="E637" s="538"/>
      <c r="F637" s="127"/>
      <c r="G637" s="117">
        <v>0.25</v>
      </c>
      <c r="H637" s="107">
        <v>12</v>
      </c>
      <c r="I637" s="108">
        <v>1</v>
      </c>
      <c r="J637" s="110">
        <f>ROUND(2.33/G637+1,0)</f>
        <v>10</v>
      </c>
      <c r="K637" s="118">
        <f>D637</f>
        <v>2.4500000000000002</v>
      </c>
      <c r="L637" s="119" t="str">
        <f>IF(O637&lt;12,"0",0.049*H637)</f>
        <v>0</v>
      </c>
      <c r="M637" s="120">
        <v>0</v>
      </c>
      <c r="N637" s="108">
        <f>M637*2*H637/1000</f>
        <v>0</v>
      </c>
      <c r="O637" s="121">
        <f>(D637)-N637</f>
        <v>2.4500000000000002</v>
      </c>
      <c r="P637" s="121">
        <f>(I637*J637*O637)+L637</f>
        <v>24.5</v>
      </c>
      <c r="Q637" s="113" t="str">
        <f t="shared" si="48"/>
        <v/>
      </c>
      <c r="R637" s="113" t="str">
        <f t="shared" si="49"/>
        <v/>
      </c>
      <c r="S637" s="113">
        <f t="shared" si="50"/>
        <v>24.5</v>
      </c>
      <c r="T637" s="113" t="str">
        <f t="shared" si="51"/>
        <v/>
      </c>
      <c r="U637" s="113" t="str">
        <f t="shared" si="52"/>
        <v/>
      </c>
      <c r="V637" s="113" t="str">
        <f t="shared" si="53"/>
        <v/>
      </c>
      <c r="W637" s="114"/>
    </row>
    <row r="638" spans="1:23">
      <c r="A638" s="101"/>
      <c r="B638" s="130" t="s">
        <v>346</v>
      </c>
      <c r="C638" s="116"/>
      <c r="D638" s="126"/>
      <c r="E638" s="126"/>
      <c r="F638" s="127"/>
      <c r="G638" s="117"/>
      <c r="H638" s="107"/>
      <c r="I638" s="108"/>
      <c r="J638" s="110"/>
      <c r="K638" s="118"/>
      <c r="L638" s="119"/>
      <c r="M638" s="120"/>
      <c r="N638" s="108"/>
      <c r="O638" s="121"/>
      <c r="P638" s="121"/>
      <c r="Q638" s="113" t="str">
        <f t="shared" si="48"/>
        <v/>
      </c>
      <c r="R638" s="113" t="str">
        <f t="shared" si="49"/>
        <v/>
      </c>
      <c r="S638" s="113" t="str">
        <f t="shared" si="50"/>
        <v/>
      </c>
      <c r="T638" s="113" t="str">
        <f t="shared" si="51"/>
        <v/>
      </c>
      <c r="U638" s="113" t="str">
        <f t="shared" si="52"/>
        <v/>
      </c>
      <c r="V638" s="113" t="str">
        <f t="shared" si="53"/>
        <v/>
      </c>
      <c r="W638" s="114"/>
    </row>
    <row r="639" spans="1:23">
      <c r="A639" s="101"/>
      <c r="B639" s="132"/>
      <c r="C639" s="116"/>
      <c r="D639" s="126"/>
      <c r="E639" s="126"/>
      <c r="F639" s="127"/>
      <c r="G639" s="117"/>
      <c r="H639" s="107"/>
      <c r="I639" s="108"/>
      <c r="J639" s="110"/>
      <c r="K639" s="118"/>
      <c r="L639" s="119"/>
      <c r="M639" s="120"/>
      <c r="N639" s="108"/>
      <c r="O639" s="121"/>
      <c r="P639" s="121"/>
      <c r="Q639" s="113" t="str">
        <f t="shared" si="48"/>
        <v/>
      </c>
      <c r="R639" s="113" t="str">
        <f t="shared" si="49"/>
        <v/>
      </c>
      <c r="S639" s="113" t="str">
        <f t="shared" si="50"/>
        <v/>
      </c>
      <c r="T639" s="113" t="str">
        <f t="shared" si="51"/>
        <v/>
      </c>
      <c r="U639" s="113" t="str">
        <f t="shared" si="52"/>
        <v/>
      </c>
      <c r="V639" s="113" t="str">
        <f t="shared" si="53"/>
        <v/>
      </c>
      <c r="W639" s="114"/>
    </row>
    <row r="640" spans="1:23" ht="15" customHeight="1">
      <c r="A640" s="101">
        <v>9</v>
      </c>
      <c r="B640" s="130" t="s">
        <v>433</v>
      </c>
      <c r="C640" s="131"/>
      <c r="D640" s="538">
        <v>4.09</v>
      </c>
      <c r="E640" s="538"/>
      <c r="F640" s="127"/>
      <c r="G640" s="117">
        <v>0.25</v>
      </c>
      <c r="H640" s="107">
        <v>12</v>
      </c>
      <c r="I640" s="108">
        <v>1</v>
      </c>
      <c r="J640" s="110">
        <f>ROUND(5.8/G640+1,0)</f>
        <v>24</v>
      </c>
      <c r="K640" s="118">
        <f>D640</f>
        <v>4.09</v>
      </c>
      <c r="L640" s="119" t="str">
        <f>IF(O640&lt;12,"0",0.049*H640)</f>
        <v>0</v>
      </c>
      <c r="M640" s="120">
        <v>0</v>
      </c>
      <c r="N640" s="108">
        <f>M640*2*H640/1000</f>
        <v>0</v>
      </c>
      <c r="O640" s="121">
        <f>(D640)-N640</f>
        <v>4.09</v>
      </c>
      <c r="P640" s="121">
        <f>(I640*J640*O640)+L640</f>
        <v>98.16</v>
      </c>
      <c r="Q640" s="113" t="str">
        <f t="shared" si="48"/>
        <v/>
      </c>
      <c r="R640" s="113" t="str">
        <f t="shared" si="49"/>
        <v/>
      </c>
      <c r="S640" s="113">
        <f t="shared" si="50"/>
        <v>98.16</v>
      </c>
      <c r="T640" s="113" t="str">
        <f t="shared" si="51"/>
        <v/>
      </c>
      <c r="U640" s="113" t="str">
        <f t="shared" si="52"/>
        <v/>
      </c>
      <c r="V640" s="113" t="str">
        <f t="shared" si="53"/>
        <v/>
      </c>
      <c r="W640" s="114"/>
    </row>
    <row r="641" spans="1:23">
      <c r="A641" s="101"/>
      <c r="B641" s="130" t="s">
        <v>347</v>
      </c>
      <c r="C641" s="116"/>
      <c r="D641" s="126"/>
      <c r="E641" s="126"/>
      <c r="F641" s="127"/>
      <c r="G641" s="117"/>
      <c r="H641" s="107"/>
      <c r="I641" s="108"/>
      <c r="J641" s="110"/>
      <c r="K641" s="118"/>
      <c r="L641" s="119"/>
      <c r="M641" s="120"/>
      <c r="N641" s="108"/>
      <c r="O641" s="121"/>
      <c r="P641" s="121"/>
      <c r="Q641" s="113" t="str">
        <f t="shared" si="48"/>
        <v/>
      </c>
      <c r="R641" s="113" t="str">
        <f t="shared" si="49"/>
        <v/>
      </c>
      <c r="S641" s="113" t="str">
        <f t="shared" si="50"/>
        <v/>
      </c>
      <c r="T641" s="113" t="str">
        <f t="shared" si="51"/>
        <v/>
      </c>
      <c r="U641" s="113" t="str">
        <f t="shared" si="52"/>
        <v/>
      </c>
      <c r="V641" s="113" t="str">
        <f t="shared" si="53"/>
        <v/>
      </c>
      <c r="W641" s="114"/>
    </row>
    <row r="642" spans="1:23">
      <c r="A642" s="101"/>
      <c r="B642" s="132"/>
      <c r="C642" s="116"/>
      <c r="D642" s="126"/>
      <c r="E642" s="126"/>
      <c r="F642" s="127"/>
      <c r="G642" s="117"/>
      <c r="H642" s="107"/>
      <c r="I642" s="108"/>
      <c r="J642" s="110"/>
      <c r="K642" s="118"/>
      <c r="L642" s="119"/>
      <c r="M642" s="120"/>
      <c r="N642" s="108"/>
      <c r="O642" s="121"/>
      <c r="P642" s="121"/>
      <c r="Q642" s="113" t="str">
        <f t="shared" si="48"/>
        <v/>
      </c>
      <c r="R642" s="113" t="str">
        <f t="shared" si="49"/>
        <v/>
      </c>
      <c r="S642" s="113" t="str">
        <f t="shared" si="50"/>
        <v/>
      </c>
      <c r="T642" s="113" t="str">
        <f t="shared" si="51"/>
        <v/>
      </c>
      <c r="U642" s="113" t="str">
        <f t="shared" si="52"/>
        <v/>
      </c>
      <c r="V642" s="113" t="str">
        <f t="shared" si="53"/>
        <v/>
      </c>
      <c r="W642" s="114"/>
    </row>
    <row r="643" spans="1:23" ht="15" customHeight="1">
      <c r="A643" s="101">
        <v>10</v>
      </c>
      <c r="B643" s="130" t="s">
        <v>434</v>
      </c>
      <c r="C643" s="131"/>
      <c r="D643" s="538">
        <v>3.8</v>
      </c>
      <c r="E643" s="538"/>
      <c r="F643" s="127"/>
      <c r="G643" s="117">
        <v>0.25</v>
      </c>
      <c r="H643" s="107">
        <v>10</v>
      </c>
      <c r="I643" s="108">
        <v>1</v>
      </c>
      <c r="J643" s="110">
        <f>ROUND(4.09/G643+1,0)</f>
        <v>17</v>
      </c>
      <c r="K643" s="118">
        <f>D643</f>
        <v>3.8</v>
      </c>
      <c r="L643" s="119" t="str">
        <f>IF(O643&lt;12,"0",0.049*H643)</f>
        <v>0</v>
      </c>
      <c r="M643" s="120">
        <v>0</v>
      </c>
      <c r="N643" s="108">
        <f>M643*2*H643/1000</f>
        <v>0</v>
      </c>
      <c r="O643" s="121">
        <f>(D643)-N643</f>
        <v>3.8</v>
      </c>
      <c r="P643" s="121">
        <f>(I643*J643*O643)+L643</f>
        <v>64.599999999999994</v>
      </c>
      <c r="Q643" s="113" t="str">
        <f t="shared" si="48"/>
        <v/>
      </c>
      <c r="R643" s="113">
        <f t="shared" si="49"/>
        <v>64.599999999999994</v>
      </c>
      <c r="S643" s="113" t="str">
        <f t="shared" si="50"/>
        <v/>
      </c>
      <c r="T643" s="113" t="str">
        <f t="shared" si="51"/>
        <v/>
      </c>
      <c r="U643" s="113" t="str">
        <f t="shared" si="52"/>
        <v/>
      </c>
      <c r="V643" s="113" t="str">
        <f t="shared" si="53"/>
        <v/>
      </c>
      <c r="W643" s="114"/>
    </row>
    <row r="644" spans="1:23">
      <c r="A644" s="101"/>
      <c r="B644" s="130" t="s">
        <v>347</v>
      </c>
      <c r="C644" s="116"/>
      <c r="D644" s="126"/>
      <c r="E644" s="126"/>
      <c r="F644" s="127"/>
      <c r="G644" s="117"/>
      <c r="H644" s="107"/>
      <c r="I644" s="108"/>
      <c r="J644" s="110"/>
      <c r="K644" s="118"/>
      <c r="L644" s="119"/>
      <c r="M644" s="120"/>
      <c r="N644" s="108"/>
      <c r="O644" s="121"/>
      <c r="P644" s="121"/>
      <c r="Q644" s="113" t="str">
        <f t="shared" si="48"/>
        <v/>
      </c>
      <c r="R644" s="113" t="str">
        <f t="shared" si="49"/>
        <v/>
      </c>
      <c r="S644" s="113" t="str">
        <f t="shared" si="50"/>
        <v/>
      </c>
      <c r="T644" s="113" t="str">
        <f t="shared" si="51"/>
        <v/>
      </c>
      <c r="U644" s="113" t="str">
        <f t="shared" si="52"/>
        <v/>
      </c>
      <c r="V644" s="113" t="str">
        <f t="shared" si="53"/>
        <v/>
      </c>
      <c r="W644" s="114"/>
    </row>
    <row r="645" spans="1:23">
      <c r="A645" s="101"/>
      <c r="B645" s="132"/>
      <c r="C645" s="116"/>
      <c r="D645" s="126"/>
      <c r="E645" s="126"/>
      <c r="F645" s="127"/>
      <c r="G645" s="117"/>
      <c r="H645" s="107"/>
      <c r="I645" s="108"/>
      <c r="J645" s="110"/>
      <c r="K645" s="118"/>
      <c r="L645" s="119"/>
      <c r="M645" s="120"/>
      <c r="N645" s="108"/>
      <c r="O645" s="121"/>
      <c r="P645" s="121"/>
      <c r="Q645" s="113" t="str">
        <f t="shared" si="48"/>
        <v/>
      </c>
      <c r="R645" s="113" t="str">
        <f t="shared" si="49"/>
        <v/>
      </c>
      <c r="S645" s="113" t="str">
        <f t="shared" si="50"/>
        <v/>
      </c>
      <c r="T645" s="113" t="str">
        <f t="shared" si="51"/>
        <v/>
      </c>
      <c r="U645" s="113" t="str">
        <f t="shared" si="52"/>
        <v/>
      </c>
      <c r="V645" s="113" t="str">
        <f t="shared" si="53"/>
        <v/>
      </c>
      <c r="W645" s="114"/>
    </row>
    <row r="646" spans="1:23" ht="15" customHeight="1">
      <c r="A646" s="101">
        <v>11</v>
      </c>
      <c r="B646" s="130" t="s">
        <v>433</v>
      </c>
      <c r="C646" s="131"/>
      <c r="D646" s="538">
        <v>3.8</v>
      </c>
      <c r="E646" s="538"/>
      <c r="F646" s="127"/>
      <c r="G646" s="117">
        <v>0.25</v>
      </c>
      <c r="H646" s="107">
        <v>10</v>
      </c>
      <c r="I646" s="108">
        <v>1</v>
      </c>
      <c r="J646" s="110">
        <f>ROUND(5.7/G646+1,0)</f>
        <v>24</v>
      </c>
      <c r="K646" s="118">
        <f>D646</f>
        <v>3.8</v>
      </c>
      <c r="L646" s="119" t="str">
        <f>IF(O646&lt;12,"0",0.049*H646)</f>
        <v>0</v>
      </c>
      <c r="M646" s="120">
        <v>0</v>
      </c>
      <c r="N646" s="108">
        <f>M646*2*H646/1000</f>
        <v>0</v>
      </c>
      <c r="O646" s="121">
        <f>(D646)-N646</f>
        <v>3.8</v>
      </c>
      <c r="P646" s="121">
        <f>(I646*J646*O646)+L646</f>
        <v>91.199999999999989</v>
      </c>
      <c r="Q646" s="113" t="str">
        <f t="shared" si="48"/>
        <v/>
      </c>
      <c r="R646" s="113">
        <f t="shared" si="49"/>
        <v>91.199999999999989</v>
      </c>
      <c r="S646" s="113" t="str">
        <f t="shared" si="50"/>
        <v/>
      </c>
      <c r="T646" s="113" t="str">
        <f t="shared" si="51"/>
        <v/>
      </c>
      <c r="U646" s="113" t="str">
        <f t="shared" si="52"/>
        <v/>
      </c>
      <c r="V646" s="113" t="str">
        <f t="shared" si="53"/>
        <v/>
      </c>
      <c r="W646" s="114"/>
    </row>
    <row r="647" spans="1:23">
      <c r="A647" s="101"/>
      <c r="B647" s="130" t="s">
        <v>348</v>
      </c>
      <c r="C647" s="116"/>
      <c r="D647" s="126"/>
      <c r="E647" s="126"/>
      <c r="F647" s="127"/>
      <c r="G647" s="117"/>
      <c r="H647" s="107"/>
      <c r="I647" s="108"/>
      <c r="J647" s="110"/>
      <c r="K647" s="118"/>
      <c r="L647" s="119"/>
      <c r="M647" s="120"/>
      <c r="N647" s="108"/>
      <c r="O647" s="121"/>
      <c r="P647" s="121"/>
      <c r="Q647" s="113" t="str">
        <f t="shared" si="48"/>
        <v/>
      </c>
      <c r="R647" s="113" t="str">
        <f t="shared" si="49"/>
        <v/>
      </c>
      <c r="S647" s="113" t="str">
        <f t="shared" si="50"/>
        <v/>
      </c>
      <c r="T647" s="113" t="str">
        <f t="shared" si="51"/>
        <v/>
      </c>
      <c r="U647" s="113" t="str">
        <f t="shared" si="52"/>
        <v/>
      </c>
      <c r="V647" s="113" t="str">
        <f t="shared" si="53"/>
        <v/>
      </c>
      <c r="W647" s="114"/>
    </row>
    <row r="648" spans="1:23">
      <c r="A648" s="101"/>
      <c r="B648" s="132"/>
      <c r="C648" s="116"/>
      <c r="D648" s="126"/>
      <c r="E648" s="126"/>
      <c r="F648" s="127"/>
      <c r="G648" s="117"/>
      <c r="H648" s="107"/>
      <c r="I648" s="108"/>
      <c r="J648" s="110"/>
      <c r="K648" s="118"/>
      <c r="L648" s="119"/>
      <c r="M648" s="120"/>
      <c r="N648" s="108"/>
      <c r="O648" s="121"/>
      <c r="P648" s="121"/>
      <c r="Q648" s="113" t="str">
        <f t="shared" si="48"/>
        <v/>
      </c>
      <c r="R648" s="113" t="str">
        <f t="shared" si="49"/>
        <v/>
      </c>
      <c r="S648" s="113" t="str">
        <f t="shared" si="50"/>
        <v/>
      </c>
      <c r="T648" s="113" t="str">
        <f t="shared" si="51"/>
        <v/>
      </c>
      <c r="U648" s="113" t="str">
        <f t="shared" si="52"/>
        <v/>
      </c>
      <c r="V648" s="113" t="str">
        <f t="shared" si="53"/>
        <v/>
      </c>
      <c r="W648" s="114"/>
    </row>
    <row r="649" spans="1:23" ht="15" customHeight="1">
      <c r="A649" s="101">
        <v>12</v>
      </c>
      <c r="B649" s="130" t="s">
        <v>434</v>
      </c>
      <c r="C649" s="131"/>
      <c r="D649" s="538">
        <v>5.7</v>
      </c>
      <c r="E649" s="538"/>
      <c r="F649" s="127"/>
      <c r="G649" s="117">
        <v>0.25</v>
      </c>
      <c r="H649" s="107">
        <v>20</v>
      </c>
      <c r="I649" s="108">
        <v>1</v>
      </c>
      <c r="J649" s="110">
        <f>ROUND(5.8/G649+1,0)</f>
        <v>24</v>
      </c>
      <c r="K649" s="118">
        <f>D649</f>
        <v>5.7</v>
      </c>
      <c r="L649" s="119" t="str">
        <f>IF(O649&lt;12,"0",0.049*H649)</f>
        <v>0</v>
      </c>
      <c r="M649" s="120">
        <v>0</v>
      </c>
      <c r="N649" s="108">
        <f>M649*2*H649/1000</f>
        <v>0</v>
      </c>
      <c r="O649" s="121">
        <f>(D649)-N649</f>
        <v>5.7</v>
      </c>
      <c r="P649" s="121">
        <f>(I649*J649*O649)+L649</f>
        <v>136.80000000000001</v>
      </c>
      <c r="Q649" s="113" t="str">
        <f t="shared" si="48"/>
        <v/>
      </c>
      <c r="R649" s="113" t="str">
        <f t="shared" si="49"/>
        <v/>
      </c>
      <c r="S649" s="113" t="str">
        <f t="shared" si="50"/>
        <v/>
      </c>
      <c r="T649" s="113" t="str">
        <f t="shared" si="51"/>
        <v/>
      </c>
      <c r="U649" s="113">
        <f t="shared" si="52"/>
        <v>136.80000000000001</v>
      </c>
      <c r="V649" s="113" t="str">
        <f t="shared" si="53"/>
        <v/>
      </c>
      <c r="W649" s="114"/>
    </row>
    <row r="650" spans="1:23">
      <c r="A650" s="101"/>
      <c r="B650" s="130" t="s">
        <v>348</v>
      </c>
      <c r="C650" s="116"/>
      <c r="D650" s="126"/>
      <c r="E650" s="126"/>
      <c r="F650" s="127"/>
      <c r="G650" s="117"/>
      <c r="H650" s="107"/>
      <c r="I650" s="108"/>
      <c r="J650" s="110"/>
      <c r="K650" s="118"/>
      <c r="L650" s="119"/>
      <c r="M650" s="120"/>
      <c r="N650" s="108"/>
      <c r="O650" s="121"/>
      <c r="P650" s="121"/>
      <c r="Q650" s="113" t="str">
        <f t="shared" si="48"/>
        <v/>
      </c>
      <c r="R650" s="113" t="str">
        <f t="shared" si="49"/>
        <v/>
      </c>
      <c r="S650" s="113" t="str">
        <f t="shared" si="50"/>
        <v/>
      </c>
      <c r="T650" s="113" t="str">
        <f t="shared" si="51"/>
        <v/>
      </c>
      <c r="U650" s="113" t="str">
        <f t="shared" si="52"/>
        <v/>
      </c>
      <c r="V650" s="113" t="str">
        <f t="shared" si="53"/>
        <v/>
      </c>
      <c r="W650" s="114"/>
    </row>
    <row r="651" spans="1:23">
      <c r="A651" s="101"/>
      <c r="B651" s="132"/>
      <c r="C651" s="116"/>
      <c r="D651" s="126"/>
      <c r="E651" s="126"/>
      <c r="F651" s="127"/>
      <c r="G651" s="117"/>
      <c r="H651" s="107"/>
      <c r="I651" s="108"/>
      <c r="J651" s="110"/>
      <c r="K651" s="118"/>
      <c r="L651" s="119"/>
      <c r="M651" s="120"/>
      <c r="N651" s="108"/>
      <c r="O651" s="121"/>
      <c r="P651" s="121"/>
      <c r="Q651" s="113" t="str">
        <f t="shared" si="48"/>
        <v/>
      </c>
      <c r="R651" s="113" t="str">
        <f t="shared" si="49"/>
        <v/>
      </c>
      <c r="S651" s="113" t="str">
        <f t="shared" si="50"/>
        <v/>
      </c>
      <c r="T651" s="113" t="str">
        <f t="shared" si="51"/>
        <v/>
      </c>
      <c r="U651" s="113" t="str">
        <f t="shared" si="52"/>
        <v/>
      </c>
      <c r="V651" s="113" t="str">
        <f t="shared" si="53"/>
        <v/>
      </c>
      <c r="W651" s="114"/>
    </row>
    <row r="652" spans="1:23" ht="15" customHeight="1">
      <c r="A652" s="101">
        <v>13</v>
      </c>
      <c r="B652" s="130" t="s">
        <v>434</v>
      </c>
      <c r="C652" s="131"/>
      <c r="D652" s="538">
        <v>5.7</v>
      </c>
      <c r="E652" s="538"/>
      <c r="F652" s="127"/>
      <c r="G652" s="117">
        <v>0.25</v>
      </c>
      <c r="H652" s="107">
        <v>16</v>
      </c>
      <c r="I652" s="108">
        <v>1</v>
      </c>
      <c r="J652" s="110">
        <f>ROUND(2.25/G652+1,0)</f>
        <v>10</v>
      </c>
      <c r="K652" s="118">
        <f>D652</f>
        <v>5.7</v>
      </c>
      <c r="L652" s="119" t="str">
        <f>IF(O652&lt;12,"0",0.049*H652)</f>
        <v>0</v>
      </c>
      <c r="M652" s="120">
        <v>0</v>
      </c>
      <c r="N652" s="108">
        <f>M652*2*H652/1000</f>
        <v>0</v>
      </c>
      <c r="O652" s="121">
        <f>(D652)-N652</f>
        <v>5.7</v>
      </c>
      <c r="P652" s="121">
        <f>(I652*J652*O652)+L652</f>
        <v>57</v>
      </c>
      <c r="Q652" s="113" t="str">
        <f t="shared" si="48"/>
        <v/>
      </c>
      <c r="R652" s="113" t="str">
        <f t="shared" si="49"/>
        <v/>
      </c>
      <c r="S652" s="113" t="str">
        <f t="shared" si="50"/>
        <v/>
      </c>
      <c r="T652" s="113">
        <f t="shared" si="51"/>
        <v>57</v>
      </c>
      <c r="U652" s="113" t="str">
        <f t="shared" si="52"/>
        <v/>
      </c>
      <c r="V652" s="113" t="str">
        <f t="shared" si="53"/>
        <v/>
      </c>
      <c r="W652" s="114"/>
    </row>
    <row r="653" spans="1:23">
      <c r="A653" s="101"/>
      <c r="B653" s="130" t="s">
        <v>348</v>
      </c>
      <c r="C653" s="116"/>
      <c r="D653" s="126"/>
      <c r="E653" s="126"/>
      <c r="F653" s="127"/>
      <c r="G653" s="117"/>
      <c r="H653" s="107"/>
      <c r="I653" s="108"/>
      <c r="J653" s="110"/>
      <c r="K653" s="118"/>
      <c r="L653" s="119"/>
      <c r="M653" s="120"/>
      <c r="N653" s="108"/>
      <c r="O653" s="121"/>
      <c r="P653" s="121"/>
      <c r="Q653" s="113" t="str">
        <f t="shared" si="48"/>
        <v/>
      </c>
      <c r="R653" s="113" t="str">
        <f t="shared" si="49"/>
        <v/>
      </c>
      <c r="S653" s="113" t="str">
        <f t="shared" si="50"/>
        <v/>
      </c>
      <c r="T653" s="113" t="str">
        <f t="shared" si="51"/>
        <v/>
      </c>
      <c r="U653" s="113" t="str">
        <f t="shared" si="52"/>
        <v/>
      </c>
      <c r="V653" s="113" t="str">
        <f t="shared" si="53"/>
        <v/>
      </c>
      <c r="W653" s="114"/>
    </row>
    <row r="654" spans="1:23">
      <c r="A654" s="101"/>
      <c r="B654" s="132"/>
      <c r="C654" s="116"/>
      <c r="D654" s="126"/>
      <c r="E654" s="126"/>
      <c r="F654" s="127"/>
      <c r="G654" s="117"/>
      <c r="H654" s="107"/>
      <c r="I654" s="108"/>
      <c r="J654" s="110"/>
      <c r="K654" s="118"/>
      <c r="L654" s="119"/>
      <c r="M654" s="120"/>
      <c r="N654" s="108"/>
      <c r="O654" s="121"/>
      <c r="P654" s="121"/>
      <c r="Q654" s="113" t="str">
        <f t="shared" si="48"/>
        <v/>
      </c>
      <c r="R654" s="113" t="str">
        <f t="shared" si="49"/>
        <v/>
      </c>
      <c r="S654" s="113" t="str">
        <f t="shared" si="50"/>
        <v/>
      </c>
      <c r="T654" s="113" t="str">
        <f t="shared" si="51"/>
        <v/>
      </c>
      <c r="U654" s="113" t="str">
        <f t="shared" si="52"/>
        <v/>
      </c>
      <c r="V654" s="113" t="str">
        <f t="shared" si="53"/>
        <v/>
      </c>
      <c r="W654" s="114"/>
    </row>
    <row r="655" spans="1:23" ht="15" customHeight="1">
      <c r="A655" s="101">
        <v>14</v>
      </c>
      <c r="B655" s="130" t="s">
        <v>433</v>
      </c>
      <c r="C655" s="131"/>
      <c r="D655" s="538">
        <v>2.5150000000000001</v>
      </c>
      <c r="E655" s="538"/>
      <c r="F655" s="127"/>
      <c r="G655" s="117">
        <v>0.25</v>
      </c>
      <c r="H655" s="107">
        <v>12</v>
      </c>
      <c r="I655" s="108">
        <v>1</v>
      </c>
      <c r="J655" s="110">
        <f>ROUND(4.06/G655+1,0)</f>
        <v>17</v>
      </c>
      <c r="K655" s="118">
        <f>D655</f>
        <v>2.5150000000000001</v>
      </c>
      <c r="L655" s="119" t="str">
        <f>IF(O655&lt;12,"0",0.049*H655)</f>
        <v>0</v>
      </c>
      <c r="M655" s="120">
        <v>0</v>
      </c>
      <c r="N655" s="108">
        <f>M655*2*H655/1000</f>
        <v>0</v>
      </c>
      <c r="O655" s="121">
        <f>(D655)-N655</f>
        <v>2.5150000000000001</v>
      </c>
      <c r="P655" s="121">
        <f>(I655*J655*O655)+L655</f>
        <v>42.755000000000003</v>
      </c>
      <c r="Q655" s="113" t="str">
        <f t="shared" si="48"/>
        <v/>
      </c>
      <c r="R655" s="113" t="str">
        <f t="shared" si="49"/>
        <v/>
      </c>
      <c r="S655" s="113">
        <f t="shared" si="50"/>
        <v>42.755000000000003</v>
      </c>
      <c r="T655" s="113" t="str">
        <f t="shared" si="51"/>
        <v/>
      </c>
      <c r="U655" s="113" t="str">
        <f t="shared" si="52"/>
        <v/>
      </c>
      <c r="V655" s="113" t="str">
        <f t="shared" si="53"/>
        <v/>
      </c>
      <c r="W655" s="114"/>
    </row>
    <row r="656" spans="1:23">
      <c r="A656" s="101"/>
      <c r="B656" s="130" t="s">
        <v>349</v>
      </c>
      <c r="C656" s="116"/>
      <c r="D656" s="126"/>
      <c r="E656" s="126"/>
      <c r="F656" s="127"/>
      <c r="G656" s="117"/>
      <c r="H656" s="107"/>
      <c r="I656" s="108"/>
      <c r="J656" s="110"/>
      <c r="K656" s="118"/>
      <c r="L656" s="119"/>
      <c r="M656" s="120"/>
      <c r="N656" s="108"/>
      <c r="O656" s="121"/>
      <c r="P656" s="121"/>
      <c r="Q656" s="113" t="str">
        <f t="shared" si="48"/>
        <v/>
      </c>
      <c r="R656" s="113" t="str">
        <f t="shared" si="49"/>
        <v/>
      </c>
      <c r="S656" s="113" t="str">
        <f t="shared" si="50"/>
        <v/>
      </c>
      <c r="T656" s="113" t="str">
        <f t="shared" si="51"/>
        <v/>
      </c>
      <c r="U656" s="113" t="str">
        <f t="shared" si="52"/>
        <v/>
      </c>
      <c r="V656" s="113" t="str">
        <f t="shared" si="53"/>
        <v/>
      </c>
      <c r="W656" s="114"/>
    </row>
    <row r="657" spans="1:23">
      <c r="A657" s="101"/>
      <c r="B657" s="132"/>
      <c r="C657" s="116"/>
      <c r="D657" s="126"/>
      <c r="E657" s="126"/>
      <c r="F657" s="127"/>
      <c r="G657" s="117"/>
      <c r="H657" s="107"/>
      <c r="I657" s="108"/>
      <c r="J657" s="110"/>
      <c r="K657" s="118"/>
      <c r="L657" s="119"/>
      <c r="M657" s="120"/>
      <c r="N657" s="108"/>
      <c r="O657" s="121"/>
      <c r="P657" s="121"/>
      <c r="Q657" s="113" t="str">
        <f t="shared" si="48"/>
        <v/>
      </c>
      <c r="R657" s="113" t="str">
        <f t="shared" si="49"/>
        <v/>
      </c>
      <c r="S657" s="113" t="str">
        <f t="shared" si="50"/>
        <v/>
      </c>
      <c r="T657" s="113" t="str">
        <f t="shared" si="51"/>
        <v/>
      </c>
      <c r="U657" s="113" t="str">
        <f t="shared" si="52"/>
        <v/>
      </c>
      <c r="V657" s="113" t="str">
        <f t="shared" si="53"/>
        <v/>
      </c>
      <c r="W657" s="114"/>
    </row>
    <row r="658" spans="1:23" ht="15" customHeight="1">
      <c r="A658" s="101">
        <v>15</v>
      </c>
      <c r="B658" s="130" t="s">
        <v>433</v>
      </c>
      <c r="C658" s="131"/>
      <c r="D658" s="538">
        <v>4.1900000000000004</v>
      </c>
      <c r="E658" s="538"/>
      <c r="F658" s="127"/>
      <c r="G658" s="117">
        <v>0.25</v>
      </c>
      <c r="H658" s="107">
        <v>12</v>
      </c>
      <c r="I658" s="108">
        <v>1</v>
      </c>
      <c r="J658" s="110">
        <f>ROUND(2.56/G658+1,0)</f>
        <v>11</v>
      </c>
      <c r="K658" s="118">
        <f>D658</f>
        <v>4.1900000000000004</v>
      </c>
      <c r="L658" s="119" t="str">
        <f>IF(O658&lt;12,"0",0.049*H658)</f>
        <v>0</v>
      </c>
      <c r="M658" s="120">
        <v>0</v>
      </c>
      <c r="N658" s="108">
        <f>M658*2*H658/1000</f>
        <v>0</v>
      </c>
      <c r="O658" s="121">
        <f>(D658)-N658</f>
        <v>4.1900000000000004</v>
      </c>
      <c r="P658" s="121">
        <f>(I658*J658*O658)+L658</f>
        <v>46.09</v>
      </c>
      <c r="Q658" s="113" t="str">
        <f t="shared" si="48"/>
        <v/>
      </c>
      <c r="R658" s="113" t="str">
        <f t="shared" si="49"/>
        <v/>
      </c>
      <c r="S658" s="113">
        <f t="shared" si="50"/>
        <v>46.09</v>
      </c>
      <c r="T658" s="113" t="str">
        <f t="shared" si="51"/>
        <v/>
      </c>
      <c r="U658" s="113" t="str">
        <f t="shared" si="52"/>
        <v/>
      </c>
      <c r="V658" s="113" t="str">
        <f t="shared" si="53"/>
        <v/>
      </c>
      <c r="W658" s="114"/>
    </row>
    <row r="659" spans="1:23">
      <c r="A659" s="101"/>
      <c r="B659" s="130" t="s">
        <v>350</v>
      </c>
      <c r="C659" s="116"/>
      <c r="D659" s="126"/>
      <c r="E659" s="126"/>
      <c r="F659" s="127"/>
      <c r="G659" s="117"/>
      <c r="H659" s="107"/>
      <c r="I659" s="108"/>
      <c r="J659" s="110"/>
      <c r="K659" s="118"/>
      <c r="L659" s="119"/>
      <c r="M659" s="120"/>
      <c r="N659" s="108"/>
      <c r="O659" s="121"/>
      <c r="P659" s="121"/>
      <c r="Q659" s="113" t="str">
        <f t="shared" si="48"/>
        <v/>
      </c>
      <c r="R659" s="113" t="str">
        <f t="shared" si="49"/>
        <v/>
      </c>
      <c r="S659" s="113" t="str">
        <f t="shared" si="50"/>
        <v/>
      </c>
      <c r="T659" s="113" t="str">
        <f t="shared" si="51"/>
        <v/>
      </c>
      <c r="U659" s="113" t="str">
        <f t="shared" si="52"/>
        <v/>
      </c>
      <c r="V659" s="113" t="str">
        <f t="shared" si="53"/>
        <v/>
      </c>
      <c r="W659" s="114"/>
    </row>
    <row r="660" spans="1:23">
      <c r="A660" s="101"/>
      <c r="B660" s="132"/>
      <c r="C660" s="116"/>
      <c r="D660" s="126"/>
      <c r="E660" s="126"/>
      <c r="F660" s="127"/>
      <c r="G660" s="117"/>
      <c r="H660" s="107"/>
      <c r="I660" s="108"/>
      <c r="J660" s="110"/>
      <c r="K660" s="118"/>
      <c r="L660" s="119"/>
      <c r="M660" s="120"/>
      <c r="N660" s="108"/>
      <c r="O660" s="121"/>
      <c r="P660" s="121"/>
      <c r="Q660" s="113" t="str">
        <f t="shared" ref="Q660:Q783" si="54">IF($H660=8,$P660,"")</f>
        <v/>
      </c>
      <c r="R660" s="113" t="str">
        <f t="shared" ref="R660:R783" si="55">IF($H660=10,$P660,"")</f>
        <v/>
      </c>
      <c r="S660" s="113" t="str">
        <f t="shared" ref="S660:S783" si="56">IF($H660=12,$P660,"")</f>
        <v/>
      </c>
      <c r="T660" s="113" t="str">
        <f t="shared" ref="T660:T783" si="57">IF($H660=16,$P660,"")</f>
        <v/>
      </c>
      <c r="U660" s="113" t="str">
        <f t="shared" ref="U660:U783" si="58">IF($H660=20,$P660,"")</f>
        <v/>
      </c>
      <c r="V660" s="113" t="str">
        <f t="shared" ref="V660:V783" si="59">IF($H660=25,$P660,"")</f>
        <v/>
      </c>
      <c r="W660" s="114"/>
    </row>
    <row r="661" spans="1:23" ht="15" customHeight="1">
      <c r="A661" s="101">
        <v>16</v>
      </c>
      <c r="B661" s="130" t="s">
        <v>433</v>
      </c>
      <c r="C661" s="131"/>
      <c r="D661" s="538">
        <v>7.71</v>
      </c>
      <c r="E661" s="538"/>
      <c r="F661" s="127"/>
      <c r="G661" s="117">
        <v>0.25</v>
      </c>
      <c r="H661" s="107">
        <v>12</v>
      </c>
      <c r="I661" s="108">
        <v>1</v>
      </c>
      <c r="J661" s="110">
        <f>ROUND(2.635/G661+1,0)</f>
        <v>12</v>
      </c>
      <c r="K661" s="118">
        <f>D661</f>
        <v>7.71</v>
      </c>
      <c r="L661" s="119" t="str">
        <f>IF(O661&lt;12,"0",0.049*H661)</f>
        <v>0</v>
      </c>
      <c r="M661" s="120">
        <v>0</v>
      </c>
      <c r="N661" s="108">
        <f>M661*2*H661/1000</f>
        <v>0</v>
      </c>
      <c r="O661" s="121">
        <f>(D661)-N661</f>
        <v>7.71</v>
      </c>
      <c r="P661" s="121">
        <f>(I661*J661*O661)+L661</f>
        <v>92.52</v>
      </c>
      <c r="Q661" s="113" t="str">
        <f t="shared" si="54"/>
        <v/>
      </c>
      <c r="R661" s="113" t="str">
        <f t="shared" si="55"/>
        <v/>
      </c>
      <c r="S661" s="113">
        <f t="shared" si="56"/>
        <v>92.52</v>
      </c>
      <c r="T661" s="113" t="str">
        <f t="shared" si="57"/>
        <v/>
      </c>
      <c r="U661" s="113" t="str">
        <f t="shared" si="58"/>
        <v/>
      </c>
      <c r="V661" s="113" t="str">
        <f t="shared" si="59"/>
        <v/>
      </c>
      <c r="W661" s="114"/>
    </row>
    <row r="662" spans="1:23">
      <c r="A662" s="101"/>
      <c r="B662" s="130" t="s">
        <v>351</v>
      </c>
      <c r="C662" s="116"/>
      <c r="D662" s="126"/>
      <c r="E662" s="126"/>
      <c r="F662" s="127"/>
      <c r="G662" s="117"/>
      <c r="H662" s="107"/>
      <c r="I662" s="108"/>
      <c r="J662" s="110"/>
      <c r="K662" s="118"/>
      <c r="L662" s="119"/>
      <c r="M662" s="120"/>
      <c r="N662" s="108"/>
      <c r="O662" s="121"/>
      <c r="P662" s="121"/>
      <c r="Q662" s="113" t="str">
        <f t="shared" si="54"/>
        <v/>
      </c>
      <c r="R662" s="113" t="str">
        <f t="shared" si="55"/>
        <v/>
      </c>
      <c r="S662" s="113" t="str">
        <f t="shared" si="56"/>
        <v/>
      </c>
      <c r="T662" s="113" t="str">
        <f t="shared" si="57"/>
        <v/>
      </c>
      <c r="U662" s="113" t="str">
        <f t="shared" si="58"/>
        <v/>
      </c>
      <c r="V662" s="113" t="str">
        <f t="shared" si="59"/>
        <v/>
      </c>
      <c r="W662" s="114"/>
    </row>
    <row r="663" spans="1:23">
      <c r="A663" s="101"/>
      <c r="B663" s="132"/>
      <c r="C663" s="116"/>
      <c r="D663" s="126"/>
      <c r="E663" s="126"/>
      <c r="F663" s="127"/>
      <c r="G663" s="117"/>
      <c r="H663" s="107"/>
      <c r="I663" s="108"/>
      <c r="J663" s="110"/>
      <c r="K663" s="118"/>
      <c r="L663" s="119"/>
      <c r="M663" s="120"/>
      <c r="N663" s="108"/>
      <c r="O663" s="121"/>
      <c r="P663" s="121"/>
      <c r="Q663" s="113" t="str">
        <f t="shared" si="54"/>
        <v/>
      </c>
      <c r="R663" s="113" t="str">
        <f t="shared" si="55"/>
        <v/>
      </c>
      <c r="S663" s="113" t="str">
        <f t="shared" si="56"/>
        <v/>
      </c>
      <c r="T663" s="113" t="str">
        <f t="shared" si="57"/>
        <v/>
      </c>
      <c r="U663" s="113" t="str">
        <f t="shared" si="58"/>
        <v/>
      </c>
      <c r="V663" s="113" t="str">
        <f t="shared" si="59"/>
        <v/>
      </c>
      <c r="W663" s="114"/>
    </row>
    <row r="664" spans="1:23" ht="15" customHeight="1">
      <c r="A664" s="101">
        <v>17</v>
      </c>
      <c r="B664" s="130" t="s">
        <v>433</v>
      </c>
      <c r="C664" s="131"/>
      <c r="D664" s="538">
        <v>2.7850000000000001</v>
      </c>
      <c r="E664" s="538"/>
      <c r="F664" s="127"/>
      <c r="G664" s="117">
        <v>0.25</v>
      </c>
      <c r="H664" s="107">
        <v>12</v>
      </c>
      <c r="I664" s="108">
        <v>1</v>
      </c>
      <c r="J664" s="110">
        <f>ROUND(2.615/G664+1,0)</f>
        <v>11</v>
      </c>
      <c r="K664" s="118">
        <f>D664</f>
        <v>2.7850000000000001</v>
      </c>
      <c r="L664" s="119" t="str">
        <f>IF(O664&lt;12,"0",0.049*H664)</f>
        <v>0</v>
      </c>
      <c r="M664" s="120">
        <v>0</v>
      </c>
      <c r="N664" s="108">
        <f>M664*2*H664/1000</f>
        <v>0</v>
      </c>
      <c r="O664" s="121">
        <f>(D664)-N664</f>
        <v>2.7850000000000001</v>
      </c>
      <c r="P664" s="121">
        <f>(I664*J664*O664)+L664</f>
        <v>30.635000000000002</v>
      </c>
      <c r="Q664" s="113" t="str">
        <f t="shared" si="54"/>
        <v/>
      </c>
      <c r="R664" s="113" t="str">
        <f t="shared" si="55"/>
        <v/>
      </c>
      <c r="S664" s="113">
        <f t="shared" si="56"/>
        <v>30.635000000000002</v>
      </c>
      <c r="T664" s="113" t="str">
        <f t="shared" si="57"/>
        <v/>
      </c>
      <c r="U664" s="113" t="str">
        <f t="shared" si="58"/>
        <v/>
      </c>
      <c r="V664" s="113" t="str">
        <f t="shared" si="59"/>
        <v/>
      </c>
      <c r="W664" s="114"/>
    </row>
    <row r="665" spans="1:23">
      <c r="A665" s="101"/>
      <c r="B665" s="130" t="s">
        <v>352</v>
      </c>
      <c r="C665" s="116"/>
      <c r="D665" s="126"/>
      <c r="E665" s="126"/>
      <c r="F665" s="127"/>
      <c r="G665" s="117"/>
      <c r="H665" s="107"/>
      <c r="I665" s="108"/>
      <c r="J665" s="110"/>
      <c r="K665" s="118"/>
      <c r="L665" s="119"/>
      <c r="M665" s="120"/>
      <c r="N665" s="108"/>
      <c r="O665" s="121"/>
      <c r="P665" s="121"/>
      <c r="Q665" s="113" t="str">
        <f t="shared" si="54"/>
        <v/>
      </c>
      <c r="R665" s="113" t="str">
        <f t="shared" si="55"/>
        <v/>
      </c>
      <c r="S665" s="113" t="str">
        <f t="shared" si="56"/>
        <v/>
      </c>
      <c r="T665" s="113" t="str">
        <f t="shared" si="57"/>
        <v/>
      </c>
      <c r="U665" s="113" t="str">
        <f t="shared" si="58"/>
        <v/>
      </c>
      <c r="V665" s="113" t="str">
        <f t="shared" si="59"/>
        <v/>
      </c>
      <c r="W665" s="114"/>
    </row>
    <row r="666" spans="1:23">
      <c r="A666" s="101"/>
      <c r="B666" s="132"/>
      <c r="C666" s="116"/>
      <c r="D666" s="126"/>
      <c r="E666" s="126"/>
      <c r="F666" s="127"/>
      <c r="G666" s="117"/>
      <c r="H666" s="107"/>
      <c r="I666" s="108"/>
      <c r="J666" s="110"/>
      <c r="K666" s="118"/>
      <c r="L666" s="119"/>
      <c r="M666" s="120"/>
      <c r="N666" s="108"/>
      <c r="O666" s="121"/>
      <c r="P666" s="121"/>
      <c r="Q666" s="113" t="str">
        <f t="shared" si="54"/>
        <v/>
      </c>
      <c r="R666" s="113" t="str">
        <f t="shared" si="55"/>
        <v/>
      </c>
      <c r="S666" s="113" t="str">
        <f t="shared" si="56"/>
        <v/>
      </c>
      <c r="T666" s="113" t="str">
        <f t="shared" si="57"/>
        <v/>
      </c>
      <c r="U666" s="113" t="str">
        <f t="shared" si="58"/>
        <v/>
      </c>
      <c r="V666" s="113" t="str">
        <f t="shared" si="59"/>
        <v/>
      </c>
      <c r="W666" s="114"/>
    </row>
    <row r="667" spans="1:23" ht="15" customHeight="1">
      <c r="A667" s="101">
        <v>18</v>
      </c>
      <c r="B667" s="130" t="s">
        <v>434</v>
      </c>
      <c r="C667" s="131"/>
      <c r="D667" s="538">
        <v>2.6150000000000002</v>
      </c>
      <c r="E667" s="538"/>
      <c r="F667" s="127"/>
      <c r="G667" s="117">
        <v>0.25</v>
      </c>
      <c r="H667" s="107">
        <v>20</v>
      </c>
      <c r="I667" s="108">
        <v>1</v>
      </c>
      <c r="J667" s="110">
        <f>ROUND(2.785/G667+1,0)</f>
        <v>12</v>
      </c>
      <c r="K667" s="118">
        <f>D667</f>
        <v>2.6150000000000002</v>
      </c>
      <c r="L667" s="119" t="str">
        <f>IF(O667&lt;12,"0",0.049*H667)</f>
        <v>0</v>
      </c>
      <c r="M667" s="120">
        <v>0</v>
      </c>
      <c r="N667" s="108">
        <f>M667*2*H667/1000</f>
        <v>0</v>
      </c>
      <c r="O667" s="121">
        <f>(D667)-N667</f>
        <v>2.6150000000000002</v>
      </c>
      <c r="P667" s="121">
        <f>(I667*J667*O667)+L667</f>
        <v>31.380000000000003</v>
      </c>
      <c r="Q667" s="113" t="str">
        <f t="shared" si="54"/>
        <v/>
      </c>
      <c r="R667" s="113" t="str">
        <f t="shared" si="55"/>
        <v/>
      </c>
      <c r="S667" s="113" t="str">
        <f t="shared" si="56"/>
        <v/>
      </c>
      <c r="T667" s="113" t="str">
        <f t="shared" si="57"/>
        <v/>
      </c>
      <c r="U667" s="113">
        <f t="shared" si="58"/>
        <v>31.380000000000003</v>
      </c>
      <c r="V667" s="113" t="str">
        <f t="shared" si="59"/>
        <v/>
      </c>
      <c r="W667" s="114"/>
    </row>
    <row r="668" spans="1:23">
      <c r="A668" s="101"/>
      <c r="B668" s="130" t="s">
        <v>352</v>
      </c>
      <c r="C668" s="116"/>
      <c r="D668" s="126"/>
      <c r="E668" s="126"/>
      <c r="F668" s="127"/>
      <c r="G668" s="117"/>
      <c r="H668" s="107"/>
      <c r="I668" s="108"/>
      <c r="J668" s="110"/>
      <c r="K668" s="118"/>
      <c r="L668" s="119"/>
      <c r="M668" s="120"/>
      <c r="N668" s="108"/>
      <c r="O668" s="121"/>
      <c r="P668" s="121"/>
      <c r="Q668" s="113" t="str">
        <f t="shared" si="54"/>
        <v/>
      </c>
      <c r="R668" s="113" t="str">
        <f t="shared" si="55"/>
        <v/>
      </c>
      <c r="S668" s="113" t="str">
        <f t="shared" si="56"/>
        <v/>
      </c>
      <c r="T668" s="113" t="str">
        <f t="shared" si="57"/>
        <v/>
      </c>
      <c r="U668" s="113" t="str">
        <f t="shared" si="58"/>
        <v/>
      </c>
      <c r="V668" s="113" t="str">
        <f t="shared" si="59"/>
        <v/>
      </c>
      <c r="W668" s="114"/>
    </row>
    <row r="669" spans="1:23">
      <c r="A669" s="101"/>
      <c r="B669" s="132"/>
      <c r="C669" s="116"/>
      <c r="D669" s="126"/>
      <c r="E669" s="126"/>
      <c r="F669" s="127"/>
      <c r="G669" s="117"/>
      <c r="H669" s="107"/>
      <c r="I669" s="108"/>
      <c r="J669" s="110"/>
      <c r="K669" s="118"/>
      <c r="L669" s="119"/>
      <c r="M669" s="120"/>
      <c r="N669" s="108"/>
      <c r="O669" s="121"/>
      <c r="P669" s="121"/>
      <c r="Q669" s="113" t="str">
        <f t="shared" si="54"/>
        <v/>
      </c>
      <c r="R669" s="113" t="str">
        <f t="shared" si="55"/>
        <v/>
      </c>
      <c r="S669" s="113" t="str">
        <f t="shared" si="56"/>
        <v/>
      </c>
      <c r="T669" s="113" t="str">
        <f t="shared" si="57"/>
        <v/>
      </c>
      <c r="U669" s="113" t="str">
        <f t="shared" si="58"/>
        <v/>
      </c>
      <c r="V669" s="113" t="str">
        <f t="shared" si="59"/>
        <v/>
      </c>
      <c r="W669" s="114"/>
    </row>
    <row r="670" spans="1:23" ht="15" customHeight="1">
      <c r="A670" s="101">
        <v>19</v>
      </c>
      <c r="B670" s="130" t="s">
        <v>433</v>
      </c>
      <c r="C670" s="131"/>
      <c r="D670" s="538">
        <v>4.12</v>
      </c>
      <c r="E670" s="538"/>
      <c r="F670" s="127"/>
      <c r="G670" s="117">
        <v>0.25</v>
      </c>
      <c r="H670" s="107">
        <v>20</v>
      </c>
      <c r="I670" s="108">
        <v>1</v>
      </c>
      <c r="J670" s="110">
        <f>ROUND(8.23/G670+1,0)</f>
        <v>34</v>
      </c>
      <c r="K670" s="118">
        <f>D670</f>
        <v>4.12</v>
      </c>
      <c r="L670" s="119" t="str">
        <f>IF(O670&lt;12,"0",0.049*H670)</f>
        <v>0</v>
      </c>
      <c r="M670" s="120">
        <v>0</v>
      </c>
      <c r="N670" s="108">
        <f>M670*2*H670/1000</f>
        <v>0</v>
      </c>
      <c r="O670" s="121">
        <f>(D670)-N670</f>
        <v>4.12</v>
      </c>
      <c r="P670" s="121">
        <f>(I670*J670*O670)+L670</f>
        <v>140.08000000000001</v>
      </c>
      <c r="Q670" s="113" t="str">
        <f t="shared" si="54"/>
        <v/>
      </c>
      <c r="R670" s="113" t="str">
        <f t="shared" si="55"/>
        <v/>
      </c>
      <c r="S670" s="113" t="str">
        <f t="shared" si="56"/>
        <v/>
      </c>
      <c r="T670" s="113" t="str">
        <f t="shared" si="57"/>
        <v/>
      </c>
      <c r="U670" s="113">
        <f t="shared" si="58"/>
        <v>140.08000000000001</v>
      </c>
      <c r="V670" s="113" t="str">
        <f t="shared" si="59"/>
        <v/>
      </c>
      <c r="W670" s="114"/>
    </row>
    <row r="671" spans="1:23">
      <c r="A671" s="101"/>
      <c r="B671" s="130" t="s">
        <v>353</v>
      </c>
      <c r="C671" s="116"/>
      <c r="D671" s="126"/>
      <c r="E671" s="126"/>
      <c r="F671" s="127"/>
      <c r="G671" s="117"/>
      <c r="H671" s="107"/>
      <c r="I671" s="108"/>
      <c r="J671" s="110"/>
      <c r="K671" s="118"/>
      <c r="L671" s="119"/>
      <c r="M671" s="120"/>
      <c r="N671" s="108"/>
      <c r="O671" s="121"/>
      <c r="P671" s="121"/>
      <c r="Q671" s="113" t="str">
        <f t="shared" si="54"/>
        <v/>
      </c>
      <c r="R671" s="113" t="str">
        <f t="shared" si="55"/>
        <v/>
      </c>
      <c r="S671" s="113" t="str">
        <f t="shared" si="56"/>
        <v/>
      </c>
      <c r="T671" s="113" t="str">
        <f t="shared" si="57"/>
        <v/>
      </c>
      <c r="U671" s="113" t="str">
        <f t="shared" si="58"/>
        <v/>
      </c>
      <c r="V671" s="113" t="str">
        <f t="shared" si="59"/>
        <v/>
      </c>
      <c r="W671" s="114"/>
    </row>
    <row r="672" spans="1:23">
      <c r="A672" s="101"/>
      <c r="B672" s="132"/>
      <c r="C672" s="116"/>
      <c r="D672" s="126"/>
      <c r="E672" s="126"/>
      <c r="F672" s="127"/>
      <c r="G672" s="117"/>
      <c r="H672" s="107"/>
      <c r="I672" s="108"/>
      <c r="J672" s="110"/>
      <c r="K672" s="118"/>
      <c r="L672" s="119"/>
      <c r="M672" s="120"/>
      <c r="N672" s="108"/>
      <c r="O672" s="121"/>
      <c r="P672" s="121"/>
      <c r="Q672" s="113" t="str">
        <f t="shared" si="54"/>
        <v/>
      </c>
      <c r="R672" s="113" t="str">
        <f t="shared" si="55"/>
        <v/>
      </c>
      <c r="S672" s="113" t="str">
        <f t="shared" si="56"/>
        <v/>
      </c>
      <c r="T672" s="113" t="str">
        <f t="shared" si="57"/>
        <v/>
      </c>
      <c r="U672" s="113" t="str">
        <f t="shared" si="58"/>
        <v/>
      </c>
      <c r="V672" s="113" t="str">
        <f t="shared" si="59"/>
        <v/>
      </c>
      <c r="W672" s="114"/>
    </row>
    <row r="673" spans="1:23" ht="15" customHeight="1">
      <c r="A673" s="101">
        <v>20</v>
      </c>
      <c r="B673" s="130" t="s">
        <v>434</v>
      </c>
      <c r="C673" s="131"/>
      <c r="D673" s="538">
        <v>3.12</v>
      </c>
      <c r="E673" s="538"/>
      <c r="F673" s="127"/>
      <c r="G673" s="117">
        <v>0.25</v>
      </c>
      <c r="H673" s="107">
        <v>20</v>
      </c>
      <c r="I673" s="108">
        <v>1</v>
      </c>
      <c r="J673" s="110">
        <f>ROUND(3.165/G673+1,0)</f>
        <v>14</v>
      </c>
      <c r="K673" s="118">
        <f>D673</f>
        <v>3.12</v>
      </c>
      <c r="L673" s="119" t="str">
        <f>IF(O673&lt;12,"0",0.049*H673)</f>
        <v>0</v>
      </c>
      <c r="M673" s="120">
        <v>0</v>
      </c>
      <c r="N673" s="108">
        <f>M673*2*H673/1000</f>
        <v>0</v>
      </c>
      <c r="O673" s="121">
        <f>(D673)-N673</f>
        <v>3.12</v>
      </c>
      <c r="P673" s="121">
        <f>(I673*J673*O673)+L673</f>
        <v>43.68</v>
      </c>
      <c r="Q673" s="113" t="str">
        <f t="shared" si="54"/>
        <v/>
      </c>
      <c r="R673" s="113" t="str">
        <f t="shared" si="55"/>
        <v/>
      </c>
      <c r="S673" s="113" t="str">
        <f t="shared" si="56"/>
        <v/>
      </c>
      <c r="T673" s="113" t="str">
        <f t="shared" si="57"/>
        <v/>
      </c>
      <c r="U673" s="113">
        <f t="shared" si="58"/>
        <v>43.68</v>
      </c>
      <c r="V673" s="113" t="str">
        <f t="shared" si="59"/>
        <v/>
      </c>
      <c r="W673" s="114"/>
    </row>
    <row r="674" spans="1:23">
      <c r="A674" s="101"/>
      <c r="B674" s="130" t="s">
        <v>354</v>
      </c>
      <c r="C674" s="116"/>
      <c r="D674" s="126"/>
      <c r="E674" s="126"/>
      <c r="F674" s="127"/>
      <c r="G674" s="117"/>
      <c r="H674" s="107"/>
      <c r="I674" s="108"/>
      <c r="J674" s="110"/>
      <c r="K674" s="118"/>
      <c r="L674" s="119"/>
      <c r="M674" s="120"/>
      <c r="N674" s="108"/>
      <c r="O674" s="121"/>
      <c r="P674" s="121"/>
      <c r="Q674" s="113" t="str">
        <f t="shared" si="54"/>
        <v/>
      </c>
      <c r="R674" s="113" t="str">
        <f t="shared" si="55"/>
        <v/>
      </c>
      <c r="S674" s="113" t="str">
        <f t="shared" si="56"/>
        <v/>
      </c>
      <c r="T674" s="113" t="str">
        <f t="shared" si="57"/>
        <v/>
      </c>
      <c r="U674" s="113" t="str">
        <f t="shared" si="58"/>
        <v/>
      </c>
      <c r="V674" s="113" t="str">
        <f t="shared" si="59"/>
        <v/>
      </c>
      <c r="W674" s="114"/>
    </row>
    <row r="675" spans="1:23">
      <c r="A675" s="101"/>
      <c r="B675" s="132"/>
      <c r="C675" s="116"/>
      <c r="D675" s="126"/>
      <c r="E675" s="126"/>
      <c r="F675" s="127"/>
      <c r="G675" s="117"/>
      <c r="H675" s="107"/>
      <c r="I675" s="108"/>
      <c r="J675" s="110"/>
      <c r="K675" s="118"/>
      <c r="L675" s="119"/>
      <c r="M675" s="120"/>
      <c r="N675" s="108"/>
      <c r="O675" s="121"/>
      <c r="P675" s="121"/>
      <c r="Q675" s="113" t="str">
        <f t="shared" si="54"/>
        <v/>
      </c>
      <c r="R675" s="113" t="str">
        <f t="shared" si="55"/>
        <v/>
      </c>
      <c r="S675" s="113" t="str">
        <f t="shared" si="56"/>
        <v/>
      </c>
      <c r="T675" s="113" t="str">
        <f t="shared" si="57"/>
        <v/>
      </c>
      <c r="U675" s="113" t="str">
        <f t="shared" si="58"/>
        <v/>
      </c>
      <c r="V675" s="113" t="str">
        <f t="shared" si="59"/>
        <v/>
      </c>
      <c r="W675" s="114"/>
    </row>
    <row r="676" spans="1:23" ht="15" customHeight="1">
      <c r="A676" s="101">
        <v>21</v>
      </c>
      <c r="B676" s="130" t="s">
        <v>434</v>
      </c>
      <c r="C676" s="131"/>
      <c r="D676" s="538">
        <v>2.92</v>
      </c>
      <c r="E676" s="538"/>
      <c r="F676" s="127"/>
      <c r="G676" s="117">
        <v>0.25</v>
      </c>
      <c r="H676" s="107">
        <v>16</v>
      </c>
      <c r="I676" s="108">
        <v>1</v>
      </c>
      <c r="J676" s="110">
        <f>ROUND(5.47/G676+1,0)</f>
        <v>23</v>
      </c>
      <c r="K676" s="118">
        <f>D676</f>
        <v>2.92</v>
      </c>
      <c r="L676" s="119" t="str">
        <f>IF(O676&lt;12,"0",0.049*H676)</f>
        <v>0</v>
      </c>
      <c r="M676" s="120">
        <v>0</v>
      </c>
      <c r="N676" s="108">
        <f>M676*2*H676/1000</f>
        <v>0</v>
      </c>
      <c r="O676" s="121">
        <f>(D676)-N676</f>
        <v>2.92</v>
      </c>
      <c r="P676" s="121">
        <f>(I676*J676*O676)+L676</f>
        <v>67.16</v>
      </c>
      <c r="Q676" s="113" t="str">
        <f t="shared" si="54"/>
        <v/>
      </c>
      <c r="R676" s="113" t="str">
        <f t="shared" si="55"/>
        <v/>
      </c>
      <c r="S676" s="113" t="str">
        <f t="shared" si="56"/>
        <v/>
      </c>
      <c r="T676" s="113">
        <f t="shared" si="57"/>
        <v>67.16</v>
      </c>
      <c r="U676" s="113" t="str">
        <f t="shared" si="58"/>
        <v/>
      </c>
      <c r="V676" s="113" t="str">
        <f t="shared" si="59"/>
        <v/>
      </c>
      <c r="W676" s="114"/>
    </row>
    <row r="677" spans="1:23">
      <c r="A677" s="101"/>
      <c r="B677" s="130" t="s">
        <v>354</v>
      </c>
      <c r="C677" s="116"/>
      <c r="D677" s="126"/>
      <c r="E677" s="126"/>
      <c r="F677" s="127"/>
      <c r="G677" s="117"/>
      <c r="H677" s="107"/>
      <c r="I677" s="108"/>
      <c r="J677" s="110"/>
      <c r="K677" s="118"/>
      <c r="L677" s="119"/>
      <c r="M677" s="120"/>
      <c r="N677" s="108"/>
      <c r="O677" s="121"/>
      <c r="P677" s="121"/>
      <c r="Q677" s="113" t="str">
        <f t="shared" si="54"/>
        <v/>
      </c>
      <c r="R677" s="113" t="str">
        <f t="shared" si="55"/>
        <v/>
      </c>
      <c r="S677" s="113" t="str">
        <f t="shared" si="56"/>
        <v/>
      </c>
      <c r="T677" s="113" t="str">
        <f t="shared" si="57"/>
        <v/>
      </c>
      <c r="U677" s="113" t="str">
        <f t="shared" si="58"/>
        <v/>
      </c>
      <c r="V677" s="113" t="str">
        <f t="shared" si="59"/>
        <v/>
      </c>
      <c r="W677" s="114"/>
    </row>
    <row r="678" spans="1:23">
      <c r="A678" s="101"/>
      <c r="B678" s="132"/>
      <c r="C678" s="116"/>
      <c r="D678" s="126"/>
      <c r="E678" s="126"/>
      <c r="F678" s="127"/>
      <c r="G678" s="117"/>
      <c r="H678" s="107"/>
      <c r="I678" s="108"/>
      <c r="J678" s="110"/>
      <c r="K678" s="118"/>
      <c r="L678" s="119"/>
      <c r="M678" s="120"/>
      <c r="N678" s="108"/>
      <c r="O678" s="121"/>
      <c r="P678" s="121"/>
      <c r="Q678" s="113" t="str">
        <f t="shared" si="54"/>
        <v/>
      </c>
      <c r="R678" s="113" t="str">
        <f t="shared" si="55"/>
        <v/>
      </c>
      <c r="S678" s="113" t="str">
        <f t="shared" si="56"/>
        <v/>
      </c>
      <c r="T678" s="113" t="str">
        <f t="shared" si="57"/>
        <v/>
      </c>
      <c r="U678" s="113" t="str">
        <f t="shared" si="58"/>
        <v/>
      </c>
      <c r="V678" s="113" t="str">
        <f t="shared" si="59"/>
        <v/>
      </c>
      <c r="W678" s="114"/>
    </row>
    <row r="679" spans="1:23" ht="15" customHeight="1">
      <c r="A679" s="101">
        <v>22</v>
      </c>
      <c r="B679" s="130" t="s">
        <v>433</v>
      </c>
      <c r="C679" s="131"/>
      <c r="D679" s="538">
        <v>4.5449999999999999</v>
      </c>
      <c r="E679" s="538"/>
      <c r="F679" s="127"/>
      <c r="G679" s="117">
        <v>0.25</v>
      </c>
      <c r="H679" s="107">
        <v>16</v>
      </c>
      <c r="I679" s="108">
        <v>1</v>
      </c>
      <c r="J679" s="110">
        <f>ROUND(5/G679+1,0)</f>
        <v>21</v>
      </c>
      <c r="K679" s="118">
        <f>D679</f>
        <v>4.5449999999999999</v>
      </c>
      <c r="L679" s="119" t="str">
        <f>IF(O679&lt;12,"0",0.049*H679)</f>
        <v>0</v>
      </c>
      <c r="M679" s="120">
        <v>0</v>
      </c>
      <c r="N679" s="108">
        <f>M679*2*H679/1000</f>
        <v>0</v>
      </c>
      <c r="O679" s="121">
        <f>(D679)-N679</f>
        <v>4.5449999999999999</v>
      </c>
      <c r="P679" s="121">
        <f>(I679*J679*O679)+L679</f>
        <v>95.444999999999993</v>
      </c>
      <c r="Q679" s="113" t="str">
        <f t="shared" si="54"/>
        <v/>
      </c>
      <c r="R679" s="113" t="str">
        <f t="shared" si="55"/>
        <v/>
      </c>
      <c r="S679" s="113" t="str">
        <f t="shared" si="56"/>
        <v/>
      </c>
      <c r="T679" s="113">
        <f t="shared" si="57"/>
        <v>95.444999999999993</v>
      </c>
      <c r="U679" s="113" t="str">
        <f t="shared" si="58"/>
        <v/>
      </c>
      <c r="V679" s="113" t="str">
        <f t="shared" si="59"/>
        <v/>
      </c>
      <c r="W679" s="114"/>
    </row>
    <row r="680" spans="1:23">
      <c r="A680" s="101"/>
      <c r="B680" s="130" t="s">
        <v>355</v>
      </c>
      <c r="C680" s="116"/>
      <c r="D680" s="126"/>
      <c r="E680" s="126"/>
      <c r="F680" s="127"/>
      <c r="G680" s="117"/>
      <c r="H680" s="107"/>
      <c r="I680" s="108"/>
      <c r="J680" s="110"/>
      <c r="K680" s="118"/>
      <c r="L680" s="119"/>
      <c r="M680" s="120"/>
      <c r="N680" s="108"/>
      <c r="O680" s="121"/>
      <c r="P680" s="121"/>
      <c r="Q680" s="113" t="str">
        <f t="shared" si="54"/>
        <v/>
      </c>
      <c r="R680" s="113" t="str">
        <f t="shared" si="55"/>
        <v/>
      </c>
      <c r="S680" s="113" t="str">
        <f t="shared" si="56"/>
        <v/>
      </c>
      <c r="T680" s="113" t="str">
        <f t="shared" si="57"/>
        <v/>
      </c>
      <c r="U680" s="113" t="str">
        <f t="shared" si="58"/>
        <v/>
      </c>
      <c r="V680" s="113" t="str">
        <f t="shared" si="59"/>
        <v/>
      </c>
      <c r="W680" s="114"/>
    </row>
    <row r="681" spans="1:23">
      <c r="A681" s="101"/>
      <c r="B681" s="132"/>
      <c r="C681" s="116"/>
      <c r="D681" s="126"/>
      <c r="E681" s="126"/>
      <c r="F681" s="127"/>
      <c r="G681" s="117"/>
      <c r="H681" s="107"/>
      <c r="I681" s="108"/>
      <c r="J681" s="110"/>
      <c r="K681" s="118"/>
      <c r="L681" s="119"/>
      <c r="M681" s="120"/>
      <c r="N681" s="108"/>
      <c r="O681" s="121"/>
      <c r="P681" s="121"/>
      <c r="Q681" s="113" t="str">
        <f t="shared" si="54"/>
        <v/>
      </c>
      <c r="R681" s="113" t="str">
        <f t="shared" si="55"/>
        <v/>
      </c>
      <c r="S681" s="113" t="str">
        <f t="shared" si="56"/>
        <v/>
      </c>
      <c r="T681" s="113" t="str">
        <f t="shared" si="57"/>
        <v/>
      </c>
      <c r="U681" s="113" t="str">
        <f t="shared" si="58"/>
        <v/>
      </c>
      <c r="V681" s="113" t="str">
        <f t="shared" si="59"/>
        <v/>
      </c>
      <c r="W681" s="114"/>
    </row>
    <row r="682" spans="1:23" ht="15" customHeight="1">
      <c r="A682" s="101">
        <v>23</v>
      </c>
      <c r="B682" s="130" t="s">
        <v>434</v>
      </c>
      <c r="C682" s="131"/>
      <c r="D682" s="538">
        <v>5</v>
      </c>
      <c r="E682" s="538"/>
      <c r="F682" s="127"/>
      <c r="G682" s="117">
        <v>0.25</v>
      </c>
      <c r="H682" s="107">
        <v>16</v>
      </c>
      <c r="I682" s="108">
        <v>1</v>
      </c>
      <c r="J682" s="110">
        <f>ROUND(4.545/G682+1,0)</f>
        <v>19</v>
      </c>
      <c r="K682" s="118">
        <f>D682</f>
        <v>5</v>
      </c>
      <c r="L682" s="119" t="str">
        <f>IF(O682&lt;12,"0",0.049*H682)</f>
        <v>0</v>
      </c>
      <c r="M682" s="120">
        <v>0</v>
      </c>
      <c r="N682" s="108">
        <f>M682*2*H682/1000</f>
        <v>0</v>
      </c>
      <c r="O682" s="121">
        <f>(D682)-N682</f>
        <v>5</v>
      </c>
      <c r="P682" s="121">
        <f>(I682*J682*O682)+L682</f>
        <v>95</v>
      </c>
      <c r="Q682" s="113" t="str">
        <f t="shared" si="54"/>
        <v/>
      </c>
      <c r="R682" s="113" t="str">
        <f t="shared" si="55"/>
        <v/>
      </c>
      <c r="S682" s="113" t="str">
        <f t="shared" si="56"/>
        <v/>
      </c>
      <c r="T682" s="113">
        <f t="shared" si="57"/>
        <v>95</v>
      </c>
      <c r="U682" s="113" t="str">
        <f t="shared" si="58"/>
        <v/>
      </c>
      <c r="V682" s="113" t="str">
        <f t="shared" si="59"/>
        <v/>
      </c>
      <c r="W682" s="114"/>
    </row>
    <row r="683" spans="1:23">
      <c r="A683" s="101"/>
      <c r="B683" s="130" t="s">
        <v>355</v>
      </c>
      <c r="C683" s="116"/>
      <c r="D683" s="126"/>
      <c r="E683" s="126"/>
      <c r="F683" s="127"/>
      <c r="G683" s="117"/>
      <c r="H683" s="107"/>
      <c r="I683" s="108"/>
      <c r="J683" s="110"/>
      <c r="K683" s="118"/>
      <c r="L683" s="119"/>
      <c r="M683" s="120"/>
      <c r="N683" s="108"/>
      <c r="O683" s="121"/>
      <c r="P683" s="121"/>
      <c r="Q683" s="113" t="str">
        <f t="shared" si="54"/>
        <v/>
      </c>
      <c r="R683" s="113" t="str">
        <f t="shared" si="55"/>
        <v/>
      </c>
      <c r="S683" s="113" t="str">
        <f t="shared" si="56"/>
        <v/>
      </c>
      <c r="T683" s="113" t="str">
        <f t="shared" si="57"/>
        <v/>
      </c>
      <c r="U683" s="113" t="str">
        <f t="shared" si="58"/>
        <v/>
      </c>
      <c r="V683" s="113" t="str">
        <f t="shared" si="59"/>
        <v/>
      </c>
      <c r="W683" s="114"/>
    </row>
    <row r="684" spans="1:23">
      <c r="A684" s="101"/>
      <c r="B684" s="132"/>
      <c r="C684" s="116"/>
      <c r="D684" s="126"/>
      <c r="E684" s="126"/>
      <c r="F684" s="127"/>
      <c r="G684" s="117"/>
      <c r="H684" s="107"/>
      <c r="I684" s="108"/>
      <c r="J684" s="110"/>
      <c r="K684" s="118"/>
      <c r="L684" s="119"/>
      <c r="M684" s="120"/>
      <c r="N684" s="108"/>
      <c r="O684" s="121"/>
      <c r="P684" s="121"/>
      <c r="Q684" s="113" t="str">
        <f t="shared" si="54"/>
        <v/>
      </c>
      <c r="R684" s="113" t="str">
        <f t="shared" si="55"/>
        <v/>
      </c>
      <c r="S684" s="113" t="str">
        <f t="shared" si="56"/>
        <v/>
      </c>
      <c r="T684" s="113" t="str">
        <f t="shared" si="57"/>
        <v/>
      </c>
      <c r="U684" s="113" t="str">
        <f t="shared" si="58"/>
        <v/>
      </c>
      <c r="V684" s="113" t="str">
        <f t="shared" si="59"/>
        <v/>
      </c>
      <c r="W684" s="114"/>
    </row>
    <row r="685" spans="1:23" ht="15" customHeight="1">
      <c r="A685" s="101">
        <v>24</v>
      </c>
      <c r="B685" s="130" t="s">
        <v>433</v>
      </c>
      <c r="C685" s="131"/>
      <c r="D685" s="538">
        <v>5.24</v>
      </c>
      <c r="E685" s="538"/>
      <c r="F685" s="127"/>
      <c r="G685" s="117">
        <v>0.25</v>
      </c>
      <c r="H685" s="107">
        <v>16</v>
      </c>
      <c r="I685" s="108">
        <v>1</v>
      </c>
      <c r="J685" s="110">
        <f>ROUND(5.03/G685+1,0)</f>
        <v>21</v>
      </c>
      <c r="K685" s="118">
        <f>D685</f>
        <v>5.24</v>
      </c>
      <c r="L685" s="119" t="str">
        <f>IF(O685&lt;12,"0",0.049*H685)</f>
        <v>0</v>
      </c>
      <c r="M685" s="120">
        <v>0</v>
      </c>
      <c r="N685" s="108">
        <f>M685*2*H685/1000</f>
        <v>0</v>
      </c>
      <c r="O685" s="121">
        <f>(D685)-N685</f>
        <v>5.24</v>
      </c>
      <c r="P685" s="121">
        <f>(I685*J685*O685)+L685</f>
        <v>110.04</v>
      </c>
      <c r="Q685" s="113" t="str">
        <f t="shared" si="54"/>
        <v/>
      </c>
      <c r="R685" s="113" t="str">
        <f t="shared" si="55"/>
        <v/>
      </c>
      <c r="S685" s="113" t="str">
        <f t="shared" si="56"/>
        <v/>
      </c>
      <c r="T685" s="113">
        <f t="shared" si="57"/>
        <v>110.04</v>
      </c>
      <c r="U685" s="113" t="str">
        <f t="shared" si="58"/>
        <v/>
      </c>
      <c r="V685" s="113" t="str">
        <f t="shared" si="59"/>
        <v/>
      </c>
      <c r="W685" s="114"/>
    </row>
    <row r="686" spans="1:23">
      <c r="A686" s="101"/>
      <c r="B686" s="130" t="s">
        <v>356</v>
      </c>
      <c r="C686" s="116"/>
      <c r="D686" s="126"/>
      <c r="E686" s="126"/>
      <c r="F686" s="127"/>
      <c r="G686" s="117"/>
      <c r="H686" s="107"/>
      <c r="I686" s="108"/>
      <c r="J686" s="110"/>
      <c r="K686" s="118"/>
      <c r="L686" s="119"/>
      <c r="M686" s="120"/>
      <c r="N686" s="108"/>
      <c r="O686" s="121"/>
      <c r="P686" s="121"/>
      <c r="Q686" s="113" t="str">
        <f t="shared" si="54"/>
        <v/>
      </c>
      <c r="R686" s="113" t="str">
        <f t="shared" si="55"/>
        <v/>
      </c>
      <c r="S686" s="113" t="str">
        <f t="shared" si="56"/>
        <v/>
      </c>
      <c r="T686" s="113" t="str">
        <f t="shared" si="57"/>
        <v/>
      </c>
      <c r="U686" s="113" t="str">
        <f t="shared" si="58"/>
        <v/>
      </c>
      <c r="V686" s="113" t="str">
        <f t="shared" si="59"/>
        <v/>
      </c>
      <c r="W686" s="114"/>
    </row>
    <row r="687" spans="1:23">
      <c r="A687" s="101"/>
      <c r="B687" s="132"/>
      <c r="C687" s="116"/>
      <c r="D687" s="126"/>
      <c r="E687" s="126"/>
      <c r="F687" s="127"/>
      <c r="G687" s="117"/>
      <c r="H687" s="107"/>
      <c r="I687" s="108"/>
      <c r="J687" s="110"/>
      <c r="K687" s="118"/>
      <c r="L687" s="119"/>
      <c r="M687" s="120"/>
      <c r="N687" s="108"/>
      <c r="O687" s="121"/>
      <c r="P687" s="121"/>
      <c r="Q687" s="113" t="str">
        <f t="shared" si="54"/>
        <v/>
      </c>
      <c r="R687" s="113" t="str">
        <f t="shared" si="55"/>
        <v/>
      </c>
      <c r="S687" s="113" t="str">
        <f t="shared" si="56"/>
        <v/>
      </c>
      <c r="T687" s="113" t="str">
        <f t="shared" si="57"/>
        <v/>
      </c>
      <c r="U687" s="113" t="str">
        <f t="shared" si="58"/>
        <v/>
      </c>
      <c r="V687" s="113" t="str">
        <f t="shared" si="59"/>
        <v/>
      </c>
      <c r="W687" s="114"/>
    </row>
    <row r="688" spans="1:23" ht="15" customHeight="1">
      <c r="A688" s="101">
        <v>25</v>
      </c>
      <c r="B688" s="130" t="s">
        <v>434</v>
      </c>
      <c r="C688" s="131"/>
      <c r="D688" s="538">
        <v>2.54</v>
      </c>
      <c r="E688" s="538"/>
      <c r="F688" s="127"/>
      <c r="G688" s="117">
        <v>0.25</v>
      </c>
      <c r="H688" s="107">
        <v>12</v>
      </c>
      <c r="I688" s="108">
        <v>1</v>
      </c>
      <c r="J688" s="110">
        <f>ROUND(4.305/G688+1,0)</f>
        <v>18</v>
      </c>
      <c r="K688" s="118">
        <f>D688</f>
        <v>2.54</v>
      </c>
      <c r="L688" s="119" t="str">
        <f>IF(O688&lt;12,"0",0.049*H688)</f>
        <v>0</v>
      </c>
      <c r="M688" s="120">
        <v>0</v>
      </c>
      <c r="N688" s="108">
        <f>M688*2*H688/1000</f>
        <v>0</v>
      </c>
      <c r="O688" s="121">
        <f>(D688)-N688</f>
        <v>2.54</v>
      </c>
      <c r="P688" s="121">
        <f>(I688*J688*O688)+L688</f>
        <v>45.72</v>
      </c>
      <c r="Q688" s="113" t="str">
        <f t="shared" si="54"/>
        <v/>
      </c>
      <c r="R688" s="113" t="str">
        <f t="shared" si="55"/>
        <v/>
      </c>
      <c r="S688" s="113">
        <f t="shared" si="56"/>
        <v>45.72</v>
      </c>
      <c r="T688" s="113" t="str">
        <f t="shared" si="57"/>
        <v/>
      </c>
      <c r="U688" s="113" t="str">
        <f t="shared" si="58"/>
        <v/>
      </c>
      <c r="V688" s="113" t="str">
        <f t="shared" si="59"/>
        <v/>
      </c>
      <c r="W688" s="114"/>
    </row>
    <row r="689" spans="1:23">
      <c r="A689" s="101"/>
      <c r="B689" s="130" t="s">
        <v>357</v>
      </c>
      <c r="C689" s="116"/>
      <c r="D689" s="126"/>
      <c r="E689" s="126"/>
      <c r="F689" s="127"/>
      <c r="G689" s="117"/>
      <c r="H689" s="107"/>
      <c r="I689" s="108"/>
      <c r="J689" s="110"/>
      <c r="K689" s="118"/>
      <c r="L689" s="119"/>
      <c r="M689" s="120"/>
      <c r="N689" s="108"/>
      <c r="O689" s="121"/>
      <c r="P689" s="121"/>
      <c r="Q689" s="113" t="str">
        <f t="shared" si="54"/>
        <v/>
      </c>
      <c r="R689" s="113" t="str">
        <f t="shared" si="55"/>
        <v/>
      </c>
      <c r="S689" s="113" t="str">
        <f t="shared" si="56"/>
        <v/>
      </c>
      <c r="T689" s="113" t="str">
        <f t="shared" si="57"/>
        <v/>
      </c>
      <c r="U689" s="113" t="str">
        <f t="shared" si="58"/>
        <v/>
      </c>
      <c r="V689" s="113" t="str">
        <f t="shared" si="59"/>
        <v/>
      </c>
      <c r="W689" s="114"/>
    </row>
    <row r="690" spans="1:23">
      <c r="A690" s="101"/>
      <c r="B690" s="132"/>
      <c r="C690" s="116"/>
      <c r="D690" s="126"/>
      <c r="E690" s="126"/>
      <c r="F690" s="127"/>
      <c r="G690" s="117"/>
      <c r="H690" s="107"/>
      <c r="I690" s="108"/>
      <c r="J690" s="110"/>
      <c r="K690" s="118"/>
      <c r="L690" s="119"/>
      <c r="M690" s="120"/>
      <c r="N690" s="108"/>
      <c r="O690" s="121"/>
      <c r="P690" s="121"/>
      <c r="Q690" s="113" t="str">
        <f t="shared" si="54"/>
        <v/>
      </c>
      <c r="R690" s="113" t="str">
        <f t="shared" si="55"/>
        <v/>
      </c>
      <c r="S690" s="113" t="str">
        <f t="shared" si="56"/>
        <v/>
      </c>
      <c r="T690" s="113" t="str">
        <f t="shared" si="57"/>
        <v/>
      </c>
      <c r="U690" s="113" t="str">
        <f t="shared" si="58"/>
        <v/>
      </c>
      <c r="V690" s="113" t="str">
        <f t="shared" si="59"/>
        <v/>
      </c>
      <c r="W690" s="114"/>
    </row>
    <row r="691" spans="1:23" ht="15" customHeight="1">
      <c r="A691" s="101">
        <v>26</v>
      </c>
      <c r="B691" s="130" t="s">
        <v>434</v>
      </c>
      <c r="C691" s="131"/>
      <c r="D691" s="538">
        <v>4.375</v>
      </c>
      <c r="E691" s="538"/>
      <c r="F691" s="127"/>
      <c r="G691" s="117">
        <v>0.25</v>
      </c>
      <c r="H691" s="107">
        <v>10</v>
      </c>
      <c r="I691" s="108">
        <v>1</v>
      </c>
      <c r="J691" s="110">
        <f>ROUND(2.83/G691+1,0)</f>
        <v>12</v>
      </c>
      <c r="K691" s="118">
        <f>D691</f>
        <v>4.375</v>
      </c>
      <c r="L691" s="119" t="str">
        <f>IF(O691&lt;12,"0",0.049*H691)</f>
        <v>0</v>
      </c>
      <c r="M691" s="120">
        <v>0</v>
      </c>
      <c r="N691" s="108">
        <f>M691*2*H691/1000</f>
        <v>0</v>
      </c>
      <c r="O691" s="121">
        <f>(D691)-N691</f>
        <v>4.375</v>
      </c>
      <c r="P691" s="121">
        <f>(I691*J691*O691)+L691</f>
        <v>52.5</v>
      </c>
      <c r="Q691" s="113" t="str">
        <f t="shared" si="54"/>
        <v/>
      </c>
      <c r="R691" s="113">
        <f t="shared" si="55"/>
        <v>52.5</v>
      </c>
      <c r="S691" s="113" t="str">
        <f t="shared" si="56"/>
        <v/>
      </c>
      <c r="T691" s="113" t="str">
        <f t="shared" si="57"/>
        <v/>
      </c>
      <c r="U691" s="113" t="str">
        <f t="shared" si="58"/>
        <v/>
      </c>
      <c r="V691" s="113" t="str">
        <f t="shared" si="59"/>
        <v/>
      </c>
      <c r="W691" s="114"/>
    </row>
    <row r="692" spans="1:23">
      <c r="A692" s="101"/>
      <c r="B692" s="130" t="s">
        <v>358</v>
      </c>
      <c r="C692" s="116"/>
      <c r="D692" s="126"/>
      <c r="E692" s="126"/>
      <c r="F692" s="127"/>
      <c r="G692" s="117"/>
      <c r="H692" s="107"/>
      <c r="I692" s="108"/>
      <c r="J692" s="110"/>
      <c r="K692" s="118"/>
      <c r="L692" s="119"/>
      <c r="M692" s="120"/>
      <c r="N692" s="108"/>
      <c r="O692" s="121"/>
      <c r="P692" s="121"/>
      <c r="Q692" s="113" t="str">
        <f t="shared" si="54"/>
        <v/>
      </c>
      <c r="R692" s="113" t="str">
        <f t="shared" si="55"/>
        <v/>
      </c>
      <c r="S692" s="113" t="str">
        <f t="shared" si="56"/>
        <v/>
      </c>
      <c r="T692" s="113" t="str">
        <f t="shared" si="57"/>
        <v/>
      </c>
      <c r="U692" s="113" t="str">
        <f t="shared" si="58"/>
        <v/>
      </c>
      <c r="V692" s="113" t="str">
        <f t="shared" si="59"/>
        <v/>
      </c>
      <c r="W692" s="114"/>
    </row>
    <row r="693" spans="1:23">
      <c r="A693" s="101"/>
      <c r="B693" s="132"/>
      <c r="C693" s="116"/>
      <c r="D693" s="126"/>
      <c r="E693" s="126"/>
      <c r="F693" s="127"/>
      <c r="G693" s="117"/>
      <c r="H693" s="107"/>
      <c r="I693" s="108"/>
      <c r="J693" s="110"/>
      <c r="K693" s="118"/>
      <c r="L693" s="119"/>
      <c r="M693" s="120"/>
      <c r="N693" s="108"/>
      <c r="O693" s="121"/>
      <c r="P693" s="121"/>
      <c r="Q693" s="113" t="str">
        <f t="shared" si="54"/>
        <v/>
      </c>
      <c r="R693" s="113" t="str">
        <f t="shared" si="55"/>
        <v/>
      </c>
      <c r="S693" s="113" t="str">
        <f t="shared" si="56"/>
        <v/>
      </c>
      <c r="T693" s="113" t="str">
        <f t="shared" si="57"/>
        <v/>
      </c>
      <c r="U693" s="113" t="str">
        <f t="shared" si="58"/>
        <v/>
      </c>
      <c r="V693" s="113" t="str">
        <f t="shared" si="59"/>
        <v/>
      </c>
      <c r="W693" s="114"/>
    </row>
    <row r="694" spans="1:23" ht="15" customHeight="1">
      <c r="A694" s="101">
        <v>27</v>
      </c>
      <c r="B694" s="130" t="s">
        <v>434</v>
      </c>
      <c r="C694" s="131"/>
      <c r="D694" s="538">
        <v>3.64</v>
      </c>
      <c r="E694" s="538"/>
      <c r="F694" s="127"/>
      <c r="G694" s="117">
        <v>0.25</v>
      </c>
      <c r="H694" s="107">
        <v>10</v>
      </c>
      <c r="I694" s="108">
        <v>1</v>
      </c>
      <c r="J694" s="110">
        <f>ROUND(15.8/G694+1,0)</f>
        <v>64</v>
      </c>
      <c r="K694" s="118">
        <f>D694</f>
        <v>3.64</v>
      </c>
      <c r="L694" s="119" t="str">
        <f>IF(O694&lt;12,"0",0.049*H694)</f>
        <v>0</v>
      </c>
      <c r="M694" s="120">
        <v>0</v>
      </c>
      <c r="N694" s="108">
        <f>M694*2*H694/1000</f>
        <v>0</v>
      </c>
      <c r="O694" s="121">
        <f>(D694)-N694</f>
        <v>3.64</v>
      </c>
      <c r="P694" s="121">
        <f>(I694*J694*O694)+L694</f>
        <v>232.96</v>
      </c>
      <c r="Q694" s="113" t="str">
        <f t="shared" si="54"/>
        <v/>
      </c>
      <c r="R694" s="113">
        <f t="shared" si="55"/>
        <v>232.96</v>
      </c>
      <c r="S694" s="113" t="str">
        <f t="shared" si="56"/>
        <v/>
      </c>
      <c r="T694" s="113" t="str">
        <f t="shared" si="57"/>
        <v/>
      </c>
      <c r="U694" s="113" t="str">
        <f t="shared" si="58"/>
        <v/>
      </c>
      <c r="V694" s="113" t="str">
        <f t="shared" si="59"/>
        <v/>
      </c>
      <c r="W694" s="114"/>
    </row>
    <row r="695" spans="1:23">
      <c r="A695" s="101"/>
      <c r="B695" s="130" t="s">
        <v>359</v>
      </c>
      <c r="C695" s="116"/>
      <c r="D695" s="126"/>
      <c r="E695" s="126"/>
      <c r="F695" s="127"/>
      <c r="G695" s="117"/>
      <c r="H695" s="107"/>
      <c r="I695" s="108"/>
      <c r="J695" s="110"/>
      <c r="K695" s="118"/>
      <c r="L695" s="119"/>
      <c r="M695" s="120"/>
      <c r="N695" s="108"/>
      <c r="O695" s="121"/>
      <c r="P695" s="121"/>
      <c r="Q695" s="113" t="str">
        <f t="shared" si="54"/>
        <v/>
      </c>
      <c r="R695" s="113" t="str">
        <f t="shared" si="55"/>
        <v/>
      </c>
      <c r="S695" s="113" t="str">
        <f t="shared" si="56"/>
        <v/>
      </c>
      <c r="T695" s="113" t="str">
        <f t="shared" si="57"/>
        <v/>
      </c>
      <c r="U695" s="113" t="str">
        <f t="shared" si="58"/>
        <v/>
      </c>
      <c r="V695" s="113" t="str">
        <f t="shared" si="59"/>
        <v/>
      </c>
      <c r="W695" s="114"/>
    </row>
    <row r="696" spans="1:23">
      <c r="A696" s="101"/>
      <c r="B696" s="132"/>
      <c r="C696" s="116"/>
      <c r="D696" s="126"/>
      <c r="E696" s="126"/>
      <c r="F696" s="127"/>
      <c r="G696" s="117"/>
      <c r="H696" s="107"/>
      <c r="I696" s="108"/>
      <c r="J696" s="110"/>
      <c r="K696" s="118"/>
      <c r="L696" s="119"/>
      <c r="M696" s="120"/>
      <c r="N696" s="108"/>
      <c r="O696" s="121"/>
      <c r="P696" s="121"/>
      <c r="Q696" s="113" t="str">
        <f t="shared" si="54"/>
        <v/>
      </c>
      <c r="R696" s="113" t="str">
        <f t="shared" si="55"/>
        <v/>
      </c>
      <c r="S696" s="113" t="str">
        <f t="shared" si="56"/>
        <v/>
      </c>
      <c r="T696" s="113" t="str">
        <f t="shared" si="57"/>
        <v/>
      </c>
      <c r="U696" s="113" t="str">
        <f t="shared" si="58"/>
        <v/>
      </c>
      <c r="V696" s="113" t="str">
        <f t="shared" si="59"/>
        <v/>
      </c>
      <c r="W696" s="114"/>
    </row>
    <row r="697" spans="1:23" ht="15" customHeight="1">
      <c r="A697" s="101">
        <v>28</v>
      </c>
      <c r="B697" s="130" t="s">
        <v>434</v>
      </c>
      <c r="C697" s="131"/>
      <c r="D697" s="538">
        <v>2.4500000000000002</v>
      </c>
      <c r="E697" s="538"/>
      <c r="F697" s="127"/>
      <c r="G697" s="117">
        <v>0.25</v>
      </c>
      <c r="H697" s="107">
        <v>10</v>
      </c>
      <c r="I697" s="108">
        <v>1</v>
      </c>
      <c r="J697" s="110">
        <f>ROUND(2.33/G697+1,0)</f>
        <v>10</v>
      </c>
      <c r="K697" s="118">
        <f>D697</f>
        <v>2.4500000000000002</v>
      </c>
      <c r="L697" s="119" t="str">
        <f>IF(O697&lt;12,"0",0.049*H697)</f>
        <v>0</v>
      </c>
      <c r="M697" s="120">
        <v>0</v>
      </c>
      <c r="N697" s="108">
        <f>M697*2*H697/1000</f>
        <v>0</v>
      </c>
      <c r="O697" s="121">
        <f>(D697)-N697</f>
        <v>2.4500000000000002</v>
      </c>
      <c r="P697" s="121">
        <f>(I697*J697*O697)+L697</f>
        <v>24.5</v>
      </c>
      <c r="Q697" s="113" t="str">
        <f t="shared" si="54"/>
        <v/>
      </c>
      <c r="R697" s="113">
        <f t="shared" si="55"/>
        <v>24.5</v>
      </c>
      <c r="S697" s="113" t="str">
        <f t="shared" si="56"/>
        <v/>
      </c>
      <c r="T697" s="113" t="str">
        <f t="shared" si="57"/>
        <v/>
      </c>
      <c r="U697" s="113" t="str">
        <f t="shared" si="58"/>
        <v/>
      </c>
      <c r="V697" s="113" t="str">
        <f t="shared" si="59"/>
        <v/>
      </c>
      <c r="W697" s="114"/>
    </row>
    <row r="698" spans="1:23">
      <c r="A698" s="101"/>
      <c r="B698" s="130" t="s">
        <v>360</v>
      </c>
      <c r="C698" s="116"/>
      <c r="D698" s="126"/>
      <c r="E698" s="126"/>
      <c r="F698" s="127"/>
      <c r="G698" s="117"/>
      <c r="H698" s="107"/>
      <c r="I698" s="108"/>
      <c r="J698" s="110"/>
      <c r="K698" s="118"/>
      <c r="L698" s="119"/>
      <c r="M698" s="120"/>
      <c r="N698" s="108"/>
      <c r="O698" s="121"/>
      <c r="P698" s="121"/>
      <c r="Q698" s="113" t="str">
        <f t="shared" si="54"/>
        <v/>
      </c>
      <c r="R698" s="113" t="str">
        <f t="shared" si="55"/>
        <v/>
      </c>
      <c r="S698" s="113" t="str">
        <f t="shared" si="56"/>
        <v/>
      </c>
      <c r="T698" s="113" t="str">
        <f t="shared" si="57"/>
        <v/>
      </c>
      <c r="U698" s="113" t="str">
        <f t="shared" si="58"/>
        <v/>
      </c>
      <c r="V698" s="113" t="str">
        <f t="shared" si="59"/>
        <v/>
      </c>
      <c r="W698" s="114"/>
    </row>
    <row r="699" spans="1:23">
      <c r="A699" s="101"/>
      <c r="B699" s="132"/>
      <c r="C699" s="116"/>
      <c r="D699" s="126"/>
      <c r="E699" s="126"/>
      <c r="F699" s="127"/>
      <c r="G699" s="117"/>
      <c r="H699" s="107"/>
      <c r="I699" s="108"/>
      <c r="J699" s="110"/>
      <c r="K699" s="118"/>
      <c r="L699" s="119"/>
      <c r="M699" s="120"/>
      <c r="N699" s="108"/>
      <c r="O699" s="121"/>
      <c r="P699" s="121"/>
      <c r="Q699" s="113" t="str">
        <f t="shared" si="54"/>
        <v/>
      </c>
      <c r="R699" s="113" t="str">
        <f t="shared" si="55"/>
        <v/>
      </c>
      <c r="S699" s="113" t="str">
        <f t="shared" si="56"/>
        <v/>
      </c>
      <c r="T699" s="113" t="str">
        <f t="shared" si="57"/>
        <v/>
      </c>
      <c r="U699" s="113" t="str">
        <f t="shared" si="58"/>
        <v/>
      </c>
      <c r="V699" s="113" t="str">
        <f t="shared" si="59"/>
        <v/>
      </c>
      <c r="W699" s="114"/>
    </row>
    <row r="700" spans="1:23" ht="15" customHeight="1">
      <c r="A700" s="101">
        <v>29</v>
      </c>
      <c r="B700" s="130" t="s">
        <v>434</v>
      </c>
      <c r="C700" s="131"/>
      <c r="D700" s="538">
        <v>3.8</v>
      </c>
      <c r="E700" s="538"/>
      <c r="F700" s="127"/>
      <c r="G700" s="117">
        <v>0.25</v>
      </c>
      <c r="H700" s="107">
        <v>10</v>
      </c>
      <c r="I700" s="108">
        <v>1</v>
      </c>
      <c r="J700" s="110">
        <f>ROUND(4.09/G700+1,0)</f>
        <v>17</v>
      </c>
      <c r="K700" s="118">
        <f>D700</f>
        <v>3.8</v>
      </c>
      <c r="L700" s="119" t="str">
        <f>IF(O700&lt;12,"0",0.049*H700)</f>
        <v>0</v>
      </c>
      <c r="M700" s="120">
        <v>0</v>
      </c>
      <c r="N700" s="108">
        <f>M700*2*H700/1000</f>
        <v>0</v>
      </c>
      <c r="O700" s="121">
        <f>(D700)-N700</f>
        <v>3.8</v>
      </c>
      <c r="P700" s="121">
        <f>(I700*J700*O700)+L700</f>
        <v>64.599999999999994</v>
      </c>
      <c r="Q700" s="113" t="str">
        <f t="shared" si="54"/>
        <v/>
      </c>
      <c r="R700" s="113">
        <f t="shared" si="55"/>
        <v>64.599999999999994</v>
      </c>
      <c r="S700" s="113" t="str">
        <f t="shared" si="56"/>
        <v/>
      </c>
      <c r="T700" s="113" t="str">
        <f t="shared" si="57"/>
        <v/>
      </c>
      <c r="U700" s="113" t="str">
        <f t="shared" si="58"/>
        <v/>
      </c>
      <c r="V700" s="113" t="str">
        <f t="shared" si="59"/>
        <v/>
      </c>
      <c r="W700" s="114"/>
    </row>
    <row r="701" spans="1:23">
      <c r="A701" s="101"/>
      <c r="B701" s="130" t="s">
        <v>361</v>
      </c>
      <c r="C701" s="116"/>
      <c r="D701" s="126"/>
      <c r="E701" s="126"/>
      <c r="F701" s="127"/>
      <c r="G701" s="117"/>
      <c r="H701" s="107"/>
      <c r="I701" s="108"/>
      <c r="J701" s="110"/>
      <c r="K701" s="118"/>
      <c r="L701" s="119"/>
      <c r="M701" s="120"/>
      <c r="N701" s="108"/>
      <c r="O701" s="121"/>
      <c r="P701" s="121"/>
      <c r="Q701" s="113" t="str">
        <f t="shared" si="54"/>
        <v/>
      </c>
      <c r="R701" s="113" t="str">
        <f t="shared" si="55"/>
        <v/>
      </c>
      <c r="S701" s="113" t="str">
        <f t="shared" si="56"/>
        <v/>
      </c>
      <c r="T701" s="113" t="str">
        <f t="shared" si="57"/>
        <v/>
      </c>
      <c r="U701" s="113" t="str">
        <f t="shared" si="58"/>
        <v/>
      </c>
      <c r="V701" s="113" t="str">
        <f t="shared" si="59"/>
        <v/>
      </c>
      <c r="W701" s="114"/>
    </row>
    <row r="702" spans="1:23">
      <c r="A702" s="101"/>
      <c r="B702" s="132"/>
      <c r="C702" s="116"/>
      <c r="D702" s="126"/>
      <c r="E702" s="126"/>
      <c r="F702" s="127"/>
      <c r="G702" s="117"/>
      <c r="H702" s="107"/>
      <c r="I702" s="108"/>
      <c r="J702" s="110"/>
      <c r="K702" s="118"/>
      <c r="L702" s="119"/>
      <c r="M702" s="120"/>
      <c r="N702" s="108"/>
      <c r="O702" s="121"/>
      <c r="P702" s="121"/>
      <c r="Q702" s="113" t="str">
        <f t="shared" si="54"/>
        <v/>
      </c>
      <c r="R702" s="113" t="str">
        <f t="shared" si="55"/>
        <v/>
      </c>
      <c r="S702" s="113" t="str">
        <f t="shared" si="56"/>
        <v/>
      </c>
      <c r="T702" s="113" t="str">
        <f t="shared" si="57"/>
        <v/>
      </c>
      <c r="U702" s="113" t="str">
        <f t="shared" si="58"/>
        <v/>
      </c>
      <c r="V702" s="113" t="str">
        <f t="shared" si="59"/>
        <v/>
      </c>
      <c r="W702" s="114"/>
    </row>
    <row r="703" spans="1:23" ht="15" customHeight="1">
      <c r="A703" s="101">
        <v>30</v>
      </c>
      <c r="B703" s="130" t="s">
        <v>433</v>
      </c>
      <c r="C703" s="131"/>
      <c r="D703" s="538">
        <v>6.4</v>
      </c>
      <c r="E703" s="538"/>
      <c r="F703" s="127"/>
      <c r="G703" s="117">
        <v>0.25</v>
      </c>
      <c r="H703" s="107">
        <v>10</v>
      </c>
      <c r="I703" s="108">
        <v>1</v>
      </c>
      <c r="J703" s="110">
        <f>ROUND(5.53/G703+1,0)</f>
        <v>23</v>
      </c>
      <c r="K703" s="118">
        <f>D703</f>
        <v>6.4</v>
      </c>
      <c r="L703" s="119" t="str">
        <f>IF(O703&lt;12,"0",0.049*H703)</f>
        <v>0</v>
      </c>
      <c r="M703" s="120">
        <v>0</v>
      </c>
      <c r="N703" s="108">
        <f>M703*2*H703/1000</f>
        <v>0</v>
      </c>
      <c r="O703" s="121">
        <f>(D703)-N703</f>
        <v>6.4</v>
      </c>
      <c r="P703" s="121">
        <f>(I703*J703*O703)+L703</f>
        <v>147.20000000000002</v>
      </c>
      <c r="Q703" s="113" t="str">
        <f t="shared" si="54"/>
        <v/>
      </c>
      <c r="R703" s="113">
        <f t="shared" si="55"/>
        <v>147.20000000000002</v>
      </c>
      <c r="S703" s="113" t="str">
        <f t="shared" si="56"/>
        <v/>
      </c>
      <c r="T703" s="113" t="str">
        <f t="shared" si="57"/>
        <v/>
      </c>
      <c r="U703" s="113" t="str">
        <f t="shared" si="58"/>
        <v/>
      </c>
      <c r="V703" s="113" t="str">
        <f t="shared" si="59"/>
        <v/>
      </c>
      <c r="W703" s="114"/>
    </row>
    <row r="704" spans="1:23">
      <c r="A704" s="101"/>
      <c r="B704" s="130" t="s">
        <v>362</v>
      </c>
      <c r="C704" s="116"/>
      <c r="D704" s="126"/>
      <c r="E704" s="126"/>
      <c r="F704" s="127"/>
      <c r="G704" s="117"/>
      <c r="H704" s="107"/>
      <c r="I704" s="108"/>
      <c r="J704" s="110"/>
      <c r="K704" s="118"/>
      <c r="L704" s="119"/>
      <c r="M704" s="120"/>
      <c r="N704" s="108"/>
      <c r="O704" s="121"/>
      <c r="P704" s="121"/>
      <c r="Q704" s="113" t="str">
        <f t="shared" si="54"/>
        <v/>
      </c>
      <c r="R704" s="113" t="str">
        <f t="shared" si="55"/>
        <v/>
      </c>
      <c r="S704" s="113" t="str">
        <f t="shared" si="56"/>
        <v/>
      </c>
      <c r="T704" s="113" t="str">
        <f t="shared" si="57"/>
        <v/>
      </c>
      <c r="U704" s="113" t="str">
        <f t="shared" si="58"/>
        <v/>
      </c>
      <c r="V704" s="113" t="str">
        <f t="shared" si="59"/>
        <v/>
      </c>
      <c r="W704" s="114"/>
    </row>
    <row r="705" spans="1:23">
      <c r="A705" s="101"/>
      <c r="B705" s="132"/>
      <c r="C705" s="116"/>
      <c r="D705" s="126"/>
      <c r="E705" s="126"/>
      <c r="F705" s="127"/>
      <c r="G705" s="117"/>
      <c r="H705" s="107"/>
      <c r="I705" s="108"/>
      <c r="J705" s="110"/>
      <c r="K705" s="118"/>
      <c r="L705" s="119"/>
      <c r="M705" s="120"/>
      <c r="N705" s="108"/>
      <c r="O705" s="121"/>
      <c r="P705" s="121"/>
      <c r="Q705" s="113" t="str">
        <f t="shared" si="54"/>
        <v/>
      </c>
      <c r="R705" s="113" t="str">
        <f t="shared" si="55"/>
        <v/>
      </c>
      <c r="S705" s="113" t="str">
        <f t="shared" si="56"/>
        <v/>
      </c>
      <c r="T705" s="113" t="str">
        <f t="shared" si="57"/>
        <v/>
      </c>
      <c r="U705" s="113" t="str">
        <f t="shared" si="58"/>
        <v/>
      </c>
      <c r="V705" s="113" t="str">
        <f t="shared" si="59"/>
        <v/>
      </c>
      <c r="W705" s="114"/>
    </row>
    <row r="706" spans="1:23" ht="15" customHeight="1">
      <c r="A706" s="101">
        <v>31</v>
      </c>
      <c r="B706" s="130" t="s">
        <v>434</v>
      </c>
      <c r="C706" s="131"/>
      <c r="D706" s="538">
        <v>5.53</v>
      </c>
      <c r="E706" s="538"/>
      <c r="F706" s="127"/>
      <c r="G706" s="117">
        <v>0.25</v>
      </c>
      <c r="H706" s="107">
        <v>16</v>
      </c>
      <c r="I706" s="108">
        <v>1</v>
      </c>
      <c r="J706" s="110">
        <f>ROUND(6.4/G706+1,0)</f>
        <v>27</v>
      </c>
      <c r="K706" s="118">
        <f>D706</f>
        <v>5.53</v>
      </c>
      <c r="L706" s="119" t="str">
        <f>IF(O706&lt;12,"0",0.049*H706)</f>
        <v>0</v>
      </c>
      <c r="M706" s="120">
        <v>0</v>
      </c>
      <c r="N706" s="108">
        <f>M706*2*H706/1000</f>
        <v>0</v>
      </c>
      <c r="O706" s="121">
        <f>(D706)-N706</f>
        <v>5.53</v>
      </c>
      <c r="P706" s="121">
        <f>(I706*J706*O706)+L706</f>
        <v>149.31</v>
      </c>
      <c r="Q706" s="113" t="str">
        <f t="shared" si="54"/>
        <v/>
      </c>
      <c r="R706" s="113" t="str">
        <f t="shared" si="55"/>
        <v/>
      </c>
      <c r="S706" s="113" t="str">
        <f t="shared" si="56"/>
        <v/>
      </c>
      <c r="T706" s="113">
        <f t="shared" si="57"/>
        <v>149.31</v>
      </c>
      <c r="U706" s="113" t="str">
        <f t="shared" si="58"/>
        <v/>
      </c>
      <c r="V706" s="113" t="str">
        <f t="shared" si="59"/>
        <v/>
      </c>
      <c r="W706" s="114"/>
    </row>
    <row r="707" spans="1:23">
      <c r="A707" s="101"/>
      <c r="B707" s="130" t="s">
        <v>362</v>
      </c>
      <c r="C707" s="116"/>
      <c r="D707" s="126"/>
      <c r="E707" s="126"/>
      <c r="F707" s="127"/>
      <c r="G707" s="117"/>
      <c r="H707" s="107"/>
      <c r="I707" s="108"/>
      <c r="J707" s="110"/>
      <c r="K707" s="118"/>
      <c r="L707" s="119"/>
      <c r="M707" s="120"/>
      <c r="N707" s="108"/>
      <c r="O707" s="121"/>
      <c r="P707" s="121"/>
      <c r="Q707" s="113" t="str">
        <f t="shared" si="54"/>
        <v/>
      </c>
      <c r="R707" s="113" t="str">
        <f t="shared" si="55"/>
        <v/>
      </c>
      <c r="S707" s="113" t="str">
        <f t="shared" si="56"/>
        <v/>
      </c>
      <c r="T707" s="113" t="str">
        <f t="shared" si="57"/>
        <v/>
      </c>
      <c r="U707" s="113" t="str">
        <f t="shared" si="58"/>
        <v/>
      </c>
      <c r="V707" s="113" t="str">
        <f t="shared" si="59"/>
        <v/>
      </c>
      <c r="W707" s="114"/>
    </row>
    <row r="708" spans="1:23">
      <c r="A708" s="101"/>
      <c r="B708" s="132"/>
      <c r="C708" s="116"/>
      <c r="D708" s="126"/>
      <c r="E708" s="126"/>
      <c r="F708" s="127"/>
      <c r="G708" s="117"/>
      <c r="H708" s="107"/>
      <c r="I708" s="108"/>
      <c r="J708" s="110"/>
      <c r="K708" s="118"/>
      <c r="L708" s="119"/>
      <c r="M708" s="120"/>
      <c r="N708" s="108"/>
      <c r="O708" s="121"/>
      <c r="P708" s="121"/>
      <c r="Q708" s="113" t="str">
        <f t="shared" si="54"/>
        <v/>
      </c>
      <c r="R708" s="113" t="str">
        <f t="shared" si="55"/>
        <v/>
      </c>
      <c r="S708" s="113" t="str">
        <f t="shared" si="56"/>
        <v/>
      </c>
      <c r="T708" s="113" t="str">
        <f t="shared" si="57"/>
        <v/>
      </c>
      <c r="U708" s="113" t="str">
        <f t="shared" si="58"/>
        <v/>
      </c>
      <c r="V708" s="113" t="str">
        <f t="shared" si="59"/>
        <v/>
      </c>
      <c r="W708" s="114"/>
    </row>
    <row r="709" spans="1:23" ht="15" customHeight="1">
      <c r="A709" s="101">
        <v>32</v>
      </c>
      <c r="B709" s="130" t="s">
        <v>433</v>
      </c>
      <c r="C709" s="131"/>
      <c r="D709" s="538">
        <v>3.8</v>
      </c>
      <c r="E709" s="538"/>
      <c r="F709" s="127"/>
      <c r="G709" s="117">
        <v>0.25</v>
      </c>
      <c r="H709" s="107">
        <v>12</v>
      </c>
      <c r="I709" s="108">
        <v>1</v>
      </c>
      <c r="J709" s="110">
        <f>ROUND(5.7/G709+1,0)</f>
        <v>24</v>
      </c>
      <c r="K709" s="118">
        <f>D709</f>
        <v>3.8</v>
      </c>
      <c r="L709" s="119" t="str">
        <f>IF(O709&lt;12,"0",0.049*H709)</f>
        <v>0</v>
      </c>
      <c r="M709" s="120">
        <v>0</v>
      </c>
      <c r="N709" s="108">
        <f>M709*2*H709/1000</f>
        <v>0</v>
      </c>
      <c r="O709" s="121">
        <f>(D709)-N709</f>
        <v>3.8</v>
      </c>
      <c r="P709" s="121">
        <f>(I709*J709*O709)+L709</f>
        <v>91.199999999999989</v>
      </c>
      <c r="Q709" s="113" t="str">
        <f t="shared" si="54"/>
        <v/>
      </c>
      <c r="R709" s="113" t="str">
        <f t="shared" si="55"/>
        <v/>
      </c>
      <c r="S709" s="113">
        <f t="shared" si="56"/>
        <v>91.199999999999989</v>
      </c>
      <c r="T709" s="113" t="str">
        <f t="shared" si="57"/>
        <v/>
      </c>
      <c r="U709" s="113" t="str">
        <f t="shared" si="58"/>
        <v/>
      </c>
      <c r="V709" s="113" t="str">
        <f t="shared" si="59"/>
        <v/>
      </c>
      <c r="W709" s="114"/>
    </row>
    <row r="710" spans="1:23">
      <c r="A710" s="101"/>
      <c r="B710" s="130" t="s">
        <v>363</v>
      </c>
      <c r="C710" s="116"/>
      <c r="D710" s="126"/>
      <c r="E710" s="126"/>
      <c r="F710" s="127"/>
      <c r="G710" s="117"/>
      <c r="H710" s="107"/>
      <c r="I710" s="108"/>
      <c r="J710" s="110"/>
      <c r="K710" s="118"/>
      <c r="L710" s="119"/>
      <c r="M710" s="120"/>
      <c r="N710" s="108"/>
      <c r="O710" s="121"/>
      <c r="P710" s="121"/>
      <c r="Q710" s="113" t="str">
        <f t="shared" si="54"/>
        <v/>
      </c>
      <c r="R710" s="113" t="str">
        <f t="shared" si="55"/>
        <v/>
      </c>
      <c r="S710" s="113" t="str">
        <f t="shared" si="56"/>
        <v/>
      </c>
      <c r="T710" s="113" t="str">
        <f t="shared" si="57"/>
        <v/>
      </c>
      <c r="U710" s="113" t="str">
        <f t="shared" si="58"/>
        <v/>
      </c>
      <c r="V710" s="113" t="str">
        <f t="shared" si="59"/>
        <v/>
      </c>
      <c r="W710" s="114"/>
    </row>
    <row r="711" spans="1:23">
      <c r="A711" s="101"/>
      <c r="B711" s="132"/>
      <c r="C711" s="116"/>
      <c r="D711" s="126"/>
      <c r="E711" s="126"/>
      <c r="F711" s="127"/>
      <c r="G711" s="117"/>
      <c r="H711" s="107"/>
      <c r="I711" s="108"/>
      <c r="J711" s="110"/>
      <c r="K711" s="118"/>
      <c r="L711" s="119"/>
      <c r="M711" s="120"/>
      <c r="N711" s="108"/>
      <c r="O711" s="121"/>
      <c r="P711" s="121"/>
      <c r="Q711" s="113" t="str">
        <f t="shared" si="54"/>
        <v/>
      </c>
      <c r="R711" s="113" t="str">
        <f t="shared" si="55"/>
        <v/>
      </c>
      <c r="S711" s="113" t="str">
        <f t="shared" si="56"/>
        <v/>
      </c>
      <c r="T711" s="113" t="str">
        <f t="shared" si="57"/>
        <v/>
      </c>
      <c r="U711" s="113" t="str">
        <f t="shared" si="58"/>
        <v/>
      </c>
      <c r="V711" s="113" t="str">
        <f t="shared" si="59"/>
        <v/>
      </c>
      <c r="W711" s="114"/>
    </row>
    <row r="712" spans="1:23" ht="15" customHeight="1">
      <c r="A712" s="101">
        <v>33</v>
      </c>
      <c r="B712" s="130" t="s">
        <v>434</v>
      </c>
      <c r="C712" s="131"/>
      <c r="D712" s="538">
        <v>5.7</v>
      </c>
      <c r="E712" s="538"/>
      <c r="F712" s="127"/>
      <c r="G712" s="117">
        <v>0.25</v>
      </c>
      <c r="H712" s="107">
        <v>20</v>
      </c>
      <c r="I712" s="108">
        <v>1</v>
      </c>
      <c r="J712" s="110">
        <f>ROUND(5.8/G712+1,0)</f>
        <v>24</v>
      </c>
      <c r="K712" s="118">
        <f>D712</f>
        <v>5.7</v>
      </c>
      <c r="L712" s="119" t="str">
        <f>IF(O712&lt;12,"0",0.049*H712)</f>
        <v>0</v>
      </c>
      <c r="M712" s="120">
        <v>0</v>
      </c>
      <c r="N712" s="108">
        <f>M712*2*H712/1000</f>
        <v>0</v>
      </c>
      <c r="O712" s="121">
        <f>(D712)-N712</f>
        <v>5.7</v>
      </c>
      <c r="P712" s="121">
        <f>(I712*J712*O712)+L712</f>
        <v>136.80000000000001</v>
      </c>
      <c r="Q712" s="113" t="str">
        <f t="shared" si="54"/>
        <v/>
      </c>
      <c r="R712" s="113" t="str">
        <f t="shared" si="55"/>
        <v/>
      </c>
      <c r="S712" s="113" t="str">
        <f t="shared" si="56"/>
        <v/>
      </c>
      <c r="T712" s="113" t="str">
        <f t="shared" si="57"/>
        <v/>
      </c>
      <c r="U712" s="113">
        <f t="shared" si="58"/>
        <v>136.80000000000001</v>
      </c>
      <c r="V712" s="113" t="str">
        <f t="shared" si="59"/>
        <v/>
      </c>
      <c r="W712" s="114"/>
    </row>
    <row r="713" spans="1:23">
      <c r="A713" s="101"/>
      <c r="B713" s="130" t="s">
        <v>363</v>
      </c>
      <c r="C713" s="116"/>
      <c r="D713" s="126"/>
      <c r="E713" s="126"/>
      <c r="F713" s="127"/>
      <c r="G713" s="117"/>
      <c r="H713" s="107"/>
      <c r="I713" s="108"/>
      <c r="J713" s="110"/>
      <c r="K713" s="118"/>
      <c r="L713" s="119"/>
      <c r="M713" s="120"/>
      <c r="N713" s="108"/>
      <c r="O713" s="121"/>
      <c r="P713" s="121"/>
      <c r="Q713" s="113" t="str">
        <f t="shared" si="54"/>
        <v/>
      </c>
      <c r="R713" s="113" t="str">
        <f t="shared" si="55"/>
        <v/>
      </c>
      <c r="S713" s="113" t="str">
        <f t="shared" si="56"/>
        <v/>
      </c>
      <c r="T713" s="113" t="str">
        <f t="shared" si="57"/>
        <v/>
      </c>
      <c r="U713" s="113" t="str">
        <f t="shared" si="58"/>
        <v/>
      </c>
      <c r="V713" s="113" t="str">
        <f t="shared" si="59"/>
        <v/>
      </c>
      <c r="W713" s="114"/>
    </row>
    <row r="714" spans="1:23">
      <c r="A714" s="101"/>
      <c r="B714" s="132"/>
      <c r="C714" s="116"/>
      <c r="D714" s="126"/>
      <c r="E714" s="126"/>
      <c r="F714" s="127"/>
      <c r="G714" s="117"/>
      <c r="H714" s="107"/>
      <c r="I714" s="108"/>
      <c r="J714" s="110"/>
      <c r="K714" s="118"/>
      <c r="L714" s="119"/>
      <c r="M714" s="120"/>
      <c r="N714" s="108"/>
      <c r="O714" s="121"/>
      <c r="P714" s="121"/>
      <c r="Q714" s="113" t="str">
        <f t="shared" si="54"/>
        <v/>
      </c>
      <c r="R714" s="113" t="str">
        <f t="shared" si="55"/>
        <v/>
      </c>
      <c r="S714" s="113" t="str">
        <f t="shared" si="56"/>
        <v/>
      </c>
      <c r="T714" s="113" t="str">
        <f t="shared" si="57"/>
        <v/>
      </c>
      <c r="U714" s="113" t="str">
        <f t="shared" si="58"/>
        <v/>
      </c>
      <c r="V714" s="113" t="str">
        <f t="shared" si="59"/>
        <v/>
      </c>
      <c r="W714" s="114"/>
    </row>
    <row r="715" spans="1:23" ht="15" customHeight="1">
      <c r="A715" s="101">
        <v>34</v>
      </c>
      <c r="B715" s="130" t="s">
        <v>434</v>
      </c>
      <c r="C715" s="131"/>
      <c r="D715" s="538">
        <v>5.7</v>
      </c>
      <c r="E715" s="538"/>
      <c r="F715" s="127"/>
      <c r="G715" s="117">
        <v>0.25</v>
      </c>
      <c r="H715" s="107">
        <v>16</v>
      </c>
      <c r="I715" s="108">
        <v>1</v>
      </c>
      <c r="J715" s="110">
        <f>ROUND(2.25/G715+1,0)</f>
        <v>10</v>
      </c>
      <c r="K715" s="118">
        <f>D715</f>
        <v>5.7</v>
      </c>
      <c r="L715" s="119" t="str">
        <f>IF(O715&lt;12,"0",0.049*H715)</f>
        <v>0</v>
      </c>
      <c r="M715" s="120">
        <v>0</v>
      </c>
      <c r="N715" s="108">
        <f>M715*2*H715/1000</f>
        <v>0</v>
      </c>
      <c r="O715" s="121">
        <f>(D715)-N715</f>
        <v>5.7</v>
      </c>
      <c r="P715" s="121">
        <f>(I715*J715*O715)+L715</f>
        <v>57</v>
      </c>
      <c r="Q715" s="113" t="str">
        <f t="shared" si="54"/>
        <v/>
      </c>
      <c r="R715" s="113" t="str">
        <f t="shared" si="55"/>
        <v/>
      </c>
      <c r="S715" s="113" t="str">
        <f t="shared" si="56"/>
        <v/>
      </c>
      <c r="T715" s="113">
        <f t="shared" si="57"/>
        <v>57</v>
      </c>
      <c r="U715" s="113" t="str">
        <f t="shared" si="58"/>
        <v/>
      </c>
      <c r="V715" s="113" t="str">
        <f t="shared" si="59"/>
        <v/>
      </c>
      <c r="W715" s="114"/>
    </row>
    <row r="716" spans="1:23">
      <c r="A716" s="101"/>
      <c r="B716" s="130" t="s">
        <v>363</v>
      </c>
      <c r="C716" s="116"/>
      <c r="D716" s="126"/>
      <c r="E716" s="126"/>
      <c r="F716" s="127"/>
      <c r="G716" s="117"/>
      <c r="H716" s="107"/>
      <c r="I716" s="108"/>
      <c r="J716" s="110"/>
      <c r="K716" s="118"/>
      <c r="L716" s="119"/>
      <c r="M716" s="120"/>
      <c r="N716" s="108"/>
      <c r="O716" s="121"/>
      <c r="P716" s="121"/>
      <c r="Q716" s="113" t="str">
        <f t="shared" si="54"/>
        <v/>
      </c>
      <c r="R716" s="113" t="str">
        <f t="shared" si="55"/>
        <v/>
      </c>
      <c r="S716" s="113" t="str">
        <f t="shared" si="56"/>
        <v/>
      </c>
      <c r="T716" s="113" t="str">
        <f t="shared" si="57"/>
        <v/>
      </c>
      <c r="U716" s="113" t="str">
        <f t="shared" si="58"/>
        <v/>
      </c>
      <c r="V716" s="113" t="str">
        <f t="shared" si="59"/>
        <v/>
      </c>
      <c r="W716" s="114"/>
    </row>
    <row r="717" spans="1:23">
      <c r="A717" s="101"/>
      <c r="B717" s="132"/>
      <c r="C717" s="116"/>
      <c r="D717" s="126"/>
      <c r="E717" s="126"/>
      <c r="F717" s="127"/>
      <c r="G717" s="117"/>
      <c r="H717" s="107"/>
      <c r="I717" s="108"/>
      <c r="J717" s="110"/>
      <c r="K717" s="118"/>
      <c r="L717" s="119"/>
      <c r="M717" s="120"/>
      <c r="N717" s="108"/>
      <c r="O717" s="121"/>
      <c r="P717" s="121"/>
      <c r="Q717" s="113" t="str">
        <f t="shared" si="54"/>
        <v/>
      </c>
      <c r="R717" s="113" t="str">
        <f t="shared" si="55"/>
        <v/>
      </c>
      <c r="S717" s="113" t="str">
        <f t="shared" si="56"/>
        <v/>
      </c>
      <c r="T717" s="113" t="str">
        <f t="shared" si="57"/>
        <v/>
      </c>
      <c r="U717" s="113" t="str">
        <f t="shared" si="58"/>
        <v/>
      </c>
      <c r="V717" s="113" t="str">
        <f t="shared" si="59"/>
        <v/>
      </c>
      <c r="W717" s="114"/>
    </row>
    <row r="718" spans="1:23" ht="15" customHeight="1">
      <c r="A718" s="101">
        <v>35</v>
      </c>
      <c r="B718" s="130" t="s">
        <v>433</v>
      </c>
      <c r="C718" s="131"/>
      <c r="D718" s="538">
        <v>5.7450000000000001</v>
      </c>
      <c r="E718" s="538"/>
      <c r="F718" s="127"/>
      <c r="G718" s="117">
        <v>0.25</v>
      </c>
      <c r="H718" s="107">
        <v>16</v>
      </c>
      <c r="I718" s="108">
        <v>1</v>
      </c>
      <c r="J718" s="110">
        <f>ROUND(3.46/G718+1,0)</f>
        <v>15</v>
      </c>
      <c r="K718" s="118">
        <f>D718</f>
        <v>5.7450000000000001</v>
      </c>
      <c r="L718" s="119" t="str">
        <f>IF(O718&lt;12,"0",0.049*H718)</f>
        <v>0</v>
      </c>
      <c r="M718" s="120">
        <v>0</v>
      </c>
      <c r="N718" s="108">
        <f>M718*2*H718/1000</f>
        <v>0</v>
      </c>
      <c r="O718" s="121">
        <f>(D718)-N718</f>
        <v>5.7450000000000001</v>
      </c>
      <c r="P718" s="121">
        <f>(I718*J718*O718)+L718</f>
        <v>86.174999999999997</v>
      </c>
      <c r="Q718" s="113" t="str">
        <f t="shared" si="54"/>
        <v/>
      </c>
      <c r="R718" s="113" t="str">
        <f t="shared" si="55"/>
        <v/>
      </c>
      <c r="S718" s="113" t="str">
        <f t="shared" si="56"/>
        <v/>
      </c>
      <c r="T718" s="113">
        <f t="shared" si="57"/>
        <v>86.174999999999997</v>
      </c>
      <c r="U718" s="113" t="str">
        <f t="shared" si="58"/>
        <v/>
      </c>
      <c r="V718" s="113" t="str">
        <f t="shared" si="59"/>
        <v/>
      </c>
      <c r="W718" s="114"/>
    </row>
    <row r="719" spans="1:23">
      <c r="A719" s="101"/>
      <c r="B719" s="130" t="s">
        <v>364</v>
      </c>
      <c r="C719" s="116"/>
      <c r="D719" s="126"/>
      <c r="E719" s="126"/>
      <c r="F719" s="127"/>
      <c r="G719" s="117"/>
      <c r="H719" s="107"/>
      <c r="I719" s="108"/>
      <c r="J719" s="110"/>
      <c r="K719" s="118"/>
      <c r="L719" s="119"/>
      <c r="M719" s="120"/>
      <c r="N719" s="108"/>
      <c r="O719" s="121"/>
      <c r="P719" s="121"/>
      <c r="Q719" s="113" t="str">
        <f t="shared" si="54"/>
        <v/>
      </c>
      <c r="R719" s="113" t="str">
        <f t="shared" si="55"/>
        <v/>
      </c>
      <c r="S719" s="113" t="str">
        <f t="shared" si="56"/>
        <v/>
      </c>
      <c r="T719" s="113" t="str">
        <f t="shared" si="57"/>
        <v/>
      </c>
      <c r="U719" s="113" t="str">
        <f t="shared" si="58"/>
        <v/>
      </c>
      <c r="V719" s="113" t="str">
        <f t="shared" si="59"/>
        <v/>
      </c>
      <c r="W719" s="114"/>
    </row>
    <row r="720" spans="1:23">
      <c r="A720" s="101"/>
      <c r="B720" s="132"/>
      <c r="C720" s="116"/>
      <c r="D720" s="126"/>
      <c r="E720" s="126"/>
      <c r="F720" s="127"/>
      <c r="G720" s="117"/>
      <c r="H720" s="107"/>
      <c r="I720" s="108"/>
      <c r="J720" s="110"/>
      <c r="K720" s="118"/>
      <c r="L720" s="119"/>
      <c r="M720" s="120"/>
      <c r="N720" s="108"/>
      <c r="O720" s="121"/>
      <c r="P720" s="121"/>
      <c r="Q720" s="113" t="str">
        <f t="shared" si="54"/>
        <v/>
      </c>
      <c r="R720" s="113" t="str">
        <f t="shared" si="55"/>
        <v/>
      </c>
      <c r="S720" s="113" t="str">
        <f t="shared" si="56"/>
        <v/>
      </c>
      <c r="T720" s="113" t="str">
        <f t="shared" si="57"/>
        <v/>
      </c>
      <c r="U720" s="113" t="str">
        <f t="shared" si="58"/>
        <v/>
      </c>
      <c r="V720" s="113" t="str">
        <f t="shared" si="59"/>
        <v/>
      </c>
      <c r="W720" s="114"/>
    </row>
    <row r="721" spans="1:23" ht="15" customHeight="1">
      <c r="A721" s="101">
        <v>36</v>
      </c>
      <c r="B721" s="130" t="s">
        <v>434</v>
      </c>
      <c r="C721" s="131"/>
      <c r="D721" s="538">
        <v>2.5</v>
      </c>
      <c r="E721" s="538"/>
      <c r="F721" s="127"/>
      <c r="G721" s="117">
        <v>0.25</v>
      </c>
      <c r="H721" s="107">
        <v>20</v>
      </c>
      <c r="I721" s="108">
        <v>1</v>
      </c>
      <c r="J721" s="110">
        <f>ROUND(3.165/G721+1,0)</f>
        <v>14</v>
      </c>
      <c r="K721" s="118">
        <f>D721</f>
        <v>2.5</v>
      </c>
      <c r="L721" s="119" t="str">
        <f>IF(O721&lt;12,"0",0.049*H721)</f>
        <v>0</v>
      </c>
      <c r="M721" s="120">
        <v>0</v>
      </c>
      <c r="N721" s="108">
        <f>M721*2*H721/1000</f>
        <v>0</v>
      </c>
      <c r="O721" s="121">
        <f>(D721)-N721</f>
        <v>2.5</v>
      </c>
      <c r="P721" s="121">
        <f>(I721*J721*O721)+L721</f>
        <v>35</v>
      </c>
      <c r="Q721" s="113" t="str">
        <f t="shared" si="54"/>
        <v/>
      </c>
      <c r="R721" s="113" t="str">
        <f t="shared" si="55"/>
        <v/>
      </c>
      <c r="S721" s="113" t="str">
        <f t="shared" si="56"/>
        <v/>
      </c>
      <c r="T721" s="113" t="str">
        <f t="shared" si="57"/>
        <v/>
      </c>
      <c r="U721" s="113">
        <f t="shared" si="58"/>
        <v>35</v>
      </c>
      <c r="V721" s="113" t="str">
        <f t="shared" si="59"/>
        <v/>
      </c>
      <c r="W721" s="114"/>
    </row>
    <row r="722" spans="1:23">
      <c r="A722" s="101"/>
      <c r="B722" s="130" t="s">
        <v>365</v>
      </c>
      <c r="C722" s="116"/>
      <c r="D722" s="126"/>
      <c r="E722" s="126"/>
      <c r="F722" s="127"/>
      <c r="G722" s="117"/>
      <c r="H722" s="107"/>
      <c r="I722" s="108"/>
      <c r="J722" s="110"/>
      <c r="K722" s="118"/>
      <c r="L722" s="119"/>
      <c r="M722" s="120"/>
      <c r="N722" s="108"/>
      <c r="O722" s="121"/>
      <c r="P722" s="121"/>
      <c r="Q722" s="113" t="str">
        <f t="shared" si="54"/>
        <v/>
      </c>
      <c r="R722" s="113" t="str">
        <f t="shared" si="55"/>
        <v/>
      </c>
      <c r="S722" s="113" t="str">
        <f t="shared" si="56"/>
        <v/>
      </c>
      <c r="T722" s="113" t="str">
        <f t="shared" si="57"/>
        <v/>
      </c>
      <c r="U722" s="113" t="str">
        <f t="shared" si="58"/>
        <v/>
      </c>
      <c r="V722" s="113" t="str">
        <f t="shared" si="59"/>
        <v/>
      </c>
      <c r="W722" s="114"/>
    </row>
    <row r="723" spans="1:23">
      <c r="A723" s="101"/>
      <c r="B723" s="132"/>
      <c r="C723" s="116"/>
      <c r="D723" s="126"/>
      <c r="E723" s="126"/>
      <c r="F723" s="127"/>
      <c r="G723" s="117"/>
      <c r="H723" s="107"/>
      <c r="I723" s="108"/>
      <c r="J723" s="110"/>
      <c r="K723" s="118"/>
      <c r="L723" s="119"/>
      <c r="M723" s="120"/>
      <c r="N723" s="108"/>
      <c r="O723" s="121"/>
      <c r="P723" s="121"/>
      <c r="Q723" s="113" t="str">
        <f t="shared" si="54"/>
        <v/>
      </c>
      <c r="R723" s="113" t="str">
        <f t="shared" si="55"/>
        <v/>
      </c>
      <c r="S723" s="113" t="str">
        <f t="shared" si="56"/>
        <v/>
      </c>
      <c r="T723" s="113" t="str">
        <f t="shared" si="57"/>
        <v/>
      </c>
      <c r="U723" s="113" t="str">
        <f t="shared" si="58"/>
        <v/>
      </c>
      <c r="V723" s="113" t="str">
        <f t="shared" si="59"/>
        <v/>
      </c>
      <c r="W723" s="114"/>
    </row>
    <row r="724" spans="1:23" ht="15" customHeight="1">
      <c r="A724" s="101">
        <v>37</v>
      </c>
      <c r="B724" s="130" t="s">
        <v>434</v>
      </c>
      <c r="C724" s="131"/>
      <c r="D724" s="538">
        <v>3.46</v>
      </c>
      <c r="E724" s="538"/>
      <c r="F724" s="127"/>
      <c r="G724" s="117">
        <v>0.25</v>
      </c>
      <c r="H724" s="107">
        <v>20</v>
      </c>
      <c r="I724" s="108">
        <v>1</v>
      </c>
      <c r="J724" s="110">
        <f>ROUND(5.745/G724+1,0)</f>
        <v>24</v>
      </c>
      <c r="K724" s="118">
        <f>D724</f>
        <v>3.46</v>
      </c>
      <c r="L724" s="119" t="str">
        <f>IF(O724&lt;12,"0",0.049*H724)</f>
        <v>0</v>
      </c>
      <c r="M724" s="120">
        <v>0</v>
      </c>
      <c r="N724" s="108">
        <f>M724*2*H724/1000</f>
        <v>0</v>
      </c>
      <c r="O724" s="121">
        <f>(D724)-N724</f>
        <v>3.46</v>
      </c>
      <c r="P724" s="121">
        <f>(I724*J724*O724)+L724</f>
        <v>83.039999999999992</v>
      </c>
      <c r="Q724" s="113" t="str">
        <f t="shared" si="54"/>
        <v/>
      </c>
      <c r="R724" s="113" t="str">
        <f t="shared" si="55"/>
        <v/>
      </c>
      <c r="S724" s="113" t="str">
        <f t="shared" si="56"/>
        <v/>
      </c>
      <c r="T724" s="113" t="str">
        <f t="shared" si="57"/>
        <v/>
      </c>
      <c r="U724" s="113">
        <f t="shared" si="58"/>
        <v>83.039999999999992</v>
      </c>
      <c r="V724" s="113" t="str">
        <f t="shared" si="59"/>
        <v/>
      </c>
      <c r="W724" s="114"/>
    </row>
    <row r="725" spans="1:23">
      <c r="A725" s="101"/>
      <c r="B725" s="130" t="s">
        <v>365</v>
      </c>
      <c r="C725" s="116"/>
      <c r="D725" s="126"/>
      <c r="E725" s="126"/>
      <c r="F725" s="127"/>
      <c r="G725" s="117"/>
      <c r="H725" s="107"/>
      <c r="I725" s="108"/>
      <c r="J725" s="110"/>
      <c r="K725" s="118"/>
      <c r="L725" s="119"/>
      <c r="M725" s="120"/>
      <c r="N725" s="108"/>
      <c r="O725" s="121"/>
      <c r="P725" s="121"/>
      <c r="Q725" s="113" t="str">
        <f t="shared" si="54"/>
        <v/>
      </c>
      <c r="R725" s="113" t="str">
        <f t="shared" si="55"/>
        <v/>
      </c>
      <c r="S725" s="113" t="str">
        <f t="shared" si="56"/>
        <v/>
      </c>
      <c r="T725" s="113" t="str">
        <f t="shared" si="57"/>
        <v/>
      </c>
      <c r="U725" s="113" t="str">
        <f t="shared" si="58"/>
        <v/>
      </c>
      <c r="V725" s="113" t="str">
        <f t="shared" si="59"/>
        <v/>
      </c>
      <c r="W725" s="114"/>
    </row>
    <row r="726" spans="1:23">
      <c r="A726" s="101"/>
      <c r="B726" s="132"/>
      <c r="C726" s="116"/>
      <c r="D726" s="126"/>
      <c r="E726" s="126"/>
      <c r="F726" s="127"/>
      <c r="G726" s="117"/>
      <c r="H726" s="107"/>
      <c r="I726" s="108"/>
      <c r="J726" s="110"/>
      <c r="K726" s="118"/>
      <c r="L726" s="119"/>
      <c r="M726" s="120"/>
      <c r="N726" s="108"/>
      <c r="O726" s="121"/>
      <c r="P726" s="121"/>
      <c r="Q726" s="113" t="str">
        <f t="shared" si="54"/>
        <v/>
      </c>
      <c r="R726" s="113" t="str">
        <f t="shared" si="55"/>
        <v/>
      </c>
      <c r="S726" s="113" t="str">
        <f t="shared" si="56"/>
        <v/>
      </c>
      <c r="T726" s="113" t="str">
        <f t="shared" si="57"/>
        <v/>
      </c>
      <c r="U726" s="113" t="str">
        <f t="shared" si="58"/>
        <v/>
      </c>
      <c r="V726" s="113" t="str">
        <f t="shared" si="59"/>
        <v/>
      </c>
      <c r="W726" s="114"/>
    </row>
    <row r="727" spans="1:23" ht="15" customHeight="1">
      <c r="A727" s="101">
        <v>38</v>
      </c>
      <c r="B727" s="130" t="s">
        <v>433</v>
      </c>
      <c r="C727" s="131"/>
      <c r="D727" s="538">
        <v>3.0449999999999999</v>
      </c>
      <c r="E727" s="538"/>
      <c r="F727" s="127"/>
      <c r="G727" s="117">
        <v>0.25</v>
      </c>
      <c r="H727" s="107">
        <v>20</v>
      </c>
      <c r="I727" s="108">
        <v>1</v>
      </c>
      <c r="J727" s="110">
        <f>ROUND(4.525/G727+1,0)</f>
        <v>19</v>
      </c>
      <c r="K727" s="118">
        <f>D727</f>
        <v>3.0449999999999999</v>
      </c>
      <c r="L727" s="119" t="str">
        <f>IF(O727&lt;12,"0",0.049*H727)</f>
        <v>0</v>
      </c>
      <c r="M727" s="120">
        <v>0</v>
      </c>
      <c r="N727" s="108">
        <f>M727*2*H727/1000</f>
        <v>0</v>
      </c>
      <c r="O727" s="121">
        <f>(D727)-N727</f>
        <v>3.0449999999999999</v>
      </c>
      <c r="P727" s="121">
        <f>(I727*J727*O727)+L727</f>
        <v>57.854999999999997</v>
      </c>
      <c r="Q727" s="113" t="str">
        <f t="shared" si="54"/>
        <v/>
      </c>
      <c r="R727" s="113" t="str">
        <f t="shared" si="55"/>
        <v/>
      </c>
      <c r="S727" s="113" t="str">
        <f t="shared" si="56"/>
        <v/>
      </c>
      <c r="T727" s="113" t="str">
        <f t="shared" si="57"/>
        <v/>
      </c>
      <c r="U727" s="113">
        <f t="shared" si="58"/>
        <v>57.854999999999997</v>
      </c>
      <c r="V727" s="113" t="str">
        <f t="shared" si="59"/>
        <v/>
      </c>
      <c r="W727" s="114"/>
    </row>
    <row r="728" spans="1:23">
      <c r="A728" s="101"/>
      <c r="B728" s="130" t="s">
        <v>366</v>
      </c>
      <c r="C728" s="116"/>
      <c r="D728" s="126"/>
      <c r="E728" s="126"/>
      <c r="F728" s="127"/>
      <c r="G728" s="117"/>
      <c r="H728" s="107"/>
      <c r="I728" s="108"/>
      <c r="J728" s="110"/>
      <c r="K728" s="118"/>
      <c r="L728" s="119"/>
      <c r="M728" s="120"/>
      <c r="N728" s="108"/>
      <c r="O728" s="121"/>
      <c r="P728" s="121"/>
      <c r="Q728" s="113" t="str">
        <f t="shared" si="54"/>
        <v/>
      </c>
      <c r="R728" s="113" t="str">
        <f t="shared" si="55"/>
        <v/>
      </c>
      <c r="S728" s="113" t="str">
        <f t="shared" si="56"/>
        <v/>
      </c>
      <c r="T728" s="113" t="str">
        <f t="shared" si="57"/>
        <v/>
      </c>
      <c r="U728" s="113" t="str">
        <f t="shared" si="58"/>
        <v/>
      </c>
      <c r="V728" s="113" t="str">
        <f t="shared" si="59"/>
        <v/>
      </c>
      <c r="W728" s="114"/>
    </row>
    <row r="729" spans="1:23">
      <c r="A729" s="101"/>
      <c r="B729" s="132"/>
      <c r="C729" s="116"/>
      <c r="D729" s="126"/>
      <c r="E729" s="126"/>
      <c r="F729" s="127"/>
      <c r="G729" s="117"/>
      <c r="H729" s="107"/>
      <c r="I729" s="108"/>
      <c r="J729" s="110"/>
      <c r="K729" s="118"/>
      <c r="L729" s="119"/>
      <c r="M729" s="120"/>
      <c r="N729" s="108"/>
      <c r="O729" s="121"/>
      <c r="P729" s="121"/>
      <c r="Q729" s="113" t="str">
        <f t="shared" si="54"/>
        <v/>
      </c>
      <c r="R729" s="113" t="str">
        <f t="shared" si="55"/>
        <v/>
      </c>
      <c r="S729" s="113" t="str">
        <f t="shared" si="56"/>
        <v/>
      </c>
      <c r="T729" s="113" t="str">
        <f t="shared" si="57"/>
        <v/>
      </c>
      <c r="U729" s="113" t="str">
        <f t="shared" si="58"/>
        <v/>
      </c>
      <c r="V729" s="113" t="str">
        <f t="shared" si="59"/>
        <v/>
      </c>
      <c r="W729" s="114"/>
    </row>
    <row r="730" spans="1:23" ht="15" customHeight="1">
      <c r="A730" s="101">
        <v>39</v>
      </c>
      <c r="B730" s="130" t="s">
        <v>434</v>
      </c>
      <c r="C730" s="131"/>
      <c r="D730" s="538">
        <v>4.5250000000000004</v>
      </c>
      <c r="E730" s="538"/>
      <c r="F730" s="127"/>
      <c r="G730" s="117">
        <v>0.25</v>
      </c>
      <c r="H730" s="107">
        <v>16</v>
      </c>
      <c r="I730" s="108">
        <v>1</v>
      </c>
      <c r="J730" s="110">
        <f>ROUND(3.045/G730+1,0)</f>
        <v>13</v>
      </c>
      <c r="K730" s="118">
        <f>D730</f>
        <v>4.5250000000000004</v>
      </c>
      <c r="L730" s="119" t="str">
        <f>IF(O730&lt;12,"0",0.049*H730)</f>
        <v>0</v>
      </c>
      <c r="M730" s="120">
        <v>0</v>
      </c>
      <c r="N730" s="108">
        <f>M730*2*H730/1000</f>
        <v>0</v>
      </c>
      <c r="O730" s="121">
        <f>(D730)-N730</f>
        <v>4.5250000000000004</v>
      </c>
      <c r="P730" s="121">
        <f>(I730*J730*O730)+L730</f>
        <v>58.825000000000003</v>
      </c>
      <c r="Q730" s="113" t="str">
        <f t="shared" si="54"/>
        <v/>
      </c>
      <c r="R730" s="113" t="str">
        <f t="shared" si="55"/>
        <v/>
      </c>
      <c r="S730" s="113" t="str">
        <f t="shared" si="56"/>
        <v/>
      </c>
      <c r="T730" s="113">
        <f t="shared" si="57"/>
        <v>58.825000000000003</v>
      </c>
      <c r="U730" s="113" t="str">
        <f t="shared" si="58"/>
        <v/>
      </c>
      <c r="V730" s="113" t="str">
        <f t="shared" si="59"/>
        <v/>
      </c>
      <c r="W730" s="114"/>
    </row>
    <row r="731" spans="1:23">
      <c r="A731" s="101"/>
      <c r="B731" s="130" t="s">
        <v>366</v>
      </c>
      <c r="C731" s="116"/>
      <c r="D731" s="126"/>
      <c r="E731" s="126"/>
      <c r="F731" s="127"/>
      <c r="G731" s="117"/>
      <c r="H731" s="107"/>
      <c r="I731" s="108"/>
      <c r="J731" s="110"/>
      <c r="K731" s="118"/>
      <c r="L731" s="119"/>
      <c r="M731" s="120"/>
      <c r="N731" s="108"/>
      <c r="O731" s="121"/>
      <c r="P731" s="121"/>
      <c r="Q731" s="113" t="str">
        <f t="shared" si="54"/>
        <v/>
      </c>
      <c r="R731" s="113" t="str">
        <f t="shared" si="55"/>
        <v/>
      </c>
      <c r="S731" s="113" t="str">
        <f t="shared" si="56"/>
        <v/>
      </c>
      <c r="T731" s="113" t="str">
        <f t="shared" si="57"/>
        <v/>
      </c>
      <c r="U731" s="113" t="str">
        <f t="shared" si="58"/>
        <v/>
      </c>
      <c r="V731" s="113" t="str">
        <f t="shared" si="59"/>
        <v/>
      </c>
      <c r="W731" s="114"/>
    </row>
    <row r="732" spans="1:23">
      <c r="A732" s="101"/>
      <c r="B732" s="132"/>
      <c r="C732" s="116"/>
      <c r="D732" s="126"/>
      <c r="E732" s="126"/>
      <c r="F732" s="127"/>
      <c r="G732" s="117"/>
      <c r="H732" s="107"/>
      <c r="I732" s="108"/>
      <c r="J732" s="110"/>
      <c r="K732" s="118"/>
      <c r="L732" s="119"/>
      <c r="M732" s="120"/>
      <c r="N732" s="108"/>
      <c r="O732" s="121"/>
      <c r="P732" s="121"/>
      <c r="Q732" s="113" t="str">
        <f t="shared" si="54"/>
        <v/>
      </c>
      <c r="R732" s="113" t="str">
        <f t="shared" si="55"/>
        <v/>
      </c>
      <c r="S732" s="113" t="str">
        <f t="shared" si="56"/>
        <v/>
      </c>
      <c r="T732" s="113" t="str">
        <f t="shared" si="57"/>
        <v/>
      </c>
      <c r="U732" s="113" t="str">
        <f t="shared" si="58"/>
        <v/>
      </c>
      <c r="V732" s="113" t="str">
        <f t="shared" si="59"/>
        <v/>
      </c>
      <c r="W732" s="114"/>
    </row>
    <row r="733" spans="1:23" ht="15" customHeight="1">
      <c r="A733" s="101">
        <v>40</v>
      </c>
      <c r="B733" s="130" t="s">
        <v>433</v>
      </c>
      <c r="C733" s="131"/>
      <c r="D733" s="538">
        <v>3.12</v>
      </c>
      <c r="E733" s="538"/>
      <c r="F733" s="127"/>
      <c r="G733" s="117">
        <v>0.25</v>
      </c>
      <c r="H733" s="107">
        <v>20</v>
      </c>
      <c r="I733" s="108">
        <v>1</v>
      </c>
      <c r="J733" s="110">
        <f>ROUND(3.165/G733+1,0)</f>
        <v>14</v>
      </c>
      <c r="K733" s="118">
        <f>D733</f>
        <v>3.12</v>
      </c>
      <c r="L733" s="119" t="str">
        <f>IF(O733&lt;12,"0",0.049*H733)</f>
        <v>0</v>
      </c>
      <c r="M733" s="120">
        <v>0</v>
      </c>
      <c r="N733" s="108">
        <f>M733*2*H733/1000</f>
        <v>0</v>
      </c>
      <c r="O733" s="121">
        <f>(D733)-N733</f>
        <v>3.12</v>
      </c>
      <c r="P733" s="121">
        <f>(I733*J733*O733)+L733</f>
        <v>43.68</v>
      </c>
      <c r="Q733" s="113" t="str">
        <f t="shared" si="54"/>
        <v/>
      </c>
      <c r="R733" s="113" t="str">
        <f t="shared" si="55"/>
        <v/>
      </c>
      <c r="S733" s="113" t="str">
        <f t="shared" si="56"/>
        <v/>
      </c>
      <c r="T733" s="113" t="str">
        <f t="shared" si="57"/>
        <v/>
      </c>
      <c r="U733" s="113">
        <f t="shared" si="58"/>
        <v>43.68</v>
      </c>
      <c r="V733" s="113" t="str">
        <f t="shared" si="59"/>
        <v/>
      </c>
      <c r="W733" s="114"/>
    </row>
    <row r="734" spans="1:23">
      <c r="A734" s="101"/>
      <c r="B734" s="130" t="s">
        <v>367</v>
      </c>
      <c r="C734" s="116"/>
      <c r="D734" s="126"/>
      <c r="E734" s="126"/>
      <c r="F734" s="127"/>
      <c r="G734" s="117"/>
      <c r="H734" s="107"/>
      <c r="I734" s="108"/>
      <c r="J734" s="110"/>
      <c r="K734" s="118"/>
      <c r="L734" s="119"/>
      <c r="M734" s="120"/>
      <c r="N734" s="108"/>
      <c r="O734" s="121"/>
      <c r="P734" s="121"/>
      <c r="Q734" s="113" t="str">
        <f t="shared" si="54"/>
        <v/>
      </c>
      <c r="R734" s="113" t="str">
        <f t="shared" si="55"/>
        <v/>
      </c>
      <c r="S734" s="113" t="str">
        <f t="shared" si="56"/>
        <v/>
      </c>
      <c r="T734" s="113" t="str">
        <f t="shared" si="57"/>
        <v/>
      </c>
      <c r="U734" s="113" t="str">
        <f t="shared" si="58"/>
        <v/>
      </c>
      <c r="V734" s="113" t="str">
        <f t="shared" si="59"/>
        <v/>
      </c>
      <c r="W734" s="114"/>
    </row>
    <row r="735" spans="1:23">
      <c r="A735" s="101"/>
      <c r="B735" s="132"/>
      <c r="C735" s="116"/>
      <c r="D735" s="126"/>
      <c r="E735" s="126"/>
      <c r="F735" s="127"/>
      <c r="G735" s="117"/>
      <c r="H735" s="107"/>
      <c r="I735" s="108"/>
      <c r="J735" s="110"/>
      <c r="K735" s="118"/>
      <c r="L735" s="119"/>
      <c r="M735" s="120"/>
      <c r="N735" s="108"/>
      <c r="O735" s="121"/>
      <c r="P735" s="121"/>
      <c r="Q735" s="113" t="str">
        <f t="shared" si="54"/>
        <v/>
      </c>
      <c r="R735" s="113" t="str">
        <f t="shared" si="55"/>
        <v/>
      </c>
      <c r="S735" s="113" t="str">
        <f t="shared" si="56"/>
        <v/>
      </c>
      <c r="T735" s="113" t="str">
        <f t="shared" si="57"/>
        <v/>
      </c>
      <c r="U735" s="113" t="str">
        <f t="shared" si="58"/>
        <v/>
      </c>
      <c r="V735" s="113" t="str">
        <f t="shared" si="59"/>
        <v/>
      </c>
      <c r="W735" s="114"/>
    </row>
    <row r="736" spans="1:23" ht="15" customHeight="1">
      <c r="A736" s="101">
        <v>41</v>
      </c>
      <c r="B736" s="130" t="s">
        <v>433</v>
      </c>
      <c r="C736" s="131"/>
      <c r="D736" s="538">
        <v>2.85</v>
      </c>
      <c r="E736" s="538"/>
      <c r="F736" s="127"/>
      <c r="G736" s="117">
        <v>0.25</v>
      </c>
      <c r="H736" s="107">
        <v>16</v>
      </c>
      <c r="I736" s="108">
        <v>1</v>
      </c>
      <c r="J736" s="110">
        <f>ROUND(5.47/G736+1,0)</f>
        <v>23</v>
      </c>
      <c r="K736" s="118">
        <f>D736</f>
        <v>2.85</v>
      </c>
      <c r="L736" s="119" t="str">
        <f>IF(O736&lt;12,"0",0.049*H736)</f>
        <v>0</v>
      </c>
      <c r="M736" s="120">
        <v>0</v>
      </c>
      <c r="N736" s="108">
        <f>M736*2*H736/1000</f>
        <v>0</v>
      </c>
      <c r="O736" s="121">
        <f>(D736)-N736</f>
        <v>2.85</v>
      </c>
      <c r="P736" s="121">
        <f>(I736*J736*O736)+L736</f>
        <v>65.55</v>
      </c>
      <c r="Q736" s="113" t="str">
        <f t="shared" si="54"/>
        <v/>
      </c>
      <c r="R736" s="113" t="str">
        <f t="shared" si="55"/>
        <v/>
      </c>
      <c r="S736" s="113" t="str">
        <f t="shared" si="56"/>
        <v/>
      </c>
      <c r="T736" s="113">
        <f t="shared" si="57"/>
        <v>65.55</v>
      </c>
      <c r="U736" s="113" t="str">
        <f t="shared" si="58"/>
        <v/>
      </c>
      <c r="V736" s="113" t="str">
        <f t="shared" si="59"/>
        <v/>
      </c>
      <c r="W736" s="114"/>
    </row>
    <row r="737" spans="1:23">
      <c r="A737" s="101"/>
      <c r="B737" s="130" t="s">
        <v>367</v>
      </c>
      <c r="C737" s="116"/>
      <c r="D737" s="126"/>
      <c r="E737" s="126"/>
      <c r="F737" s="127"/>
      <c r="G737" s="117"/>
      <c r="H737" s="107"/>
      <c r="I737" s="108"/>
      <c r="J737" s="110"/>
      <c r="K737" s="118"/>
      <c r="L737" s="119"/>
      <c r="M737" s="120"/>
      <c r="N737" s="108"/>
      <c r="O737" s="121"/>
      <c r="P737" s="121"/>
      <c r="Q737" s="113" t="str">
        <f t="shared" si="54"/>
        <v/>
      </c>
      <c r="R737" s="113" t="str">
        <f t="shared" si="55"/>
        <v/>
      </c>
      <c r="S737" s="113" t="str">
        <f t="shared" si="56"/>
        <v/>
      </c>
      <c r="T737" s="113" t="str">
        <f t="shared" si="57"/>
        <v/>
      </c>
      <c r="U737" s="113" t="str">
        <f t="shared" si="58"/>
        <v/>
      </c>
      <c r="V737" s="113" t="str">
        <f t="shared" si="59"/>
        <v/>
      </c>
      <c r="W737" s="114"/>
    </row>
    <row r="738" spans="1:23">
      <c r="A738" s="101"/>
      <c r="B738" s="132"/>
      <c r="C738" s="116"/>
      <c r="D738" s="126"/>
      <c r="E738" s="126"/>
      <c r="F738" s="127"/>
      <c r="G738" s="117"/>
      <c r="H738" s="107"/>
      <c r="I738" s="108"/>
      <c r="J738" s="110"/>
      <c r="K738" s="118"/>
      <c r="L738" s="119"/>
      <c r="M738" s="120"/>
      <c r="N738" s="108"/>
      <c r="O738" s="121"/>
      <c r="P738" s="121"/>
      <c r="Q738" s="113" t="str">
        <f t="shared" si="54"/>
        <v/>
      </c>
      <c r="R738" s="113" t="str">
        <f t="shared" si="55"/>
        <v/>
      </c>
      <c r="S738" s="113" t="str">
        <f t="shared" si="56"/>
        <v/>
      </c>
      <c r="T738" s="113" t="str">
        <f t="shared" si="57"/>
        <v/>
      </c>
      <c r="U738" s="113" t="str">
        <f t="shared" si="58"/>
        <v/>
      </c>
      <c r="V738" s="113" t="str">
        <f t="shared" si="59"/>
        <v/>
      </c>
      <c r="W738" s="114"/>
    </row>
    <row r="739" spans="1:23" ht="15" customHeight="1">
      <c r="A739" s="101">
        <v>42</v>
      </c>
      <c r="B739" s="130" t="s">
        <v>434</v>
      </c>
      <c r="C739" s="131"/>
      <c r="D739" s="538">
        <v>4.12</v>
      </c>
      <c r="E739" s="538"/>
      <c r="F739" s="127"/>
      <c r="G739" s="117">
        <v>0.25</v>
      </c>
      <c r="H739" s="107">
        <v>20</v>
      </c>
      <c r="I739" s="108">
        <v>1</v>
      </c>
      <c r="J739" s="110">
        <f>ROUND(8.16/G739+1,0)</f>
        <v>34</v>
      </c>
      <c r="K739" s="118">
        <f>D739</f>
        <v>4.12</v>
      </c>
      <c r="L739" s="119" t="str">
        <f>IF(O739&lt;12,"0",0.049*H739)</f>
        <v>0</v>
      </c>
      <c r="M739" s="120">
        <v>0</v>
      </c>
      <c r="N739" s="108">
        <f>M739*2*H739/1000</f>
        <v>0</v>
      </c>
      <c r="O739" s="121">
        <f>(D739)-N739</f>
        <v>4.12</v>
      </c>
      <c r="P739" s="121">
        <f>(I739*J739*O739)+L739</f>
        <v>140.08000000000001</v>
      </c>
      <c r="Q739" s="113" t="str">
        <f t="shared" si="54"/>
        <v/>
      </c>
      <c r="R739" s="113" t="str">
        <f t="shared" si="55"/>
        <v/>
      </c>
      <c r="S739" s="113" t="str">
        <f t="shared" si="56"/>
        <v/>
      </c>
      <c r="T739" s="113" t="str">
        <f t="shared" si="57"/>
        <v/>
      </c>
      <c r="U739" s="113">
        <f t="shared" si="58"/>
        <v>140.08000000000001</v>
      </c>
      <c r="V739" s="113" t="str">
        <f t="shared" si="59"/>
        <v/>
      </c>
      <c r="W739" s="114"/>
    </row>
    <row r="740" spans="1:23">
      <c r="A740" s="101"/>
      <c r="B740" s="130" t="s">
        <v>367</v>
      </c>
      <c r="C740" s="116"/>
      <c r="D740" s="126"/>
      <c r="E740" s="126"/>
      <c r="F740" s="127"/>
      <c r="G740" s="117"/>
      <c r="H740" s="107"/>
      <c r="I740" s="108"/>
      <c r="J740" s="110"/>
      <c r="K740" s="118"/>
      <c r="L740" s="119"/>
      <c r="M740" s="120"/>
      <c r="N740" s="108"/>
      <c r="O740" s="121"/>
      <c r="P740" s="121"/>
      <c r="Q740" s="113" t="str">
        <f t="shared" si="54"/>
        <v/>
      </c>
      <c r="R740" s="113" t="str">
        <f t="shared" si="55"/>
        <v/>
      </c>
      <c r="S740" s="113" t="str">
        <f t="shared" si="56"/>
        <v/>
      </c>
      <c r="T740" s="113" t="str">
        <f t="shared" si="57"/>
        <v/>
      </c>
      <c r="U740" s="113" t="str">
        <f t="shared" si="58"/>
        <v/>
      </c>
      <c r="V740" s="113" t="str">
        <f t="shared" si="59"/>
        <v/>
      </c>
      <c r="W740" s="114"/>
    </row>
    <row r="741" spans="1:23">
      <c r="A741" s="101"/>
      <c r="B741" s="132"/>
      <c r="C741" s="116"/>
      <c r="D741" s="126"/>
      <c r="E741" s="126"/>
      <c r="F741" s="127"/>
      <c r="G741" s="117"/>
      <c r="H741" s="107"/>
      <c r="I741" s="108"/>
      <c r="J741" s="110"/>
      <c r="K741" s="118"/>
      <c r="L741" s="119"/>
      <c r="M741" s="120"/>
      <c r="N741" s="108"/>
      <c r="O741" s="121"/>
      <c r="P741" s="121"/>
      <c r="Q741" s="113" t="str">
        <f t="shared" si="54"/>
        <v/>
      </c>
      <c r="R741" s="113" t="str">
        <f t="shared" si="55"/>
        <v/>
      </c>
      <c r="S741" s="113" t="str">
        <f t="shared" si="56"/>
        <v/>
      </c>
      <c r="T741" s="113" t="str">
        <f t="shared" si="57"/>
        <v/>
      </c>
      <c r="U741" s="113" t="str">
        <f t="shared" si="58"/>
        <v/>
      </c>
      <c r="V741" s="113" t="str">
        <f t="shared" si="59"/>
        <v/>
      </c>
      <c r="W741" s="114"/>
    </row>
    <row r="742" spans="1:23" ht="15" customHeight="1">
      <c r="A742" s="101">
        <v>43</v>
      </c>
      <c r="B742" s="130" t="s">
        <v>434</v>
      </c>
      <c r="C742" s="131"/>
      <c r="D742" s="538">
        <v>4.1900000000000004</v>
      </c>
      <c r="E742" s="538"/>
      <c r="F742" s="127"/>
      <c r="G742" s="117">
        <v>0.25</v>
      </c>
      <c r="H742" s="107">
        <v>12</v>
      </c>
      <c r="I742" s="108">
        <v>1</v>
      </c>
      <c r="J742" s="110">
        <f>ROUND(2.56/G742+1,0)</f>
        <v>11</v>
      </c>
      <c r="K742" s="118">
        <f>D742</f>
        <v>4.1900000000000004</v>
      </c>
      <c r="L742" s="119" t="str">
        <f>IF(O742&lt;12,"0",0.049*H742)</f>
        <v>0</v>
      </c>
      <c r="M742" s="120">
        <v>0</v>
      </c>
      <c r="N742" s="108">
        <f>M742*2*H742/1000</f>
        <v>0</v>
      </c>
      <c r="O742" s="121">
        <f>(D742)-N742</f>
        <v>4.1900000000000004</v>
      </c>
      <c r="P742" s="121">
        <f>(I742*J742*O742)+L742</f>
        <v>46.09</v>
      </c>
      <c r="Q742" s="113" t="str">
        <f t="shared" si="54"/>
        <v/>
      </c>
      <c r="R742" s="113" t="str">
        <f t="shared" si="55"/>
        <v/>
      </c>
      <c r="S742" s="113">
        <f t="shared" si="56"/>
        <v>46.09</v>
      </c>
      <c r="T742" s="113" t="str">
        <f t="shared" si="57"/>
        <v/>
      </c>
      <c r="U742" s="113" t="str">
        <f t="shared" si="58"/>
        <v/>
      </c>
      <c r="V742" s="113" t="str">
        <f t="shared" si="59"/>
        <v/>
      </c>
      <c r="W742" s="114"/>
    </row>
    <row r="743" spans="1:23">
      <c r="A743" s="101"/>
      <c r="B743" s="130" t="s">
        <v>367</v>
      </c>
      <c r="C743" s="116"/>
      <c r="D743" s="126"/>
      <c r="E743" s="126"/>
      <c r="F743" s="127"/>
      <c r="G743" s="117"/>
      <c r="H743" s="107"/>
      <c r="I743" s="108"/>
      <c r="J743" s="110"/>
      <c r="K743" s="118"/>
      <c r="L743" s="119"/>
      <c r="M743" s="120"/>
      <c r="N743" s="108"/>
      <c r="O743" s="121"/>
      <c r="P743" s="121"/>
      <c r="Q743" s="113" t="str">
        <f t="shared" si="54"/>
        <v/>
      </c>
      <c r="R743" s="113" t="str">
        <f t="shared" si="55"/>
        <v/>
      </c>
      <c r="S743" s="113" t="str">
        <f t="shared" si="56"/>
        <v/>
      </c>
      <c r="T743" s="113" t="str">
        <f t="shared" si="57"/>
        <v/>
      </c>
      <c r="U743" s="113" t="str">
        <f t="shared" si="58"/>
        <v/>
      </c>
      <c r="V743" s="113" t="str">
        <f t="shared" si="59"/>
        <v/>
      </c>
      <c r="W743" s="114"/>
    </row>
    <row r="744" spans="1:23">
      <c r="A744" s="101"/>
      <c r="B744" s="132"/>
      <c r="C744" s="116"/>
      <c r="D744" s="126"/>
      <c r="E744" s="126"/>
      <c r="F744" s="127"/>
      <c r="G744" s="117"/>
      <c r="H744" s="107"/>
      <c r="I744" s="108"/>
      <c r="J744" s="110"/>
      <c r="K744" s="118"/>
      <c r="L744" s="119"/>
      <c r="M744" s="120"/>
      <c r="N744" s="108"/>
      <c r="O744" s="121"/>
      <c r="P744" s="121"/>
      <c r="Q744" s="113" t="str">
        <f t="shared" si="54"/>
        <v/>
      </c>
      <c r="R744" s="113" t="str">
        <f t="shared" si="55"/>
        <v/>
      </c>
      <c r="S744" s="113" t="str">
        <f t="shared" si="56"/>
        <v/>
      </c>
      <c r="T744" s="113" t="str">
        <f t="shared" si="57"/>
        <v/>
      </c>
      <c r="U744" s="113" t="str">
        <f t="shared" si="58"/>
        <v/>
      </c>
      <c r="V744" s="113" t="str">
        <f t="shared" si="59"/>
        <v/>
      </c>
      <c r="W744" s="114"/>
    </row>
    <row r="745" spans="1:23" ht="15" customHeight="1">
      <c r="A745" s="101">
        <v>44</v>
      </c>
      <c r="B745" s="130" t="s">
        <v>434</v>
      </c>
      <c r="C745" s="131"/>
      <c r="D745" s="538">
        <v>7.68</v>
      </c>
      <c r="E745" s="538"/>
      <c r="F745" s="127"/>
      <c r="G745" s="117">
        <v>0.25</v>
      </c>
      <c r="H745" s="107">
        <v>12</v>
      </c>
      <c r="I745" s="108">
        <v>1</v>
      </c>
      <c r="J745" s="110">
        <f>ROUND(2.635/G745+1,0)</f>
        <v>12</v>
      </c>
      <c r="K745" s="118">
        <f>D745</f>
        <v>7.68</v>
      </c>
      <c r="L745" s="119" t="str">
        <f>IF(O745&lt;12,"0",0.049*H745)</f>
        <v>0</v>
      </c>
      <c r="M745" s="120">
        <v>0</v>
      </c>
      <c r="N745" s="108">
        <f>M745*2*H745/1000</f>
        <v>0</v>
      </c>
      <c r="O745" s="121">
        <f>(D745)-N745</f>
        <v>7.68</v>
      </c>
      <c r="P745" s="121">
        <f>(I745*J745*O745)+L745</f>
        <v>92.16</v>
      </c>
      <c r="Q745" s="113" t="str">
        <f t="shared" si="54"/>
        <v/>
      </c>
      <c r="R745" s="113" t="str">
        <f t="shared" si="55"/>
        <v/>
      </c>
      <c r="S745" s="113">
        <f t="shared" si="56"/>
        <v>92.16</v>
      </c>
      <c r="T745" s="113" t="str">
        <f t="shared" si="57"/>
        <v/>
      </c>
      <c r="U745" s="113" t="str">
        <f t="shared" si="58"/>
        <v/>
      </c>
      <c r="V745" s="113" t="str">
        <f t="shared" si="59"/>
        <v/>
      </c>
      <c r="W745" s="114"/>
    </row>
    <row r="746" spans="1:23">
      <c r="A746" s="101"/>
      <c r="B746" s="130" t="s">
        <v>367</v>
      </c>
      <c r="C746" s="116"/>
      <c r="D746" s="126"/>
      <c r="E746" s="126"/>
      <c r="F746" s="127"/>
      <c r="G746" s="117"/>
      <c r="H746" s="107"/>
      <c r="I746" s="108"/>
      <c r="J746" s="110"/>
      <c r="K746" s="118"/>
      <c r="L746" s="119"/>
      <c r="M746" s="120"/>
      <c r="N746" s="108"/>
      <c r="O746" s="121"/>
      <c r="P746" s="121"/>
      <c r="Q746" s="113" t="str">
        <f t="shared" si="54"/>
        <v/>
      </c>
      <c r="R746" s="113" t="str">
        <f t="shared" si="55"/>
        <v/>
      </c>
      <c r="S746" s="113" t="str">
        <f t="shared" si="56"/>
        <v/>
      </c>
      <c r="T746" s="113" t="str">
        <f t="shared" si="57"/>
        <v/>
      </c>
      <c r="U746" s="113" t="str">
        <f t="shared" si="58"/>
        <v/>
      </c>
      <c r="V746" s="113" t="str">
        <f t="shared" si="59"/>
        <v/>
      </c>
      <c r="W746" s="114"/>
    </row>
    <row r="747" spans="1:23">
      <c r="A747" s="101"/>
      <c r="B747" s="132"/>
      <c r="C747" s="116"/>
      <c r="D747" s="126"/>
      <c r="E747" s="126"/>
      <c r="F747" s="127"/>
      <c r="G747" s="117"/>
      <c r="H747" s="107"/>
      <c r="I747" s="108"/>
      <c r="J747" s="110"/>
      <c r="K747" s="118"/>
      <c r="L747" s="119"/>
      <c r="M747" s="120"/>
      <c r="N747" s="108"/>
      <c r="O747" s="121"/>
      <c r="P747" s="121"/>
      <c r="Q747" s="113" t="str">
        <f t="shared" si="54"/>
        <v/>
      </c>
      <c r="R747" s="113" t="str">
        <f t="shared" si="55"/>
        <v/>
      </c>
      <c r="S747" s="113" t="str">
        <f t="shared" si="56"/>
        <v/>
      </c>
      <c r="T747" s="113" t="str">
        <f t="shared" si="57"/>
        <v/>
      </c>
      <c r="U747" s="113" t="str">
        <f t="shared" si="58"/>
        <v/>
      </c>
      <c r="V747" s="113" t="str">
        <f t="shared" si="59"/>
        <v/>
      </c>
      <c r="W747" s="114"/>
    </row>
    <row r="748" spans="1:23" ht="15" customHeight="1">
      <c r="A748" s="101">
        <v>45</v>
      </c>
      <c r="B748" s="130" t="s">
        <v>434</v>
      </c>
      <c r="C748" s="131"/>
      <c r="D748" s="538">
        <v>3.915</v>
      </c>
      <c r="E748" s="538"/>
      <c r="F748" s="127"/>
      <c r="G748" s="117">
        <v>0.25</v>
      </c>
      <c r="H748" s="107">
        <v>20</v>
      </c>
      <c r="I748" s="108">
        <v>1</v>
      </c>
      <c r="J748" s="110">
        <f>ROUND(4.5/G748+1,0)</f>
        <v>19</v>
      </c>
      <c r="K748" s="118">
        <f>D748</f>
        <v>3.915</v>
      </c>
      <c r="L748" s="119" t="str">
        <f>IF(O748&lt;12,"0",0.049*H748)</f>
        <v>0</v>
      </c>
      <c r="M748" s="120">
        <v>0</v>
      </c>
      <c r="N748" s="108">
        <f>M748*2*H748/1000</f>
        <v>0</v>
      </c>
      <c r="O748" s="121">
        <f>(D748)-N748</f>
        <v>3.915</v>
      </c>
      <c r="P748" s="121">
        <f>(I748*J748*O748)+L748</f>
        <v>74.385000000000005</v>
      </c>
      <c r="Q748" s="113" t="str">
        <f t="shared" si="54"/>
        <v/>
      </c>
      <c r="R748" s="113" t="str">
        <f t="shared" si="55"/>
        <v/>
      </c>
      <c r="S748" s="113" t="str">
        <f t="shared" si="56"/>
        <v/>
      </c>
      <c r="T748" s="113" t="str">
        <f t="shared" si="57"/>
        <v/>
      </c>
      <c r="U748" s="113">
        <f t="shared" si="58"/>
        <v>74.385000000000005</v>
      </c>
      <c r="V748" s="113" t="str">
        <f t="shared" si="59"/>
        <v/>
      </c>
      <c r="W748" s="114"/>
    </row>
    <row r="749" spans="1:23">
      <c r="A749" s="101"/>
      <c r="B749" s="130" t="s">
        <v>368</v>
      </c>
      <c r="C749" s="116"/>
      <c r="D749" s="126"/>
      <c r="E749" s="126"/>
      <c r="F749" s="127"/>
      <c r="G749" s="117"/>
      <c r="H749" s="107"/>
      <c r="I749" s="108"/>
      <c r="J749" s="110"/>
      <c r="K749" s="118"/>
      <c r="L749" s="119"/>
      <c r="M749" s="120"/>
      <c r="N749" s="108"/>
      <c r="O749" s="121"/>
      <c r="P749" s="121"/>
      <c r="Q749" s="113" t="str">
        <f t="shared" si="54"/>
        <v/>
      </c>
      <c r="R749" s="113" t="str">
        <f t="shared" si="55"/>
        <v/>
      </c>
      <c r="S749" s="113" t="str">
        <f t="shared" si="56"/>
        <v/>
      </c>
      <c r="T749" s="113" t="str">
        <f t="shared" si="57"/>
        <v/>
      </c>
      <c r="U749" s="113" t="str">
        <f t="shared" si="58"/>
        <v/>
      </c>
      <c r="V749" s="113" t="str">
        <f t="shared" si="59"/>
        <v/>
      </c>
      <c r="W749" s="114"/>
    </row>
    <row r="750" spans="1:23">
      <c r="A750" s="101"/>
      <c r="B750" s="132"/>
      <c r="C750" s="116"/>
      <c r="D750" s="126"/>
      <c r="E750" s="126"/>
      <c r="F750" s="127"/>
      <c r="G750" s="117"/>
      <c r="H750" s="107"/>
      <c r="I750" s="108"/>
      <c r="J750" s="110"/>
      <c r="K750" s="118"/>
      <c r="L750" s="119"/>
      <c r="M750" s="120"/>
      <c r="N750" s="108"/>
      <c r="O750" s="121"/>
      <c r="P750" s="121"/>
      <c r="Q750" s="113" t="str">
        <f t="shared" si="54"/>
        <v/>
      </c>
      <c r="R750" s="113" t="str">
        <f t="shared" si="55"/>
        <v/>
      </c>
      <c r="S750" s="113" t="str">
        <f t="shared" si="56"/>
        <v/>
      </c>
      <c r="T750" s="113" t="str">
        <f t="shared" si="57"/>
        <v/>
      </c>
      <c r="U750" s="113" t="str">
        <f t="shared" si="58"/>
        <v/>
      </c>
      <c r="V750" s="113" t="str">
        <f t="shared" si="59"/>
        <v/>
      </c>
      <c r="W750" s="114"/>
    </row>
    <row r="751" spans="1:23" ht="15" customHeight="1">
      <c r="A751" s="101">
        <v>46</v>
      </c>
      <c r="B751" s="130" t="s">
        <v>434</v>
      </c>
      <c r="C751" s="131"/>
      <c r="D751" s="538">
        <v>4.5</v>
      </c>
      <c r="E751" s="538"/>
      <c r="F751" s="127"/>
      <c r="G751" s="117">
        <v>0.25</v>
      </c>
      <c r="H751" s="107">
        <v>16</v>
      </c>
      <c r="I751" s="108">
        <v>1</v>
      </c>
      <c r="J751" s="110">
        <f>ROUND(3.915/G751+1,0)</f>
        <v>17</v>
      </c>
      <c r="K751" s="118">
        <f>D751</f>
        <v>4.5</v>
      </c>
      <c r="L751" s="119" t="str">
        <f>IF(O751&lt;12,"0",0.049*H751)</f>
        <v>0</v>
      </c>
      <c r="M751" s="120">
        <v>0</v>
      </c>
      <c r="N751" s="108">
        <f>M751*2*H751/1000</f>
        <v>0</v>
      </c>
      <c r="O751" s="121">
        <f>(D751)-N751</f>
        <v>4.5</v>
      </c>
      <c r="P751" s="121">
        <f>(I751*J751*O751)+L751</f>
        <v>76.5</v>
      </c>
      <c r="Q751" s="113" t="str">
        <f t="shared" si="54"/>
        <v/>
      </c>
      <c r="R751" s="113" t="str">
        <f t="shared" si="55"/>
        <v/>
      </c>
      <c r="S751" s="113" t="str">
        <f t="shared" si="56"/>
        <v/>
      </c>
      <c r="T751" s="113">
        <f t="shared" si="57"/>
        <v>76.5</v>
      </c>
      <c r="U751" s="113" t="str">
        <f t="shared" si="58"/>
        <v/>
      </c>
      <c r="V751" s="113" t="str">
        <f t="shared" si="59"/>
        <v/>
      </c>
      <c r="W751" s="114"/>
    </row>
    <row r="752" spans="1:23">
      <c r="A752" s="101"/>
      <c r="B752" s="130" t="s">
        <v>368</v>
      </c>
      <c r="C752" s="116"/>
      <c r="D752" s="126"/>
      <c r="E752" s="126"/>
      <c r="F752" s="127"/>
      <c r="G752" s="117"/>
      <c r="H752" s="107"/>
      <c r="I752" s="108"/>
      <c r="J752" s="110"/>
      <c r="K752" s="118"/>
      <c r="L752" s="119"/>
      <c r="M752" s="120"/>
      <c r="N752" s="108"/>
      <c r="O752" s="121"/>
      <c r="P752" s="121"/>
      <c r="Q752" s="113" t="str">
        <f t="shared" si="54"/>
        <v/>
      </c>
      <c r="R752" s="113" t="str">
        <f t="shared" si="55"/>
        <v/>
      </c>
      <c r="S752" s="113" t="str">
        <f t="shared" si="56"/>
        <v/>
      </c>
      <c r="T752" s="113" t="str">
        <f t="shared" si="57"/>
        <v/>
      </c>
      <c r="U752" s="113" t="str">
        <f t="shared" si="58"/>
        <v/>
      </c>
      <c r="V752" s="113" t="str">
        <f t="shared" si="59"/>
        <v/>
      </c>
      <c r="W752" s="114"/>
    </row>
    <row r="753" spans="1:23">
      <c r="A753" s="101"/>
      <c r="B753" s="132"/>
      <c r="C753" s="116"/>
      <c r="D753" s="126"/>
      <c r="E753" s="126"/>
      <c r="F753" s="127"/>
      <c r="G753" s="117"/>
      <c r="H753" s="107"/>
      <c r="I753" s="108"/>
      <c r="J753" s="110"/>
      <c r="K753" s="118"/>
      <c r="L753" s="119"/>
      <c r="M753" s="120"/>
      <c r="N753" s="108"/>
      <c r="O753" s="121"/>
      <c r="P753" s="121"/>
      <c r="Q753" s="113" t="str">
        <f t="shared" si="54"/>
        <v/>
      </c>
      <c r="R753" s="113" t="str">
        <f t="shared" si="55"/>
        <v/>
      </c>
      <c r="S753" s="113" t="str">
        <f t="shared" si="56"/>
        <v/>
      </c>
      <c r="T753" s="113" t="str">
        <f t="shared" si="57"/>
        <v/>
      </c>
      <c r="U753" s="113" t="str">
        <f t="shared" si="58"/>
        <v/>
      </c>
      <c r="V753" s="113" t="str">
        <f t="shared" si="59"/>
        <v/>
      </c>
      <c r="W753" s="114"/>
    </row>
    <row r="754" spans="1:23" ht="15" customHeight="1">
      <c r="A754" s="101">
        <v>47</v>
      </c>
      <c r="B754" s="130" t="s">
        <v>434</v>
      </c>
      <c r="C754" s="131"/>
      <c r="D754" s="538">
        <v>4.55</v>
      </c>
      <c r="E754" s="538"/>
      <c r="F754" s="127"/>
      <c r="G754" s="117">
        <v>0.25</v>
      </c>
      <c r="H754" s="107">
        <v>10</v>
      </c>
      <c r="I754" s="108">
        <v>1</v>
      </c>
      <c r="J754" s="110">
        <f>ROUND(4.5/G754+1,0)</f>
        <v>19</v>
      </c>
      <c r="K754" s="118">
        <f>D754</f>
        <v>4.55</v>
      </c>
      <c r="L754" s="119" t="str">
        <f>IF(O754&lt;12,"0",0.049*H754)</f>
        <v>0</v>
      </c>
      <c r="M754" s="120">
        <v>0</v>
      </c>
      <c r="N754" s="108">
        <f>M754*2*H754/1000</f>
        <v>0</v>
      </c>
      <c r="O754" s="121">
        <f>(D754)-N754</f>
        <v>4.55</v>
      </c>
      <c r="P754" s="121">
        <f>(I754*J754*O754)+L754</f>
        <v>86.45</v>
      </c>
      <c r="Q754" s="113" t="str">
        <f t="shared" si="54"/>
        <v/>
      </c>
      <c r="R754" s="113">
        <f t="shared" si="55"/>
        <v>86.45</v>
      </c>
      <c r="S754" s="113" t="str">
        <f t="shared" si="56"/>
        <v/>
      </c>
      <c r="T754" s="113" t="str">
        <f t="shared" si="57"/>
        <v/>
      </c>
      <c r="U754" s="113" t="str">
        <f t="shared" si="58"/>
        <v/>
      </c>
      <c r="V754" s="113" t="str">
        <f t="shared" si="59"/>
        <v/>
      </c>
      <c r="W754" s="114"/>
    </row>
    <row r="755" spans="1:23">
      <c r="A755" s="101"/>
      <c r="B755" s="130" t="s">
        <v>369</v>
      </c>
      <c r="C755" s="116"/>
      <c r="D755" s="126"/>
      <c r="E755" s="126"/>
      <c r="F755" s="127"/>
      <c r="G755" s="117"/>
      <c r="H755" s="107"/>
      <c r="I755" s="108"/>
      <c r="J755" s="110"/>
      <c r="K755" s="118"/>
      <c r="L755" s="119"/>
      <c r="M755" s="120"/>
      <c r="N755" s="108"/>
      <c r="O755" s="121"/>
      <c r="P755" s="121"/>
      <c r="Q755" s="113" t="str">
        <f t="shared" si="54"/>
        <v/>
      </c>
      <c r="R755" s="113" t="str">
        <f t="shared" si="55"/>
        <v/>
      </c>
      <c r="S755" s="113" t="str">
        <f t="shared" si="56"/>
        <v/>
      </c>
      <c r="T755" s="113" t="str">
        <f t="shared" si="57"/>
        <v/>
      </c>
      <c r="U755" s="113" t="str">
        <f t="shared" si="58"/>
        <v/>
      </c>
      <c r="V755" s="113" t="str">
        <f t="shared" si="59"/>
        <v/>
      </c>
      <c r="W755" s="114"/>
    </row>
    <row r="756" spans="1:23">
      <c r="A756" s="101"/>
      <c r="B756" s="132"/>
      <c r="C756" s="116"/>
      <c r="D756" s="126"/>
      <c r="E756" s="126"/>
      <c r="F756" s="127"/>
      <c r="G756" s="117"/>
      <c r="H756" s="107"/>
      <c r="I756" s="108"/>
      <c r="J756" s="110"/>
      <c r="K756" s="118"/>
      <c r="L756" s="119"/>
      <c r="M756" s="120"/>
      <c r="N756" s="108"/>
      <c r="O756" s="121"/>
      <c r="P756" s="121"/>
      <c r="Q756" s="113" t="str">
        <f t="shared" si="54"/>
        <v/>
      </c>
      <c r="R756" s="113" t="str">
        <f t="shared" si="55"/>
        <v/>
      </c>
      <c r="S756" s="113" t="str">
        <f t="shared" si="56"/>
        <v/>
      </c>
      <c r="T756" s="113" t="str">
        <f t="shared" si="57"/>
        <v/>
      </c>
      <c r="U756" s="113" t="str">
        <f t="shared" si="58"/>
        <v/>
      </c>
      <c r="V756" s="113" t="str">
        <f t="shared" si="59"/>
        <v/>
      </c>
      <c r="W756" s="114"/>
    </row>
    <row r="757" spans="1:23" ht="15" customHeight="1">
      <c r="A757" s="101">
        <v>48</v>
      </c>
      <c r="B757" s="130" t="s">
        <v>433</v>
      </c>
      <c r="C757" s="131"/>
      <c r="D757" s="538">
        <v>3.9750000000000001</v>
      </c>
      <c r="E757" s="538"/>
      <c r="F757" s="127"/>
      <c r="G757" s="117">
        <v>0.25</v>
      </c>
      <c r="H757" s="107">
        <v>25</v>
      </c>
      <c r="I757" s="108">
        <v>1</v>
      </c>
      <c r="J757" s="110">
        <f>ROUND(6.08/G757+1,0)</f>
        <v>25</v>
      </c>
      <c r="K757" s="118">
        <f>D757</f>
        <v>3.9750000000000001</v>
      </c>
      <c r="L757" s="119" t="str">
        <f>IF(O757&lt;12,"0",0.049*H757)</f>
        <v>0</v>
      </c>
      <c r="M757" s="120">
        <v>0</v>
      </c>
      <c r="N757" s="108">
        <f>M757*2*H757/1000</f>
        <v>0</v>
      </c>
      <c r="O757" s="121">
        <f>(D757)-N757</f>
        <v>3.9750000000000001</v>
      </c>
      <c r="P757" s="121">
        <f>(I757*J757*O757)+L757</f>
        <v>99.375</v>
      </c>
      <c r="Q757" s="113" t="str">
        <f t="shared" si="54"/>
        <v/>
      </c>
      <c r="R757" s="113" t="str">
        <f t="shared" si="55"/>
        <v/>
      </c>
      <c r="S757" s="113" t="str">
        <f t="shared" si="56"/>
        <v/>
      </c>
      <c r="T757" s="113" t="str">
        <f t="shared" si="57"/>
        <v/>
      </c>
      <c r="U757" s="113" t="str">
        <f t="shared" si="58"/>
        <v/>
      </c>
      <c r="V757" s="113">
        <f t="shared" si="59"/>
        <v>99.375</v>
      </c>
      <c r="W757" s="114"/>
    </row>
    <row r="758" spans="1:23">
      <c r="A758" s="101"/>
      <c r="B758" s="130" t="s">
        <v>370</v>
      </c>
      <c r="C758" s="116"/>
      <c r="D758" s="126"/>
      <c r="E758" s="126"/>
      <c r="F758" s="127"/>
      <c r="G758" s="117"/>
      <c r="H758" s="107"/>
      <c r="I758" s="108"/>
      <c r="J758" s="110"/>
      <c r="K758" s="118"/>
      <c r="L758" s="119"/>
      <c r="M758" s="120"/>
      <c r="N758" s="108"/>
      <c r="O758" s="121"/>
      <c r="P758" s="121"/>
      <c r="Q758" s="113" t="str">
        <f t="shared" si="54"/>
        <v/>
      </c>
      <c r="R758" s="113" t="str">
        <f t="shared" si="55"/>
        <v/>
      </c>
      <c r="S758" s="113" t="str">
        <f t="shared" si="56"/>
        <v/>
      </c>
      <c r="T758" s="113" t="str">
        <f t="shared" si="57"/>
        <v/>
      </c>
      <c r="U758" s="113" t="str">
        <f t="shared" si="58"/>
        <v/>
      </c>
      <c r="V758" s="113" t="str">
        <f t="shared" si="59"/>
        <v/>
      </c>
      <c r="W758" s="114"/>
    </row>
    <row r="759" spans="1:23">
      <c r="A759" s="101"/>
      <c r="B759" s="132"/>
      <c r="C759" s="116"/>
      <c r="D759" s="126"/>
      <c r="E759" s="126"/>
      <c r="F759" s="127"/>
      <c r="G759" s="117"/>
      <c r="H759" s="107"/>
      <c r="I759" s="108"/>
      <c r="J759" s="110"/>
      <c r="K759" s="118"/>
      <c r="L759" s="119"/>
      <c r="M759" s="120"/>
      <c r="N759" s="108"/>
      <c r="O759" s="121"/>
      <c r="P759" s="121"/>
      <c r="Q759" s="113" t="str">
        <f t="shared" si="54"/>
        <v/>
      </c>
      <c r="R759" s="113" t="str">
        <f t="shared" si="55"/>
        <v/>
      </c>
      <c r="S759" s="113" t="str">
        <f t="shared" si="56"/>
        <v/>
      </c>
      <c r="T759" s="113" t="str">
        <f t="shared" si="57"/>
        <v/>
      </c>
      <c r="U759" s="113" t="str">
        <f t="shared" si="58"/>
        <v/>
      </c>
      <c r="V759" s="113" t="str">
        <f t="shared" si="59"/>
        <v/>
      </c>
      <c r="W759" s="114"/>
    </row>
    <row r="760" spans="1:23" ht="15" customHeight="1">
      <c r="A760" s="101">
        <v>49</v>
      </c>
      <c r="B760" s="130" t="s">
        <v>434</v>
      </c>
      <c r="C760" s="131"/>
      <c r="D760" s="538">
        <v>6.08</v>
      </c>
      <c r="E760" s="538"/>
      <c r="F760" s="127"/>
      <c r="G760" s="117">
        <v>0.25</v>
      </c>
      <c r="H760" s="107">
        <v>16</v>
      </c>
      <c r="I760" s="108">
        <v>1</v>
      </c>
      <c r="J760" s="110">
        <f>ROUND(3.975/G760+1,0)</f>
        <v>17</v>
      </c>
      <c r="K760" s="118">
        <f>D760</f>
        <v>6.08</v>
      </c>
      <c r="L760" s="119" t="str">
        <f>IF(O760&lt;12,"0",0.049*H760)</f>
        <v>0</v>
      </c>
      <c r="M760" s="120">
        <v>0</v>
      </c>
      <c r="N760" s="108">
        <f>M760*2*H760/1000</f>
        <v>0</v>
      </c>
      <c r="O760" s="121">
        <f>(D760)-N760</f>
        <v>6.08</v>
      </c>
      <c r="P760" s="121">
        <f>(I760*J760*O760)+L760</f>
        <v>103.36</v>
      </c>
      <c r="Q760" s="113" t="str">
        <f t="shared" si="54"/>
        <v/>
      </c>
      <c r="R760" s="113" t="str">
        <f t="shared" si="55"/>
        <v/>
      </c>
      <c r="S760" s="113" t="str">
        <f t="shared" si="56"/>
        <v/>
      </c>
      <c r="T760" s="113">
        <f t="shared" si="57"/>
        <v>103.36</v>
      </c>
      <c r="U760" s="113" t="str">
        <f t="shared" si="58"/>
        <v/>
      </c>
      <c r="V760" s="113" t="str">
        <f t="shared" si="59"/>
        <v/>
      </c>
      <c r="W760" s="114"/>
    </row>
    <row r="761" spans="1:23">
      <c r="A761" s="101"/>
      <c r="B761" s="130" t="s">
        <v>370</v>
      </c>
      <c r="C761" s="116"/>
      <c r="D761" s="126"/>
      <c r="E761" s="126"/>
      <c r="F761" s="127"/>
      <c r="G761" s="117"/>
      <c r="H761" s="107"/>
      <c r="I761" s="108"/>
      <c r="J761" s="110"/>
      <c r="K761" s="118"/>
      <c r="L761" s="119"/>
      <c r="M761" s="120"/>
      <c r="N761" s="108"/>
      <c r="O761" s="121"/>
      <c r="P761" s="121"/>
      <c r="Q761" s="113" t="str">
        <f t="shared" si="54"/>
        <v/>
      </c>
      <c r="R761" s="113" t="str">
        <f t="shared" si="55"/>
        <v/>
      </c>
      <c r="S761" s="113" t="str">
        <f t="shared" si="56"/>
        <v/>
      </c>
      <c r="T761" s="113" t="str">
        <f t="shared" si="57"/>
        <v/>
      </c>
      <c r="U761" s="113" t="str">
        <f t="shared" si="58"/>
        <v/>
      </c>
      <c r="V761" s="113" t="str">
        <f t="shared" si="59"/>
        <v/>
      </c>
      <c r="W761" s="114"/>
    </row>
    <row r="762" spans="1:23">
      <c r="A762" s="101"/>
      <c r="B762" s="132"/>
      <c r="C762" s="116"/>
      <c r="D762" s="126"/>
      <c r="E762" s="126"/>
      <c r="F762" s="127"/>
      <c r="G762" s="117"/>
      <c r="H762" s="107"/>
      <c r="I762" s="108"/>
      <c r="J762" s="110"/>
      <c r="K762" s="118"/>
      <c r="L762" s="119"/>
      <c r="M762" s="120"/>
      <c r="N762" s="108"/>
      <c r="O762" s="121"/>
      <c r="P762" s="121"/>
      <c r="Q762" s="113" t="str">
        <f t="shared" si="54"/>
        <v/>
      </c>
      <c r="R762" s="113" t="str">
        <f t="shared" si="55"/>
        <v/>
      </c>
      <c r="S762" s="113" t="str">
        <f t="shared" si="56"/>
        <v/>
      </c>
      <c r="T762" s="113" t="str">
        <f t="shared" si="57"/>
        <v/>
      </c>
      <c r="U762" s="113" t="str">
        <f t="shared" si="58"/>
        <v/>
      </c>
      <c r="V762" s="113" t="str">
        <f t="shared" si="59"/>
        <v/>
      </c>
      <c r="W762" s="114"/>
    </row>
    <row r="763" spans="1:23" ht="15" customHeight="1">
      <c r="A763" s="101">
        <v>50</v>
      </c>
      <c r="B763" s="130" t="s">
        <v>433</v>
      </c>
      <c r="C763" s="131"/>
      <c r="D763" s="538">
        <v>1.95</v>
      </c>
      <c r="E763" s="538"/>
      <c r="F763" s="127"/>
      <c r="G763" s="117">
        <v>0.25</v>
      </c>
      <c r="H763" s="107">
        <v>12</v>
      </c>
      <c r="I763" s="108">
        <v>1</v>
      </c>
      <c r="J763" s="110">
        <f>ROUND(6.08/G763+1,0)</f>
        <v>25</v>
      </c>
      <c r="K763" s="118">
        <f>D763</f>
        <v>1.95</v>
      </c>
      <c r="L763" s="119" t="str">
        <f>IF(O763&lt;12,"0",0.049*H763)</f>
        <v>0</v>
      </c>
      <c r="M763" s="120">
        <v>0</v>
      </c>
      <c r="N763" s="108">
        <f>M763*2*H763/1000</f>
        <v>0</v>
      </c>
      <c r="O763" s="121">
        <f>(D763)-N763</f>
        <v>1.95</v>
      </c>
      <c r="P763" s="121">
        <f>(I763*J763*O763)+L763</f>
        <v>48.75</v>
      </c>
      <c r="Q763" s="113" t="str">
        <f t="shared" si="54"/>
        <v/>
      </c>
      <c r="R763" s="113" t="str">
        <f t="shared" si="55"/>
        <v/>
      </c>
      <c r="S763" s="113">
        <f t="shared" si="56"/>
        <v>48.75</v>
      </c>
      <c r="T763" s="113" t="str">
        <f t="shared" si="57"/>
        <v/>
      </c>
      <c r="U763" s="113" t="str">
        <f t="shared" si="58"/>
        <v/>
      </c>
      <c r="V763" s="113" t="str">
        <f t="shared" si="59"/>
        <v/>
      </c>
      <c r="W763" s="114"/>
    </row>
    <row r="764" spans="1:23">
      <c r="A764" s="101"/>
      <c r="B764" s="130" t="s">
        <v>371</v>
      </c>
      <c r="C764" s="116"/>
      <c r="D764" s="126"/>
      <c r="E764" s="126"/>
      <c r="F764" s="127"/>
      <c r="G764" s="117"/>
      <c r="H764" s="107"/>
      <c r="I764" s="108"/>
      <c r="J764" s="110"/>
      <c r="K764" s="118"/>
      <c r="L764" s="119"/>
      <c r="M764" s="120"/>
      <c r="N764" s="108"/>
      <c r="O764" s="121"/>
      <c r="P764" s="121"/>
      <c r="Q764" s="113" t="str">
        <f t="shared" si="54"/>
        <v/>
      </c>
      <c r="R764" s="113" t="str">
        <f t="shared" si="55"/>
        <v/>
      </c>
      <c r="S764" s="113" t="str">
        <f t="shared" si="56"/>
        <v/>
      </c>
      <c r="T764" s="113" t="str">
        <f t="shared" si="57"/>
        <v/>
      </c>
      <c r="U764" s="113" t="str">
        <f t="shared" si="58"/>
        <v/>
      </c>
      <c r="V764" s="113" t="str">
        <f t="shared" si="59"/>
        <v/>
      </c>
      <c r="W764" s="114"/>
    </row>
    <row r="765" spans="1:23">
      <c r="A765" s="101"/>
      <c r="B765" s="132"/>
      <c r="C765" s="116"/>
      <c r="D765" s="126"/>
      <c r="E765" s="126"/>
      <c r="F765" s="127"/>
      <c r="G765" s="117"/>
      <c r="H765" s="107"/>
      <c r="I765" s="108"/>
      <c r="J765" s="110"/>
      <c r="K765" s="118"/>
      <c r="L765" s="119"/>
      <c r="M765" s="120"/>
      <c r="N765" s="108"/>
      <c r="O765" s="121"/>
      <c r="P765" s="121"/>
      <c r="Q765" s="113" t="str">
        <f t="shared" si="54"/>
        <v/>
      </c>
      <c r="R765" s="113" t="str">
        <f t="shared" si="55"/>
        <v/>
      </c>
      <c r="S765" s="113" t="str">
        <f t="shared" si="56"/>
        <v/>
      </c>
      <c r="T765" s="113" t="str">
        <f t="shared" si="57"/>
        <v/>
      </c>
      <c r="U765" s="113" t="str">
        <f t="shared" si="58"/>
        <v/>
      </c>
      <c r="V765" s="113" t="str">
        <f t="shared" si="59"/>
        <v/>
      </c>
      <c r="W765" s="114"/>
    </row>
    <row r="766" spans="1:23" ht="15" customHeight="1">
      <c r="A766" s="101">
        <v>51</v>
      </c>
      <c r="B766" s="130" t="s">
        <v>434</v>
      </c>
      <c r="C766" s="131"/>
      <c r="D766" s="538">
        <v>6.08</v>
      </c>
      <c r="E766" s="538"/>
      <c r="F766" s="127"/>
      <c r="G766" s="117">
        <v>0.25</v>
      </c>
      <c r="H766" s="107">
        <v>12</v>
      </c>
      <c r="I766" s="108">
        <v>1</v>
      </c>
      <c r="J766" s="110">
        <f>ROUND(1.95/G766+1,0)</f>
        <v>9</v>
      </c>
      <c r="K766" s="118">
        <f>D766</f>
        <v>6.08</v>
      </c>
      <c r="L766" s="119" t="str">
        <f>IF(O766&lt;12,"0",0.049*H766)</f>
        <v>0</v>
      </c>
      <c r="M766" s="120">
        <v>0</v>
      </c>
      <c r="N766" s="108">
        <f>M766*2*H766/1000</f>
        <v>0</v>
      </c>
      <c r="O766" s="121">
        <f>(D766)-N766</f>
        <v>6.08</v>
      </c>
      <c r="P766" s="121">
        <f>(I766*J766*O766)+L766</f>
        <v>54.72</v>
      </c>
      <c r="Q766" s="113" t="str">
        <f t="shared" si="54"/>
        <v/>
      </c>
      <c r="R766" s="113" t="str">
        <f t="shared" si="55"/>
        <v/>
      </c>
      <c r="S766" s="113">
        <f t="shared" si="56"/>
        <v>54.72</v>
      </c>
      <c r="T766" s="113" t="str">
        <f t="shared" si="57"/>
        <v/>
      </c>
      <c r="U766" s="113" t="str">
        <f t="shared" si="58"/>
        <v/>
      </c>
      <c r="V766" s="113" t="str">
        <f t="shared" si="59"/>
        <v/>
      </c>
      <c r="W766" s="114"/>
    </row>
    <row r="767" spans="1:23">
      <c r="A767" s="101"/>
      <c r="B767" s="130" t="s">
        <v>371</v>
      </c>
      <c r="C767" s="116"/>
      <c r="D767" s="126"/>
      <c r="E767" s="126"/>
      <c r="F767" s="127"/>
      <c r="G767" s="117"/>
      <c r="H767" s="107"/>
      <c r="I767" s="108"/>
      <c r="J767" s="110"/>
      <c r="K767" s="118"/>
      <c r="L767" s="119"/>
      <c r="M767" s="120"/>
      <c r="N767" s="108"/>
      <c r="O767" s="121"/>
      <c r="P767" s="121"/>
      <c r="Q767" s="113" t="str">
        <f t="shared" si="54"/>
        <v/>
      </c>
      <c r="R767" s="113" t="str">
        <f t="shared" si="55"/>
        <v/>
      </c>
      <c r="S767" s="113" t="str">
        <f t="shared" si="56"/>
        <v/>
      </c>
      <c r="T767" s="113" t="str">
        <f t="shared" si="57"/>
        <v/>
      </c>
      <c r="U767" s="113" t="str">
        <f t="shared" si="58"/>
        <v/>
      </c>
      <c r="V767" s="113" t="str">
        <f t="shared" si="59"/>
        <v/>
      </c>
      <c r="W767" s="114"/>
    </row>
    <row r="768" spans="1:23">
      <c r="A768" s="101"/>
      <c r="B768" s="132"/>
      <c r="C768" s="116"/>
      <c r="D768" s="126"/>
      <c r="E768" s="126"/>
      <c r="F768" s="127"/>
      <c r="G768" s="117"/>
      <c r="H768" s="107"/>
      <c r="I768" s="108"/>
      <c r="J768" s="110"/>
      <c r="K768" s="118"/>
      <c r="L768" s="119"/>
      <c r="M768" s="120"/>
      <c r="N768" s="108"/>
      <c r="O768" s="121"/>
      <c r="P768" s="121"/>
      <c r="Q768" s="113" t="str">
        <f t="shared" si="54"/>
        <v/>
      </c>
      <c r="R768" s="113" t="str">
        <f t="shared" si="55"/>
        <v/>
      </c>
      <c r="S768" s="113" t="str">
        <f t="shared" si="56"/>
        <v/>
      </c>
      <c r="T768" s="113" t="str">
        <f t="shared" si="57"/>
        <v/>
      </c>
      <c r="U768" s="113" t="str">
        <f t="shared" si="58"/>
        <v/>
      </c>
      <c r="V768" s="113" t="str">
        <f t="shared" si="59"/>
        <v/>
      </c>
      <c r="W768" s="114"/>
    </row>
    <row r="769" spans="1:23" ht="15" customHeight="1">
      <c r="A769" s="101">
        <v>52</v>
      </c>
      <c r="B769" s="130" t="s">
        <v>434</v>
      </c>
      <c r="C769" s="131"/>
      <c r="D769" s="538">
        <v>7.71</v>
      </c>
      <c r="E769" s="538"/>
      <c r="F769" s="127"/>
      <c r="G769" s="117">
        <v>0.25</v>
      </c>
      <c r="H769" s="107">
        <v>12</v>
      </c>
      <c r="I769" s="108">
        <v>1</v>
      </c>
      <c r="J769" s="110">
        <f>ROUND(2.635/G769+1,0)</f>
        <v>12</v>
      </c>
      <c r="K769" s="118">
        <f>D769</f>
        <v>7.71</v>
      </c>
      <c r="L769" s="119" t="str">
        <f>IF(O769&lt;12,"0",0.049*H769)</f>
        <v>0</v>
      </c>
      <c r="M769" s="120">
        <v>0</v>
      </c>
      <c r="N769" s="108">
        <f>M769*2*H769/1000</f>
        <v>0</v>
      </c>
      <c r="O769" s="121">
        <f>(D769)-N769</f>
        <v>7.71</v>
      </c>
      <c r="P769" s="121">
        <f>(I769*J769*O769)+L769</f>
        <v>92.52</v>
      </c>
      <c r="Q769" s="113" t="str">
        <f t="shared" si="54"/>
        <v/>
      </c>
      <c r="R769" s="113" t="str">
        <f t="shared" si="55"/>
        <v/>
      </c>
      <c r="S769" s="113">
        <f t="shared" si="56"/>
        <v>92.52</v>
      </c>
      <c r="T769" s="113" t="str">
        <f t="shared" si="57"/>
        <v/>
      </c>
      <c r="U769" s="113" t="str">
        <f t="shared" si="58"/>
        <v/>
      </c>
      <c r="V769" s="113" t="str">
        <f t="shared" si="59"/>
        <v/>
      </c>
      <c r="W769" s="114"/>
    </row>
    <row r="770" spans="1:23">
      <c r="A770" s="101"/>
      <c r="B770" s="130" t="s">
        <v>372</v>
      </c>
      <c r="C770" s="116"/>
      <c r="D770" s="126"/>
      <c r="E770" s="126"/>
      <c r="F770" s="127"/>
      <c r="G770" s="117"/>
      <c r="H770" s="107"/>
      <c r="I770" s="108"/>
      <c r="J770" s="110"/>
      <c r="K770" s="118"/>
      <c r="L770" s="119"/>
      <c r="M770" s="120"/>
      <c r="N770" s="108"/>
      <c r="O770" s="121"/>
      <c r="P770" s="121"/>
      <c r="Q770" s="113" t="str">
        <f t="shared" si="54"/>
        <v/>
      </c>
      <c r="R770" s="113" t="str">
        <f t="shared" si="55"/>
        <v/>
      </c>
      <c r="S770" s="113" t="str">
        <f t="shared" si="56"/>
        <v/>
      </c>
      <c r="T770" s="113" t="str">
        <f t="shared" si="57"/>
        <v/>
      </c>
      <c r="U770" s="113" t="str">
        <f t="shared" si="58"/>
        <v/>
      </c>
      <c r="V770" s="113" t="str">
        <f t="shared" si="59"/>
        <v/>
      </c>
      <c r="W770" s="114"/>
    </row>
    <row r="771" spans="1:23">
      <c r="A771" s="101"/>
      <c r="B771" s="132"/>
      <c r="C771" s="116"/>
      <c r="D771" s="126"/>
      <c r="E771" s="126"/>
      <c r="F771" s="127"/>
      <c r="G771" s="117"/>
      <c r="H771" s="107"/>
      <c r="I771" s="108"/>
      <c r="J771" s="110"/>
      <c r="K771" s="118"/>
      <c r="L771" s="119"/>
      <c r="M771" s="120"/>
      <c r="N771" s="108"/>
      <c r="O771" s="121"/>
      <c r="P771" s="121"/>
      <c r="Q771" s="113" t="str">
        <f t="shared" si="54"/>
        <v/>
      </c>
      <c r="R771" s="113" t="str">
        <f t="shared" si="55"/>
        <v/>
      </c>
      <c r="S771" s="113" t="str">
        <f t="shared" si="56"/>
        <v/>
      </c>
      <c r="T771" s="113" t="str">
        <f t="shared" si="57"/>
        <v/>
      </c>
      <c r="U771" s="113" t="str">
        <f t="shared" si="58"/>
        <v/>
      </c>
      <c r="V771" s="113" t="str">
        <f t="shared" si="59"/>
        <v/>
      </c>
      <c r="W771" s="114"/>
    </row>
    <row r="772" spans="1:23" ht="15" customHeight="1">
      <c r="A772" s="101">
        <v>53</v>
      </c>
      <c r="B772" s="130" t="s">
        <v>433</v>
      </c>
      <c r="C772" s="131"/>
      <c r="D772" s="538">
        <v>2.85</v>
      </c>
      <c r="E772" s="538"/>
      <c r="F772" s="127"/>
      <c r="G772" s="117">
        <v>0.25</v>
      </c>
      <c r="H772" s="107">
        <v>10</v>
      </c>
      <c r="I772" s="108">
        <v>1</v>
      </c>
      <c r="J772" s="110">
        <f>ROUND(4.12/G772+1,0)</f>
        <v>17</v>
      </c>
      <c r="K772" s="118">
        <f>D772</f>
        <v>2.85</v>
      </c>
      <c r="L772" s="119" t="str">
        <f>IF(O772&lt;12,"0",0.049*H772)</f>
        <v>0</v>
      </c>
      <c r="M772" s="120">
        <v>0</v>
      </c>
      <c r="N772" s="108">
        <f>M772*2*H772/1000</f>
        <v>0</v>
      </c>
      <c r="O772" s="121">
        <f>(D772)-N772</f>
        <v>2.85</v>
      </c>
      <c r="P772" s="121">
        <f>(I772*J772*O772)+L772</f>
        <v>48.45</v>
      </c>
      <c r="Q772" s="113" t="str">
        <f t="shared" si="54"/>
        <v/>
      </c>
      <c r="R772" s="113">
        <f t="shared" si="55"/>
        <v>48.45</v>
      </c>
      <c r="S772" s="113" t="str">
        <f t="shared" si="56"/>
        <v/>
      </c>
      <c r="T772" s="113" t="str">
        <f t="shared" si="57"/>
        <v/>
      </c>
      <c r="U772" s="113" t="str">
        <f t="shared" si="58"/>
        <v/>
      </c>
      <c r="V772" s="113" t="str">
        <f t="shared" si="59"/>
        <v/>
      </c>
      <c r="W772" s="114"/>
    </row>
    <row r="773" spans="1:23">
      <c r="A773" s="101"/>
      <c r="B773" s="130" t="s">
        <v>373</v>
      </c>
      <c r="C773" s="116"/>
      <c r="D773" s="126"/>
      <c r="E773" s="126"/>
      <c r="F773" s="127"/>
      <c r="G773" s="117"/>
      <c r="H773" s="107"/>
      <c r="I773" s="108"/>
      <c r="J773" s="110"/>
      <c r="K773" s="118"/>
      <c r="L773" s="119"/>
      <c r="M773" s="120"/>
      <c r="N773" s="108"/>
      <c r="O773" s="121"/>
      <c r="P773" s="121"/>
      <c r="Q773" s="113" t="str">
        <f t="shared" si="54"/>
        <v/>
      </c>
      <c r="R773" s="113" t="str">
        <f t="shared" si="55"/>
        <v/>
      </c>
      <c r="S773" s="113" t="str">
        <f t="shared" si="56"/>
        <v/>
      </c>
      <c r="T773" s="113" t="str">
        <f t="shared" si="57"/>
        <v/>
      </c>
      <c r="U773" s="113" t="str">
        <f t="shared" si="58"/>
        <v/>
      </c>
      <c r="V773" s="113" t="str">
        <f t="shared" si="59"/>
        <v/>
      </c>
      <c r="W773" s="114"/>
    </row>
    <row r="774" spans="1:23">
      <c r="A774" s="101"/>
      <c r="B774" s="132"/>
      <c r="C774" s="116"/>
      <c r="D774" s="126"/>
      <c r="E774" s="126"/>
      <c r="F774" s="127"/>
      <c r="G774" s="117"/>
      <c r="H774" s="107"/>
      <c r="I774" s="108"/>
      <c r="J774" s="110"/>
      <c r="K774" s="118"/>
      <c r="L774" s="119"/>
      <c r="M774" s="120"/>
      <c r="N774" s="108"/>
      <c r="O774" s="121"/>
      <c r="P774" s="121"/>
      <c r="Q774" s="113" t="str">
        <f t="shared" si="54"/>
        <v/>
      </c>
      <c r="R774" s="113" t="str">
        <f t="shared" si="55"/>
        <v/>
      </c>
      <c r="S774" s="113" t="str">
        <f t="shared" si="56"/>
        <v/>
      </c>
      <c r="T774" s="113" t="str">
        <f t="shared" si="57"/>
        <v/>
      </c>
      <c r="U774" s="113" t="str">
        <f t="shared" si="58"/>
        <v/>
      </c>
      <c r="V774" s="113" t="str">
        <f t="shared" si="59"/>
        <v/>
      </c>
      <c r="W774" s="114"/>
    </row>
    <row r="775" spans="1:23" ht="15" customHeight="1">
      <c r="A775" s="101">
        <v>54</v>
      </c>
      <c r="B775" s="130" t="s">
        <v>434</v>
      </c>
      <c r="C775" s="131"/>
      <c r="D775" s="538">
        <v>5.47</v>
      </c>
      <c r="E775" s="538"/>
      <c r="F775" s="127"/>
      <c r="G775" s="117">
        <v>0.25</v>
      </c>
      <c r="H775" s="107">
        <v>20</v>
      </c>
      <c r="I775" s="108">
        <v>1</v>
      </c>
      <c r="J775" s="110">
        <f>ROUND(8.16/G775+1,0)</f>
        <v>34</v>
      </c>
      <c r="K775" s="118">
        <f>D775</f>
        <v>5.47</v>
      </c>
      <c r="L775" s="119" t="str">
        <f>IF(O775&lt;12,"0",0.049*H775)</f>
        <v>0</v>
      </c>
      <c r="M775" s="120">
        <v>0</v>
      </c>
      <c r="N775" s="108">
        <f>M775*2*H775/1000</f>
        <v>0</v>
      </c>
      <c r="O775" s="121">
        <f>(D775)-N775</f>
        <v>5.47</v>
      </c>
      <c r="P775" s="121">
        <f>(I775*J775*O775)+L775</f>
        <v>185.98</v>
      </c>
      <c r="Q775" s="113" t="str">
        <f t="shared" si="54"/>
        <v/>
      </c>
      <c r="R775" s="113" t="str">
        <f t="shared" si="55"/>
        <v/>
      </c>
      <c r="S775" s="113" t="str">
        <f t="shared" si="56"/>
        <v/>
      </c>
      <c r="T775" s="113" t="str">
        <f t="shared" si="57"/>
        <v/>
      </c>
      <c r="U775" s="113">
        <f t="shared" si="58"/>
        <v>185.98</v>
      </c>
      <c r="V775" s="113" t="str">
        <f t="shared" si="59"/>
        <v/>
      </c>
      <c r="W775" s="114"/>
    </row>
    <row r="776" spans="1:23">
      <c r="A776" s="101"/>
      <c r="B776" s="130" t="s">
        <v>373</v>
      </c>
      <c r="C776" s="116"/>
      <c r="D776" s="126"/>
      <c r="E776" s="126"/>
      <c r="F776" s="127"/>
      <c r="G776" s="117"/>
      <c r="H776" s="107"/>
      <c r="I776" s="108"/>
      <c r="J776" s="110"/>
      <c r="K776" s="118"/>
      <c r="L776" s="119"/>
      <c r="M776" s="120"/>
      <c r="N776" s="108"/>
      <c r="O776" s="121"/>
      <c r="P776" s="121"/>
      <c r="Q776" s="113" t="str">
        <f t="shared" si="54"/>
        <v/>
      </c>
      <c r="R776" s="113" t="str">
        <f t="shared" si="55"/>
        <v/>
      </c>
      <c r="S776" s="113" t="str">
        <f t="shared" si="56"/>
        <v/>
      </c>
      <c r="T776" s="113" t="str">
        <f t="shared" si="57"/>
        <v/>
      </c>
      <c r="U776" s="113" t="str">
        <f t="shared" si="58"/>
        <v/>
      </c>
      <c r="V776" s="113" t="str">
        <f t="shared" si="59"/>
        <v/>
      </c>
      <c r="W776" s="114"/>
    </row>
    <row r="777" spans="1:23">
      <c r="A777" s="101"/>
      <c r="B777" s="132"/>
      <c r="C777" s="116"/>
      <c r="D777" s="126"/>
      <c r="E777" s="126"/>
      <c r="F777" s="127"/>
      <c r="G777" s="117"/>
      <c r="H777" s="107"/>
      <c r="I777" s="108"/>
      <c r="J777" s="110"/>
      <c r="K777" s="118"/>
      <c r="L777" s="119"/>
      <c r="M777" s="120"/>
      <c r="N777" s="108"/>
      <c r="O777" s="121"/>
      <c r="P777" s="121"/>
      <c r="Q777" s="113" t="str">
        <f t="shared" si="54"/>
        <v/>
      </c>
      <c r="R777" s="113" t="str">
        <f t="shared" si="55"/>
        <v/>
      </c>
      <c r="S777" s="113" t="str">
        <f t="shared" si="56"/>
        <v/>
      </c>
      <c r="T777" s="113" t="str">
        <f t="shared" si="57"/>
        <v/>
      </c>
      <c r="U777" s="113" t="str">
        <f t="shared" si="58"/>
        <v/>
      </c>
      <c r="V777" s="113" t="str">
        <f t="shared" si="59"/>
        <v/>
      </c>
      <c r="W777" s="114"/>
    </row>
    <row r="778" spans="1:23" ht="15" customHeight="1">
      <c r="A778" s="101">
        <v>55</v>
      </c>
      <c r="B778" s="130" t="s">
        <v>434</v>
      </c>
      <c r="C778" s="131"/>
      <c r="D778" s="538">
        <v>4.1900000000000004</v>
      </c>
      <c r="E778" s="538"/>
      <c r="F778" s="127"/>
      <c r="G778" s="117">
        <v>0.25</v>
      </c>
      <c r="H778" s="107">
        <v>16</v>
      </c>
      <c r="I778" s="108">
        <v>1</v>
      </c>
      <c r="J778" s="110">
        <f>ROUND(2.56/G778+1,0)</f>
        <v>11</v>
      </c>
      <c r="K778" s="118">
        <f>D778</f>
        <v>4.1900000000000004</v>
      </c>
      <c r="L778" s="119" t="str">
        <f>IF(O778&lt;12,"0",0.049*H778)</f>
        <v>0</v>
      </c>
      <c r="M778" s="120">
        <v>0</v>
      </c>
      <c r="N778" s="108">
        <f>M778*2*H778/1000</f>
        <v>0</v>
      </c>
      <c r="O778" s="121">
        <f>(D778)-N778</f>
        <v>4.1900000000000004</v>
      </c>
      <c r="P778" s="121">
        <f>(I778*J778*O778)+L778</f>
        <v>46.09</v>
      </c>
      <c r="Q778" s="113" t="str">
        <f t="shared" si="54"/>
        <v/>
      </c>
      <c r="R778" s="113" t="str">
        <f t="shared" si="55"/>
        <v/>
      </c>
      <c r="S778" s="113" t="str">
        <f t="shared" si="56"/>
        <v/>
      </c>
      <c r="T778" s="113">
        <f t="shared" si="57"/>
        <v>46.09</v>
      </c>
      <c r="U778" s="113" t="str">
        <f t="shared" si="58"/>
        <v/>
      </c>
      <c r="V778" s="113" t="str">
        <f t="shared" si="59"/>
        <v/>
      </c>
      <c r="W778" s="114"/>
    </row>
    <row r="779" spans="1:23">
      <c r="A779" s="101"/>
      <c r="B779" s="130" t="s">
        <v>373</v>
      </c>
      <c r="C779" s="116"/>
      <c r="D779" s="126"/>
      <c r="E779" s="126"/>
      <c r="F779" s="127"/>
      <c r="G779" s="117"/>
      <c r="H779" s="107"/>
      <c r="I779" s="108"/>
      <c r="J779" s="110"/>
      <c r="K779" s="118"/>
      <c r="L779" s="119"/>
      <c r="M779" s="120"/>
      <c r="N779" s="108"/>
      <c r="O779" s="121"/>
      <c r="P779" s="121"/>
      <c r="Q779" s="113" t="str">
        <f t="shared" si="54"/>
        <v/>
      </c>
      <c r="R779" s="113" t="str">
        <f t="shared" si="55"/>
        <v/>
      </c>
      <c r="S779" s="113" t="str">
        <f t="shared" si="56"/>
        <v/>
      </c>
      <c r="T779" s="113" t="str">
        <f t="shared" si="57"/>
        <v/>
      </c>
      <c r="U779" s="113" t="str">
        <f t="shared" si="58"/>
        <v/>
      </c>
      <c r="V779" s="113" t="str">
        <f t="shared" si="59"/>
        <v/>
      </c>
      <c r="W779" s="114"/>
    </row>
    <row r="780" spans="1:23">
      <c r="A780" s="101"/>
      <c r="B780" s="132"/>
      <c r="C780" s="116"/>
      <c r="D780" s="126"/>
      <c r="E780" s="126"/>
      <c r="F780" s="127"/>
      <c r="G780" s="117"/>
      <c r="H780" s="107"/>
      <c r="I780" s="108"/>
      <c r="J780" s="110"/>
      <c r="K780" s="118"/>
      <c r="L780" s="119"/>
      <c r="M780" s="120"/>
      <c r="N780" s="108"/>
      <c r="O780" s="121"/>
      <c r="P780" s="121"/>
      <c r="Q780" s="113" t="str">
        <f t="shared" si="54"/>
        <v/>
      </c>
      <c r="R780" s="113" t="str">
        <f t="shared" si="55"/>
        <v/>
      </c>
      <c r="S780" s="113" t="str">
        <f t="shared" si="56"/>
        <v/>
      </c>
      <c r="T780" s="113" t="str">
        <f t="shared" si="57"/>
        <v/>
      </c>
      <c r="U780" s="113" t="str">
        <f t="shared" si="58"/>
        <v/>
      </c>
      <c r="V780" s="113" t="str">
        <f t="shared" si="59"/>
        <v/>
      </c>
      <c r="W780" s="114"/>
    </row>
    <row r="781" spans="1:23">
      <c r="A781" s="101"/>
      <c r="B781" s="130"/>
      <c r="C781" s="116"/>
      <c r="D781" s="126"/>
      <c r="E781" s="126"/>
      <c r="F781" s="127"/>
      <c r="G781" s="117"/>
      <c r="H781" s="107"/>
      <c r="I781" s="108"/>
      <c r="J781" s="110"/>
      <c r="K781" s="118"/>
      <c r="L781" s="119"/>
      <c r="M781" s="120"/>
      <c r="N781" s="108"/>
      <c r="O781" s="121"/>
      <c r="P781" s="121"/>
      <c r="Q781" s="113" t="str">
        <f t="shared" si="54"/>
        <v/>
      </c>
      <c r="R781" s="113" t="str">
        <f t="shared" si="55"/>
        <v/>
      </c>
      <c r="S781" s="113" t="str">
        <f t="shared" si="56"/>
        <v/>
      </c>
      <c r="T781" s="113" t="str">
        <f t="shared" si="57"/>
        <v/>
      </c>
      <c r="U781" s="113" t="str">
        <f t="shared" si="58"/>
        <v/>
      </c>
      <c r="V781" s="113" t="str">
        <f t="shared" si="59"/>
        <v/>
      </c>
      <c r="W781" s="114"/>
    </row>
    <row r="782" spans="1:23">
      <c r="A782" s="101"/>
      <c r="B782" s="115"/>
      <c r="C782" s="116"/>
      <c r="D782" s="126"/>
      <c r="E782" s="126"/>
      <c r="F782" s="127"/>
      <c r="G782" s="117"/>
      <c r="H782" s="107"/>
      <c r="I782" s="108"/>
      <c r="J782" s="110"/>
      <c r="K782" s="118"/>
      <c r="L782" s="119"/>
      <c r="M782" s="120"/>
      <c r="N782" s="108"/>
      <c r="O782" s="121"/>
      <c r="P782" s="121"/>
      <c r="Q782" s="113" t="str">
        <f t="shared" si="54"/>
        <v/>
      </c>
      <c r="R782" s="113" t="str">
        <f t="shared" si="55"/>
        <v/>
      </c>
      <c r="S782" s="113" t="str">
        <f t="shared" si="56"/>
        <v/>
      </c>
      <c r="T782" s="113" t="str">
        <f t="shared" si="57"/>
        <v/>
      </c>
      <c r="U782" s="113" t="str">
        <f t="shared" si="58"/>
        <v/>
      </c>
      <c r="V782" s="113" t="str">
        <f t="shared" si="59"/>
        <v/>
      </c>
      <c r="W782" s="114"/>
    </row>
    <row r="783" spans="1:23">
      <c r="A783" s="101"/>
      <c r="B783" s="122"/>
      <c r="C783" s="103"/>
      <c r="D783" s="104"/>
      <c r="E783" s="104"/>
      <c r="F783" s="105"/>
      <c r="G783" s="106"/>
      <c r="H783" s="107"/>
      <c r="I783" s="108"/>
      <c r="J783" s="108"/>
      <c r="K783" s="109"/>
      <c r="L783" s="108"/>
      <c r="M783" s="108"/>
      <c r="N783" s="108"/>
      <c r="O783" s="108"/>
      <c r="P783" s="110"/>
      <c r="Q783" s="113" t="str">
        <f t="shared" si="54"/>
        <v/>
      </c>
      <c r="R783" s="113" t="str">
        <f t="shared" si="55"/>
        <v/>
      </c>
      <c r="S783" s="113" t="str">
        <f t="shared" si="56"/>
        <v/>
      </c>
      <c r="T783" s="113" t="str">
        <f t="shared" si="57"/>
        <v/>
      </c>
      <c r="U783" s="113" t="str">
        <f t="shared" si="58"/>
        <v/>
      </c>
      <c r="V783" s="113" t="str">
        <f t="shared" si="59"/>
        <v/>
      </c>
      <c r="W783" s="114"/>
    </row>
    <row r="784" spans="1:23">
      <c r="A784" s="134"/>
      <c r="B784" s="135" t="s">
        <v>374</v>
      </c>
      <c r="C784" s="539"/>
      <c r="D784" s="540"/>
      <c r="E784" s="540"/>
      <c r="F784" s="541"/>
      <c r="G784" s="136"/>
      <c r="H784" s="136"/>
      <c r="I784" s="137"/>
      <c r="J784" s="137"/>
      <c r="K784" s="138"/>
      <c r="L784" s="137"/>
      <c r="M784" s="137"/>
      <c r="N784" s="137"/>
      <c r="O784" s="137"/>
      <c r="P784" s="137"/>
      <c r="Q784" s="139">
        <f t="shared" ref="Q784:V784" si="60">SUM(Q4:Q783)</f>
        <v>0</v>
      </c>
      <c r="R784" s="139">
        <f t="shared" si="60"/>
        <v>930.71000000000015</v>
      </c>
      <c r="S784" s="139">
        <f t="shared" si="60"/>
        <v>1281.595</v>
      </c>
      <c r="T784" s="139">
        <f t="shared" si="60"/>
        <v>15755.669000000002</v>
      </c>
      <c r="U784" s="139">
        <f t="shared" si="60"/>
        <v>6227.6249999999973</v>
      </c>
      <c r="V784" s="139">
        <f t="shared" si="60"/>
        <v>2199.06</v>
      </c>
      <c r="W784" s="140"/>
    </row>
    <row r="785" spans="1:24">
      <c r="A785" s="134"/>
      <c r="B785" s="135" t="s">
        <v>375</v>
      </c>
      <c r="C785" s="542"/>
      <c r="D785" s="542"/>
      <c r="E785" s="542"/>
      <c r="F785" s="542"/>
      <c r="G785" s="136"/>
      <c r="H785" s="136"/>
      <c r="I785" s="137"/>
      <c r="J785" s="137"/>
      <c r="K785" s="138"/>
      <c r="L785" s="137"/>
      <c r="M785" s="137"/>
      <c r="N785" s="137"/>
      <c r="O785" s="137"/>
      <c r="P785" s="137"/>
      <c r="Q785" s="137">
        <v>0.39500000000000002</v>
      </c>
      <c r="R785" s="137">
        <v>0.61699999999999999</v>
      </c>
      <c r="S785" s="137">
        <v>0.88800000000000001</v>
      </c>
      <c r="T785" s="137">
        <v>1.58</v>
      </c>
      <c r="U785" s="137">
        <v>2.4689999999999999</v>
      </c>
      <c r="V785" s="137">
        <v>3.8580000000000001</v>
      </c>
      <c r="W785" s="140"/>
    </row>
    <row r="786" spans="1:24">
      <c r="A786" s="134"/>
      <c r="B786" s="135" t="s">
        <v>376</v>
      </c>
      <c r="C786" s="542"/>
      <c r="D786" s="542"/>
      <c r="E786" s="542"/>
      <c r="F786" s="542"/>
      <c r="G786" s="136"/>
      <c r="H786" s="136"/>
      <c r="I786" s="137"/>
      <c r="J786" s="137"/>
      <c r="K786" s="138"/>
      <c r="L786" s="137"/>
      <c r="M786" s="137"/>
      <c r="N786" s="137"/>
      <c r="O786" s="137"/>
      <c r="P786" s="137"/>
      <c r="Q786" s="141">
        <f t="shared" ref="Q786:V786" si="61">Q784*Q785</f>
        <v>0</v>
      </c>
      <c r="R786" s="141">
        <f t="shared" si="61"/>
        <v>574.2480700000001</v>
      </c>
      <c r="S786" s="141">
        <f t="shared" si="61"/>
        <v>1138.05636</v>
      </c>
      <c r="T786" s="141">
        <f t="shared" si="61"/>
        <v>24893.957020000005</v>
      </c>
      <c r="U786" s="141">
        <f t="shared" si="61"/>
        <v>15376.006124999993</v>
      </c>
      <c r="V786" s="141">
        <f t="shared" si="61"/>
        <v>8483.9734800000006</v>
      </c>
      <c r="W786" s="140">
        <f>SUM(Q786:V786)</f>
        <v>50466.241054999999</v>
      </c>
      <c r="X786" s="130" t="s">
        <v>59</v>
      </c>
    </row>
    <row r="788" spans="1:24">
      <c r="W788" s="143"/>
    </row>
    <row r="789" spans="1:24">
      <c r="A789" s="144"/>
    </row>
  </sheetData>
  <mergeCells count="264">
    <mergeCell ref="D772:E772"/>
    <mergeCell ref="D775:E775"/>
    <mergeCell ref="D778:E778"/>
    <mergeCell ref="C784:F784"/>
    <mergeCell ref="C785:F785"/>
    <mergeCell ref="C786:F786"/>
    <mergeCell ref="D754:E754"/>
    <mergeCell ref="D757:E757"/>
    <mergeCell ref="D760:E760"/>
    <mergeCell ref="D763:E763"/>
    <mergeCell ref="D766:E766"/>
    <mergeCell ref="D769:E769"/>
    <mergeCell ref="D736:E736"/>
    <mergeCell ref="D739:E739"/>
    <mergeCell ref="D742:E742"/>
    <mergeCell ref="D745:E745"/>
    <mergeCell ref="D748:E748"/>
    <mergeCell ref="D751:E751"/>
    <mergeCell ref="D718:E718"/>
    <mergeCell ref="D721:E721"/>
    <mergeCell ref="D724:E724"/>
    <mergeCell ref="D727:E727"/>
    <mergeCell ref="D730:E730"/>
    <mergeCell ref="D733:E733"/>
    <mergeCell ref="D700:E700"/>
    <mergeCell ref="D703:E703"/>
    <mergeCell ref="D706:E706"/>
    <mergeCell ref="D709:E709"/>
    <mergeCell ref="D712:E712"/>
    <mergeCell ref="D715:E715"/>
    <mergeCell ref="D682:E682"/>
    <mergeCell ref="D685:E685"/>
    <mergeCell ref="D688:E688"/>
    <mergeCell ref="D691:E691"/>
    <mergeCell ref="D694:E694"/>
    <mergeCell ref="D697:E697"/>
    <mergeCell ref="D664:E664"/>
    <mergeCell ref="D667:E667"/>
    <mergeCell ref="D670:E670"/>
    <mergeCell ref="D673:E673"/>
    <mergeCell ref="D676:E676"/>
    <mergeCell ref="D679:E679"/>
    <mergeCell ref="D646:E646"/>
    <mergeCell ref="D649:E649"/>
    <mergeCell ref="D652:E652"/>
    <mergeCell ref="D655:E655"/>
    <mergeCell ref="D658:E658"/>
    <mergeCell ref="D661:E661"/>
    <mergeCell ref="D628:E628"/>
    <mergeCell ref="D631:E631"/>
    <mergeCell ref="D634:E634"/>
    <mergeCell ref="D637:E637"/>
    <mergeCell ref="D640:E640"/>
    <mergeCell ref="D643:E643"/>
    <mergeCell ref="D609:E609"/>
    <mergeCell ref="D612:E612"/>
    <mergeCell ref="D616:E616"/>
    <mergeCell ref="D619:E619"/>
    <mergeCell ref="D622:E622"/>
    <mergeCell ref="D625:E625"/>
    <mergeCell ref="D591:E591"/>
    <mergeCell ref="D594:E594"/>
    <mergeCell ref="D597:E597"/>
    <mergeCell ref="D600:E600"/>
    <mergeCell ref="D603:E603"/>
    <mergeCell ref="D606:E606"/>
    <mergeCell ref="D573:E573"/>
    <mergeCell ref="D576:E576"/>
    <mergeCell ref="D579:E579"/>
    <mergeCell ref="D582:E582"/>
    <mergeCell ref="D585:E585"/>
    <mergeCell ref="D588:E588"/>
    <mergeCell ref="D555:E555"/>
    <mergeCell ref="D558:E558"/>
    <mergeCell ref="D561:E561"/>
    <mergeCell ref="D564:E564"/>
    <mergeCell ref="D567:E567"/>
    <mergeCell ref="D570:E570"/>
    <mergeCell ref="D537:E537"/>
    <mergeCell ref="D540:E540"/>
    <mergeCell ref="D543:E543"/>
    <mergeCell ref="D546:E546"/>
    <mergeCell ref="D549:E549"/>
    <mergeCell ref="D552:E552"/>
    <mergeCell ref="D519:E519"/>
    <mergeCell ref="D522:E522"/>
    <mergeCell ref="D525:E525"/>
    <mergeCell ref="D528:E528"/>
    <mergeCell ref="D531:E531"/>
    <mergeCell ref="D534:E534"/>
    <mergeCell ref="D501:E501"/>
    <mergeCell ref="D504:E504"/>
    <mergeCell ref="D507:E507"/>
    <mergeCell ref="D510:E510"/>
    <mergeCell ref="D513:E513"/>
    <mergeCell ref="D516:E516"/>
    <mergeCell ref="D483:E483"/>
    <mergeCell ref="D486:E486"/>
    <mergeCell ref="D489:E489"/>
    <mergeCell ref="D492:E492"/>
    <mergeCell ref="D495:E495"/>
    <mergeCell ref="D498:E498"/>
    <mergeCell ref="D465:E465"/>
    <mergeCell ref="D468:E468"/>
    <mergeCell ref="D471:E471"/>
    <mergeCell ref="D474:E474"/>
    <mergeCell ref="D477:E477"/>
    <mergeCell ref="D480:E480"/>
    <mergeCell ref="D447:E447"/>
    <mergeCell ref="D450:E450"/>
    <mergeCell ref="D453:E453"/>
    <mergeCell ref="D456:E456"/>
    <mergeCell ref="D459:E459"/>
    <mergeCell ref="D462:E462"/>
    <mergeCell ref="D429:E429"/>
    <mergeCell ref="D432:E432"/>
    <mergeCell ref="D435:E435"/>
    <mergeCell ref="D438:E438"/>
    <mergeCell ref="D441:E441"/>
    <mergeCell ref="D444:E444"/>
    <mergeCell ref="D411:E411"/>
    <mergeCell ref="D414:E414"/>
    <mergeCell ref="D417:E417"/>
    <mergeCell ref="D420:E420"/>
    <mergeCell ref="D423:E423"/>
    <mergeCell ref="D426:E426"/>
    <mergeCell ref="D393:E393"/>
    <mergeCell ref="D396:E396"/>
    <mergeCell ref="D399:E399"/>
    <mergeCell ref="D402:E402"/>
    <mergeCell ref="D405:E405"/>
    <mergeCell ref="D408:E408"/>
    <mergeCell ref="D375:E375"/>
    <mergeCell ref="D378:E378"/>
    <mergeCell ref="D381:E381"/>
    <mergeCell ref="D384:E384"/>
    <mergeCell ref="D387:E387"/>
    <mergeCell ref="D390:E390"/>
    <mergeCell ref="D357:E357"/>
    <mergeCell ref="D360:E360"/>
    <mergeCell ref="D363:E363"/>
    <mergeCell ref="D366:E366"/>
    <mergeCell ref="D369:E369"/>
    <mergeCell ref="D372:E372"/>
    <mergeCell ref="D339:E339"/>
    <mergeCell ref="D342:E342"/>
    <mergeCell ref="D345:E345"/>
    <mergeCell ref="D348:E348"/>
    <mergeCell ref="D351:E351"/>
    <mergeCell ref="D354:E354"/>
    <mergeCell ref="D321:E321"/>
    <mergeCell ref="D324:E324"/>
    <mergeCell ref="D327:E327"/>
    <mergeCell ref="D330:E330"/>
    <mergeCell ref="D333:E333"/>
    <mergeCell ref="D336:E336"/>
    <mergeCell ref="D303:E303"/>
    <mergeCell ref="D306:E306"/>
    <mergeCell ref="D309:E309"/>
    <mergeCell ref="D312:E312"/>
    <mergeCell ref="D315:E315"/>
    <mergeCell ref="D318:E318"/>
    <mergeCell ref="D285:E285"/>
    <mergeCell ref="D288:E288"/>
    <mergeCell ref="D291:E291"/>
    <mergeCell ref="D294:E294"/>
    <mergeCell ref="D297:E297"/>
    <mergeCell ref="D300:E300"/>
    <mergeCell ref="D267:E267"/>
    <mergeCell ref="D270:E270"/>
    <mergeCell ref="D273:E273"/>
    <mergeCell ref="D276:E276"/>
    <mergeCell ref="D279:E279"/>
    <mergeCell ref="D282:E282"/>
    <mergeCell ref="D249:E249"/>
    <mergeCell ref="D252:E252"/>
    <mergeCell ref="D255:E255"/>
    <mergeCell ref="D258:E258"/>
    <mergeCell ref="D261:E261"/>
    <mergeCell ref="D264:E264"/>
    <mergeCell ref="D231:E231"/>
    <mergeCell ref="D234:E234"/>
    <mergeCell ref="D237:E237"/>
    <mergeCell ref="D240:E240"/>
    <mergeCell ref="D243:E243"/>
    <mergeCell ref="D246:E246"/>
    <mergeCell ref="D213:E213"/>
    <mergeCell ref="D216:E216"/>
    <mergeCell ref="D219:E219"/>
    <mergeCell ref="D222:E222"/>
    <mergeCell ref="D225:E225"/>
    <mergeCell ref="D228:E228"/>
    <mergeCell ref="D195:E195"/>
    <mergeCell ref="D198:E198"/>
    <mergeCell ref="D201:E201"/>
    <mergeCell ref="D204:E204"/>
    <mergeCell ref="D207:E207"/>
    <mergeCell ref="D210:E210"/>
    <mergeCell ref="D177:E177"/>
    <mergeCell ref="D180:E180"/>
    <mergeCell ref="D183:E183"/>
    <mergeCell ref="D186:E186"/>
    <mergeCell ref="D189:E189"/>
    <mergeCell ref="D192:E192"/>
    <mergeCell ref="D156:E156"/>
    <mergeCell ref="D158:E158"/>
    <mergeCell ref="D162:E162"/>
    <mergeCell ref="D168:E168"/>
    <mergeCell ref="D171:E171"/>
    <mergeCell ref="D174:E174"/>
    <mergeCell ref="D144:E144"/>
    <mergeCell ref="D146:E146"/>
    <mergeCell ref="D148:E148"/>
    <mergeCell ref="D150:E150"/>
    <mergeCell ref="D152:E152"/>
    <mergeCell ref="D154:E154"/>
    <mergeCell ref="D130:E130"/>
    <mergeCell ref="D134:E134"/>
    <mergeCell ref="D136:E136"/>
    <mergeCell ref="D138:E138"/>
    <mergeCell ref="D140:E140"/>
    <mergeCell ref="D142:E142"/>
    <mergeCell ref="D112:E112"/>
    <mergeCell ref="D115:E115"/>
    <mergeCell ref="D118:E118"/>
    <mergeCell ref="D121:E121"/>
    <mergeCell ref="D124:E124"/>
    <mergeCell ref="D127:E127"/>
    <mergeCell ref="D92:E92"/>
    <mergeCell ref="D95:E95"/>
    <mergeCell ref="D98:E98"/>
    <mergeCell ref="D101:E101"/>
    <mergeCell ref="D104:E104"/>
    <mergeCell ref="D107:E107"/>
    <mergeCell ref="D74:E74"/>
    <mergeCell ref="D77:E77"/>
    <mergeCell ref="D80:E80"/>
    <mergeCell ref="D83:E83"/>
    <mergeCell ref="D86:E86"/>
    <mergeCell ref="D89:E89"/>
    <mergeCell ref="D54:E54"/>
    <mergeCell ref="D57:E57"/>
    <mergeCell ref="D60:E60"/>
    <mergeCell ref="D63:E63"/>
    <mergeCell ref="D66:E66"/>
    <mergeCell ref="D71:E71"/>
    <mergeCell ref="D34:E34"/>
    <mergeCell ref="D37:E37"/>
    <mergeCell ref="D40:E40"/>
    <mergeCell ref="D43:E43"/>
    <mergeCell ref="D48:E48"/>
    <mergeCell ref="D51:E51"/>
    <mergeCell ref="D16:E16"/>
    <mergeCell ref="D19:E19"/>
    <mergeCell ref="D22:E22"/>
    <mergeCell ref="D25:E25"/>
    <mergeCell ref="D28:E28"/>
    <mergeCell ref="D31:E31"/>
    <mergeCell ref="A1:B1"/>
    <mergeCell ref="C3:F3"/>
    <mergeCell ref="Q3:V3"/>
    <mergeCell ref="D7:E7"/>
    <mergeCell ref="D10:E10"/>
    <mergeCell ref="D13:E13"/>
  </mergeCells>
  <pageMargins left="0.70866141732283472" right="0.70866141732283472" top="0.74803149606299213" bottom="0.74803149606299213" header="0.31496062992125984" footer="0.31496062992125984"/>
  <pageSetup scale="52" fitToHeight="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91"/>
  <sheetViews>
    <sheetView zoomScale="85" zoomScaleNormal="85" workbookViewId="0">
      <pane ySplit="4" topLeftCell="A569" activePane="bottomLeft" state="frozen"/>
      <selection pane="bottomLeft" activeCell="E560" sqref="E560"/>
    </sheetView>
  </sheetViews>
  <sheetFormatPr defaultColWidth="9.140625" defaultRowHeight="15"/>
  <cols>
    <col min="1" max="1" width="7" style="146" customWidth="1"/>
    <col min="2" max="2" width="24" style="93" customWidth="1"/>
    <col min="3" max="4" width="10.7109375" style="170" customWidth="1"/>
    <col min="5" max="5" width="11.5703125" style="170" customWidth="1"/>
    <col min="6" max="6" width="8" style="171" customWidth="1"/>
    <col min="7" max="7" width="9.140625" style="171"/>
    <col min="8" max="9" width="9.140625" style="145"/>
    <col min="10" max="10" width="9.140625" style="170"/>
    <col min="11" max="11" width="6.7109375" style="145" customWidth="1"/>
    <col min="12" max="12" width="8.5703125" style="145" customWidth="1"/>
    <col min="13" max="13" width="10.28515625" style="145" customWidth="1"/>
    <col min="14" max="14" width="9.140625" style="145"/>
    <col min="15" max="15" width="12.140625" style="145" customWidth="1"/>
    <col min="16" max="21" width="9.42578125" style="145" customWidth="1"/>
    <col min="22" max="22" width="9.28515625" style="145" customWidth="1"/>
    <col min="23" max="16384" width="9.140625" style="145"/>
  </cols>
  <sheetData>
    <row r="1" spans="1:22" ht="18.75">
      <c r="A1" s="532" t="s">
        <v>377</v>
      </c>
      <c r="B1" s="532"/>
      <c r="C1" s="532"/>
      <c r="D1" s="532"/>
      <c r="E1" s="532"/>
      <c r="F1" s="532"/>
      <c r="G1" s="532"/>
      <c r="H1" s="532"/>
      <c r="I1" s="532"/>
      <c r="J1" s="532"/>
      <c r="K1" s="532"/>
      <c r="L1" s="532"/>
      <c r="M1" s="532"/>
      <c r="N1" s="532"/>
      <c r="O1" s="532"/>
      <c r="P1" s="532"/>
      <c r="Q1" s="532"/>
      <c r="R1" s="532"/>
      <c r="S1" s="532"/>
      <c r="T1" s="532"/>
      <c r="U1" s="532"/>
      <c r="V1" s="532"/>
    </row>
    <row r="2" spans="1:22" ht="15.75">
      <c r="A2" s="96"/>
      <c r="B2" s="96"/>
      <c r="C2" s="146"/>
      <c r="D2" s="146"/>
      <c r="E2" s="146"/>
      <c r="F2" s="146"/>
      <c r="G2" s="96"/>
      <c r="H2" s="96"/>
      <c r="I2" s="96"/>
      <c r="J2" s="96"/>
      <c r="K2" s="96"/>
      <c r="L2" s="96"/>
      <c r="M2" s="96"/>
      <c r="N2" s="96"/>
      <c r="O2" s="96"/>
      <c r="P2" s="96"/>
      <c r="Q2" s="96"/>
      <c r="R2" s="96"/>
      <c r="S2" s="96"/>
      <c r="T2" s="96"/>
      <c r="U2" s="96"/>
      <c r="V2" s="96"/>
    </row>
    <row r="3" spans="1:22" ht="15" customHeight="1">
      <c r="A3" s="533" t="s">
        <v>50</v>
      </c>
      <c r="B3" s="533" t="s">
        <v>51</v>
      </c>
      <c r="C3" s="546" t="s">
        <v>220</v>
      </c>
      <c r="D3" s="547"/>
      <c r="E3" s="548"/>
      <c r="F3" s="552" t="s">
        <v>221</v>
      </c>
      <c r="G3" s="543" t="s">
        <v>222</v>
      </c>
      <c r="H3" s="553" t="s">
        <v>378</v>
      </c>
      <c r="I3" s="543" t="s">
        <v>379</v>
      </c>
      <c r="J3" s="543" t="s">
        <v>225</v>
      </c>
      <c r="K3" s="533" t="s">
        <v>226</v>
      </c>
      <c r="L3" s="553" t="s">
        <v>227</v>
      </c>
      <c r="M3" s="533" t="s">
        <v>380</v>
      </c>
      <c r="N3" s="543" t="s">
        <v>229</v>
      </c>
      <c r="O3" s="544" t="s">
        <v>230</v>
      </c>
      <c r="P3" s="534" t="s">
        <v>231</v>
      </c>
      <c r="Q3" s="535"/>
      <c r="R3" s="535"/>
      <c r="S3" s="535"/>
      <c r="T3" s="535"/>
      <c r="U3" s="535"/>
      <c r="V3" s="533" t="s">
        <v>232</v>
      </c>
    </row>
    <row r="4" spans="1:22">
      <c r="A4" s="533"/>
      <c r="B4" s="533"/>
      <c r="C4" s="549"/>
      <c r="D4" s="550"/>
      <c r="E4" s="551"/>
      <c r="F4" s="552"/>
      <c r="G4" s="543"/>
      <c r="H4" s="554"/>
      <c r="I4" s="543"/>
      <c r="J4" s="543"/>
      <c r="K4" s="533"/>
      <c r="L4" s="554"/>
      <c r="M4" s="533"/>
      <c r="N4" s="543"/>
      <c r="O4" s="545"/>
      <c r="P4" s="134" t="s">
        <v>235</v>
      </c>
      <c r="Q4" s="134" t="s">
        <v>236</v>
      </c>
      <c r="R4" s="134" t="s">
        <v>237</v>
      </c>
      <c r="S4" s="134" t="s">
        <v>238</v>
      </c>
      <c r="T4" s="134" t="s">
        <v>239</v>
      </c>
      <c r="U4" s="134" t="s">
        <v>240</v>
      </c>
      <c r="V4" s="533"/>
    </row>
    <row r="5" spans="1:22" ht="25.5" customHeight="1">
      <c r="A5" s="101"/>
      <c r="B5" s="101"/>
      <c r="C5" s="147"/>
      <c r="D5" s="148"/>
      <c r="E5" s="149"/>
      <c r="F5" s="150"/>
      <c r="G5" s="107"/>
      <c r="H5" s="108"/>
      <c r="I5" s="108"/>
      <c r="J5" s="109"/>
      <c r="K5" s="108"/>
      <c r="L5" s="108"/>
      <c r="M5" s="108"/>
      <c r="N5" s="108"/>
      <c r="O5" s="110"/>
      <c r="P5" s="151" t="str">
        <f>IF($G5=8,$O5,"")</f>
        <v/>
      </c>
      <c r="Q5" s="151" t="str">
        <f>IF($G5=10,$O5,"")</f>
        <v/>
      </c>
      <c r="R5" s="151" t="str">
        <f>IF($G5=12,$O5,"")</f>
        <v/>
      </c>
      <c r="S5" s="151" t="str">
        <f>IF($G5=16,$O5,"")</f>
        <v/>
      </c>
      <c r="T5" s="151" t="str">
        <f>IF($G5=20,$O5,"")</f>
        <v/>
      </c>
      <c r="U5" s="151" t="str">
        <f>IF($G5=25,$O5,"")</f>
        <v/>
      </c>
      <c r="V5" s="108"/>
    </row>
    <row r="6" spans="1:22">
      <c r="A6" s="101">
        <v>1</v>
      </c>
      <c r="B6" s="101" t="s">
        <v>381</v>
      </c>
      <c r="C6" s="147"/>
      <c r="D6" s="148"/>
      <c r="E6" s="149"/>
      <c r="F6" s="150"/>
      <c r="G6" s="107"/>
      <c r="H6" s="108"/>
      <c r="I6" s="108"/>
      <c r="J6" s="118"/>
      <c r="K6" s="121"/>
      <c r="L6" s="121"/>
      <c r="M6" s="108"/>
      <c r="N6" s="121"/>
      <c r="O6" s="121"/>
      <c r="P6" s="151" t="str">
        <f>IF($G6=8,$O6,"")</f>
        <v/>
      </c>
      <c r="Q6" s="151" t="str">
        <f>IF($G6=10,$O6,"")</f>
        <v/>
      </c>
      <c r="R6" s="151" t="str">
        <f>IF($G6=12,$O6,"")</f>
        <v/>
      </c>
      <c r="S6" s="151" t="str">
        <f>IF($G6=16,$O6,"")</f>
        <v/>
      </c>
      <c r="T6" s="151" t="str">
        <f>IF($G6=20,$O6,"")</f>
        <v/>
      </c>
      <c r="U6" s="151" t="str">
        <f>IF($G6=25,$O6,"")</f>
        <v/>
      </c>
      <c r="V6" s="108"/>
    </row>
    <row r="7" spans="1:22">
      <c r="A7" s="101"/>
      <c r="B7" s="152" t="s">
        <v>382</v>
      </c>
      <c r="C7" s="147"/>
      <c r="D7" s="153">
        <f>0.85-0.075-2*0.016</f>
        <v>0.74299999999999999</v>
      </c>
      <c r="E7" s="149"/>
      <c r="F7" s="150"/>
      <c r="G7" s="107">
        <v>16</v>
      </c>
      <c r="H7" s="108">
        <v>16</v>
      </c>
      <c r="I7" s="108">
        <v>4</v>
      </c>
      <c r="J7" s="118">
        <f>D7</f>
        <v>0.74299999999999999</v>
      </c>
      <c r="K7" s="119" t="str">
        <f>IF(N7&lt;12,"0",0.049*G7)</f>
        <v>0</v>
      </c>
      <c r="L7" s="120">
        <v>1</v>
      </c>
      <c r="M7" s="108">
        <f>2*G7*L7/1000</f>
        <v>3.2000000000000001E-2</v>
      </c>
      <c r="N7" s="121">
        <f>J7+E9-M7</f>
        <v>1.0109999999999999</v>
      </c>
      <c r="O7" s="121">
        <f>H7*I7*N7</f>
        <v>64.703999999999994</v>
      </c>
      <c r="P7" s="151" t="str">
        <f t="shared" ref="P7:P282" si="0">IF($G7=8,$O7,"")</f>
        <v/>
      </c>
      <c r="Q7" s="151" t="str">
        <f t="shared" ref="Q7:Q282" si="1">IF($G7=10,$O7,"")</f>
        <v/>
      </c>
      <c r="R7" s="151" t="str">
        <f t="shared" ref="R7:R282" si="2">IF($G7=12,$O7,"")</f>
        <v/>
      </c>
      <c r="S7" s="151">
        <f t="shared" ref="S7:S282" si="3">IF($G7=16,$O7,"")</f>
        <v>64.703999999999994</v>
      </c>
      <c r="T7" s="151" t="str">
        <f t="shared" ref="T7:T282" si="4">IF($G7=20,$O7,"")</f>
        <v/>
      </c>
      <c r="U7" s="151" t="str">
        <f t="shared" ref="U7:U282" si="5">IF($G7=25,$O7,"")</f>
        <v/>
      </c>
      <c r="V7" s="108"/>
    </row>
    <row r="8" spans="1:22">
      <c r="A8" s="101"/>
      <c r="B8" s="152" t="s">
        <v>383</v>
      </c>
      <c r="C8" s="147"/>
      <c r="D8" s="148"/>
      <c r="E8" s="149"/>
      <c r="F8" s="150"/>
      <c r="G8" s="107">
        <v>12</v>
      </c>
      <c r="H8" s="108">
        <v>16</v>
      </c>
      <c r="I8" s="108">
        <v>2</v>
      </c>
      <c r="J8" s="118">
        <f>D7</f>
        <v>0.74299999999999999</v>
      </c>
      <c r="K8" s="119" t="str">
        <f t="shared" ref="K8:K10" si="6">IF(N8&lt;12,"0",0.049*G8)</f>
        <v>0</v>
      </c>
      <c r="L8" s="120">
        <v>1</v>
      </c>
      <c r="M8" s="108">
        <f t="shared" ref="M8:M9" si="7">2*G8*L8/1000</f>
        <v>2.4E-2</v>
      </c>
      <c r="N8" s="121">
        <f>J8+E9-M8</f>
        <v>1.0189999999999999</v>
      </c>
      <c r="O8" s="121">
        <f>H8*I8*N8</f>
        <v>32.607999999999997</v>
      </c>
      <c r="P8" s="151" t="str">
        <f t="shared" si="0"/>
        <v/>
      </c>
      <c r="Q8" s="151" t="str">
        <f t="shared" si="1"/>
        <v/>
      </c>
      <c r="R8" s="151">
        <f t="shared" si="2"/>
        <v>32.607999999999997</v>
      </c>
      <c r="S8" s="151" t="str">
        <f t="shared" si="3"/>
        <v/>
      </c>
      <c r="T8" s="151" t="str">
        <f t="shared" si="4"/>
        <v/>
      </c>
      <c r="U8" s="151" t="str">
        <f t="shared" si="5"/>
        <v/>
      </c>
      <c r="V8" s="108"/>
    </row>
    <row r="9" spans="1:22">
      <c r="A9" s="101"/>
      <c r="B9" s="152" t="s">
        <v>384</v>
      </c>
      <c r="C9" s="154"/>
      <c r="D9" s="153"/>
      <c r="E9" s="155">
        <v>0.3</v>
      </c>
      <c r="F9" s="150"/>
      <c r="G9" s="107">
        <v>16</v>
      </c>
      <c r="H9" s="108">
        <v>16</v>
      </c>
      <c r="I9" s="108">
        <v>4</v>
      </c>
      <c r="J9" s="118">
        <f>D7</f>
        <v>0.74299999999999999</v>
      </c>
      <c r="K9" s="119" t="str">
        <f t="shared" si="6"/>
        <v>0</v>
      </c>
      <c r="L9" s="120">
        <v>1</v>
      </c>
      <c r="M9" s="108">
        <f t="shared" si="7"/>
        <v>3.2000000000000001E-2</v>
      </c>
      <c r="N9" s="121">
        <f>J9+E9-M9</f>
        <v>1.0109999999999999</v>
      </c>
      <c r="O9" s="121">
        <f>H9*I9*N9</f>
        <v>64.703999999999994</v>
      </c>
      <c r="P9" s="151" t="str">
        <f t="shared" si="0"/>
        <v/>
      </c>
      <c r="Q9" s="151" t="str">
        <f t="shared" si="1"/>
        <v/>
      </c>
      <c r="R9" s="151" t="str">
        <f t="shared" si="2"/>
        <v/>
      </c>
      <c r="S9" s="151">
        <f t="shared" si="3"/>
        <v>64.703999999999994</v>
      </c>
      <c r="T9" s="151" t="str">
        <f t="shared" si="4"/>
        <v/>
      </c>
      <c r="U9" s="151" t="str">
        <f t="shared" si="5"/>
        <v/>
      </c>
      <c r="V9" s="108"/>
    </row>
    <row r="10" spans="1:22">
      <c r="A10" s="101"/>
      <c r="B10" s="152" t="s">
        <v>385</v>
      </c>
      <c r="C10" s="147"/>
      <c r="D10" s="148"/>
      <c r="E10" s="149"/>
      <c r="F10" s="150"/>
      <c r="G10" s="107">
        <v>12</v>
      </c>
      <c r="H10" s="108">
        <v>16</v>
      </c>
      <c r="I10" s="108">
        <v>4</v>
      </c>
      <c r="J10" s="118">
        <f>D7</f>
        <v>0.74299999999999999</v>
      </c>
      <c r="K10" s="119" t="str">
        <f t="shared" si="6"/>
        <v>0</v>
      </c>
      <c r="L10" s="120">
        <v>1</v>
      </c>
      <c r="M10" s="108">
        <f>2*G10*L10/1000</f>
        <v>2.4E-2</v>
      </c>
      <c r="N10" s="121">
        <f>J10+E9-M10</f>
        <v>1.0189999999999999</v>
      </c>
      <c r="O10" s="121">
        <f>H10*I10*N10</f>
        <v>65.215999999999994</v>
      </c>
      <c r="P10" s="151" t="str">
        <f t="shared" si="0"/>
        <v/>
      </c>
      <c r="Q10" s="151" t="str">
        <f t="shared" si="1"/>
        <v/>
      </c>
      <c r="R10" s="151">
        <f t="shared" si="2"/>
        <v>65.215999999999994</v>
      </c>
      <c r="S10" s="151" t="str">
        <f t="shared" si="3"/>
        <v/>
      </c>
      <c r="T10" s="151" t="str">
        <f t="shared" si="4"/>
        <v/>
      </c>
      <c r="U10" s="151" t="str">
        <f t="shared" si="5"/>
        <v/>
      </c>
      <c r="V10" s="108"/>
    </row>
    <row r="11" spans="1:22">
      <c r="A11" s="101"/>
      <c r="B11" s="152"/>
      <c r="C11" s="147"/>
      <c r="D11" s="148"/>
      <c r="E11" s="149"/>
      <c r="F11" s="150"/>
      <c r="G11" s="107"/>
      <c r="H11" s="108"/>
      <c r="I11" s="108"/>
      <c r="J11" s="109"/>
      <c r="K11" s="108"/>
      <c r="L11" s="108"/>
      <c r="M11" s="108"/>
      <c r="N11" s="108"/>
      <c r="O11" s="110"/>
      <c r="P11" s="151" t="str">
        <f t="shared" si="0"/>
        <v/>
      </c>
      <c r="Q11" s="151" t="str">
        <f t="shared" si="1"/>
        <v/>
      </c>
      <c r="R11" s="151" t="str">
        <f t="shared" si="2"/>
        <v/>
      </c>
      <c r="S11" s="151" t="str">
        <f t="shared" si="3"/>
        <v/>
      </c>
      <c r="T11" s="151" t="str">
        <f t="shared" si="4"/>
        <v/>
      </c>
      <c r="U11" s="151" t="str">
        <f t="shared" si="5"/>
        <v/>
      </c>
      <c r="V11" s="108"/>
    </row>
    <row r="12" spans="1:22">
      <c r="A12" s="101"/>
      <c r="B12" s="101"/>
      <c r="C12" s="156">
        <v>0.08</v>
      </c>
      <c r="D12" s="148"/>
      <c r="E12" s="149"/>
      <c r="F12" s="150"/>
      <c r="G12" s="107"/>
      <c r="H12" s="108"/>
      <c r="I12" s="108"/>
      <c r="J12" s="109"/>
      <c r="K12" s="108"/>
      <c r="L12" s="108"/>
      <c r="M12" s="108"/>
      <c r="N12" s="108"/>
      <c r="O12" s="110"/>
      <c r="P12" s="151" t="str">
        <f t="shared" si="0"/>
        <v/>
      </c>
      <c r="Q12" s="151" t="str">
        <f t="shared" si="1"/>
        <v/>
      </c>
      <c r="R12" s="151" t="str">
        <f t="shared" si="2"/>
        <v/>
      </c>
      <c r="S12" s="151" t="str">
        <f t="shared" si="3"/>
        <v/>
      </c>
      <c r="T12" s="151" t="str">
        <f t="shared" si="4"/>
        <v/>
      </c>
      <c r="U12" s="151" t="str">
        <f t="shared" si="5"/>
        <v/>
      </c>
      <c r="V12" s="108"/>
    </row>
    <row r="13" spans="1:22">
      <c r="A13" s="101"/>
      <c r="B13" s="157" t="s">
        <v>386</v>
      </c>
      <c r="C13" s="158"/>
      <c r="D13" s="148"/>
      <c r="E13" s="159">
        <f>0.6-0.08</f>
        <v>0.52</v>
      </c>
      <c r="F13" s="150"/>
      <c r="G13" s="107">
        <v>10</v>
      </c>
      <c r="H13" s="108">
        <v>16</v>
      </c>
      <c r="I13" s="108">
        <v>4</v>
      </c>
      <c r="J13" s="160">
        <f>2*(D15+E13)+2*8*G13/1000</f>
        <v>1.64</v>
      </c>
      <c r="K13" s="108"/>
      <c r="L13" s="108">
        <v>5</v>
      </c>
      <c r="M13" s="121">
        <f>2*G13*L13/1000</f>
        <v>0.1</v>
      </c>
      <c r="N13" s="121">
        <f>(J13+K13-M13)+0.02</f>
        <v>1.5599999999999998</v>
      </c>
      <c r="O13" s="121">
        <f>(H13*I13*N13)</f>
        <v>99.839999999999989</v>
      </c>
      <c r="P13" s="151" t="str">
        <f t="shared" si="0"/>
        <v/>
      </c>
      <c r="Q13" s="151">
        <f t="shared" si="1"/>
        <v>99.839999999999989</v>
      </c>
      <c r="R13" s="151" t="str">
        <f t="shared" si="2"/>
        <v/>
      </c>
      <c r="S13" s="151" t="str">
        <f t="shared" si="3"/>
        <v/>
      </c>
      <c r="T13" s="151" t="str">
        <f t="shared" si="4"/>
        <v/>
      </c>
      <c r="U13" s="151" t="str">
        <f t="shared" si="5"/>
        <v/>
      </c>
      <c r="V13" s="108"/>
    </row>
    <row r="14" spans="1:22">
      <c r="A14" s="101"/>
      <c r="B14" s="157"/>
      <c r="C14" s="147"/>
      <c r="D14" s="148"/>
      <c r="E14" s="161"/>
      <c r="F14" s="150"/>
      <c r="G14" s="107"/>
      <c r="H14" s="108"/>
      <c r="I14" s="108"/>
      <c r="J14" s="109"/>
      <c r="K14" s="108"/>
      <c r="L14" s="108"/>
      <c r="M14" s="108"/>
      <c r="N14" s="108"/>
      <c r="O14" s="121"/>
      <c r="P14" s="151" t="str">
        <f t="shared" si="0"/>
        <v/>
      </c>
      <c r="Q14" s="151" t="str">
        <f t="shared" si="1"/>
        <v/>
      </c>
      <c r="R14" s="151" t="str">
        <f t="shared" si="2"/>
        <v/>
      </c>
      <c r="S14" s="151" t="str">
        <f t="shared" si="3"/>
        <v/>
      </c>
      <c r="T14" s="151" t="str">
        <f t="shared" si="4"/>
        <v/>
      </c>
      <c r="U14" s="151" t="str">
        <f t="shared" si="5"/>
        <v/>
      </c>
      <c r="V14" s="108"/>
    </row>
    <row r="15" spans="1:22">
      <c r="A15" s="101"/>
      <c r="B15" s="157"/>
      <c r="C15" s="147"/>
      <c r="D15" s="118">
        <f>0.3-0.08</f>
        <v>0.21999999999999997</v>
      </c>
      <c r="E15" s="149"/>
      <c r="F15" s="150"/>
      <c r="G15" s="107"/>
      <c r="H15" s="108"/>
      <c r="I15" s="108"/>
      <c r="J15" s="109"/>
      <c r="K15" s="108"/>
      <c r="L15" s="108"/>
      <c r="M15" s="108"/>
      <c r="N15" s="108"/>
      <c r="O15" s="121"/>
      <c r="P15" s="151" t="str">
        <f t="shared" si="0"/>
        <v/>
      </c>
      <c r="Q15" s="151" t="str">
        <f t="shared" si="1"/>
        <v/>
      </c>
      <c r="R15" s="151" t="str">
        <f t="shared" si="2"/>
        <v/>
      </c>
      <c r="S15" s="151" t="str">
        <f t="shared" si="3"/>
        <v/>
      </c>
      <c r="T15" s="151" t="str">
        <f t="shared" si="4"/>
        <v/>
      </c>
      <c r="U15" s="151" t="str">
        <f t="shared" si="5"/>
        <v/>
      </c>
      <c r="V15" s="108"/>
    </row>
    <row r="16" spans="1:22">
      <c r="A16" s="101"/>
      <c r="B16" s="152"/>
      <c r="C16" s="147"/>
      <c r="D16" s="148"/>
      <c r="E16" s="149"/>
      <c r="F16" s="150"/>
      <c r="G16" s="107"/>
      <c r="H16" s="108"/>
      <c r="I16" s="108"/>
      <c r="J16" s="109"/>
      <c r="K16" s="108"/>
      <c r="L16" s="108"/>
      <c r="M16" s="108"/>
      <c r="N16" s="108"/>
      <c r="O16" s="121"/>
      <c r="P16" s="151" t="str">
        <f t="shared" si="0"/>
        <v/>
      </c>
      <c r="Q16" s="151" t="str">
        <f t="shared" si="1"/>
        <v/>
      </c>
      <c r="R16" s="151" t="str">
        <f t="shared" si="2"/>
        <v/>
      </c>
      <c r="S16" s="151" t="str">
        <f t="shared" si="3"/>
        <v/>
      </c>
      <c r="T16" s="151" t="str">
        <f t="shared" si="4"/>
        <v/>
      </c>
      <c r="U16" s="151" t="str">
        <f t="shared" si="5"/>
        <v/>
      </c>
      <c r="V16" s="108"/>
    </row>
    <row r="17" spans="1:22">
      <c r="A17" s="101"/>
      <c r="B17" s="101"/>
      <c r="C17" s="156">
        <v>0.08</v>
      </c>
      <c r="D17" s="148"/>
      <c r="E17" s="149"/>
      <c r="F17" s="150"/>
      <c r="G17" s="107"/>
      <c r="H17" s="108"/>
      <c r="I17" s="108"/>
      <c r="J17" s="109"/>
      <c r="K17" s="108"/>
      <c r="L17" s="108"/>
      <c r="M17" s="108"/>
      <c r="N17" s="108"/>
      <c r="O17" s="121"/>
      <c r="P17" s="151" t="str">
        <f t="shared" si="0"/>
        <v/>
      </c>
      <c r="Q17" s="151" t="str">
        <f t="shared" si="1"/>
        <v/>
      </c>
      <c r="R17" s="151" t="str">
        <f t="shared" si="2"/>
        <v/>
      </c>
      <c r="S17" s="151" t="str">
        <f t="shared" si="3"/>
        <v/>
      </c>
      <c r="T17" s="151" t="str">
        <f t="shared" si="4"/>
        <v/>
      </c>
      <c r="U17" s="151" t="str">
        <f t="shared" si="5"/>
        <v/>
      </c>
      <c r="V17" s="108"/>
    </row>
    <row r="18" spans="1:22">
      <c r="A18" s="101"/>
      <c r="B18" s="157" t="s">
        <v>387</v>
      </c>
      <c r="C18" s="158"/>
      <c r="D18" s="148"/>
      <c r="E18" s="159">
        <f>((0.6-0.08-0.016)/5)+0.012+0.02</f>
        <v>0.1328</v>
      </c>
      <c r="F18" s="150"/>
      <c r="G18" s="107">
        <v>10</v>
      </c>
      <c r="H18" s="108">
        <v>16</v>
      </c>
      <c r="I18" s="108">
        <v>1</v>
      </c>
      <c r="J18" s="160">
        <f>2*(D20+E18)+2*8*G18/1000</f>
        <v>0.86560000000000004</v>
      </c>
      <c r="K18" s="108"/>
      <c r="L18" s="108">
        <v>5</v>
      </c>
      <c r="M18" s="121">
        <f>2*G18*L18/1000</f>
        <v>0.1</v>
      </c>
      <c r="N18" s="121">
        <f>(J18+K18-M18)+0.02</f>
        <v>0.78560000000000008</v>
      </c>
      <c r="O18" s="121">
        <f>(H18*I18*N18)</f>
        <v>12.569600000000001</v>
      </c>
      <c r="P18" s="151" t="str">
        <f t="shared" si="0"/>
        <v/>
      </c>
      <c r="Q18" s="151">
        <f t="shared" si="1"/>
        <v>12.569600000000001</v>
      </c>
      <c r="R18" s="151" t="str">
        <f t="shared" si="2"/>
        <v/>
      </c>
      <c r="S18" s="151" t="str">
        <f t="shared" si="3"/>
        <v/>
      </c>
      <c r="T18" s="151" t="str">
        <f t="shared" si="4"/>
        <v/>
      </c>
      <c r="U18" s="151" t="str">
        <f t="shared" si="5"/>
        <v/>
      </c>
      <c r="V18" s="108"/>
    </row>
    <row r="19" spans="1:22">
      <c r="A19" s="101"/>
      <c r="B19" s="157"/>
      <c r="C19" s="147"/>
      <c r="D19" s="148"/>
      <c r="E19" s="161"/>
      <c r="F19" s="150"/>
      <c r="G19" s="107"/>
      <c r="H19" s="108"/>
      <c r="I19" s="108"/>
      <c r="J19" s="109"/>
      <c r="K19" s="108"/>
      <c r="L19" s="108"/>
      <c r="M19" s="108"/>
      <c r="N19" s="108"/>
      <c r="O19" s="121"/>
      <c r="P19" s="151" t="str">
        <f t="shared" si="0"/>
        <v/>
      </c>
      <c r="Q19" s="151" t="str">
        <f t="shared" si="1"/>
        <v/>
      </c>
      <c r="R19" s="151" t="str">
        <f t="shared" si="2"/>
        <v/>
      </c>
      <c r="S19" s="151" t="str">
        <f t="shared" si="3"/>
        <v/>
      </c>
      <c r="T19" s="151" t="str">
        <f t="shared" si="4"/>
        <v/>
      </c>
      <c r="U19" s="151" t="str">
        <f t="shared" si="5"/>
        <v/>
      </c>
      <c r="V19" s="108"/>
    </row>
    <row r="20" spans="1:22">
      <c r="A20" s="101"/>
      <c r="B20" s="157"/>
      <c r="C20" s="147"/>
      <c r="D20" s="118">
        <f>0.3-0.08</f>
        <v>0.21999999999999997</v>
      </c>
      <c r="E20" s="149"/>
      <c r="F20" s="150"/>
      <c r="G20" s="107"/>
      <c r="H20" s="108"/>
      <c r="I20" s="108"/>
      <c r="J20" s="109"/>
      <c r="K20" s="108"/>
      <c r="L20" s="108"/>
      <c r="M20" s="108"/>
      <c r="N20" s="108"/>
      <c r="O20" s="121"/>
      <c r="P20" s="151" t="str">
        <f t="shared" si="0"/>
        <v/>
      </c>
      <c r="Q20" s="151" t="str">
        <f t="shared" si="1"/>
        <v/>
      </c>
      <c r="R20" s="151" t="str">
        <f t="shared" si="2"/>
        <v/>
      </c>
      <c r="S20" s="151" t="str">
        <f t="shared" si="3"/>
        <v/>
      </c>
      <c r="T20" s="151" t="str">
        <f t="shared" si="4"/>
        <v/>
      </c>
      <c r="U20" s="151" t="str">
        <f t="shared" si="5"/>
        <v/>
      </c>
      <c r="V20" s="108"/>
    </row>
    <row r="21" spans="1:22">
      <c r="A21" s="101"/>
      <c r="B21" s="157"/>
      <c r="C21" s="147"/>
      <c r="D21" s="148"/>
      <c r="E21" s="149"/>
      <c r="F21" s="150"/>
      <c r="G21" s="107"/>
      <c r="H21" s="108"/>
      <c r="I21" s="108"/>
      <c r="J21" s="109"/>
      <c r="K21" s="108"/>
      <c r="L21" s="108"/>
      <c r="M21" s="108"/>
      <c r="N21" s="108"/>
      <c r="O21" s="121"/>
      <c r="P21" s="151" t="str">
        <f t="shared" si="0"/>
        <v/>
      </c>
      <c r="Q21" s="151" t="str">
        <f t="shared" si="1"/>
        <v/>
      </c>
      <c r="R21" s="151" t="str">
        <f t="shared" si="2"/>
        <v/>
      </c>
      <c r="S21" s="151" t="str">
        <f t="shared" si="3"/>
        <v/>
      </c>
      <c r="T21" s="151" t="str">
        <f t="shared" si="4"/>
        <v/>
      </c>
      <c r="U21" s="151" t="str">
        <f t="shared" si="5"/>
        <v/>
      </c>
      <c r="V21" s="108"/>
    </row>
    <row r="22" spans="1:22">
      <c r="A22" s="101"/>
      <c r="B22" s="157" t="s">
        <v>388</v>
      </c>
      <c r="C22" s="147"/>
      <c r="D22" s="153"/>
      <c r="E22" s="149"/>
      <c r="F22" s="150"/>
      <c r="G22" s="107">
        <v>10</v>
      </c>
      <c r="H22" s="108">
        <v>16</v>
      </c>
      <c r="I22" s="108">
        <v>1</v>
      </c>
      <c r="J22" s="160">
        <f>C23+D25+E23+2*8*G22/1000</f>
        <v>0.73</v>
      </c>
      <c r="K22" s="108"/>
      <c r="L22" s="108">
        <v>4</v>
      </c>
      <c r="M22" s="121">
        <f>2*G22*L22/1000</f>
        <v>0.08</v>
      </c>
      <c r="N22" s="121">
        <f>(J22+K22-M22)</f>
        <v>0.65</v>
      </c>
      <c r="O22" s="121">
        <f>(H22*I22*N22)</f>
        <v>10.4</v>
      </c>
      <c r="P22" s="151" t="str">
        <f t="shared" si="0"/>
        <v/>
      </c>
      <c r="Q22" s="151">
        <f t="shared" si="1"/>
        <v>10.4</v>
      </c>
      <c r="R22" s="151" t="str">
        <f t="shared" si="2"/>
        <v/>
      </c>
      <c r="S22" s="151" t="str">
        <f t="shared" si="3"/>
        <v/>
      </c>
      <c r="T22" s="151" t="str">
        <f t="shared" si="4"/>
        <v/>
      </c>
      <c r="U22" s="151" t="str">
        <f t="shared" si="5"/>
        <v/>
      </c>
      <c r="V22" s="108"/>
    </row>
    <row r="23" spans="1:22">
      <c r="A23" s="101"/>
      <c r="B23" s="157"/>
      <c r="C23" s="162">
        <v>0.17499999999999999</v>
      </c>
      <c r="D23" s="148"/>
      <c r="E23" s="149">
        <v>0.17499999999999999</v>
      </c>
      <c r="F23" s="150"/>
      <c r="G23" s="107"/>
      <c r="H23" s="108"/>
      <c r="I23" s="108"/>
      <c r="J23" s="109"/>
      <c r="K23" s="108"/>
      <c r="L23" s="108"/>
      <c r="M23" s="108"/>
      <c r="N23" s="108"/>
      <c r="O23" s="121"/>
      <c r="P23" s="151" t="str">
        <f>IF($G23=8,$O23,"")</f>
        <v/>
      </c>
      <c r="Q23" s="151" t="str">
        <f>IF($G23=10,$O23,"")</f>
        <v/>
      </c>
      <c r="R23" s="151" t="str">
        <f>IF($G23=12,$O23,"")</f>
        <v/>
      </c>
      <c r="S23" s="151" t="str">
        <f>IF($G23=16,$O23,"")</f>
        <v/>
      </c>
      <c r="T23" s="151" t="str">
        <f>IF($G23=20,$O23,"")</f>
        <v/>
      </c>
      <c r="U23" s="151" t="str">
        <f>IF($G23=25,$O23,"")</f>
        <v/>
      </c>
      <c r="V23" s="108"/>
    </row>
    <row r="24" spans="1:22">
      <c r="A24" s="101"/>
      <c r="B24" s="157"/>
      <c r="C24" s="147"/>
      <c r="D24" s="148"/>
      <c r="E24" s="149"/>
      <c r="F24" s="150"/>
      <c r="G24" s="107"/>
      <c r="H24" s="108"/>
      <c r="I24" s="108"/>
      <c r="J24" s="109"/>
      <c r="K24" s="108"/>
      <c r="L24" s="108"/>
      <c r="M24" s="108"/>
      <c r="N24" s="108"/>
      <c r="O24" s="121"/>
      <c r="P24" s="151" t="str">
        <f t="shared" si="0"/>
        <v/>
      </c>
      <c r="Q24" s="151" t="str">
        <f t="shared" si="1"/>
        <v/>
      </c>
      <c r="R24" s="151" t="str">
        <f t="shared" si="2"/>
        <v/>
      </c>
      <c r="S24" s="151" t="str">
        <f t="shared" si="3"/>
        <v/>
      </c>
      <c r="T24" s="151" t="str">
        <f t="shared" si="4"/>
        <v/>
      </c>
      <c r="U24" s="151" t="str">
        <f t="shared" si="5"/>
        <v/>
      </c>
      <c r="V24" s="108"/>
    </row>
    <row r="25" spans="1:22">
      <c r="A25" s="101"/>
      <c r="B25" s="157"/>
      <c r="C25" s="147"/>
      <c r="D25" s="118">
        <f>0.3-0.08</f>
        <v>0.21999999999999997</v>
      </c>
      <c r="E25" s="149"/>
      <c r="F25" s="150"/>
      <c r="G25" s="107"/>
      <c r="H25" s="108"/>
      <c r="I25" s="108"/>
      <c r="J25" s="109"/>
      <c r="K25" s="108"/>
      <c r="L25" s="108"/>
      <c r="M25" s="108"/>
      <c r="N25" s="108"/>
      <c r="O25" s="121"/>
      <c r="P25" s="151" t="str">
        <f t="shared" si="0"/>
        <v/>
      </c>
      <c r="Q25" s="151" t="str">
        <f t="shared" si="1"/>
        <v/>
      </c>
      <c r="R25" s="151" t="str">
        <f t="shared" si="2"/>
        <v/>
      </c>
      <c r="S25" s="151" t="str">
        <f t="shared" si="3"/>
        <v/>
      </c>
      <c r="T25" s="151" t="str">
        <f t="shared" si="4"/>
        <v/>
      </c>
      <c r="U25" s="151" t="str">
        <f t="shared" si="5"/>
        <v/>
      </c>
      <c r="V25" s="108"/>
    </row>
    <row r="26" spans="1:22">
      <c r="A26" s="101"/>
      <c r="B26" s="157"/>
      <c r="C26" s="147"/>
      <c r="D26" s="148"/>
      <c r="E26" s="149"/>
      <c r="F26" s="150"/>
      <c r="G26" s="107"/>
      <c r="H26" s="108"/>
      <c r="I26" s="108"/>
      <c r="J26" s="109"/>
      <c r="K26" s="108"/>
      <c r="L26" s="108"/>
      <c r="M26" s="108"/>
      <c r="N26" s="108"/>
      <c r="O26" s="121"/>
      <c r="P26" s="151" t="str">
        <f t="shared" si="0"/>
        <v/>
      </c>
      <c r="Q26" s="151" t="str">
        <f t="shared" si="1"/>
        <v/>
      </c>
      <c r="R26" s="151" t="str">
        <f t="shared" si="2"/>
        <v/>
      </c>
      <c r="S26" s="151" t="str">
        <f t="shared" si="3"/>
        <v/>
      </c>
      <c r="T26" s="151" t="str">
        <f t="shared" si="4"/>
        <v/>
      </c>
      <c r="U26" s="151" t="str">
        <f t="shared" si="5"/>
        <v/>
      </c>
      <c r="V26" s="108"/>
    </row>
    <row r="27" spans="1:22">
      <c r="A27" s="101"/>
      <c r="B27" s="157" t="s">
        <v>389</v>
      </c>
      <c r="C27" s="147"/>
      <c r="D27" s="153"/>
      <c r="E27" s="149"/>
      <c r="F27" s="150"/>
      <c r="G27" s="107">
        <v>10</v>
      </c>
      <c r="H27" s="108">
        <v>16</v>
      </c>
      <c r="I27" s="108">
        <v>1</v>
      </c>
      <c r="J27" s="160">
        <f>C28+D30+E28+2*8*G27/1000</f>
        <v>0.73</v>
      </c>
      <c r="K27" s="108"/>
      <c r="L27" s="108">
        <v>4</v>
      </c>
      <c r="M27" s="121">
        <f>2*G27*L27/1000</f>
        <v>0.08</v>
      </c>
      <c r="N27" s="121">
        <f>(J27+K27-M27)</f>
        <v>0.65</v>
      </c>
      <c r="O27" s="121">
        <f>(H27*I27*N27)</f>
        <v>10.4</v>
      </c>
      <c r="P27" s="151" t="str">
        <f t="shared" si="0"/>
        <v/>
      </c>
      <c r="Q27" s="151">
        <f t="shared" si="1"/>
        <v>10.4</v>
      </c>
      <c r="R27" s="151" t="str">
        <f t="shared" si="2"/>
        <v/>
      </c>
      <c r="S27" s="151" t="str">
        <f t="shared" si="3"/>
        <v/>
      </c>
      <c r="T27" s="151" t="str">
        <f t="shared" si="4"/>
        <v/>
      </c>
      <c r="U27" s="151" t="str">
        <f t="shared" si="5"/>
        <v/>
      </c>
      <c r="V27" s="108"/>
    </row>
    <row r="28" spans="1:22">
      <c r="A28" s="101"/>
      <c r="B28" s="157"/>
      <c r="C28" s="162">
        <v>0.17499999999999999</v>
      </c>
      <c r="D28" s="148"/>
      <c r="E28" s="149">
        <v>0.17499999999999999</v>
      </c>
      <c r="F28" s="150"/>
      <c r="G28" s="107"/>
      <c r="H28" s="108"/>
      <c r="I28" s="108"/>
      <c r="J28" s="109"/>
      <c r="K28" s="108"/>
      <c r="L28" s="108"/>
      <c r="M28" s="108"/>
      <c r="N28" s="108"/>
      <c r="O28" s="121"/>
      <c r="P28" s="151" t="str">
        <f>IF($G28=8,$O28,"")</f>
        <v/>
      </c>
      <c r="Q28" s="151" t="str">
        <f>IF($G28=10,$O28,"")</f>
        <v/>
      </c>
      <c r="R28" s="151" t="str">
        <f>IF($G28=12,$O28,"")</f>
        <v/>
      </c>
      <c r="S28" s="151" t="str">
        <f>IF($G28=16,$O28,"")</f>
        <v/>
      </c>
      <c r="T28" s="151" t="str">
        <f>IF($G28=20,$O28,"")</f>
        <v/>
      </c>
      <c r="U28" s="151" t="str">
        <f>IF($G28=25,$O28,"")</f>
        <v/>
      </c>
      <c r="V28" s="108"/>
    </row>
    <row r="29" spans="1:22">
      <c r="A29" s="101"/>
      <c r="B29" s="157"/>
      <c r="C29" s="147"/>
      <c r="D29" s="148"/>
      <c r="E29" s="149"/>
      <c r="F29" s="150"/>
      <c r="G29" s="107"/>
      <c r="H29" s="108"/>
      <c r="I29" s="108"/>
      <c r="J29" s="109"/>
      <c r="K29" s="108"/>
      <c r="L29" s="108"/>
      <c r="M29" s="108"/>
      <c r="N29" s="108"/>
      <c r="O29" s="110"/>
      <c r="P29" s="151" t="str">
        <f t="shared" si="0"/>
        <v/>
      </c>
      <c r="Q29" s="151" t="str">
        <f t="shared" si="1"/>
        <v/>
      </c>
      <c r="R29" s="151" t="str">
        <f t="shared" si="2"/>
        <v/>
      </c>
      <c r="S29" s="151" t="str">
        <f t="shared" si="3"/>
        <v/>
      </c>
      <c r="T29" s="151" t="str">
        <f t="shared" si="4"/>
        <v/>
      </c>
      <c r="U29" s="151" t="str">
        <f t="shared" si="5"/>
        <v/>
      </c>
      <c r="V29" s="108"/>
    </row>
    <row r="30" spans="1:22">
      <c r="A30" s="101"/>
      <c r="B30" s="157"/>
      <c r="C30" s="147"/>
      <c r="D30" s="118">
        <f>0.3-0.08</f>
        <v>0.21999999999999997</v>
      </c>
      <c r="E30" s="149"/>
      <c r="F30" s="150"/>
      <c r="G30" s="107"/>
      <c r="H30" s="108"/>
      <c r="I30" s="108"/>
      <c r="J30" s="109"/>
      <c r="K30" s="108"/>
      <c r="L30" s="108"/>
      <c r="M30" s="108"/>
      <c r="N30" s="108"/>
      <c r="O30" s="110"/>
      <c r="P30" s="151" t="str">
        <f t="shared" si="0"/>
        <v/>
      </c>
      <c r="Q30" s="151" t="str">
        <f t="shared" si="1"/>
        <v/>
      </c>
      <c r="R30" s="151" t="str">
        <f t="shared" si="2"/>
        <v/>
      </c>
      <c r="S30" s="151" t="str">
        <f t="shared" si="3"/>
        <v/>
      </c>
      <c r="T30" s="151" t="str">
        <f t="shared" si="4"/>
        <v/>
      </c>
      <c r="U30" s="151" t="str">
        <f t="shared" si="5"/>
        <v/>
      </c>
      <c r="V30" s="108"/>
    </row>
    <row r="31" spans="1:22">
      <c r="A31" s="101"/>
      <c r="B31" s="152"/>
      <c r="C31" s="147"/>
      <c r="D31" s="148"/>
      <c r="E31" s="149"/>
      <c r="F31" s="150"/>
      <c r="G31" s="107"/>
      <c r="H31" s="108"/>
      <c r="I31" s="108"/>
      <c r="J31" s="109"/>
      <c r="K31" s="108"/>
      <c r="L31" s="108"/>
      <c r="M31" s="108"/>
      <c r="N31" s="108"/>
      <c r="O31" s="110"/>
      <c r="P31" s="151" t="str">
        <f t="shared" si="0"/>
        <v/>
      </c>
      <c r="Q31" s="151" t="str">
        <f t="shared" si="1"/>
        <v/>
      </c>
      <c r="R31" s="151" t="str">
        <f t="shared" si="2"/>
        <v/>
      </c>
      <c r="S31" s="151" t="str">
        <f t="shared" si="3"/>
        <v/>
      </c>
      <c r="T31" s="151" t="str">
        <f t="shared" si="4"/>
        <v/>
      </c>
      <c r="U31" s="151" t="str">
        <f t="shared" si="5"/>
        <v/>
      </c>
      <c r="V31" s="108"/>
    </row>
    <row r="32" spans="1:22">
      <c r="A32" s="101">
        <v>2</v>
      </c>
      <c r="B32" s="101" t="s">
        <v>390</v>
      </c>
      <c r="C32" s="147"/>
      <c r="D32" s="148"/>
      <c r="E32" s="149"/>
      <c r="F32" s="150"/>
      <c r="G32" s="107"/>
      <c r="H32" s="108"/>
      <c r="I32" s="108"/>
      <c r="J32" s="118"/>
      <c r="K32" s="121"/>
      <c r="L32" s="121"/>
      <c r="M32" s="108"/>
      <c r="N32" s="121"/>
      <c r="O32" s="121"/>
      <c r="P32" s="151" t="str">
        <f>IF($G32=8,$O32,"")</f>
        <v/>
      </c>
      <c r="Q32" s="151" t="str">
        <f>IF($G32=10,$O32,"")</f>
        <v/>
      </c>
      <c r="R32" s="151" t="str">
        <f>IF($G32=12,$O32,"")</f>
        <v/>
      </c>
      <c r="S32" s="151" t="str">
        <f>IF($G32=16,$O32,"")</f>
        <v/>
      </c>
      <c r="T32" s="151" t="str">
        <f>IF($G32=20,$O32,"")</f>
        <v/>
      </c>
      <c r="U32" s="151" t="str">
        <f>IF($G32=25,$O32,"")</f>
        <v/>
      </c>
      <c r="V32" s="108"/>
    </row>
    <row r="33" spans="1:22">
      <c r="A33" s="101"/>
      <c r="B33" s="152" t="s">
        <v>382</v>
      </c>
      <c r="C33" s="147"/>
      <c r="D33" s="153">
        <f>0.85-0.075-2*0.016</f>
        <v>0.74299999999999999</v>
      </c>
      <c r="E33" s="149"/>
      <c r="F33" s="150"/>
      <c r="G33" s="107">
        <v>20</v>
      </c>
      <c r="H33" s="108">
        <v>11</v>
      </c>
      <c r="I33" s="108">
        <v>4</v>
      </c>
      <c r="J33" s="118">
        <f>D33</f>
        <v>0.74299999999999999</v>
      </c>
      <c r="K33" s="119" t="str">
        <f>IF(N33&lt;12,"0",0.049*G33)</f>
        <v>0</v>
      </c>
      <c r="L33" s="120">
        <v>1</v>
      </c>
      <c r="M33" s="108">
        <f>2*G33*L33/1000</f>
        <v>0.04</v>
      </c>
      <c r="N33" s="121">
        <f>J33+E35-M33</f>
        <v>1.0029999999999999</v>
      </c>
      <c r="O33" s="121">
        <f>H33*I33*N33</f>
        <v>44.131999999999998</v>
      </c>
      <c r="P33" s="151" t="str">
        <f t="shared" si="0"/>
        <v/>
      </c>
      <c r="Q33" s="151" t="str">
        <f t="shared" si="1"/>
        <v/>
      </c>
      <c r="R33" s="151" t="str">
        <f t="shared" si="2"/>
        <v/>
      </c>
      <c r="S33" s="151" t="str">
        <f t="shared" si="3"/>
        <v/>
      </c>
      <c r="T33" s="151">
        <f t="shared" si="4"/>
        <v>44.131999999999998</v>
      </c>
      <c r="U33" s="151" t="str">
        <f t="shared" si="5"/>
        <v/>
      </c>
      <c r="V33" s="108"/>
    </row>
    <row r="34" spans="1:22">
      <c r="A34" s="101"/>
      <c r="B34" s="152" t="s">
        <v>383</v>
      </c>
      <c r="C34" s="147"/>
      <c r="D34" s="148"/>
      <c r="E34" s="149"/>
      <c r="F34" s="150"/>
      <c r="G34" s="107">
        <v>20</v>
      </c>
      <c r="H34" s="108">
        <v>11</v>
      </c>
      <c r="I34" s="108">
        <v>2</v>
      </c>
      <c r="J34" s="118">
        <f>D33</f>
        <v>0.74299999999999999</v>
      </c>
      <c r="K34" s="119" t="str">
        <f t="shared" ref="K34:K36" si="8">IF(N34&lt;12,"0",0.049*G34)</f>
        <v>0</v>
      </c>
      <c r="L34" s="120">
        <v>1</v>
      </c>
      <c r="M34" s="108">
        <f t="shared" ref="M34:M36" si="9">2*G34*L34/1000</f>
        <v>0.04</v>
      </c>
      <c r="N34" s="121">
        <f>J34+E35-M34</f>
        <v>1.0029999999999999</v>
      </c>
      <c r="O34" s="121">
        <f>H34*I34*N34</f>
        <v>22.065999999999999</v>
      </c>
      <c r="P34" s="151" t="str">
        <f t="shared" si="0"/>
        <v/>
      </c>
      <c r="Q34" s="151" t="str">
        <f t="shared" si="1"/>
        <v/>
      </c>
      <c r="R34" s="151" t="str">
        <f t="shared" si="2"/>
        <v/>
      </c>
      <c r="S34" s="151" t="str">
        <f t="shared" si="3"/>
        <v/>
      </c>
      <c r="T34" s="151">
        <f t="shared" si="4"/>
        <v>22.065999999999999</v>
      </c>
      <c r="U34" s="151" t="str">
        <f t="shared" si="5"/>
        <v/>
      </c>
      <c r="V34" s="108"/>
    </row>
    <row r="35" spans="1:22">
      <c r="A35" s="101"/>
      <c r="B35" s="152" t="s">
        <v>384</v>
      </c>
      <c r="C35" s="154"/>
      <c r="D35" s="153"/>
      <c r="E35" s="155">
        <v>0.3</v>
      </c>
      <c r="F35" s="150"/>
      <c r="G35" s="107">
        <v>16</v>
      </c>
      <c r="H35" s="108">
        <v>11</v>
      </c>
      <c r="I35" s="108">
        <v>4</v>
      </c>
      <c r="J35" s="118">
        <f>D33</f>
        <v>0.74299999999999999</v>
      </c>
      <c r="K35" s="119" t="str">
        <f t="shared" si="8"/>
        <v>0</v>
      </c>
      <c r="L35" s="120">
        <v>1</v>
      </c>
      <c r="M35" s="108">
        <f t="shared" si="9"/>
        <v>3.2000000000000001E-2</v>
      </c>
      <c r="N35" s="121">
        <f>J35+E35-M35</f>
        <v>1.0109999999999999</v>
      </c>
      <c r="O35" s="121">
        <f>H35*I35*N35</f>
        <v>44.483999999999995</v>
      </c>
      <c r="P35" s="151" t="str">
        <f t="shared" si="0"/>
        <v/>
      </c>
      <c r="Q35" s="151" t="str">
        <f t="shared" si="1"/>
        <v/>
      </c>
      <c r="R35" s="151" t="str">
        <f t="shared" si="2"/>
        <v/>
      </c>
      <c r="S35" s="151">
        <f t="shared" si="3"/>
        <v>44.483999999999995</v>
      </c>
      <c r="T35" s="151" t="str">
        <f t="shared" si="4"/>
        <v/>
      </c>
      <c r="U35" s="151" t="str">
        <f t="shared" si="5"/>
        <v/>
      </c>
      <c r="V35" s="108"/>
    </row>
    <row r="36" spans="1:22">
      <c r="A36" s="101"/>
      <c r="B36" s="152" t="s">
        <v>385</v>
      </c>
      <c r="C36" s="147"/>
      <c r="D36" s="148"/>
      <c r="E36" s="149"/>
      <c r="F36" s="150"/>
      <c r="G36" s="107">
        <v>16</v>
      </c>
      <c r="H36" s="108">
        <v>11</v>
      </c>
      <c r="I36" s="108">
        <v>4</v>
      </c>
      <c r="J36" s="118">
        <f>D33</f>
        <v>0.74299999999999999</v>
      </c>
      <c r="K36" s="119" t="str">
        <f t="shared" si="8"/>
        <v>0</v>
      </c>
      <c r="L36" s="120">
        <v>1</v>
      </c>
      <c r="M36" s="108">
        <f t="shared" si="9"/>
        <v>3.2000000000000001E-2</v>
      </c>
      <c r="N36" s="121">
        <f>J36+E35-M36</f>
        <v>1.0109999999999999</v>
      </c>
      <c r="O36" s="121">
        <f>H36*I36*N36</f>
        <v>44.483999999999995</v>
      </c>
      <c r="P36" s="151" t="str">
        <f t="shared" si="0"/>
        <v/>
      </c>
      <c r="Q36" s="151" t="str">
        <f t="shared" si="1"/>
        <v/>
      </c>
      <c r="R36" s="151" t="str">
        <f t="shared" si="2"/>
        <v/>
      </c>
      <c r="S36" s="151">
        <f t="shared" si="3"/>
        <v>44.483999999999995</v>
      </c>
      <c r="T36" s="151" t="str">
        <f t="shared" si="4"/>
        <v/>
      </c>
      <c r="U36" s="151" t="str">
        <f t="shared" si="5"/>
        <v/>
      </c>
      <c r="V36" s="108"/>
    </row>
    <row r="37" spans="1:22">
      <c r="A37" s="101"/>
      <c r="B37" s="152"/>
      <c r="C37" s="147"/>
      <c r="D37" s="148"/>
      <c r="E37" s="149"/>
      <c r="F37" s="150"/>
      <c r="G37" s="107"/>
      <c r="H37" s="108"/>
      <c r="I37" s="108"/>
      <c r="J37" s="109"/>
      <c r="K37" s="108"/>
      <c r="L37" s="108"/>
      <c r="M37" s="108"/>
      <c r="N37" s="108"/>
      <c r="O37" s="110"/>
      <c r="P37" s="151" t="str">
        <f t="shared" si="0"/>
        <v/>
      </c>
      <c r="Q37" s="151" t="str">
        <f t="shared" si="1"/>
        <v/>
      </c>
      <c r="R37" s="151" t="str">
        <f t="shared" si="2"/>
        <v/>
      </c>
      <c r="S37" s="151" t="str">
        <f t="shared" si="3"/>
        <v/>
      </c>
      <c r="T37" s="151" t="str">
        <f t="shared" si="4"/>
        <v/>
      </c>
      <c r="U37" s="151" t="str">
        <f t="shared" si="5"/>
        <v/>
      </c>
      <c r="V37" s="108"/>
    </row>
    <row r="38" spans="1:22">
      <c r="A38" s="101"/>
      <c r="B38" s="101"/>
      <c r="C38" s="156">
        <v>0.08</v>
      </c>
      <c r="D38" s="148"/>
      <c r="E38" s="149"/>
      <c r="F38" s="150"/>
      <c r="G38" s="107"/>
      <c r="H38" s="108"/>
      <c r="I38" s="108"/>
      <c r="J38" s="109"/>
      <c r="K38" s="108"/>
      <c r="L38" s="108"/>
      <c r="M38" s="108"/>
      <c r="N38" s="108"/>
      <c r="O38" s="110"/>
      <c r="P38" s="151" t="str">
        <f t="shared" si="0"/>
        <v/>
      </c>
      <c r="Q38" s="151" t="str">
        <f t="shared" si="1"/>
        <v/>
      </c>
      <c r="R38" s="151" t="str">
        <f t="shared" si="2"/>
        <v/>
      </c>
      <c r="S38" s="151" t="str">
        <f t="shared" si="3"/>
        <v/>
      </c>
      <c r="T38" s="151" t="str">
        <f t="shared" si="4"/>
        <v/>
      </c>
      <c r="U38" s="151" t="str">
        <f t="shared" si="5"/>
        <v/>
      </c>
      <c r="V38" s="108"/>
    </row>
    <row r="39" spans="1:22">
      <c r="A39" s="101"/>
      <c r="B39" s="157" t="s">
        <v>386</v>
      </c>
      <c r="C39" s="158"/>
      <c r="D39" s="148"/>
      <c r="E39" s="159">
        <f>0.6-0.08</f>
        <v>0.52</v>
      </c>
      <c r="F39" s="150"/>
      <c r="G39" s="107">
        <v>10</v>
      </c>
      <c r="H39" s="108">
        <v>11</v>
      </c>
      <c r="I39" s="108">
        <v>4</v>
      </c>
      <c r="J39" s="160">
        <f>2*(D41+E39)+2*8*G39/1000</f>
        <v>1.64</v>
      </c>
      <c r="K39" s="108"/>
      <c r="L39" s="108">
        <v>5</v>
      </c>
      <c r="M39" s="121">
        <f>2*G39*L39/1000</f>
        <v>0.1</v>
      </c>
      <c r="N39" s="121">
        <f>(J39+K39-M39)</f>
        <v>1.5399999999999998</v>
      </c>
      <c r="O39" s="121">
        <f>(H39*I39*N39)</f>
        <v>67.759999999999991</v>
      </c>
      <c r="P39" s="151" t="str">
        <f t="shared" si="0"/>
        <v/>
      </c>
      <c r="Q39" s="151">
        <f t="shared" si="1"/>
        <v>67.759999999999991</v>
      </c>
      <c r="R39" s="151" t="str">
        <f t="shared" si="2"/>
        <v/>
      </c>
      <c r="S39" s="151" t="str">
        <f t="shared" si="3"/>
        <v/>
      </c>
      <c r="T39" s="151" t="str">
        <f t="shared" si="4"/>
        <v/>
      </c>
      <c r="U39" s="151" t="str">
        <f t="shared" si="5"/>
        <v/>
      </c>
      <c r="V39" s="108"/>
    </row>
    <row r="40" spans="1:22">
      <c r="A40" s="101"/>
      <c r="B40" s="157"/>
      <c r="C40" s="147"/>
      <c r="D40" s="148"/>
      <c r="E40" s="161"/>
      <c r="F40" s="150"/>
      <c r="G40" s="107"/>
      <c r="H40" s="108"/>
      <c r="I40" s="108"/>
      <c r="J40" s="109"/>
      <c r="K40" s="108"/>
      <c r="L40" s="108"/>
      <c r="M40" s="108"/>
      <c r="N40" s="108"/>
      <c r="O40" s="121"/>
      <c r="P40" s="151" t="str">
        <f t="shared" si="0"/>
        <v/>
      </c>
      <c r="Q40" s="151" t="str">
        <f t="shared" si="1"/>
        <v/>
      </c>
      <c r="R40" s="151" t="str">
        <f t="shared" si="2"/>
        <v/>
      </c>
      <c r="S40" s="151" t="str">
        <f t="shared" si="3"/>
        <v/>
      </c>
      <c r="T40" s="151" t="str">
        <f t="shared" si="4"/>
        <v/>
      </c>
      <c r="U40" s="151" t="str">
        <f t="shared" si="5"/>
        <v/>
      </c>
      <c r="V40" s="108"/>
    </row>
    <row r="41" spans="1:22">
      <c r="A41" s="101"/>
      <c r="B41" s="157"/>
      <c r="C41" s="147"/>
      <c r="D41" s="118">
        <f>0.3-0.08</f>
        <v>0.21999999999999997</v>
      </c>
      <c r="E41" s="149"/>
      <c r="F41" s="150"/>
      <c r="G41" s="107"/>
      <c r="H41" s="108"/>
      <c r="I41" s="108"/>
      <c r="J41" s="109"/>
      <c r="K41" s="108"/>
      <c r="L41" s="108"/>
      <c r="M41" s="108"/>
      <c r="N41" s="108"/>
      <c r="O41" s="121"/>
      <c r="P41" s="151" t="str">
        <f t="shared" si="0"/>
        <v/>
      </c>
      <c r="Q41" s="151" t="str">
        <f t="shared" si="1"/>
        <v/>
      </c>
      <c r="R41" s="151" t="str">
        <f t="shared" si="2"/>
        <v/>
      </c>
      <c r="S41" s="151" t="str">
        <f t="shared" si="3"/>
        <v/>
      </c>
      <c r="T41" s="151" t="str">
        <f t="shared" si="4"/>
        <v/>
      </c>
      <c r="U41" s="151" t="str">
        <f t="shared" si="5"/>
        <v/>
      </c>
      <c r="V41" s="108"/>
    </row>
    <row r="42" spans="1:22">
      <c r="A42" s="101"/>
      <c r="B42" s="152"/>
      <c r="C42" s="147"/>
      <c r="D42" s="148"/>
      <c r="E42" s="149"/>
      <c r="F42" s="150"/>
      <c r="G42" s="107"/>
      <c r="H42" s="108"/>
      <c r="I42" s="108"/>
      <c r="J42" s="109"/>
      <c r="K42" s="108"/>
      <c r="L42" s="108"/>
      <c r="M42" s="108"/>
      <c r="N42" s="108"/>
      <c r="O42" s="121"/>
      <c r="P42" s="151" t="str">
        <f t="shared" si="0"/>
        <v/>
      </c>
      <c r="Q42" s="151" t="str">
        <f t="shared" si="1"/>
        <v/>
      </c>
      <c r="R42" s="151" t="str">
        <f t="shared" si="2"/>
        <v/>
      </c>
      <c r="S42" s="151" t="str">
        <f t="shared" si="3"/>
        <v/>
      </c>
      <c r="T42" s="151" t="str">
        <f t="shared" si="4"/>
        <v/>
      </c>
      <c r="U42" s="151" t="str">
        <f t="shared" si="5"/>
        <v/>
      </c>
      <c r="V42" s="108"/>
    </row>
    <row r="43" spans="1:22">
      <c r="A43" s="101"/>
      <c r="B43" s="101"/>
      <c r="C43" s="156">
        <v>0.08</v>
      </c>
      <c r="D43" s="148"/>
      <c r="E43" s="149"/>
      <c r="F43" s="150"/>
      <c r="G43" s="107"/>
      <c r="H43" s="108"/>
      <c r="I43" s="108"/>
      <c r="J43" s="109"/>
      <c r="K43" s="108"/>
      <c r="L43" s="108"/>
      <c r="M43" s="108"/>
      <c r="N43" s="108"/>
      <c r="O43" s="121"/>
      <c r="P43" s="151" t="str">
        <f t="shared" si="0"/>
        <v/>
      </c>
      <c r="Q43" s="151" t="str">
        <f t="shared" si="1"/>
        <v/>
      </c>
      <c r="R43" s="151" t="str">
        <f t="shared" si="2"/>
        <v/>
      </c>
      <c r="S43" s="151" t="str">
        <f t="shared" si="3"/>
        <v/>
      </c>
      <c r="T43" s="151" t="str">
        <f t="shared" si="4"/>
        <v/>
      </c>
      <c r="U43" s="151" t="str">
        <f t="shared" si="5"/>
        <v/>
      </c>
      <c r="V43" s="108"/>
    </row>
    <row r="44" spans="1:22">
      <c r="A44" s="101"/>
      <c r="B44" s="157" t="s">
        <v>387</v>
      </c>
      <c r="C44" s="158"/>
      <c r="D44" s="148"/>
      <c r="E44" s="159">
        <f>((0.6-0.08-0.016)/5)+0.012+0.02</f>
        <v>0.1328</v>
      </c>
      <c r="F44" s="150"/>
      <c r="G44" s="107">
        <v>10</v>
      </c>
      <c r="H44" s="108">
        <v>11</v>
      </c>
      <c r="I44" s="108">
        <v>1</v>
      </c>
      <c r="J44" s="160">
        <f>2*(D46+E44)+2*8*G44/1000</f>
        <v>0.86560000000000004</v>
      </c>
      <c r="K44" s="108"/>
      <c r="L44" s="108">
        <v>5</v>
      </c>
      <c r="M44" s="121">
        <f>2*G44*L44/1000</f>
        <v>0.1</v>
      </c>
      <c r="N44" s="121">
        <f>(J44+K44-M44)</f>
        <v>0.76560000000000006</v>
      </c>
      <c r="O44" s="121">
        <f>(H44*I44*N44)</f>
        <v>8.4216000000000015</v>
      </c>
      <c r="P44" s="151" t="str">
        <f t="shared" si="0"/>
        <v/>
      </c>
      <c r="Q44" s="151">
        <f t="shared" si="1"/>
        <v>8.4216000000000015</v>
      </c>
      <c r="R44" s="151" t="str">
        <f t="shared" si="2"/>
        <v/>
      </c>
      <c r="S44" s="151" t="str">
        <f t="shared" si="3"/>
        <v/>
      </c>
      <c r="T44" s="151" t="str">
        <f t="shared" si="4"/>
        <v/>
      </c>
      <c r="U44" s="151" t="str">
        <f t="shared" si="5"/>
        <v/>
      </c>
      <c r="V44" s="108"/>
    </row>
    <row r="45" spans="1:22">
      <c r="A45" s="101"/>
      <c r="B45" s="157"/>
      <c r="C45" s="147"/>
      <c r="D45" s="148"/>
      <c r="E45" s="161"/>
      <c r="F45" s="150"/>
      <c r="G45" s="107"/>
      <c r="H45" s="108"/>
      <c r="I45" s="108"/>
      <c r="J45" s="109"/>
      <c r="K45" s="108"/>
      <c r="L45" s="108"/>
      <c r="M45" s="108"/>
      <c r="N45" s="108"/>
      <c r="O45" s="121"/>
      <c r="P45" s="151" t="str">
        <f t="shared" si="0"/>
        <v/>
      </c>
      <c r="Q45" s="151" t="str">
        <f t="shared" si="1"/>
        <v/>
      </c>
      <c r="R45" s="151" t="str">
        <f t="shared" si="2"/>
        <v/>
      </c>
      <c r="S45" s="151" t="str">
        <f t="shared" si="3"/>
        <v/>
      </c>
      <c r="T45" s="151" t="str">
        <f t="shared" si="4"/>
        <v/>
      </c>
      <c r="U45" s="151" t="str">
        <f t="shared" si="5"/>
        <v/>
      </c>
      <c r="V45" s="108"/>
    </row>
    <row r="46" spans="1:22">
      <c r="A46" s="101"/>
      <c r="B46" s="157"/>
      <c r="C46" s="147"/>
      <c r="D46" s="118">
        <f>0.3-0.08</f>
        <v>0.21999999999999997</v>
      </c>
      <c r="E46" s="149"/>
      <c r="F46" s="150"/>
      <c r="G46" s="107"/>
      <c r="H46" s="108"/>
      <c r="I46" s="108"/>
      <c r="J46" s="109"/>
      <c r="K46" s="108"/>
      <c r="L46" s="108"/>
      <c r="M46" s="108"/>
      <c r="N46" s="108"/>
      <c r="O46" s="121"/>
      <c r="P46" s="151" t="str">
        <f t="shared" si="0"/>
        <v/>
      </c>
      <c r="Q46" s="151" t="str">
        <f t="shared" si="1"/>
        <v/>
      </c>
      <c r="R46" s="151" t="str">
        <f t="shared" si="2"/>
        <v/>
      </c>
      <c r="S46" s="151" t="str">
        <f t="shared" si="3"/>
        <v/>
      </c>
      <c r="T46" s="151" t="str">
        <f t="shared" si="4"/>
        <v/>
      </c>
      <c r="U46" s="151" t="str">
        <f t="shared" si="5"/>
        <v/>
      </c>
      <c r="V46" s="108"/>
    </row>
    <row r="47" spans="1:22">
      <c r="A47" s="101"/>
      <c r="B47" s="157"/>
      <c r="C47" s="147"/>
      <c r="D47" s="148"/>
      <c r="E47" s="149"/>
      <c r="F47" s="150"/>
      <c r="G47" s="107"/>
      <c r="H47" s="108"/>
      <c r="I47" s="108"/>
      <c r="J47" s="109"/>
      <c r="K47" s="108"/>
      <c r="L47" s="108"/>
      <c r="M47" s="108"/>
      <c r="N47" s="108"/>
      <c r="O47" s="121"/>
      <c r="P47" s="151" t="str">
        <f t="shared" si="0"/>
        <v/>
      </c>
      <c r="Q47" s="151" t="str">
        <f t="shared" si="1"/>
        <v/>
      </c>
      <c r="R47" s="151" t="str">
        <f t="shared" si="2"/>
        <v/>
      </c>
      <c r="S47" s="151" t="str">
        <f t="shared" si="3"/>
        <v/>
      </c>
      <c r="T47" s="151" t="str">
        <f t="shared" si="4"/>
        <v/>
      </c>
      <c r="U47" s="151" t="str">
        <f t="shared" si="5"/>
        <v/>
      </c>
      <c r="V47" s="108"/>
    </row>
    <row r="48" spans="1:22">
      <c r="A48" s="101"/>
      <c r="B48" s="157" t="s">
        <v>388</v>
      </c>
      <c r="C48" s="147"/>
      <c r="D48" s="153"/>
      <c r="E48" s="149"/>
      <c r="F48" s="150"/>
      <c r="G48" s="107">
        <v>10</v>
      </c>
      <c r="H48" s="108">
        <v>11</v>
      </c>
      <c r="I48" s="108">
        <v>1</v>
      </c>
      <c r="J48" s="160">
        <f>C49+D51+E49+2*8*G48/1000</f>
        <v>0.73</v>
      </c>
      <c r="K48" s="108"/>
      <c r="L48" s="108">
        <v>4</v>
      </c>
      <c r="M48" s="121">
        <f>2*G48*L48/1000</f>
        <v>0.08</v>
      </c>
      <c r="N48" s="121">
        <f>(J48+K48-M48)</f>
        <v>0.65</v>
      </c>
      <c r="O48" s="121">
        <f>(H48*I48*N48)</f>
        <v>7.15</v>
      </c>
      <c r="P48" s="151" t="str">
        <f t="shared" si="0"/>
        <v/>
      </c>
      <c r="Q48" s="151">
        <f t="shared" si="1"/>
        <v>7.15</v>
      </c>
      <c r="R48" s="151" t="str">
        <f t="shared" si="2"/>
        <v/>
      </c>
      <c r="S48" s="151" t="str">
        <f t="shared" si="3"/>
        <v/>
      </c>
      <c r="T48" s="151" t="str">
        <f t="shared" si="4"/>
        <v/>
      </c>
      <c r="U48" s="151" t="str">
        <f t="shared" si="5"/>
        <v/>
      </c>
      <c r="V48" s="108"/>
    </row>
    <row r="49" spans="1:22">
      <c r="A49" s="101"/>
      <c r="B49" s="157"/>
      <c r="C49" s="162">
        <v>0.17499999999999999</v>
      </c>
      <c r="D49" s="148"/>
      <c r="E49" s="149">
        <v>0.17499999999999999</v>
      </c>
      <c r="F49" s="150"/>
      <c r="G49" s="107"/>
      <c r="H49" s="108"/>
      <c r="I49" s="108"/>
      <c r="J49" s="109"/>
      <c r="K49" s="108"/>
      <c r="L49" s="108"/>
      <c r="M49" s="108"/>
      <c r="N49" s="108"/>
      <c r="O49" s="121"/>
      <c r="P49" s="151" t="str">
        <f>IF($G49=8,$O49,"")</f>
        <v/>
      </c>
      <c r="Q49" s="151" t="str">
        <f>IF($G49=10,$O49,"")</f>
        <v/>
      </c>
      <c r="R49" s="151" t="str">
        <f>IF($G49=12,$O49,"")</f>
        <v/>
      </c>
      <c r="S49" s="151" t="str">
        <f>IF($G49=16,$O49,"")</f>
        <v/>
      </c>
      <c r="T49" s="151" t="str">
        <f>IF($G49=20,$O49,"")</f>
        <v/>
      </c>
      <c r="U49" s="151" t="str">
        <f>IF($G49=25,$O49,"")</f>
        <v/>
      </c>
      <c r="V49" s="108"/>
    </row>
    <row r="50" spans="1:22">
      <c r="A50" s="101"/>
      <c r="B50" s="157"/>
      <c r="C50" s="147"/>
      <c r="D50" s="148"/>
      <c r="E50" s="149"/>
      <c r="F50" s="150"/>
      <c r="G50" s="107"/>
      <c r="H50" s="108"/>
      <c r="I50" s="108"/>
      <c r="J50" s="109"/>
      <c r="K50" s="108"/>
      <c r="L50" s="108"/>
      <c r="M50" s="108"/>
      <c r="N50" s="108"/>
      <c r="O50" s="121"/>
      <c r="P50" s="151" t="str">
        <f t="shared" si="0"/>
        <v/>
      </c>
      <c r="Q50" s="151" t="str">
        <f t="shared" si="1"/>
        <v/>
      </c>
      <c r="R50" s="151" t="str">
        <f t="shared" si="2"/>
        <v/>
      </c>
      <c r="S50" s="151" t="str">
        <f t="shared" si="3"/>
        <v/>
      </c>
      <c r="T50" s="151" t="str">
        <f t="shared" si="4"/>
        <v/>
      </c>
      <c r="U50" s="151" t="str">
        <f t="shared" si="5"/>
        <v/>
      </c>
      <c r="V50" s="108"/>
    </row>
    <row r="51" spans="1:22">
      <c r="A51" s="101"/>
      <c r="B51" s="157"/>
      <c r="C51" s="147"/>
      <c r="D51" s="118">
        <f>0.3-0.08</f>
        <v>0.21999999999999997</v>
      </c>
      <c r="E51" s="149"/>
      <c r="F51" s="150"/>
      <c r="G51" s="107"/>
      <c r="H51" s="108"/>
      <c r="I51" s="108"/>
      <c r="J51" s="109"/>
      <c r="K51" s="108"/>
      <c r="L51" s="108"/>
      <c r="M51" s="108"/>
      <c r="N51" s="108"/>
      <c r="O51" s="121"/>
      <c r="P51" s="151" t="str">
        <f t="shared" si="0"/>
        <v/>
      </c>
      <c r="Q51" s="151" t="str">
        <f t="shared" si="1"/>
        <v/>
      </c>
      <c r="R51" s="151" t="str">
        <f t="shared" si="2"/>
        <v/>
      </c>
      <c r="S51" s="151" t="str">
        <f t="shared" si="3"/>
        <v/>
      </c>
      <c r="T51" s="151" t="str">
        <f t="shared" si="4"/>
        <v/>
      </c>
      <c r="U51" s="151" t="str">
        <f t="shared" si="5"/>
        <v/>
      </c>
      <c r="V51" s="108"/>
    </row>
    <row r="52" spans="1:22">
      <c r="A52" s="101"/>
      <c r="B52" s="157"/>
      <c r="C52" s="147"/>
      <c r="D52" s="148"/>
      <c r="E52" s="149"/>
      <c r="F52" s="150"/>
      <c r="G52" s="107"/>
      <c r="H52" s="108"/>
      <c r="I52" s="108"/>
      <c r="J52" s="109"/>
      <c r="K52" s="108"/>
      <c r="L52" s="108"/>
      <c r="M52" s="108"/>
      <c r="N52" s="108"/>
      <c r="O52" s="121"/>
      <c r="P52" s="151" t="str">
        <f t="shared" si="0"/>
        <v/>
      </c>
      <c r="Q52" s="151" t="str">
        <f t="shared" si="1"/>
        <v/>
      </c>
      <c r="R52" s="151" t="str">
        <f t="shared" si="2"/>
        <v/>
      </c>
      <c r="S52" s="151" t="str">
        <f t="shared" si="3"/>
        <v/>
      </c>
      <c r="T52" s="151" t="str">
        <f t="shared" si="4"/>
        <v/>
      </c>
      <c r="U52" s="151" t="str">
        <f t="shared" si="5"/>
        <v/>
      </c>
      <c r="V52" s="108"/>
    </row>
    <row r="53" spans="1:22">
      <c r="A53" s="101"/>
      <c r="B53" s="157" t="s">
        <v>389</v>
      </c>
      <c r="C53" s="147"/>
      <c r="D53" s="153"/>
      <c r="E53" s="149"/>
      <c r="F53" s="150"/>
      <c r="G53" s="107">
        <v>10</v>
      </c>
      <c r="H53" s="108">
        <v>11</v>
      </c>
      <c r="I53" s="108">
        <v>1</v>
      </c>
      <c r="J53" s="160">
        <f>C54+D56+E54+2*8*G53/1000</f>
        <v>0.73</v>
      </c>
      <c r="K53" s="108"/>
      <c r="L53" s="108">
        <v>4</v>
      </c>
      <c r="M53" s="121">
        <f>2*G53*L53/1000</f>
        <v>0.08</v>
      </c>
      <c r="N53" s="121">
        <f>(J53+K53-M53)</f>
        <v>0.65</v>
      </c>
      <c r="O53" s="121">
        <f>(H53*I53*N53)</f>
        <v>7.15</v>
      </c>
      <c r="P53" s="151" t="str">
        <f t="shared" si="0"/>
        <v/>
      </c>
      <c r="Q53" s="151">
        <f t="shared" si="1"/>
        <v>7.15</v>
      </c>
      <c r="R53" s="151" t="str">
        <f t="shared" si="2"/>
        <v/>
      </c>
      <c r="S53" s="151" t="str">
        <f t="shared" si="3"/>
        <v/>
      </c>
      <c r="T53" s="151" t="str">
        <f t="shared" si="4"/>
        <v/>
      </c>
      <c r="U53" s="151" t="str">
        <f t="shared" si="5"/>
        <v/>
      </c>
      <c r="V53" s="108"/>
    </row>
    <row r="54" spans="1:22">
      <c r="A54" s="101"/>
      <c r="B54" s="157"/>
      <c r="C54" s="162">
        <v>0.17499999999999999</v>
      </c>
      <c r="D54" s="148"/>
      <c r="E54" s="149">
        <v>0.17499999999999999</v>
      </c>
      <c r="F54" s="150"/>
      <c r="G54" s="107"/>
      <c r="H54" s="108"/>
      <c r="I54" s="108"/>
      <c r="J54" s="109"/>
      <c r="K54" s="108"/>
      <c r="L54" s="108"/>
      <c r="M54" s="108"/>
      <c r="N54" s="108"/>
      <c r="O54" s="121"/>
      <c r="P54" s="151" t="str">
        <f>IF($G54=8,$O54,"")</f>
        <v/>
      </c>
      <c r="Q54" s="151" t="str">
        <f>IF($G54=10,$O54,"")</f>
        <v/>
      </c>
      <c r="R54" s="151" t="str">
        <f>IF($G54=12,$O54,"")</f>
        <v/>
      </c>
      <c r="S54" s="151" t="str">
        <f>IF($G54=16,$O54,"")</f>
        <v/>
      </c>
      <c r="T54" s="151" t="str">
        <f>IF($G54=20,$O54,"")</f>
        <v/>
      </c>
      <c r="U54" s="151" t="str">
        <f>IF($G54=25,$O54,"")</f>
        <v/>
      </c>
      <c r="V54" s="108"/>
    </row>
    <row r="55" spans="1:22">
      <c r="A55" s="101"/>
      <c r="B55" s="157"/>
      <c r="C55" s="147"/>
      <c r="D55" s="148"/>
      <c r="E55" s="149"/>
      <c r="F55" s="150"/>
      <c r="G55" s="107"/>
      <c r="H55" s="108"/>
      <c r="I55" s="108"/>
      <c r="J55" s="109"/>
      <c r="K55" s="108"/>
      <c r="L55" s="108"/>
      <c r="M55" s="108"/>
      <c r="N55" s="108"/>
      <c r="O55" s="110"/>
      <c r="P55" s="151" t="str">
        <f t="shared" si="0"/>
        <v/>
      </c>
      <c r="Q55" s="151" t="str">
        <f t="shared" si="1"/>
        <v/>
      </c>
      <c r="R55" s="151" t="str">
        <f t="shared" si="2"/>
        <v/>
      </c>
      <c r="S55" s="151" t="str">
        <f t="shared" si="3"/>
        <v/>
      </c>
      <c r="T55" s="151" t="str">
        <f t="shared" si="4"/>
        <v/>
      </c>
      <c r="U55" s="151" t="str">
        <f t="shared" si="5"/>
        <v/>
      </c>
      <c r="V55" s="108"/>
    </row>
    <row r="56" spans="1:22">
      <c r="A56" s="101"/>
      <c r="B56" s="157"/>
      <c r="C56" s="147"/>
      <c r="D56" s="118">
        <f>0.3-0.08</f>
        <v>0.21999999999999997</v>
      </c>
      <c r="E56" s="149"/>
      <c r="F56" s="150"/>
      <c r="G56" s="107"/>
      <c r="H56" s="108"/>
      <c r="I56" s="108"/>
      <c r="J56" s="109"/>
      <c r="K56" s="108"/>
      <c r="L56" s="108"/>
      <c r="M56" s="108"/>
      <c r="N56" s="108"/>
      <c r="O56" s="110"/>
      <c r="P56" s="151" t="str">
        <f t="shared" si="0"/>
        <v/>
      </c>
      <c r="Q56" s="151" t="str">
        <f t="shared" si="1"/>
        <v/>
      </c>
      <c r="R56" s="151" t="str">
        <f t="shared" si="2"/>
        <v/>
      </c>
      <c r="S56" s="151" t="str">
        <f t="shared" si="3"/>
        <v/>
      </c>
      <c r="T56" s="151" t="str">
        <f t="shared" si="4"/>
        <v/>
      </c>
      <c r="U56" s="151" t="str">
        <f t="shared" si="5"/>
        <v/>
      </c>
      <c r="V56" s="108"/>
    </row>
    <row r="57" spans="1:22">
      <c r="A57" s="101"/>
      <c r="B57" s="152"/>
      <c r="C57" s="147"/>
      <c r="D57" s="148"/>
      <c r="E57" s="149"/>
      <c r="F57" s="150"/>
      <c r="G57" s="107"/>
      <c r="H57" s="108"/>
      <c r="I57" s="108"/>
      <c r="J57" s="109"/>
      <c r="K57" s="108"/>
      <c r="L57" s="108"/>
      <c r="M57" s="108"/>
      <c r="N57" s="108"/>
      <c r="O57" s="110"/>
      <c r="P57" s="151" t="str">
        <f t="shared" si="0"/>
        <v/>
      </c>
      <c r="Q57" s="151" t="str">
        <f t="shared" si="1"/>
        <v/>
      </c>
      <c r="R57" s="151" t="str">
        <f t="shared" si="2"/>
        <v/>
      </c>
      <c r="S57" s="151" t="str">
        <f t="shared" si="3"/>
        <v/>
      </c>
      <c r="T57" s="151" t="str">
        <f t="shared" si="4"/>
        <v/>
      </c>
      <c r="U57" s="151" t="str">
        <f t="shared" si="5"/>
        <v/>
      </c>
      <c r="V57" s="108"/>
    </row>
    <row r="58" spans="1:22">
      <c r="A58" s="101">
        <v>3</v>
      </c>
      <c r="B58" s="101" t="s">
        <v>391</v>
      </c>
      <c r="C58" s="147"/>
      <c r="D58" s="148"/>
      <c r="E58" s="149"/>
      <c r="F58" s="150"/>
      <c r="G58" s="107"/>
      <c r="H58" s="108"/>
      <c r="I58" s="108"/>
      <c r="J58" s="118"/>
      <c r="K58" s="121"/>
      <c r="L58" s="121"/>
      <c r="M58" s="108"/>
      <c r="N58" s="121"/>
      <c r="O58" s="121"/>
      <c r="P58" s="151" t="str">
        <f>IF($G58=8,$O58,"")</f>
        <v/>
      </c>
      <c r="Q58" s="151" t="str">
        <f>IF($G58=10,$O58,"")</f>
        <v/>
      </c>
      <c r="R58" s="151" t="str">
        <f>IF($G58=12,$O58,"")</f>
        <v/>
      </c>
      <c r="S58" s="151" t="str">
        <f>IF($G58=16,$O58,"")</f>
        <v/>
      </c>
      <c r="T58" s="151" t="str">
        <f>IF($G58=20,$O58,"")</f>
        <v/>
      </c>
      <c r="U58" s="151" t="str">
        <f>IF($G58=25,$O58,"")</f>
        <v/>
      </c>
      <c r="V58" s="108"/>
    </row>
    <row r="59" spans="1:22">
      <c r="A59" s="101"/>
      <c r="B59" s="152" t="s">
        <v>382</v>
      </c>
      <c r="C59" s="147"/>
      <c r="D59" s="153">
        <f>0.85-0.075-2*0.016</f>
        <v>0.74299999999999999</v>
      </c>
      <c r="E59" s="149"/>
      <c r="F59" s="150"/>
      <c r="G59" s="107">
        <v>25</v>
      </c>
      <c r="H59" s="108">
        <v>2</v>
      </c>
      <c r="I59" s="108">
        <v>4</v>
      </c>
      <c r="J59" s="118">
        <f>D59</f>
        <v>0.74299999999999999</v>
      </c>
      <c r="K59" s="119" t="str">
        <f>IF(N59&lt;12,"0",0.049*G59)</f>
        <v>0</v>
      </c>
      <c r="L59" s="120">
        <v>1</v>
      </c>
      <c r="M59" s="108">
        <f>2*G59*L59/1000</f>
        <v>0.05</v>
      </c>
      <c r="N59" s="121">
        <f>J59+E61-M59</f>
        <v>0.99299999999999988</v>
      </c>
      <c r="O59" s="121">
        <f>H59*I59*N59</f>
        <v>7.9439999999999991</v>
      </c>
      <c r="P59" s="151" t="str">
        <f t="shared" si="0"/>
        <v/>
      </c>
      <c r="Q59" s="151" t="str">
        <f t="shared" si="1"/>
        <v/>
      </c>
      <c r="R59" s="151" t="str">
        <f t="shared" si="2"/>
        <v/>
      </c>
      <c r="S59" s="151" t="str">
        <f t="shared" si="3"/>
        <v/>
      </c>
      <c r="T59" s="151" t="str">
        <f t="shared" si="4"/>
        <v/>
      </c>
      <c r="U59" s="151">
        <f t="shared" si="5"/>
        <v>7.9439999999999991</v>
      </c>
      <c r="V59" s="108"/>
    </row>
    <row r="60" spans="1:22">
      <c r="A60" s="101"/>
      <c r="B60" s="152" t="s">
        <v>383</v>
      </c>
      <c r="C60" s="147"/>
      <c r="D60" s="148"/>
      <c r="E60" s="149"/>
      <c r="F60" s="150"/>
      <c r="G60" s="107">
        <v>25</v>
      </c>
      <c r="H60" s="108">
        <v>2</v>
      </c>
      <c r="I60" s="108">
        <v>2</v>
      </c>
      <c r="J60" s="118">
        <f>D59</f>
        <v>0.74299999999999999</v>
      </c>
      <c r="K60" s="119" t="str">
        <f t="shared" ref="K60:K62" si="10">IF(N60&lt;12,"0",0.049*G60)</f>
        <v>0</v>
      </c>
      <c r="L60" s="120">
        <v>1</v>
      </c>
      <c r="M60" s="108">
        <f t="shared" ref="M60:M62" si="11">2*G60*L60/1000</f>
        <v>0.05</v>
      </c>
      <c r="N60" s="121">
        <f>J60+E61-M60</f>
        <v>0.99299999999999988</v>
      </c>
      <c r="O60" s="121">
        <f>H60*I60*N60</f>
        <v>3.9719999999999995</v>
      </c>
      <c r="P60" s="151" t="str">
        <f t="shared" si="0"/>
        <v/>
      </c>
      <c r="Q60" s="151" t="str">
        <f t="shared" si="1"/>
        <v/>
      </c>
      <c r="R60" s="151" t="str">
        <f t="shared" si="2"/>
        <v/>
      </c>
      <c r="S60" s="151" t="str">
        <f t="shared" si="3"/>
        <v/>
      </c>
      <c r="T60" s="151" t="str">
        <f t="shared" si="4"/>
        <v/>
      </c>
      <c r="U60" s="151">
        <f t="shared" si="5"/>
        <v>3.9719999999999995</v>
      </c>
      <c r="V60" s="108"/>
    </row>
    <row r="61" spans="1:22">
      <c r="A61" s="101"/>
      <c r="B61" s="152" t="s">
        <v>384</v>
      </c>
      <c r="C61" s="154"/>
      <c r="D61" s="153"/>
      <c r="E61" s="155">
        <v>0.3</v>
      </c>
      <c r="F61" s="150"/>
      <c r="G61" s="107">
        <v>25</v>
      </c>
      <c r="H61" s="108">
        <v>2</v>
      </c>
      <c r="I61" s="108">
        <v>4</v>
      </c>
      <c r="J61" s="118">
        <f>D59</f>
        <v>0.74299999999999999</v>
      </c>
      <c r="K61" s="119" t="str">
        <f t="shared" si="10"/>
        <v>0</v>
      </c>
      <c r="L61" s="120">
        <v>1</v>
      </c>
      <c r="M61" s="108">
        <f t="shared" si="11"/>
        <v>0.05</v>
      </c>
      <c r="N61" s="121">
        <f>J61+E61-M61</f>
        <v>0.99299999999999988</v>
      </c>
      <c r="O61" s="121">
        <f>H61*I61*N61</f>
        <v>7.9439999999999991</v>
      </c>
      <c r="P61" s="151" t="str">
        <f t="shared" si="0"/>
        <v/>
      </c>
      <c r="Q61" s="151" t="str">
        <f t="shared" si="1"/>
        <v/>
      </c>
      <c r="R61" s="151" t="str">
        <f t="shared" si="2"/>
        <v/>
      </c>
      <c r="S61" s="151" t="str">
        <f t="shared" si="3"/>
        <v/>
      </c>
      <c r="T61" s="151" t="str">
        <f t="shared" si="4"/>
        <v/>
      </c>
      <c r="U61" s="151">
        <f t="shared" si="5"/>
        <v>7.9439999999999991</v>
      </c>
      <c r="V61" s="108"/>
    </row>
    <row r="62" spans="1:22">
      <c r="A62" s="101"/>
      <c r="B62" s="152" t="s">
        <v>385</v>
      </c>
      <c r="C62" s="147"/>
      <c r="D62" s="148"/>
      <c r="E62" s="149"/>
      <c r="F62" s="150"/>
      <c r="G62" s="107">
        <v>20</v>
      </c>
      <c r="H62" s="108">
        <v>2</v>
      </c>
      <c r="I62" s="108">
        <v>4</v>
      </c>
      <c r="J62" s="118">
        <f>D59</f>
        <v>0.74299999999999999</v>
      </c>
      <c r="K62" s="119" t="str">
        <f t="shared" si="10"/>
        <v>0</v>
      </c>
      <c r="L62" s="120">
        <v>1</v>
      </c>
      <c r="M62" s="108">
        <f t="shared" si="11"/>
        <v>0.04</v>
      </c>
      <c r="N62" s="121">
        <f>J62+E61-M62</f>
        <v>1.0029999999999999</v>
      </c>
      <c r="O62" s="121">
        <f>H62*I62*N62</f>
        <v>8.0239999999999991</v>
      </c>
      <c r="P62" s="151" t="str">
        <f t="shared" si="0"/>
        <v/>
      </c>
      <c r="Q62" s="151" t="str">
        <f t="shared" si="1"/>
        <v/>
      </c>
      <c r="R62" s="151" t="str">
        <f t="shared" si="2"/>
        <v/>
      </c>
      <c r="S62" s="151" t="str">
        <f t="shared" si="3"/>
        <v/>
      </c>
      <c r="T62" s="151">
        <f t="shared" si="4"/>
        <v>8.0239999999999991</v>
      </c>
      <c r="U62" s="151" t="str">
        <f t="shared" si="5"/>
        <v/>
      </c>
      <c r="V62" s="108"/>
    </row>
    <row r="63" spans="1:22">
      <c r="A63" s="101"/>
      <c r="B63" s="152"/>
      <c r="C63" s="147"/>
      <c r="D63" s="148"/>
      <c r="E63" s="149"/>
      <c r="F63" s="150"/>
      <c r="G63" s="107"/>
      <c r="H63" s="108"/>
      <c r="I63" s="108"/>
      <c r="J63" s="109"/>
      <c r="K63" s="108"/>
      <c r="L63" s="108"/>
      <c r="M63" s="108"/>
      <c r="N63" s="108"/>
      <c r="O63" s="110"/>
      <c r="P63" s="151" t="str">
        <f t="shared" si="0"/>
        <v/>
      </c>
      <c r="Q63" s="151" t="str">
        <f t="shared" si="1"/>
        <v/>
      </c>
      <c r="R63" s="151" t="str">
        <f t="shared" si="2"/>
        <v/>
      </c>
      <c r="S63" s="151" t="str">
        <f t="shared" si="3"/>
        <v/>
      </c>
      <c r="T63" s="151" t="str">
        <f t="shared" si="4"/>
        <v/>
      </c>
      <c r="U63" s="151" t="str">
        <f t="shared" si="5"/>
        <v/>
      </c>
      <c r="V63" s="108"/>
    </row>
    <row r="64" spans="1:22">
      <c r="A64" s="101"/>
      <c r="B64" s="101"/>
      <c r="C64" s="156">
        <v>0.08</v>
      </c>
      <c r="D64" s="148"/>
      <c r="E64" s="149"/>
      <c r="F64" s="150"/>
      <c r="G64" s="107"/>
      <c r="H64" s="108"/>
      <c r="I64" s="108"/>
      <c r="J64" s="109"/>
      <c r="K64" s="108"/>
      <c r="L64" s="108"/>
      <c r="M64" s="108"/>
      <c r="N64" s="108"/>
      <c r="O64" s="110"/>
      <c r="P64" s="151" t="str">
        <f t="shared" si="0"/>
        <v/>
      </c>
      <c r="Q64" s="151" t="str">
        <f t="shared" si="1"/>
        <v/>
      </c>
      <c r="R64" s="151" t="str">
        <f t="shared" si="2"/>
        <v/>
      </c>
      <c r="S64" s="151" t="str">
        <f t="shared" si="3"/>
        <v/>
      </c>
      <c r="T64" s="151" t="str">
        <f t="shared" si="4"/>
        <v/>
      </c>
      <c r="U64" s="151" t="str">
        <f t="shared" si="5"/>
        <v/>
      </c>
      <c r="V64" s="108"/>
    </row>
    <row r="65" spans="1:22">
      <c r="A65" s="101"/>
      <c r="B65" s="157" t="s">
        <v>386</v>
      </c>
      <c r="C65" s="158"/>
      <c r="D65" s="148"/>
      <c r="E65" s="159">
        <f>0.6-0.08</f>
        <v>0.52</v>
      </c>
      <c r="F65" s="150"/>
      <c r="G65" s="107">
        <v>10</v>
      </c>
      <c r="H65" s="108">
        <v>2</v>
      </c>
      <c r="I65" s="108">
        <v>4</v>
      </c>
      <c r="J65" s="160">
        <f>2*(D67+E65)+2*8*G65/1000</f>
        <v>1.64</v>
      </c>
      <c r="K65" s="108"/>
      <c r="L65" s="108">
        <v>5</v>
      </c>
      <c r="M65" s="121">
        <f>2*G65*L65/1000</f>
        <v>0.1</v>
      </c>
      <c r="N65" s="121">
        <f>(J65+K65-M65)</f>
        <v>1.5399999999999998</v>
      </c>
      <c r="O65" s="121">
        <f>(H65*I65*N65)</f>
        <v>12.319999999999999</v>
      </c>
      <c r="P65" s="151" t="str">
        <f t="shared" si="0"/>
        <v/>
      </c>
      <c r="Q65" s="151">
        <f t="shared" si="1"/>
        <v>12.319999999999999</v>
      </c>
      <c r="R65" s="151" t="str">
        <f t="shared" si="2"/>
        <v/>
      </c>
      <c r="S65" s="151" t="str">
        <f t="shared" si="3"/>
        <v/>
      </c>
      <c r="T65" s="151" t="str">
        <f t="shared" si="4"/>
        <v/>
      </c>
      <c r="U65" s="151" t="str">
        <f t="shared" si="5"/>
        <v/>
      </c>
      <c r="V65" s="108"/>
    </row>
    <row r="66" spans="1:22">
      <c r="A66" s="101"/>
      <c r="B66" s="157"/>
      <c r="C66" s="147"/>
      <c r="D66" s="148"/>
      <c r="E66" s="161"/>
      <c r="F66" s="150"/>
      <c r="G66" s="107"/>
      <c r="H66" s="108"/>
      <c r="I66" s="108"/>
      <c r="J66" s="109"/>
      <c r="K66" s="108"/>
      <c r="L66" s="108"/>
      <c r="M66" s="108"/>
      <c r="N66" s="108"/>
      <c r="O66" s="121"/>
      <c r="P66" s="151" t="str">
        <f t="shared" si="0"/>
        <v/>
      </c>
      <c r="Q66" s="151" t="str">
        <f t="shared" si="1"/>
        <v/>
      </c>
      <c r="R66" s="151" t="str">
        <f t="shared" si="2"/>
        <v/>
      </c>
      <c r="S66" s="151" t="str">
        <f t="shared" si="3"/>
        <v/>
      </c>
      <c r="T66" s="151" t="str">
        <f t="shared" si="4"/>
        <v/>
      </c>
      <c r="U66" s="151" t="str">
        <f t="shared" si="5"/>
        <v/>
      </c>
      <c r="V66" s="108"/>
    </row>
    <row r="67" spans="1:22">
      <c r="A67" s="101"/>
      <c r="B67" s="157"/>
      <c r="C67" s="147"/>
      <c r="D67" s="118">
        <f>0.3-0.08</f>
        <v>0.21999999999999997</v>
      </c>
      <c r="E67" s="149"/>
      <c r="F67" s="150"/>
      <c r="G67" s="107"/>
      <c r="H67" s="108"/>
      <c r="I67" s="108"/>
      <c r="J67" s="109"/>
      <c r="K67" s="108"/>
      <c r="L67" s="108"/>
      <c r="M67" s="108"/>
      <c r="N67" s="108"/>
      <c r="O67" s="121"/>
      <c r="P67" s="151" t="str">
        <f t="shared" si="0"/>
        <v/>
      </c>
      <c r="Q67" s="151" t="str">
        <f t="shared" si="1"/>
        <v/>
      </c>
      <c r="R67" s="151" t="str">
        <f t="shared" si="2"/>
        <v/>
      </c>
      <c r="S67" s="151" t="str">
        <f t="shared" si="3"/>
        <v/>
      </c>
      <c r="T67" s="151" t="str">
        <f t="shared" si="4"/>
        <v/>
      </c>
      <c r="U67" s="151" t="str">
        <f t="shared" si="5"/>
        <v/>
      </c>
      <c r="V67" s="108"/>
    </row>
    <row r="68" spans="1:22">
      <c r="A68" s="101"/>
      <c r="B68" s="152"/>
      <c r="C68" s="147"/>
      <c r="D68" s="148"/>
      <c r="E68" s="149"/>
      <c r="F68" s="150"/>
      <c r="G68" s="107"/>
      <c r="H68" s="108"/>
      <c r="I68" s="108"/>
      <c r="J68" s="109"/>
      <c r="K68" s="108"/>
      <c r="L68" s="108"/>
      <c r="M68" s="108"/>
      <c r="N68" s="108"/>
      <c r="O68" s="121"/>
      <c r="P68" s="151" t="str">
        <f t="shared" si="0"/>
        <v/>
      </c>
      <c r="Q68" s="151" t="str">
        <f t="shared" si="1"/>
        <v/>
      </c>
      <c r="R68" s="151" t="str">
        <f t="shared" si="2"/>
        <v/>
      </c>
      <c r="S68" s="151" t="str">
        <f t="shared" si="3"/>
        <v/>
      </c>
      <c r="T68" s="151" t="str">
        <f t="shared" si="4"/>
        <v/>
      </c>
      <c r="U68" s="151" t="str">
        <f t="shared" si="5"/>
        <v/>
      </c>
      <c r="V68" s="108"/>
    </row>
    <row r="69" spans="1:22">
      <c r="A69" s="101"/>
      <c r="B69" s="101"/>
      <c r="C69" s="156">
        <v>0.08</v>
      </c>
      <c r="D69" s="148"/>
      <c r="E69" s="149"/>
      <c r="F69" s="150"/>
      <c r="G69" s="107"/>
      <c r="H69" s="108"/>
      <c r="I69" s="108"/>
      <c r="J69" s="109"/>
      <c r="K69" s="108"/>
      <c r="L69" s="108"/>
      <c r="M69" s="108"/>
      <c r="N69" s="108"/>
      <c r="O69" s="121"/>
      <c r="P69" s="151" t="str">
        <f t="shared" si="0"/>
        <v/>
      </c>
      <c r="Q69" s="151" t="str">
        <f t="shared" si="1"/>
        <v/>
      </c>
      <c r="R69" s="151" t="str">
        <f t="shared" si="2"/>
        <v/>
      </c>
      <c r="S69" s="151" t="str">
        <f t="shared" si="3"/>
        <v/>
      </c>
      <c r="T69" s="151" t="str">
        <f t="shared" si="4"/>
        <v/>
      </c>
      <c r="U69" s="151" t="str">
        <f t="shared" si="5"/>
        <v/>
      </c>
      <c r="V69" s="108"/>
    </row>
    <row r="70" spans="1:22">
      <c r="A70" s="101"/>
      <c r="B70" s="157" t="s">
        <v>387</v>
      </c>
      <c r="C70" s="158"/>
      <c r="D70" s="148"/>
      <c r="E70" s="159">
        <f>((0.6-0.08-0.016)/5)+0.012+0.02</f>
        <v>0.1328</v>
      </c>
      <c r="F70" s="150"/>
      <c r="G70" s="107">
        <v>10</v>
      </c>
      <c r="H70" s="108">
        <v>2</v>
      </c>
      <c r="I70" s="108">
        <v>1</v>
      </c>
      <c r="J70" s="160">
        <f>2*(D72+E70)+2*8*G70/1000</f>
        <v>0.86560000000000004</v>
      </c>
      <c r="K70" s="108"/>
      <c r="L70" s="108">
        <v>5</v>
      </c>
      <c r="M70" s="121">
        <f>2*G70*L70/1000</f>
        <v>0.1</v>
      </c>
      <c r="N70" s="121">
        <f>(J70+K70-M70)</f>
        <v>0.76560000000000006</v>
      </c>
      <c r="O70" s="121">
        <f>(H70*I70*N70)</f>
        <v>1.5312000000000001</v>
      </c>
      <c r="P70" s="151" t="str">
        <f t="shared" si="0"/>
        <v/>
      </c>
      <c r="Q70" s="151">
        <f t="shared" si="1"/>
        <v>1.5312000000000001</v>
      </c>
      <c r="R70" s="151" t="str">
        <f t="shared" si="2"/>
        <v/>
      </c>
      <c r="S70" s="151" t="str">
        <f t="shared" si="3"/>
        <v/>
      </c>
      <c r="T70" s="151" t="str">
        <f t="shared" si="4"/>
        <v/>
      </c>
      <c r="U70" s="151" t="str">
        <f t="shared" si="5"/>
        <v/>
      </c>
      <c r="V70" s="108"/>
    </row>
    <row r="71" spans="1:22">
      <c r="A71" s="101"/>
      <c r="B71" s="157"/>
      <c r="C71" s="147"/>
      <c r="D71" s="148"/>
      <c r="E71" s="161"/>
      <c r="F71" s="150"/>
      <c r="G71" s="107"/>
      <c r="H71" s="108"/>
      <c r="I71" s="108"/>
      <c r="J71" s="109"/>
      <c r="K71" s="108"/>
      <c r="L71" s="108"/>
      <c r="M71" s="108"/>
      <c r="N71" s="108"/>
      <c r="O71" s="121"/>
      <c r="P71" s="151" t="str">
        <f t="shared" si="0"/>
        <v/>
      </c>
      <c r="Q71" s="151" t="str">
        <f t="shared" si="1"/>
        <v/>
      </c>
      <c r="R71" s="151" t="str">
        <f t="shared" si="2"/>
        <v/>
      </c>
      <c r="S71" s="151" t="str">
        <f t="shared" si="3"/>
        <v/>
      </c>
      <c r="T71" s="151" t="str">
        <f t="shared" si="4"/>
        <v/>
      </c>
      <c r="U71" s="151" t="str">
        <f t="shared" si="5"/>
        <v/>
      </c>
      <c r="V71" s="108"/>
    </row>
    <row r="72" spans="1:22">
      <c r="A72" s="101"/>
      <c r="B72" s="157"/>
      <c r="C72" s="147"/>
      <c r="D72" s="118">
        <f>0.3-0.08</f>
        <v>0.21999999999999997</v>
      </c>
      <c r="E72" s="149"/>
      <c r="F72" s="150"/>
      <c r="G72" s="107"/>
      <c r="H72" s="108"/>
      <c r="I72" s="108"/>
      <c r="J72" s="109"/>
      <c r="K72" s="108"/>
      <c r="L72" s="108"/>
      <c r="M72" s="108"/>
      <c r="N72" s="108"/>
      <c r="O72" s="121"/>
      <c r="P72" s="151" t="str">
        <f t="shared" si="0"/>
        <v/>
      </c>
      <c r="Q72" s="151" t="str">
        <f t="shared" si="1"/>
        <v/>
      </c>
      <c r="R72" s="151" t="str">
        <f t="shared" si="2"/>
        <v/>
      </c>
      <c r="S72" s="151" t="str">
        <f t="shared" si="3"/>
        <v/>
      </c>
      <c r="T72" s="151" t="str">
        <f t="shared" si="4"/>
        <v/>
      </c>
      <c r="U72" s="151" t="str">
        <f t="shared" si="5"/>
        <v/>
      </c>
      <c r="V72" s="108"/>
    </row>
    <row r="73" spans="1:22">
      <c r="A73" s="101"/>
      <c r="B73" s="157"/>
      <c r="C73" s="147"/>
      <c r="D73" s="148"/>
      <c r="E73" s="149"/>
      <c r="F73" s="150"/>
      <c r="G73" s="107"/>
      <c r="H73" s="108"/>
      <c r="I73" s="108"/>
      <c r="J73" s="109"/>
      <c r="K73" s="108"/>
      <c r="L73" s="108"/>
      <c r="M73" s="108"/>
      <c r="N73" s="108"/>
      <c r="O73" s="121"/>
      <c r="P73" s="151" t="str">
        <f t="shared" si="0"/>
        <v/>
      </c>
      <c r="Q73" s="151" t="str">
        <f t="shared" si="1"/>
        <v/>
      </c>
      <c r="R73" s="151" t="str">
        <f t="shared" si="2"/>
        <v/>
      </c>
      <c r="S73" s="151" t="str">
        <f t="shared" si="3"/>
        <v/>
      </c>
      <c r="T73" s="151" t="str">
        <f t="shared" si="4"/>
        <v/>
      </c>
      <c r="U73" s="151" t="str">
        <f t="shared" si="5"/>
        <v/>
      </c>
      <c r="V73" s="108"/>
    </row>
    <row r="74" spans="1:22">
      <c r="A74" s="101"/>
      <c r="B74" s="157" t="s">
        <v>388</v>
      </c>
      <c r="C74" s="147"/>
      <c r="D74" s="153"/>
      <c r="E74" s="149"/>
      <c r="F74" s="150"/>
      <c r="G74" s="107">
        <v>10</v>
      </c>
      <c r="H74" s="108">
        <v>2</v>
      </c>
      <c r="I74" s="108">
        <v>1</v>
      </c>
      <c r="J74" s="160">
        <f>C75+D77+E75+2*8*G74/1000</f>
        <v>0.73</v>
      </c>
      <c r="K74" s="108"/>
      <c r="L74" s="108">
        <v>4</v>
      </c>
      <c r="M74" s="121">
        <f>2*G74*L74/1000</f>
        <v>0.08</v>
      </c>
      <c r="N74" s="121">
        <f>(J74+K74-M74)</f>
        <v>0.65</v>
      </c>
      <c r="O74" s="121">
        <f>(H74*I74*N74)</f>
        <v>1.3</v>
      </c>
      <c r="P74" s="151" t="str">
        <f t="shared" si="0"/>
        <v/>
      </c>
      <c r="Q74" s="151">
        <f t="shared" si="1"/>
        <v>1.3</v>
      </c>
      <c r="R74" s="151" t="str">
        <f t="shared" si="2"/>
        <v/>
      </c>
      <c r="S74" s="151" t="str">
        <f t="shared" si="3"/>
        <v/>
      </c>
      <c r="T74" s="151" t="str">
        <f t="shared" si="4"/>
        <v/>
      </c>
      <c r="U74" s="151" t="str">
        <f t="shared" si="5"/>
        <v/>
      </c>
      <c r="V74" s="108"/>
    </row>
    <row r="75" spans="1:22">
      <c r="A75" s="101"/>
      <c r="B75" s="157"/>
      <c r="C75" s="162">
        <v>0.17499999999999999</v>
      </c>
      <c r="D75" s="148"/>
      <c r="E75" s="149">
        <v>0.17499999999999999</v>
      </c>
      <c r="F75" s="150"/>
      <c r="G75" s="107"/>
      <c r="H75" s="108"/>
      <c r="I75" s="108"/>
      <c r="J75" s="109"/>
      <c r="K75" s="108"/>
      <c r="L75" s="108"/>
      <c r="M75" s="108"/>
      <c r="N75" s="108"/>
      <c r="O75" s="121"/>
      <c r="P75" s="151" t="str">
        <f>IF($G75=8,$O75,"")</f>
        <v/>
      </c>
      <c r="Q75" s="151" t="str">
        <f>IF($G75=10,$O75,"")</f>
        <v/>
      </c>
      <c r="R75" s="151" t="str">
        <f>IF($G75=12,$O75,"")</f>
        <v/>
      </c>
      <c r="S75" s="151" t="str">
        <f>IF($G75=16,$O75,"")</f>
        <v/>
      </c>
      <c r="T75" s="151" t="str">
        <f>IF($G75=20,$O75,"")</f>
        <v/>
      </c>
      <c r="U75" s="151" t="str">
        <f>IF($G75=25,$O75,"")</f>
        <v/>
      </c>
      <c r="V75" s="108"/>
    </row>
    <row r="76" spans="1:22">
      <c r="A76" s="101"/>
      <c r="B76" s="157"/>
      <c r="C76" s="147"/>
      <c r="D76" s="148"/>
      <c r="E76" s="149"/>
      <c r="F76" s="150"/>
      <c r="G76" s="107"/>
      <c r="H76" s="108"/>
      <c r="I76" s="108"/>
      <c r="J76" s="109"/>
      <c r="K76" s="108"/>
      <c r="L76" s="108"/>
      <c r="M76" s="108"/>
      <c r="N76" s="108"/>
      <c r="O76" s="121"/>
      <c r="P76" s="151" t="str">
        <f t="shared" si="0"/>
        <v/>
      </c>
      <c r="Q76" s="151" t="str">
        <f t="shared" si="1"/>
        <v/>
      </c>
      <c r="R76" s="151" t="str">
        <f t="shared" si="2"/>
        <v/>
      </c>
      <c r="S76" s="151" t="str">
        <f t="shared" si="3"/>
        <v/>
      </c>
      <c r="T76" s="151" t="str">
        <f t="shared" si="4"/>
        <v/>
      </c>
      <c r="U76" s="151" t="str">
        <f t="shared" si="5"/>
        <v/>
      </c>
      <c r="V76" s="108"/>
    </row>
    <row r="77" spans="1:22">
      <c r="A77" s="101"/>
      <c r="B77" s="157"/>
      <c r="C77" s="147"/>
      <c r="D77" s="118">
        <f>0.3-0.08</f>
        <v>0.21999999999999997</v>
      </c>
      <c r="E77" s="149"/>
      <c r="F77" s="150"/>
      <c r="G77" s="107"/>
      <c r="H77" s="108"/>
      <c r="I77" s="108"/>
      <c r="J77" s="109"/>
      <c r="K77" s="108"/>
      <c r="L77" s="108"/>
      <c r="M77" s="108"/>
      <c r="N77" s="108"/>
      <c r="O77" s="121"/>
      <c r="P77" s="151" t="str">
        <f t="shared" si="0"/>
        <v/>
      </c>
      <c r="Q77" s="151" t="str">
        <f t="shared" si="1"/>
        <v/>
      </c>
      <c r="R77" s="151" t="str">
        <f t="shared" si="2"/>
        <v/>
      </c>
      <c r="S77" s="151" t="str">
        <f t="shared" si="3"/>
        <v/>
      </c>
      <c r="T77" s="151" t="str">
        <f t="shared" si="4"/>
        <v/>
      </c>
      <c r="U77" s="151" t="str">
        <f t="shared" si="5"/>
        <v/>
      </c>
      <c r="V77" s="108"/>
    </row>
    <row r="78" spans="1:22">
      <c r="A78" s="101"/>
      <c r="B78" s="157"/>
      <c r="C78" s="147"/>
      <c r="D78" s="148"/>
      <c r="E78" s="149"/>
      <c r="F78" s="150"/>
      <c r="G78" s="107"/>
      <c r="H78" s="108"/>
      <c r="I78" s="108"/>
      <c r="J78" s="109"/>
      <c r="K78" s="108"/>
      <c r="L78" s="108"/>
      <c r="M78" s="108"/>
      <c r="N78" s="108"/>
      <c r="O78" s="121"/>
      <c r="P78" s="151" t="str">
        <f t="shared" si="0"/>
        <v/>
      </c>
      <c r="Q78" s="151" t="str">
        <f t="shared" si="1"/>
        <v/>
      </c>
      <c r="R78" s="151" t="str">
        <f t="shared" si="2"/>
        <v/>
      </c>
      <c r="S78" s="151" t="str">
        <f t="shared" si="3"/>
        <v/>
      </c>
      <c r="T78" s="151" t="str">
        <f t="shared" si="4"/>
        <v/>
      </c>
      <c r="U78" s="151" t="str">
        <f t="shared" si="5"/>
        <v/>
      </c>
      <c r="V78" s="108"/>
    </row>
    <row r="79" spans="1:22">
      <c r="A79" s="101"/>
      <c r="B79" s="157" t="s">
        <v>389</v>
      </c>
      <c r="C79" s="147"/>
      <c r="D79" s="153"/>
      <c r="E79" s="149"/>
      <c r="F79" s="150"/>
      <c r="G79" s="107">
        <v>10</v>
      </c>
      <c r="H79" s="108">
        <v>2</v>
      </c>
      <c r="I79" s="108">
        <v>1</v>
      </c>
      <c r="J79" s="160">
        <f>C80+D82+E80+2*8*G79/1000</f>
        <v>0.73</v>
      </c>
      <c r="K79" s="108"/>
      <c r="L79" s="108">
        <v>4</v>
      </c>
      <c r="M79" s="121">
        <f>2*G79*L79/1000</f>
        <v>0.08</v>
      </c>
      <c r="N79" s="121">
        <f>(J79+K79-M79)</f>
        <v>0.65</v>
      </c>
      <c r="O79" s="121">
        <f>(H79*I79*N79)</f>
        <v>1.3</v>
      </c>
      <c r="P79" s="151" t="str">
        <f t="shared" si="0"/>
        <v/>
      </c>
      <c r="Q79" s="151">
        <f t="shared" si="1"/>
        <v>1.3</v>
      </c>
      <c r="R79" s="151" t="str">
        <f t="shared" si="2"/>
        <v/>
      </c>
      <c r="S79" s="151" t="str">
        <f t="shared" si="3"/>
        <v/>
      </c>
      <c r="T79" s="151" t="str">
        <f t="shared" si="4"/>
        <v/>
      </c>
      <c r="U79" s="151" t="str">
        <f t="shared" si="5"/>
        <v/>
      </c>
      <c r="V79" s="108"/>
    </row>
    <row r="80" spans="1:22">
      <c r="A80" s="101"/>
      <c r="B80" s="157"/>
      <c r="C80" s="162">
        <v>0.17499999999999999</v>
      </c>
      <c r="D80" s="148"/>
      <c r="E80" s="149">
        <v>0.17499999999999999</v>
      </c>
      <c r="F80" s="150"/>
      <c r="G80" s="107"/>
      <c r="H80" s="108"/>
      <c r="I80" s="108"/>
      <c r="J80" s="109"/>
      <c r="K80" s="108"/>
      <c r="L80" s="108"/>
      <c r="M80" s="108"/>
      <c r="N80" s="108"/>
      <c r="O80" s="121"/>
      <c r="P80" s="151" t="str">
        <f>IF($G80=8,$O80,"")</f>
        <v/>
      </c>
      <c r="Q80" s="151" t="str">
        <f>IF($G80=10,$O80,"")</f>
        <v/>
      </c>
      <c r="R80" s="151" t="str">
        <f>IF($G80=12,$O80,"")</f>
        <v/>
      </c>
      <c r="S80" s="151" t="str">
        <f>IF($G80=16,$O80,"")</f>
        <v/>
      </c>
      <c r="T80" s="151" t="str">
        <f>IF($G80=20,$O80,"")</f>
        <v/>
      </c>
      <c r="U80" s="151" t="str">
        <f>IF($G80=25,$O80,"")</f>
        <v/>
      </c>
      <c r="V80" s="108"/>
    </row>
    <row r="81" spans="1:22">
      <c r="A81" s="101"/>
      <c r="B81" s="157"/>
      <c r="C81" s="147"/>
      <c r="D81" s="148"/>
      <c r="E81" s="149"/>
      <c r="F81" s="150"/>
      <c r="G81" s="107"/>
      <c r="H81" s="108"/>
      <c r="I81" s="108"/>
      <c r="J81" s="109"/>
      <c r="K81" s="108"/>
      <c r="L81" s="108"/>
      <c r="M81" s="108"/>
      <c r="N81" s="108"/>
      <c r="O81" s="110"/>
      <c r="P81" s="151" t="str">
        <f t="shared" si="0"/>
        <v/>
      </c>
      <c r="Q81" s="151" t="str">
        <f t="shared" si="1"/>
        <v/>
      </c>
      <c r="R81" s="151" t="str">
        <f t="shared" si="2"/>
        <v/>
      </c>
      <c r="S81" s="151" t="str">
        <f t="shared" si="3"/>
        <v/>
      </c>
      <c r="T81" s="151" t="str">
        <f t="shared" si="4"/>
        <v/>
      </c>
      <c r="U81" s="151" t="str">
        <f t="shared" si="5"/>
        <v/>
      </c>
      <c r="V81" s="108"/>
    </row>
    <row r="82" spans="1:22">
      <c r="A82" s="101"/>
      <c r="B82" s="157"/>
      <c r="C82" s="147"/>
      <c r="D82" s="118">
        <f>0.3-0.08</f>
        <v>0.21999999999999997</v>
      </c>
      <c r="E82" s="149"/>
      <c r="F82" s="150"/>
      <c r="G82" s="107"/>
      <c r="H82" s="108"/>
      <c r="I82" s="108"/>
      <c r="J82" s="109"/>
      <c r="K82" s="108"/>
      <c r="L82" s="108"/>
      <c r="M82" s="108"/>
      <c r="N82" s="108"/>
      <c r="O82" s="110"/>
      <c r="P82" s="151" t="str">
        <f t="shared" si="0"/>
        <v/>
      </c>
      <c r="Q82" s="151" t="str">
        <f t="shared" si="1"/>
        <v/>
      </c>
      <c r="R82" s="151" t="str">
        <f t="shared" si="2"/>
        <v/>
      </c>
      <c r="S82" s="151" t="str">
        <f t="shared" si="3"/>
        <v/>
      </c>
      <c r="T82" s="151" t="str">
        <f t="shared" si="4"/>
        <v/>
      </c>
      <c r="U82" s="151" t="str">
        <f t="shared" si="5"/>
        <v/>
      </c>
      <c r="V82" s="108"/>
    </row>
    <row r="83" spans="1:22">
      <c r="A83" s="101"/>
      <c r="B83" s="152"/>
      <c r="C83" s="147"/>
      <c r="D83" s="148"/>
      <c r="E83" s="149"/>
      <c r="F83" s="150"/>
      <c r="G83" s="107"/>
      <c r="H83" s="108"/>
      <c r="I83" s="108"/>
      <c r="J83" s="109"/>
      <c r="K83" s="108"/>
      <c r="L83" s="108"/>
      <c r="M83" s="108"/>
      <c r="N83" s="108"/>
      <c r="O83" s="110"/>
      <c r="P83" s="151" t="str">
        <f t="shared" si="0"/>
        <v/>
      </c>
      <c r="Q83" s="151" t="str">
        <f t="shared" si="1"/>
        <v/>
      </c>
      <c r="R83" s="151" t="str">
        <f t="shared" si="2"/>
        <v/>
      </c>
      <c r="S83" s="151" t="str">
        <f t="shared" si="3"/>
        <v/>
      </c>
      <c r="T83" s="151" t="str">
        <f t="shared" si="4"/>
        <v/>
      </c>
      <c r="U83" s="151" t="str">
        <f t="shared" si="5"/>
        <v/>
      </c>
      <c r="V83" s="108"/>
    </row>
    <row r="84" spans="1:22">
      <c r="A84" s="101">
        <v>4</v>
      </c>
      <c r="B84" s="101" t="s">
        <v>392</v>
      </c>
      <c r="C84" s="147"/>
      <c r="D84" s="148"/>
      <c r="E84" s="149"/>
      <c r="F84" s="150"/>
      <c r="G84" s="107"/>
      <c r="H84" s="108"/>
      <c r="I84" s="108"/>
      <c r="J84" s="118"/>
      <c r="K84" s="121"/>
      <c r="L84" s="121"/>
      <c r="M84" s="108"/>
      <c r="N84" s="121"/>
      <c r="O84" s="121"/>
      <c r="P84" s="151" t="str">
        <f>IF($G84=8,$O84,"")</f>
        <v/>
      </c>
      <c r="Q84" s="151" t="str">
        <f>IF($G84=10,$O84,"")</f>
        <v/>
      </c>
      <c r="R84" s="151" t="str">
        <f>IF($G84=12,$O84,"")</f>
        <v/>
      </c>
      <c r="S84" s="151" t="str">
        <f>IF($G84=16,$O84,"")</f>
        <v/>
      </c>
      <c r="T84" s="151" t="str">
        <f>IF($G84=20,$O84,"")</f>
        <v/>
      </c>
      <c r="U84" s="151" t="str">
        <f>IF($G84=25,$O84,"")</f>
        <v/>
      </c>
      <c r="V84" s="108"/>
    </row>
    <row r="85" spans="1:22">
      <c r="A85" s="101"/>
      <c r="B85" s="152" t="s">
        <v>382</v>
      </c>
      <c r="C85" s="147"/>
      <c r="D85" s="153">
        <f>0.85-0.075-2*0.016</f>
        <v>0.74299999999999999</v>
      </c>
      <c r="E85" s="149"/>
      <c r="F85" s="150"/>
      <c r="G85" s="107">
        <v>20</v>
      </c>
      <c r="H85" s="108">
        <v>8</v>
      </c>
      <c r="I85" s="108">
        <v>4</v>
      </c>
      <c r="J85" s="118">
        <f>D85</f>
        <v>0.74299999999999999</v>
      </c>
      <c r="K85" s="119" t="str">
        <f>IF(N85&lt;12,"0",0.049*G85)</f>
        <v>0</v>
      </c>
      <c r="L85" s="120">
        <v>1</v>
      </c>
      <c r="M85" s="108">
        <f>2*G85*L85/1000</f>
        <v>0.04</v>
      </c>
      <c r="N85" s="121">
        <f>J85+E87-M85</f>
        <v>1.0029999999999999</v>
      </c>
      <c r="O85" s="121">
        <f>H85*I85*N85</f>
        <v>32.095999999999997</v>
      </c>
      <c r="P85" s="151" t="str">
        <f t="shared" si="0"/>
        <v/>
      </c>
      <c r="Q85" s="151" t="str">
        <f t="shared" si="1"/>
        <v/>
      </c>
      <c r="R85" s="151" t="str">
        <f t="shared" si="2"/>
        <v/>
      </c>
      <c r="S85" s="151" t="str">
        <f t="shared" si="3"/>
        <v/>
      </c>
      <c r="T85" s="151">
        <f t="shared" si="4"/>
        <v>32.095999999999997</v>
      </c>
      <c r="U85" s="151" t="str">
        <f t="shared" si="5"/>
        <v/>
      </c>
      <c r="V85" s="108"/>
    </row>
    <row r="86" spans="1:22">
      <c r="A86" s="101"/>
      <c r="B86" s="152" t="s">
        <v>383</v>
      </c>
      <c r="C86" s="147"/>
      <c r="D86" s="148"/>
      <c r="E86" s="149"/>
      <c r="F86" s="150"/>
      <c r="G86" s="107">
        <v>20</v>
      </c>
      <c r="H86" s="108">
        <v>8</v>
      </c>
      <c r="I86" s="108">
        <v>2</v>
      </c>
      <c r="J86" s="118">
        <f>D85</f>
        <v>0.74299999999999999</v>
      </c>
      <c r="K86" s="119" t="str">
        <f t="shared" ref="K86:K89" si="12">IF(N86&lt;12,"0",0.049*G86)</f>
        <v>0</v>
      </c>
      <c r="L86" s="120">
        <v>1</v>
      </c>
      <c r="M86" s="108">
        <f t="shared" ref="M86:M89" si="13">2*G86*L86/1000</f>
        <v>0.04</v>
      </c>
      <c r="N86" s="121">
        <f>J86+E87-M86</f>
        <v>1.0029999999999999</v>
      </c>
      <c r="O86" s="121">
        <f>H86*I86*N86</f>
        <v>16.047999999999998</v>
      </c>
      <c r="P86" s="151" t="str">
        <f t="shared" si="0"/>
        <v/>
      </c>
      <c r="Q86" s="151" t="str">
        <f t="shared" si="1"/>
        <v/>
      </c>
      <c r="R86" s="151" t="str">
        <f t="shared" si="2"/>
        <v/>
      </c>
      <c r="S86" s="151" t="str">
        <f t="shared" si="3"/>
        <v/>
      </c>
      <c r="T86" s="151">
        <f t="shared" si="4"/>
        <v>16.047999999999998</v>
      </c>
      <c r="U86" s="151" t="str">
        <f t="shared" si="5"/>
        <v/>
      </c>
      <c r="V86" s="108"/>
    </row>
    <row r="87" spans="1:22">
      <c r="A87" s="101"/>
      <c r="B87" s="152" t="s">
        <v>384</v>
      </c>
      <c r="C87" s="154"/>
      <c r="D87" s="153"/>
      <c r="E87" s="155">
        <v>0.3</v>
      </c>
      <c r="F87" s="150"/>
      <c r="G87" s="107">
        <v>20</v>
      </c>
      <c r="H87" s="108">
        <v>8</v>
      </c>
      <c r="I87" s="108">
        <v>4</v>
      </c>
      <c r="J87" s="118">
        <f>D85</f>
        <v>0.74299999999999999</v>
      </c>
      <c r="K87" s="119" t="str">
        <f t="shared" si="12"/>
        <v>0</v>
      </c>
      <c r="L87" s="120">
        <v>1</v>
      </c>
      <c r="M87" s="108">
        <f t="shared" si="13"/>
        <v>0.04</v>
      </c>
      <c r="N87" s="121">
        <f>J87+E87-M87</f>
        <v>1.0029999999999999</v>
      </c>
      <c r="O87" s="121">
        <f>H87*I87*N87</f>
        <v>32.095999999999997</v>
      </c>
      <c r="P87" s="151" t="str">
        <f t="shared" si="0"/>
        <v/>
      </c>
      <c r="Q87" s="151" t="str">
        <f t="shared" si="1"/>
        <v/>
      </c>
      <c r="R87" s="151" t="str">
        <f t="shared" si="2"/>
        <v/>
      </c>
      <c r="S87" s="151" t="str">
        <f t="shared" si="3"/>
        <v/>
      </c>
      <c r="T87" s="151">
        <f t="shared" si="4"/>
        <v>32.095999999999997</v>
      </c>
      <c r="U87" s="151" t="str">
        <f t="shared" si="5"/>
        <v/>
      </c>
      <c r="V87" s="108"/>
    </row>
    <row r="88" spans="1:22">
      <c r="A88" s="101"/>
      <c r="B88" s="152" t="s">
        <v>385</v>
      </c>
      <c r="C88" s="147"/>
      <c r="D88" s="148"/>
      <c r="E88" s="149"/>
      <c r="F88" s="150"/>
      <c r="G88" s="107">
        <v>20</v>
      </c>
      <c r="H88" s="108">
        <v>8</v>
      </c>
      <c r="I88" s="108">
        <v>4</v>
      </c>
      <c r="J88" s="118">
        <f>D85</f>
        <v>0.74299999999999999</v>
      </c>
      <c r="K88" s="119" t="str">
        <f t="shared" si="12"/>
        <v>0</v>
      </c>
      <c r="L88" s="120">
        <v>1</v>
      </c>
      <c r="M88" s="108">
        <f t="shared" si="13"/>
        <v>0.04</v>
      </c>
      <c r="N88" s="121">
        <f>J88+E87-M88</f>
        <v>1.0029999999999999</v>
      </c>
      <c r="O88" s="121">
        <f>H88*I88*N88</f>
        <v>32.095999999999997</v>
      </c>
      <c r="P88" s="151" t="str">
        <f t="shared" si="0"/>
        <v/>
      </c>
      <c r="Q88" s="151" t="str">
        <f t="shared" si="1"/>
        <v/>
      </c>
      <c r="R88" s="151" t="str">
        <f t="shared" si="2"/>
        <v/>
      </c>
      <c r="S88" s="151" t="str">
        <f t="shared" si="3"/>
        <v/>
      </c>
      <c r="T88" s="151">
        <f t="shared" si="4"/>
        <v>32.095999999999997</v>
      </c>
      <c r="U88" s="151" t="str">
        <f t="shared" si="5"/>
        <v/>
      </c>
      <c r="V88" s="108"/>
    </row>
    <row r="89" spans="1:22">
      <c r="A89" s="101"/>
      <c r="B89" s="152" t="s">
        <v>393</v>
      </c>
      <c r="C89" s="147"/>
      <c r="D89" s="148"/>
      <c r="E89" s="149"/>
      <c r="F89" s="150"/>
      <c r="G89" s="107">
        <v>20</v>
      </c>
      <c r="H89" s="108">
        <v>8</v>
      </c>
      <c r="I89" s="108">
        <v>2</v>
      </c>
      <c r="J89" s="118">
        <f>D85</f>
        <v>0.74299999999999999</v>
      </c>
      <c r="K89" s="119" t="str">
        <f t="shared" si="12"/>
        <v>0</v>
      </c>
      <c r="L89" s="120">
        <v>1</v>
      </c>
      <c r="M89" s="108">
        <f t="shared" si="13"/>
        <v>0.04</v>
      </c>
      <c r="N89" s="121">
        <f>J89+E88-M89</f>
        <v>0.70299999999999996</v>
      </c>
      <c r="O89" s="121">
        <f>H89*I89*N89</f>
        <v>11.247999999999999</v>
      </c>
      <c r="P89" s="151" t="str">
        <f t="shared" si="0"/>
        <v/>
      </c>
      <c r="Q89" s="151" t="str">
        <f t="shared" si="1"/>
        <v/>
      </c>
      <c r="R89" s="151" t="str">
        <f t="shared" si="2"/>
        <v/>
      </c>
      <c r="S89" s="151" t="str">
        <f t="shared" si="3"/>
        <v/>
      </c>
      <c r="T89" s="151">
        <f t="shared" si="4"/>
        <v>11.247999999999999</v>
      </c>
      <c r="U89" s="151" t="str">
        <f t="shared" si="5"/>
        <v/>
      </c>
      <c r="V89" s="108"/>
    </row>
    <row r="90" spans="1:22">
      <c r="A90" s="101"/>
      <c r="B90" s="152"/>
      <c r="C90" s="147"/>
      <c r="D90" s="148"/>
      <c r="E90" s="149"/>
      <c r="F90" s="150"/>
      <c r="G90" s="107"/>
      <c r="H90" s="108"/>
      <c r="I90" s="108"/>
      <c r="J90" s="109"/>
      <c r="K90" s="108"/>
      <c r="L90" s="108"/>
      <c r="M90" s="108"/>
      <c r="N90" s="108"/>
      <c r="O90" s="110"/>
      <c r="P90" s="151" t="str">
        <f t="shared" si="0"/>
        <v/>
      </c>
      <c r="Q90" s="151" t="str">
        <f t="shared" si="1"/>
        <v/>
      </c>
      <c r="R90" s="151" t="str">
        <f t="shared" si="2"/>
        <v/>
      </c>
      <c r="S90" s="151" t="str">
        <f t="shared" si="3"/>
        <v/>
      </c>
      <c r="T90" s="151" t="str">
        <f t="shared" si="4"/>
        <v/>
      </c>
      <c r="U90" s="151" t="str">
        <f t="shared" si="5"/>
        <v/>
      </c>
      <c r="V90" s="108"/>
    </row>
    <row r="91" spans="1:22">
      <c r="A91" s="101"/>
      <c r="B91" s="101"/>
      <c r="C91" s="156">
        <v>0.08</v>
      </c>
      <c r="D91" s="148"/>
      <c r="E91" s="149"/>
      <c r="F91" s="150"/>
      <c r="G91" s="107"/>
      <c r="H91" s="108"/>
      <c r="I91" s="108"/>
      <c r="J91" s="109"/>
      <c r="K91" s="108"/>
      <c r="L91" s="108"/>
      <c r="M91" s="108"/>
      <c r="N91" s="108"/>
      <c r="O91" s="110"/>
      <c r="P91" s="151" t="str">
        <f t="shared" si="0"/>
        <v/>
      </c>
      <c r="Q91" s="151" t="str">
        <f t="shared" si="1"/>
        <v/>
      </c>
      <c r="R91" s="151" t="str">
        <f t="shared" si="2"/>
        <v/>
      </c>
      <c r="S91" s="151" t="str">
        <f t="shared" si="3"/>
        <v/>
      </c>
      <c r="T91" s="151" t="str">
        <f t="shared" si="4"/>
        <v/>
      </c>
      <c r="U91" s="151" t="str">
        <f t="shared" si="5"/>
        <v/>
      </c>
      <c r="V91" s="108"/>
    </row>
    <row r="92" spans="1:22">
      <c r="A92" s="101"/>
      <c r="B92" s="157" t="s">
        <v>386</v>
      </c>
      <c r="C92" s="158"/>
      <c r="D92" s="148"/>
      <c r="E92" s="159">
        <f>0.75-0.08</f>
        <v>0.67</v>
      </c>
      <c r="F92" s="150"/>
      <c r="G92" s="107">
        <v>10</v>
      </c>
      <c r="H92" s="108">
        <v>8</v>
      </c>
      <c r="I92" s="108">
        <v>4</v>
      </c>
      <c r="J92" s="160">
        <f>2*(D94+E92)+2*8*G92/1000</f>
        <v>1.94</v>
      </c>
      <c r="K92" s="108"/>
      <c r="L92" s="108">
        <v>5</v>
      </c>
      <c r="M92" s="121">
        <f>2*G92*L92/1000</f>
        <v>0.1</v>
      </c>
      <c r="N92" s="121">
        <f>(J92+K92-M92)</f>
        <v>1.8399999999999999</v>
      </c>
      <c r="O92" s="121">
        <f>(H92*I92*N92)</f>
        <v>58.879999999999995</v>
      </c>
      <c r="P92" s="151" t="str">
        <f t="shared" si="0"/>
        <v/>
      </c>
      <c r="Q92" s="151">
        <f t="shared" si="1"/>
        <v>58.879999999999995</v>
      </c>
      <c r="R92" s="151" t="str">
        <f t="shared" si="2"/>
        <v/>
      </c>
      <c r="S92" s="151" t="str">
        <f t="shared" si="3"/>
        <v/>
      </c>
      <c r="T92" s="151" t="str">
        <f t="shared" si="4"/>
        <v/>
      </c>
      <c r="U92" s="151" t="str">
        <f t="shared" si="5"/>
        <v/>
      </c>
      <c r="V92" s="108"/>
    </row>
    <row r="93" spans="1:22">
      <c r="A93" s="101"/>
      <c r="B93" s="157"/>
      <c r="C93" s="147"/>
      <c r="D93" s="148"/>
      <c r="E93" s="161"/>
      <c r="F93" s="150"/>
      <c r="G93" s="107"/>
      <c r="H93" s="108"/>
      <c r="I93" s="108"/>
      <c r="J93" s="109"/>
      <c r="K93" s="108"/>
      <c r="L93" s="108"/>
      <c r="M93" s="108"/>
      <c r="N93" s="108"/>
      <c r="O93" s="121"/>
      <c r="P93" s="151" t="str">
        <f t="shared" si="0"/>
        <v/>
      </c>
      <c r="Q93" s="151" t="str">
        <f t="shared" si="1"/>
        <v/>
      </c>
      <c r="R93" s="151" t="str">
        <f t="shared" si="2"/>
        <v/>
      </c>
      <c r="S93" s="151" t="str">
        <f t="shared" si="3"/>
        <v/>
      </c>
      <c r="T93" s="151" t="str">
        <f t="shared" si="4"/>
        <v/>
      </c>
      <c r="U93" s="151" t="str">
        <f t="shared" si="5"/>
        <v/>
      </c>
      <c r="V93" s="108"/>
    </row>
    <row r="94" spans="1:22">
      <c r="A94" s="101"/>
      <c r="B94" s="157"/>
      <c r="C94" s="147"/>
      <c r="D94" s="118">
        <f>0.3-0.08</f>
        <v>0.21999999999999997</v>
      </c>
      <c r="E94" s="149"/>
      <c r="F94" s="150"/>
      <c r="G94" s="107"/>
      <c r="H94" s="108"/>
      <c r="I94" s="108"/>
      <c r="J94" s="109"/>
      <c r="K94" s="108"/>
      <c r="L94" s="108"/>
      <c r="M94" s="108"/>
      <c r="N94" s="108"/>
      <c r="O94" s="121"/>
      <c r="P94" s="151" t="str">
        <f t="shared" si="0"/>
        <v/>
      </c>
      <c r="Q94" s="151" t="str">
        <f t="shared" si="1"/>
        <v/>
      </c>
      <c r="R94" s="151" t="str">
        <f t="shared" si="2"/>
        <v/>
      </c>
      <c r="S94" s="151" t="str">
        <f t="shared" si="3"/>
        <v/>
      </c>
      <c r="T94" s="151" t="str">
        <f t="shared" si="4"/>
        <v/>
      </c>
      <c r="U94" s="151" t="str">
        <f t="shared" si="5"/>
        <v/>
      </c>
      <c r="V94" s="108"/>
    </row>
    <row r="95" spans="1:22">
      <c r="A95" s="101"/>
      <c r="B95" s="152"/>
      <c r="C95" s="147"/>
      <c r="D95" s="148"/>
      <c r="E95" s="149"/>
      <c r="F95" s="150"/>
      <c r="G95" s="107"/>
      <c r="H95" s="108"/>
      <c r="I95" s="108"/>
      <c r="J95" s="109"/>
      <c r="K95" s="108"/>
      <c r="L95" s="108"/>
      <c r="M95" s="108"/>
      <c r="N95" s="108"/>
      <c r="O95" s="121"/>
      <c r="P95" s="151" t="str">
        <f t="shared" si="0"/>
        <v/>
      </c>
      <c r="Q95" s="151" t="str">
        <f t="shared" si="1"/>
        <v/>
      </c>
      <c r="R95" s="151" t="str">
        <f t="shared" si="2"/>
        <v/>
      </c>
      <c r="S95" s="151" t="str">
        <f t="shared" si="3"/>
        <v/>
      </c>
      <c r="T95" s="151" t="str">
        <f t="shared" si="4"/>
        <v/>
      </c>
      <c r="U95" s="151" t="str">
        <f t="shared" si="5"/>
        <v/>
      </c>
      <c r="V95" s="108"/>
    </row>
    <row r="96" spans="1:22">
      <c r="A96" s="101"/>
      <c r="B96" s="101"/>
      <c r="C96" s="156">
        <v>0.08</v>
      </c>
      <c r="D96" s="148"/>
      <c r="E96" s="149"/>
      <c r="F96" s="150"/>
      <c r="G96" s="107"/>
      <c r="H96" s="108"/>
      <c r="I96" s="108"/>
      <c r="J96" s="109"/>
      <c r="K96" s="108"/>
      <c r="L96" s="108"/>
      <c r="M96" s="108"/>
      <c r="N96" s="108"/>
      <c r="O96" s="121"/>
      <c r="P96" s="151" t="str">
        <f t="shared" si="0"/>
        <v/>
      </c>
      <c r="Q96" s="151" t="str">
        <f t="shared" si="1"/>
        <v/>
      </c>
      <c r="R96" s="151" t="str">
        <f t="shared" si="2"/>
        <v/>
      </c>
      <c r="S96" s="151" t="str">
        <f t="shared" si="3"/>
        <v/>
      </c>
      <c r="T96" s="151" t="str">
        <f t="shared" si="4"/>
        <v/>
      </c>
      <c r="U96" s="151" t="str">
        <f t="shared" si="5"/>
        <v/>
      </c>
      <c r="V96" s="108"/>
    </row>
    <row r="97" spans="1:22">
      <c r="A97" s="101"/>
      <c r="B97" s="157" t="s">
        <v>387</v>
      </c>
      <c r="C97" s="158"/>
      <c r="D97" s="148"/>
      <c r="E97" s="159">
        <f>(2*((0.75-0.08-0.016)/6))+0.012+0.02</f>
        <v>0.25</v>
      </c>
      <c r="F97" s="150"/>
      <c r="G97" s="107">
        <v>10</v>
      </c>
      <c r="H97" s="108">
        <v>8</v>
      </c>
      <c r="I97" s="108">
        <v>1</v>
      </c>
      <c r="J97" s="160">
        <f>2*(D99+E97)+2*8*G97/1000</f>
        <v>1.0999999999999999</v>
      </c>
      <c r="K97" s="108"/>
      <c r="L97" s="108">
        <v>5</v>
      </c>
      <c r="M97" s="121">
        <f>2*G97*L97/1000</f>
        <v>0.1</v>
      </c>
      <c r="N97" s="121">
        <f>(J97+K97-M97)</f>
        <v>0.99999999999999989</v>
      </c>
      <c r="O97" s="121">
        <f>(H97*I97*N97)</f>
        <v>7.9999999999999991</v>
      </c>
      <c r="P97" s="151" t="str">
        <f t="shared" si="0"/>
        <v/>
      </c>
      <c r="Q97" s="151">
        <f t="shared" si="1"/>
        <v>7.9999999999999991</v>
      </c>
      <c r="R97" s="151" t="str">
        <f t="shared" si="2"/>
        <v/>
      </c>
      <c r="S97" s="151" t="str">
        <f t="shared" si="3"/>
        <v/>
      </c>
      <c r="T97" s="151" t="str">
        <f t="shared" si="4"/>
        <v/>
      </c>
      <c r="U97" s="151" t="str">
        <f t="shared" si="5"/>
        <v/>
      </c>
      <c r="V97" s="108"/>
    </row>
    <row r="98" spans="1:22">
      <c r="A98" s="101"/>
      <c r="B98" s="157"/>
      <c r="C98" s="147"/>
      <c r="D98" s="148"/>
      <c r="E98" s="161"/>
      <c r="F98" s="150"/>
      <c r="G98" s="107"/>
      <c r="H98" s="108"/>
      <c r="I98" s="108"/>
      <c r="J98" s="109"/>
      <c r="K98" s="108"/>
      <c r="L98" s="108"/>
      <c r="M98" s="108"/>
      <c r="N98" s="108"/>
      <c r="O98" s="121"/>
      <c r="P98" s="151" t="str">
        <f t="shared" si="0"/>
        <v/>
      </c>
      <c r="Q98" s="151" t="str">
        <f t="shared" si="1"/>
        <v/>
      </c>
      <c r="R98" s="151" t="str">
        <f t="shared" si="2"/>
        <v/>
      </c>
      <c r="S98" s="151" t="str">
        <f t="shared" si="3"/>
        <v/>
      </c>
      <c r="T98" s="151" t="str">
        <f t="shared" si="4"/>
        <v/>
      </c>
      <c r="U98" s="151" t="str">
        <f t="shared" si="5"/>
        <v/>
      </c>
      <c r="V98" s="108"/>
    </row>
    <row r="99" spans="1:22">
      <c r="A99" s="101"/>
      <c r="B99" s="157"/>
      <c r="C99" s="147"/>
      <c r="D99" s="118">
        <f>0.3-0.08</f>
        <v>0.21999999999999997</v>
      </c>
      <c r="E99" s="149"/>
      <c r="F99" s="150"/>
      <c r="G99" s="107"/>
      <c r="H99" s="108"/>
      <c r="I99" s="108"/>
      <c r="J99" s="109"/>
      <c r="K99" s="108"/>
      <c r="L99" s="108"/>
      <c r="M99" s="108"/>
      <c r="N99" s="108"/>
      <c r="O99" s="121"/>
      <c r="P99" s="151" t="str">
        <f t="shared" si="0"/>
        <v/>
      </c>
      <c r="Q99" s="151" t="str">
        <f t="shared" si="1"/>
        <v/>
      </c>
      <c r="R99" s="151" t="str">
        <f t="shared" si="2"/>
        <v/>
      </c>
      <c r="S99" s="151" t="str">
        <f t="shared" si="3"/>
        <v/>
      </c>
      <c r="T99" s="151" t="str">
        <f t="shared" si="4"/>
        <v/>
      </c>
      <c r="U99" s="151" t="str">
        <f t="shared" si="5"/>
        <v/>
      </c>
      <c r="V99" s="108"/>
    </row>
    <row r="100" spans="1:22">
      <c r="A100" s="101"/>
      <c r="B100" s="157"/>
      <c r="C100" s="147"/>
      <c r="D100" s="148"/>
      <c r="E100" s="149"/>
      <c r="F100" s="150"/>
      <c r="G100" s="107"/>
      <c r="H100" s="108"/>
      <c r="I100" s="108"/>
      <c r="J100" s="109"/>
      <c r="K100" s="108"/>
      <c r="L100" s="108"/>
      <c r="M100" s="108"/>
      <c r="N100" s="108"/>
      <c r="O100" s="121"/>
      <c r="P100" s="151" t="str">
        <f t="shared" si="0"/>
        <v/>
      </c>
      <c r="Q100" s="151" t="str">
        <f t="shared" si="1"/>
        <v/>
      </c>
      <c r="R100" s="151" t="str">
        <f t="shared" si="2"/>
        <v/>
      </c>
      <c r="S100" s="151" t="str">
        <f t="shared" si="3"/>
        <v/>
      </c>
      <c r="T100" s="151" t="str">
        <f t="shared" si="4"/>
        <v/>
      </c>
      <c r="U100" s="151" t="str">
        <f t="shared" si="5"/>
        <v/>
      </c>
      <c r="V100" s="108"/>
    </row>
    <row r="101" spans="1:22">
      <c r="A101" s="101"/>
      <c r="B101" s="157" t="s">
        <v>388</v>
      </c>
      <c r="C101" s="147"/>
      <c r="D101" s="153"/>
      <c r="E101" s="149"/>
      <c r="F101" s="150"/>
      <c r="G101" s="107">
        <v>10</v>
      </c>
      <c r="H101" s="108">
        <v>8</v>
      </c>
      <c r="I101" s="108">
        <v>1</v>
      </c>
      <c r="J101" s="160">
        <f>C102+D104+E102+2*8*G101/1000</f>
        <v>0.73</v>
      </c>
      <c r="K101" s="108"/>
      <c r="L101" s="108">
        <v>4</v>
      </c>
      <c r="M101" s="121">
        <f>2*G101*L101/1000</f>
        <v>0.08</v>
      </c>
      <c r="N101" s="121">
        <f>(J101+K101-M101)</f>
        <v>0.65</v>
      </c>
      <c r="O101" s="121">
        <f>(H101*I101*N101)</f>
        <v>5.2</v>
      </c>
      <c r="P101" s="151" t="str">
        <f t="shared" si="0"/>
        <v/>
      </c>
      <c r="Q101" s="151">
        <f t="shared" si="1"/>
        <v>5.2</v>
      </c>
      <c r="R101" s="151" t="str">
        <f t="shared" si="2"/>
        <v/>
      </c>
      <c r="S101" s="151" t="str">
        <f t="shared" si="3"/>
        <v/>
      </c>
      <c r="T101" s="151" t="str">
        <f t="shared" si="4"/>
        <v/>
      </c>
      <c r="U101" s="151" t="str">
        <f t="shared" si="5"/>
        <v/>
      </c>
      <c r="V101" s="108"/>
    </row>
    <row r="102" spans="1:22">
      <c r="A102" s="101"/>
      <c r="B102" s="157"/>
      <c r="C102" s="162">
        <v>0.17499999999999999</v>
      </c>
      <c r="D102" s="148"/>
      <c r="E102" s="149">
        <v>0.17499999999999999</v>
      </c>
      <c r="F102" s="150"/>
      <c r="G102" s="107"/>
      <c r="H102" s="108"/>
      <c r="I102" s="108"/>
      <c r="J102" s="109"/>
      <c r="K102" s="108"/>
      <c r="L102" s="108"/>
      <c r="M102" s="108"/>
      <c r="N102" s="108"/>
      <c r="O102" s="121"/>
      <c r="P102" s="151" t="str">
        <f>IF($G102=8,$O102,"")</f>
        <v/>
      </c>
      <c r="Q102" s="151" t="str">
        <f>IF($G102=10,$O102,"")</f>
        <v/>
      </c>
      <c r="R102" s="151" t="str">
        <f>IF($G102=12,$O102,"")</f>
        <v/>
      </c>
      <c r="S102" s="151" t="str">
        <f>IF($G102=16,$O102,"")</f>
        <v/>
      </c>
      <c r="T102" s="151" t="str">
        <f>IF($G102=20,$O102,"")</f>
        <v/>
      </c>
      <c r="U102" s="151" t="str">
        <f>IF($G102=25,$O102,"")</f>
        <v/>
      </c>
      <c r="V102" s="108"/>
    </row>
    <row r="103" spans="1:22">
      <c r="A103" s="101"/>
      <c r="B103" s="157"/>
      <c r="C103" s="147"/>
      <c r="D103" s="148"/>
      <c r="E103" s="149"/>
      <c r="F103" s="150"/>
      <c r="G103" s="107"/>
      <c r="H103" s="108"/>
      <c r="I103" s="108"/>
      <c r="J103" s="109"/>
      <c r="K103" s="108"/>
      <c r="L103" s="108"/>
      <c r="M103" s="108"/>
      <c r="N103" s="108"/>
      <c r="O103" s="121"/>
      <c r="P103" s="151" t="str">
        <f t="shared" si="0"/>
        <v/>
      </c>
      <c r="Q103" s="151" t="str">
        <f t="shared" si="1"/>
        <v/>
      </c>
      <c r="R103" s="151" t="str">
        <f t="shared" si="2"/>
        <v/>
      </c>
      <c r="S103" s="151" t="str">
        <f t="shared" si="3"/>
        <v/>
      </c>
      <c r="T103" s="151" t="str">
        <f t="shared" si="4"/>
        <v/>
      </c>
      <c r="U103" s="151" t="str">
        <f t="shared" si="5"/>
        <v/>
      </c>
      <c r="V103" s="108"/>
    </row>
    <row r="104" spans="1:22">
      <c r="A104" s="101"/>
      <c r="B104" s="157"/>
      <c r="C104" s="147"/>
      <c r="D104" s="118">
        <f>0.3-0.08</f>
        <v>0.21999999999999997</v>
      </c>
      <c r="E104" s="149"/>
      <c r="F104" s="150"/>
      <c r="G104" s="107"/>
      <c r="H104" s="108"/>
      <c r="I104" s="108"/>
      <c r="J104" s="109"/>
      <c r="K104" s="108"/>
      <c r="L104" s="108"/>
      <c r="M104" s="108"/>
      <c r="N104" s="108"/>
      <c r="O104" s="121"/>
      <c r="P104" s="151" t="str">
        <f t="shared" si="0"/>
        <v/>
      </c>
      <c r="Q104" s="151" t="str">
        <f t="shared" si="1"/>
        <v/>
      </c>
      <c r="R104" s="151" t="str">
        <f t="shared" si="2"/>
        <v/>
      </c>
      <c r="S104" s="151" t="str">
        <f t="shared" si="3"/>
        <v/>
      </c>
      <c r="T104" s="151" t="str">
        <f t="shared" si="4"/>
        <v/>
      </c>
      <c r="U104" s="151" t="str">
        <f t="shared" si="5"/>
        <v/>
      </c>
      <c r="V104" s="108"/>
    </row>
    <row r="105" spans="1:22">
      <c r="A105" s="101"/>
      <c r="B105" s="157"/>
      <c r="C105" s="147"/>
      <c r="D105" s="148"/>
      <c r="E105" s="149"/>
      <c r="F105" s="150"/>
      <c r="G105" s="107"/>
      <c r="H105" s="108"/>
      <c r="I105" s="108"/>
      <c r="J105" s="109"/>
      <c r="K105" s="108"/>
      <c r="L105" s="108"/>
      <c r="M105" s="108"/>
      <c r="N105" s="108"/>
      <c r="O105" s="121"/>
      <c r="P105" s="151" t="str">
        <f t="shared" si="0"/>
        <v/>
      </c>
      <c r="Q105" s="151" t="str">
        <f t="shared" si="1"/>
        <v/>
      </c>
      <c r="R105" s="151" t="str">
        <f t="shared" si="2"/>
        <v/>
      </c>
      <c r="S105" s="151" t="str">
        <f t="shared" si="3"/>
        <v/>
      </c>
      <c r="T105" s="151" t="str">
        <f t="shared" si="4"/>
        <v/>
      </c>
      <c r="U105" s="151" t="str">
        <f t="shared" si="5"/>
        <v/>
      </c>
      <c r="V105" s="108"/>
    </row>
    <row r="106" spans="1:22">
      <c r="A106" s="101"/>
      <c r="B106" s="157" t="s">
        <v>389</v>
      </c>
      <c r="C106" s="147"/>
      <c r="D106" s="153"/>
      <c r="E106" s="149"/>
      <c r="F106" s="150"/>
      <c r="G106" s="107">
        <v>10</v>
      </c>
      <c r="H106" s="108">
        <v>8</v>
      </c>
      <c r="I106" s="108">
        <v>1</v>
      </c>
      <c r="J106" s="160">
        <f>C107+D109+E107+2*8*G106/1000</f>
        <v>0.73</v>
      </c>
      <c r="K106" s="108"/>
      <c r="L106" s="108">
        <v>4</v>
      </c>
      <c r="M106" s="121">
        <f>2*G106*L106/1000</f>
        <v>0.08</v>
      </c>
      <c r="N106" s="121">
        <f>(J106+K106-M106)</f>
        <v>0.65</v>
      </c>
      <c r="O106" s="121">
        <f>(H106*I106*N106)</f>
        <v>5.2</v>
      </c>
      <c r="P106" s="151" t="str">
        <f t="shared" si="0"/>
        <v/>
      </c>
      <c r="Q106" s="151">
        <f t="shared" si="1"/>
        <v>5.2</v>
      </c>
      <c r="R106" s="151" t="str">
        <f t="shared" si="2"/>
        <v/>
      </c>
      <c r="S106" s="151" t="str">
        <f t="shared" si="3"/>
        <v/>
      </c>
      <c r="T106" s="151" t="str">
        <f t="shared" si="4"/>
        <v/>
      </c>
      <c r="U106" s="151" t="str">
        <f t="shared" si="5"/>
        <v/>
      </c>
      <c r="V106" s="108"/>
    </row>
    <row r="107" spans="1:22">
      <c r="A107" s="101"/>
      <c r="B107" s="157"/>
      <c r="C107" s="162">
        <v>0.17499999999999999</v>
      </c>
      <c r="D107" s="148"/>
      <c r="E107" s="149">
        <v>0.17499999999999999</v>
      </c>
      <c r="F107" s="150"/>
      <c r="G107" s="107"/>
      <c r="H107" s="108"/>
      <c r="I107" s="108"/>
      <c r="J107" s="109"/>
      <c r="K107" s="108"/>
      <c r="L107" s="108"/>
      <c r="M107" s="108"/>
      <c r="N107" s="108"/>
      <c r="O107" s="121"/>
      <c r="P107" s="151" t="str">
        <f t="shared" si="0"/>
        <v/>
      </c>
      <c r="Q107" s="151" t="str">
        <f t="shared" si="1"/>
        <v/>
      </c>
      <c r="R107" s="151" t="str">
        <f t="shared" si="2"/>
        <v/>
      </c>
      <c r="S107" s="151" t="str">
        <f t="shared" si="3"/>
        <v/>
      </c>
      <c r="T107" s="151" t="str">
        <f t="shared" si="4"/>
        <v/>
      </c>
      <c r="U107" s="151" t="str">
        <f t="shared" si="5"/>
        <v/>
      </c>
      <c r="V107" s="108"/>
    </row>
    <row r="108" spans="1:22">
      <c r="A108" s="101"/>
      <c r="B108" s="157"/>
      <c r="C108" s="147"/>
      <c r="D108" s="148"/>
      <c r="E108" s="149"/>
      <c r="F108" s="150"/>
      <c r="G108" s="107"/>
      <c r="H108" s="108"/>
      <c r="I108" s="108"/>
      <c r="J108" s="109"/>
      <c r="K108" s="108"/>
      <c r="L108" s="108"/>
      <c r="M108" s="108"/>
      <c r="N108" s="108"/>
      <c r="O108" s="110"/>
      <c r="P108" s="151" t="str">
        <f t="shared" si="0"/>
        <v/>
      </c>
      <c r="Q108" s="151" t="str">
        <f t="shared" si="1"/>
        <v/>
      </c>
      <c r="R108" s="151" t="str">
        <f t="shared" si="2"/>
        <v/>
      </c>
      <c r="S108" s="151" t="str">
        <f t="shared" si="3"/>
        <v/>
      </c>
      <c r="T108" s="151" t="str">
        <f t="shared" si="4"/>
        <v/>
      </c>
      <c r="U108" s="151" t="str">
        <f t="shared" si="5"/>
        <v/>
      </c>
      <c r="V108" s="108"/>
    </row>
    <row r="109" spans="1:22">
      <c r="A109" s="101"/>
      <c r="B109" s="157"/>
      <c r="C109" s="147"/>
      <c r="D109" s="118">
        <f>0.3-0.08</f>
        <v>0.21999999999999997</v>
      </c>
      <c r="E109" s="149"/>
      <c r="F109" s="150"/>
      <c r="G109" s="107"/>
      <c r="H109" s="108"/>
      <c r="I109" s="108"/>
      <c r="J109" s="109"/>
      <c r="K109" s="108"/>
      <c r="L109" s="108"/>
      <c r="M109" s="108"/>
      <c r="N109" s="108"/>
      <c r="O109" s="110"/>
      <c r="P109" s="151" t="str">
        <f t="shared" si="0"/>
        <v/>
      </c>
      <c r="Q109" s="151" t="str">
        <f t="shared" si="1"/>
        <v/>
      </c>
      <c r="R109" s="151" t="str">
        <f t="shared" si="2"/>
        <v/>
      </c>
      <c r="S109" s="151" t="str">
        <f t="shared" si="3"/>
        <v/>
      </c>
      <c r="T109" s="151" t="str">
        <f t="shared" si="4"/>
        <v/>
      </c>
      <c r="U109" s="151" t="str">
        <f t="shared" si="5"/>
        <v/>
      </c>
      <c r="V109" s="108"/>
    </row>
    <row r="110" spans="1:22">
      <c r="A110" s="101"/>
      <c r="B110" s="152"/>
      <c r="C110" s="147"/>
      <c r="D110" s="148"/>
      <c r="E110" s="149"/>
      <c r="F110" s="150"/>
      <c r="G110" s="107"/>
      <c r="H110" s="108"/>
      <c r="I110" s="108"/>
      <c r="J110" s="109"/>
      <c r="K110" s="108"/>
      <c r="L110" s="108"/>
      <c r="M110" s="108"/>
      <c r="N110" s="108"/>
      <c r="O110" s="110"/>
      <c r="P110" s="151" t="str">
        <f t="shared" si="0"/>
        <v/>
      </c>
      <c r="Q110" s="151" t="str">
        <f t="shared" si="1"/>
        <v/>
      </c>
      <c r="R110" s="151" t="str">
        <f t="shared" si="2"/>
        <v/>
      </c>
      <c r="S110" s="151" t="str">
        <f t="shared" si="3"/>
        <v/>
      </c>
      <c r="T110" s="151" t="str">
        <f t="shared" si="4"/>
        <v/>
      </c>
      <c r="U110" s="151" t="str">
        <f t="shared" si="5"/>
        <v/>
      </c>
      <c r="V110" s="108"/>
    </row>
    <row r="111" spans="1:22">
      <c r="A111" s="101"/>
      <c r="B111" s="152"/>
      <c r="C111" s="147"/>
      <c r="D111" s="148"/>
      <c r="E111" s="155">
        <v>0.08</v>
      </c>
      <c r="F111" s="150"/>
      <c r="G111" s="107"/>
      <c r="H111" s="108"/>
      <c r="I111" s="108"/>
      <c r="J111" s="109"/>
      <c r="K111" s="108"/>
      <c r="L111" s="108"/>
      <c r="M111" s="108"/>
      <c r="N111" s="108"/>
      <c r="O111" s="110"/>
      <c r="P111" s="151" t="str">
        <f t="shared" si="0"/>
        <v/>
      </c>
      <c r="Q111" s="151" t="str">
        <f t="shared" si="1"/>
        <v/>
      </c>
      <c r="R111" s="151" t="str">
        <f t="shared" si="2"/>
        <v/>
      </c>
      <c r="S111" s="151" t="str">
        <f t="shared" si="3"/>
        <v/>
      </c>
      <c r="T111" s="151" t="str">
        <f t="shared" si="4"/>
        <v/>
      </c>
      <c r="U111" s="151" t="str">
        <f t="shared" si="5"/>
        <v/>
      </c>
      <c r="V111" s="108"/>
    </row>
    <row r="112" spans="1:22">
      <c r="A112" s="101"/>
      <c r="B112" s="157" t="s">
        <v>394</v>
      </c>
      <c r="C112" s="147"/>
      <c r="D112" s="153">
        <f>0.3-0.08</f>
        <v>0.21999999999999997</v>
      </c>
      <c r="E112" s="155"/>
      <c r="F112" s="150"/>
      <c r="G112" s="107">
        <v>10</v>
      </c>
      <c r="H112" s="108">
        <v>8</v>
      </c>
      <c r="I112" s="108">
        <v>1</v>
      </c>
      <c r="J112" s="160">
        <f>D112+E111+E113</f>
        <v>0.38</v>
      </c>
      <c r="K112" s="108"/>
      <c r="L112" s="108">
        <v>2</v>
      </c>
      <c r="M112" s="121">
        <f>2*G112*L112/1000</f>
        <v>0.04</v>
      </c>
      <c r="N112" s="121">
        <f>(J112+K112-M112)</f>
        <v>0.34</v>
      </c>
      <c r="O112" s="121">
        <f>(H112*I112*N112)</f>
        <v>2.72</v>
      </c>
      <c r="P112" s="151" t="str">
        <f t="shared" si="0"/>
        <v/>
      </c>
      <c r="Q112" s="151">
        <f t="shared" si="1"/>
        <v>2.72</v>
      </c>
      <c r="R112" s="151" t="str">
        <f t="shared" si="2"/>
        <v/>
      </c>
      <c r="S112" s="151" t="str">
        <f t="shared" si="3"/>
        <v/>
      </c>
      <c r="T112" s="151" t="str">
        <f t="shared" si="4"/>
        <v/>
      </c>
      <c r="U112" s="151" t="str">
        <f t="shared" si="5"/>
        <v/>
      </c>
      <c r="V112" s="108"/>
    </row>
    <row r="113" spans="1:22">
      <c r="A113" s="101"/>
      <c r="B113" s="152"/>
      <c r="C113" s="147"/>
      <c r="D113" s="148"/>
      <c r="E113" s="155">
        <v>0.08</v>
      </c>
      <c r="F113" s="150"/>
      <c r="G113" s="107"/>
      <c r="H113" s="108"/>
      <c r="I113" s="108"/>
      <c r="J113" s="109"/>
      <c r="K113" s="108"/>
      <c r="L113" s="108"/>
      <c r="M113" s="108"/>
      <c r="N113" s="108"/>
      <c r="O113" s="110"/>
      <c r="P113" s="151" t="str">
        <f t="shared" si="0"/>
        <v/>
      </c>
      <c r="Q113" s="151" t="str">
        <f t="shared" si="1"/>
        <v/>
      </c>
      <c r="R113" s="151" t="str">
        <f t="shared" si="2"/>
        <v/>
      </c>
      <c r="S113" s="151" t="str">
        <f t="shared" si="3"/>
        <v/>
      </c>
      <c r="T113" s="151" t="str">
        <f t="shared" si="4"/>
        <v/>
      </c>
      <c r="U113" s="151" t="str">
        <f t="shared" si="5"/>
        <v/>
      </c>
      <c r="V113" s="108"/>
    </row>
    <row r="114" spans="1:22">
      <c r="A114" s="101"/>
      <c r="B114" s="157"/>
      <c r="C114" s="147"/>
      <c r="D114" s="163"/>
      <c r="E114" s="149"/>
      <c r="F114" s="150"/>
      <c r="G114" s="107"/>
      <c r="H114" s="108"/>
      <c r="I114" s="108"/>
      <c r="J114" s="109"/>
      <c r="K114" s="108"/>
      <c r="L114" s="108"/>
      <c r="M114" s="108"/>
      <c r="N114" s="108"/>
      <c r="O114" s="110"/>
      <c r="P114" s="151" t="str">
        <f t="shared" si="0"/>
        <v/>
      </c>
      <c r="Q114" s="151" t="str">
        <f t="shared" si="1"/>
        <v/>
      </c>
      <c r="R114" s="151" t="str">
        <f t="shared" si="2"/>
        <v/>
      </c>
      <c r="S114" s="151" t="str">
        <f t="shared" si="3"/>
        <v/>
      </c>
      <c r="T114" s="151" t="str">
        <f t="shared" si="4"/>
        <v/>
      </c>
      <c r="U114" s="151" t="str">
        <f t="shared" si="5"/>
        <v/>
      </c>
      <c r="V114" s="108"/>
    </row>
    <row r="115" spans="1:22">
      <c r="A115" s="101"/>
      <c r="B115" s="152"/>
      <c r="C115" s="147"/>
      <c r="D115" s="148"/>
      <c r="E115" s="149"/>
      <c r="F115" s="150"/>
      <c r="G115" s="107"/>
      <c r="H115" s="108"/>
      <c r="I115" s="108"/>
      <c r="J115" s="109"/>
      <c r="K115" s="108"/>
      <c r="L115" s="108"/>
      <c r="M115" s="108"/>
      <c r="N115" s="108"/>
      <c r="O115" s="110"/>
      <c r="P115" s="151" t="str">
        <f t="shared" si="0"/>
        <v/>
      </c>
      <c r="Q115" s="151" t="str">
        <f t="shared" si="1"/>
        <v/>
      </c>
      <c r="R115" s="151" t="str">
        <f t="shared" si="2"/>
        <v/>
      </c>
      <c r="S115" s="151" t="str">
        <f t="shared" si="3"/>
        <v/>
      </c>
      <c r="T115" s="151" t="str">
        <f t="shared" si="4"/>
        <v/>
      </c>
      <c r="U115" s="151" t="str">
        <f t="shared" si="5"/>
        <v/>
      </c>
      <c r="V115" s="108"/>
    </row>
    <row r="116" spans="1:22">
      <c r="A116" s="101">
        <v>5</v>
      </c>
      <c r="B116" s="101" t="s">
        <v>395</v>
      </c>
      <c r="C116" s="147"/>
      <c r="D116" s="148"/>
      <c r="E116" s="149"/>
      <c r="F116" s="150"/>
      <c r="G116" s="107"/>
      <c r="H116" s="108"/>
      <c r="I116" s="108"/>
      <c r="J116" s="118"/>
      <c r="K116" s="121"/>
      <c r="L116" s="121"/>
      <c r="M116" s="108"/>
      <c r="N116" s="121"/>
      <c r="O116" s="121"/>
      <c r="P116" s="151" t="str">
        <f>IF($G116=8,$O116,"")</f>
        <v/>
      </c>
      <c r="Q116" s="151" t="str">
        <f>IF($G116=10,$O116,"")</f>
        <v/>
      </c>
      <c r="R116" s="151" t="str">
        <f>IF($G116=12,$O116,"")</f>
        <v/>
      </c>
      <c r="S116" s="151" t="str">
        <f>IF($G116=16,$O116,"")</f>
        <v/>
      </c>
      <c r="T116" s="151" t="str">
        <f>IF($G116=20,$O116,"")</f>
        <v/>
      </c>
      <c r="U116" s="151" t="str">
        <f>IF($G116=25,$O116,"")</f>
        <v/>
      </c>
      <c r="V116" s="108"/>
    </row>
    <row r="117" spans="1:22">
      <c r="A117" s="101"/>
      <c r="B117" s="152" t="s">
        <v>382</v>
      </c>
      <c r="C117" s="147"/>
      <c r="D117" s="153">
        <f>0.85-0.075-2*0.016</f>
        <v>0.74299999999999999</v>
      </c>
      <c r="E117" s="149"/>
      <c r="F117" s="150"/>
      <c r="G117" s="107">
        <v>20</v>
      </c>
      <c r="H117" s="108">
        <v>7</v>
      </c>
      <c r="I117" s="108">
        <v>4</v>
      </c>
      <c r="J117" s="118">
        <f>D117</f>
        <v>0.74299999999999999</v>
      </c>
      <c r="K117" s="119" t="str">
        <f>IF(N117&lt;12,"0",0.049*G117)</f>
        <v>0</v>
      </c>
      <c r="L117" s="120">
        <v>1</v>
      </c>
      <c r="M117" s="108">
        <f>2*G117*L117/1000</f>
        <v>0.04</v>
      </c>
      <c r="N117" s="121">
        <f>J117+E119-M117</f>
        <v>1.0029999999999999</v>
      </c>
      <c r="O117" s="121">
        <f>H117*I117*N117</f>
        <v>28.083999999999996</v>
      </c>
      <c r="P117" s="151" t="str">
        <f t="shared" si="0"/>
        <v/>
      </c>
      <c r="Q117" s="151" t="str">
        <f t="shared" si="1"/>
        <v/>
      </c>
      <c r="R117" s="151" t="str">
        <f t="shared" si="2"/>
        <v/>
      </c>
      <c r="S117" s="151" t="str">
        <f t="shared" si="3"/>
        <v/>
      </c>
      <c r="T117" s="151">
        <f t="shared" si="4"/>
        <v>28.083999999999996</v>
      </c>
      <c r="U117" s="151" t="str">
        <f t="shared" si="5"/>
        <v/>
      </c>
      <c r="V117" s="108"/>
    </row>
    <row r="118" spans="1:22">
      <c r="A118" s="101"/>
      <c r="B118" s="152" t="s">
        <v>383</v>
      </c>
      <c r="C118" s="147"/>
      <c r="D118" s="148"/>
      <c r="E118" s="149"/>
      <c r="F118" s="150"/>
      <c r="G118" s="107">
        <v>16</v>
      </c>
      <c r="H118" s="108">
        <v>7</v>
      </c>
      <c r="I118" s="108">
        <v>2</v>
      </c>
      <c r="J118" s="118">
        <f>D117</f>
        <v>0.74299999999999999</v>
      </c>
      <c r="K118" s="119" t="str">
        <f t="shared" ref="K118:K121" si="14">IF(N118&lt;12,"0",0.049*G118)</f>
        <v>0</v>
      </c>
      <c r="L118" s="120">
        <v>1</v>
      </c>
      <c r="M118" s="108">
        <f t="shared" ref="M118:M121" si="15">2*G118*L118/1000</f>
        <v>3.2000000000000001E-2</v>
      </c>
      <c r="N118" s="121">
        <f>J118+E119-M118</f>
        <v>1.0109999999999999</v>
      </c>
      <c r="O118" s="121">
        <f>H118*I118*N118</f>
        <v>14.153999999999998</v>
      </c>
      <c r="P118" s="151" t="str">
        <f t="shared" si="0"/>
        <v/>
      </c>
      <c r="Q118" s="151" t="str">
        <f t="shared" si="1"/>
        <v/>
      </c>
      <c r="R118" s="151" t="str">
        <f t="shared" si="2"/>
        <v/>
      </c>
      <c r="S118" s="151">
        <f t="shared" si="3"/>
        <v>14.153999999999998</v>
      </c>
      <c r="T118" s="151" t="str">
        <f t="shared" si="4"/>
        <v/>
      </c>
      <c r="U118" s="151" t="str">
        <f t="shared" si="5"/>
        <v/>
      </c>
      <c r="V118" s="108"/>
    </row>
    <row r="119" spans="1:22">
      <c r="A119" s="101"/>
      <c r="B119" s="152" t="s">
        <v>384</v>
      </c>
      <c r="C119" s="154"/>
      <c r="D119" s="153"/>
      <c r="E119" s="155">
        <v>0.3</v>
      </c>
      <c r="F119" s="150"/>
      <c r="G119" s="107">
        <v>16</v>
      </c>
      <c r="H119" s="108">
        <v>7</v>
      </c>
      <c r="I119" s="108">
        <v>4</v>
      </c>
      <c r="J119" s="118">
        <f>D117</f>
        <v>0.74299999999999999</v>
      </c>
      <c r="K119" s="119" t="str">
        <f t="shared" si="14"/>
        <v>0</v>
      </c>
      <c r="L119" s="120">
        <v>1</v>
      </c>
      <c r="M119" s="108">
        <f t="shared" si="15"/>
        <v>3.2000000000000001E-2</v>
      </c>
      <c r="N119" s="121">
        <f>J119+E119-M119</f>
        <v>1.0109999999999999</v>
      </c>
      <c r="O119" s="121">
        <f>H119*I119*N119</f>
        <v>28.307999999999996</v>
      </c>
      <c r="P119" s="151" t="str">
        <f t="shared" si="0"/>
        <v/>
      </c>
      <c r="Q119" s="151" t="str">
        <f t="shared" si="1"/>
        <v/>
      </c>
      <c r="R119" s="151" t="str">
        <f t="shared" si="2"/>
        <v/>
      </c>
      <c r="S119" s="151">
        <f t="shared" si="3"/>
        <v>28.307999999999996</v>
      </c>
      <c r="T119" s="151" t="str">
        <f t="shared" si="4"/>
        <v/>
      </c>
      <c r="U119" s="151" t="str">
        <f t="shared" si="5"/>
        <v/>
      </c>
      <c r="V119" s="108"/>
    </row>
    <row r="120" spans="1:22">
      <c r="A120" s="101"/>
      <c r="B120" s="152" t="s">
        <v>385</v>
      </c>
      <c r="C120" s="147"/>
      <c r="D120" s="148"/>
      <c r="E120" s="149"/>
      <c r="F120" s="150"/>
      <c r="G120" s="107">
        <v>16</v>
      </c>
      <c r="H120" s="108">
        <v>7</v>
      </c>
      <c r="I120" s="108">
        <v>4</v>
      </c>
      <c r="J120" s="118">
        <f>D117</f>
        <v>0.74299999999999999</v>
      </c>
      <c r="K120" s="119" t="str">
        <f t="shared" si="14"/>
        <v>0</v>
      </c>
      <c r="L120" s="120">
        <v>1</v>
      </c>
      <c r="M120" s="108">
        <f t="shared" si="15"/>
        <v>3.2000000000000001E-2</v>
      </c>
      <c r="N120" s="121">
        <f>J120+E119-M120</f>
        <v>1.0109999999999999</v>
      </c>
      <c r="O120" s="121">
        <f>H120*I120*N120</f>
        <v>28.307999999999996</v>
      </c>
      <c r="P120" s="151" t="str">
        <f t="shared" si="0"/>
        <v/>
      </c>
      <c r="Q120" s="151" t="str">
        <f t="shared" si="1"/>
        <v/>
      </c>
      <c r="R120" s="151" t="str">
        <f t="shared" si="2"/>
        <v/>
      </c>
      <c r="S120" s="151">
        <f t="shared" si="3"/>
        <v>28.307999999999996</v>
      </c>
      <c r="T120" s="151" t="str">
        <f t="shared" si="4"/>
        <v/>
      </c>
      <c r="U120" s="151" t="str">
        <f t="shared" si="5"/>
        <v/>
      </c>
      <c r="V120" s="108"/>
    </row>
    <row r="121" spans="1:22">
      <c r="A121" s="101"/>
      <c r="B121" s="152" t="s">
        <v>393</v>
      </c>
      <c r="C121" s="147"/>
      <c r="D121" s="148"/>
      <c r="E121" s="149"/>
      <c r="F121" s="150"/>
      <c r="G121" s="107">
        <v>16</v>
      </c>
      <c r="H121" s="108">
        <v>7</v>
      </c>
      <c r="I121" s="108">
        <v>2</v>
      </c>
      <c r="J121" s="118">
        <f>D117</f>
        <v>0.74299999999999999</v>
      </c>
      <c r="K121" s="119" t="str">
        <f t="shared" si="14"/>
        <v>0</v>
      </c>
      <c r="L121" s="120">
        <v>1</v>
      </c>
      <c r="M121" s="108">
        <f t="shared" si="15"/>
        <v>3.2000000000000001E-2</v>
      </c>
      <c r="N121" s="121">
        <f>J121+E120-M121</f>
        <v>0.71099999999999997</v>
      </c>
      <c r="O121" s="121">
        <f>H121*I121*N121</f>
        <v>9.9539999999999988</v>
      </c>
      <c r="P121" s="151" t="str">
        <f t="shared" si="0"/>
        <v/>
      </c>
      <c r="Q121" s="151" t="str">
        <f t="shared" si="1"/>
        <v/>
      </c>
      <c r="R121" s="151" t="str">
        <f t="shared" si="2"/>
        <v/>
      </c>
      <c r="S121" s="151">
        <f t="shared" si="3"/>
        <v>9.9539999999999988</v>
      </c>
      <c r="T121" s="151" t="str">
        <f t="shared" si="4"/>
        <v/>
      </c>
      <c r="U121" s="151" t="str">
        <f t="shared" si="5"/>
        <v/>
      </c>
      <c r="V121" s="108"/>
    </row>
    <row r="122" spans="1:22">
      <c r="A122" s="101"/>
      <c r="B122" s="152"/>
      <c r="C122" s="147"/>
      <c r="D122" s="148"/>
      <c r="E122" s="149"/>
      <c r="F122" s="150"/>
      <c r="G122" s="107"/>
      <c r="H122" s="108"/>
      <c r="I122" s="108"/>
      <c r="J122" s="109"/>
      <c r="K122" s="108"/>
      <c r="L122" s="108"/>
      <c r="M122" s="108"/>
      <c r="N122" s="108"/>
      <c r="O122" s="110"/>
      <c r="P122" s="151" t="str">
        <f t="shared" si="0"/>
        <v/>
      </c>
      <c r="Q122" s="151" t="str">
        <f t="shared" si="1"/>
        <v/>
      </c>
      <c r="R122" s="151" t="str">
        <f t="shared" si="2"/>
        <v/>
      </c>
      <c r="S122" s="151" t="str">
        <f t="shared" si="3"/>
        <v/>
      </c>
      <c r="T122" s="151" t="str">
        <f t="shared" si="4"/>
        <v/>
      </c>
      <c r="U122" s="151" t="str">
        <f t="shared" si="5"/>
        <v/>
      </c>
      <c r="V122" s="108"/>
    </row>
    <row r="123" spans="1:22">
      <c r="A123" s="101"/>
      <c r="B123" s="101"/>
      <c r="C123" s="156">
        <v>0.08</v>
      </c>
      <c r="D123" s="148"/>
      <c r="E123" s="149"/>
      <c r="F123" s="150"/>
      <c r="G123" s="107"/>
      <c r="H123" s="108"/>
      <c r="I123" s="108"/>
      <c r="J123" s="109"/>
      <c r="K123" s="108"/>
      <c r="L123" s="108"/>
      <c r="M123" s="108"/>
      <c r="N123" s="108"/>
      <c r="O123" s="110"/>
      <c r="P123" s="151" t="str">
        <f t="shared" si="0"/>
        <v/>
      </c>
      <c r="Q123" s="151" t="str">
        <f t="shared" si="1"/>
        <v/>
      </c>
      <c r="R123" s="151" t="str">
        <f t="shared" si="2"/>
        <v/>
      </c>
      <c r="S123" s="151" t="str">
        <f t="shared" si="3"/>
        <v/>
      </c>
      <c r="T123" s="151" t="str">
        <f t="shared" si="4"/>
        <v/>
      </c>
      <c r="U123" s="151" t="str">
        <f t="shared" si="5"/>
        <v/>
      </c>
      <c r="V123" s="108"/>
    </row>
    <row r="124" spans="1:22">
      <c r="A124" s="101"/>
      <c r="B124" s="157" t="s">
        <v>386</v>
      </c>
      <c r="C124" s="158"/>
      <c r="D124" s="148"/>
      <c r="E124" s="159">
        <f>0.75-0.08</f>
        <v>0.67</v>
      </c>
      <c r="F124" s="150"/>
      <c r="G124" s="107">
        <v>10</v>
      </c>
      <c r="H124" s="108">
        <v>7</v>
      </c>
      <c r="I124" s="108">
        <v>4</v>
      </c>
      <c r="J124" s="160">
        <f>2*(D126+E124)+2*8*G124/1000</f>
        <v>1.94</v>
      </c>
      <c r="K124" s="108"/>
      <c r="L124" s="108">
        <v>5</v>
      </c>
      <c r="M124" s="121">
        <f>2*G124*L124/1000</f>
        <v>0.1</v>
      </c>
      <c r="N124" s="121">
        <f>(J124+K124-M124)</f>
        <v>1.8399999999999999</v>
      </c>
      <c r="O124" s="121">
        <f>(H124*I124*N124)</f>
        <v>51.519999999999996</v>
      </c>
      <c r="P124" s="151" t="str">
        <f t="shared" si="0"/>
        <v/>
      </c>
      <c r="Q124" s="151">
        <f t="shared" si="1"/>
        <v>51.519999999999996</v>
      </c>
      <c r="R124" s="151" t="str">
        <f t="shared" si="2"/>
        <v/>
      </c>
      <c r="S124" s="151" t="str">
        <f t="shared" si="3"/>
        <v/>
      </c>
      <c r="T124" s="151" t="str">
        <f t="shared" si="4"/>
        <v/>
      </c>
      <c r="U124" s="151" t="str">
        <f t="shared" si="5"/>
        <v/>
      </c>
      <c r="V124" s="108"/>
    </row>
    <row r="125" spans="1:22">
      <c r="A125" s="101"/>
      <c r="B125" s="157"/>
      <c r="C125" s="147"/>
      <c r="D125" s="148"/>
      <c r="E125" s="161"/>
      <c r="F125" s="150"/>
      <c r="G125" s="107"/>
      <c r="H125" s="108"/>
      <c r="I125" s="108"/>
      <c r="J125" s="109"/>
      <c r="K125" s="108"/>
      <c r="L125" s="108"/>
      <c r="M125" s="108"/>
      <c r="N125" s="108"/>
      <c r="O125" s="121"/>
      <c r="P125" s="151" t="str">
        <f t="shared" si="0"/>
        <v/>
      </c>
      <c r="Q125" s="151" t="str">
        <f t="shared" si="1"/>
        <v/>
      </c>
      <c r="R125" s="151" t="str">
        <f t="shared" si="2"/>
        <v/>
      </c>
      <c r="S125" s="151" t="str">
        <f t="shared" si="3"/>
        <v/>
      </c>
      <c r="T125" s="151" t="str">
        <f t="shared" si="4"/>
        <v/>
      </c>
      <c r="U125" s="151" t="str">
        <f t="shared" si="5"/>
        <v/>
      </c>
      <c r="V125" s="108"/>
    </row>
    <row r="126" spans="1:22">
      <c r="A126" s="101"/>
      <c r="B126" s="157"/>
      <c r="C126" s="147"/>
      <c r="D126" s="118">
        <f>0.3-0.08</f>
        <v>0.21999999999999997</v>
      </c>
      <c r="E126" s="149"/>
      <c r="F126" s="150"/>
      <c r="G126" s="107"/>
      <c r="H126" s="108"/>
      <c r="I126" s="108"/>
      <c r="J126" s="109"/>
      <c r="K126" s="108"/>
      <c r="L126" s="108"/>
      <c r="M126" s="108"/>
      <c r="N126" s="108"/>
      <c r="O126" s="121"/>
      <c r="P126" s="151" t="str">
        <f t="shared" si="0"/>
        <v/>
      </c>
      <c r="Q126" s="151" t="str">
        <f t="shared" si="1"/>
        <v/>
      </c>
      <c r="R126" s="151" t="str">
        <f t="shared" si="2"/>
        <v/>
      </c>
      <c r="S126" s="151" t="str">
        <f t="shared" si="3"/>
        <v/>
      </c>
      <c r="T126" s="151" t="str">
        <f t="shared" si="4"/>
        <v/>
      </c>
      <c r="U126" s="151" t="str">
        <f t="shared" si="5"/>
        <v/>
      </c>
      <c r="V126" s="108"/>
    </row>
    <row r="127" spans="1:22">
      <c r="A127" s="101"/>
      <c r="B127" s="152"/>
      <c r="C127" s="147"/>
      <c r="D127" s="148"/>
      <c r="E127" s="149"/>
      <c r="F127" s="150"/>
      <c r="G127" s="107"/>
      <c r="H127" s="108"/>
      <c r="I127" s="108"/>
      <c r="J127" s="109"/>
      <c r="K127" s="108"/>
      <c r="L127" s="108"/>
      <c r="M127" s="108"/>
      <c r="N127" s="108"/>
      <c r="O127" s="121"/>
      <c r="P127" s="151" t="str">
        <f t="shared" si="0"/>
        <v/>
      </c>
      <c r="Q127" s="151" t="str">
        <f t="shared" si="1"/>
        <v/>
      </c>
      <c r="R127" s="151" t="str">
        <f t="shared" si="2"/>
        <v/>
      </c>
      <c r="S127" s="151" t="str">
        <f t="shared" si="3"/>
        <v/>
      </c>
      <c r="T127" s="151" t="str">
        <f t="shared" si="4"/>
        <v/>
      </c>
      <c r="U127" s="151" t="str">
        <f t="shared" si="5"/>
        <v/>
      </c>
      <c r="V127" s="108"/>
    </row>
    <row r="128" spans="1:22">
      <c r="A128" s="101"/>
      <c r="B128" s="101"/>
      <c r="C128" s="156">
        <v>0.08</v>
      </c>
      <c r="D128" s="148"/>
      <c r="E128" s="149"/>
      <c r="F128" s="150"/>
      <c r="G128" s="107"/>
      <c r="H128" s="108"/>
      <c r="I128" s="108"/>
      <c r="J128" s="109"/>
      <c r="K128" s="108"/>
      <c r="L128" s="108"/>
      <c r="M128" s="108"/>
      <c r="N128" s="108"/>
      <c r="O128" s="121"/>
      <c r="P128" s="151" t="str">
        <f t="shared" si="0"/>
        <v/>
      </c>
      <c r="Q128" s="151" t="str">
        <f t="shared" si="1"/>
        <v/>
      </c>
      <c r="R128" s="151" t="str">
        <f t="shared" si="2"/>
        <v/>
      </c>
      <c r="S128" s="151" t="str">
        <f t="shared" si="3"/>
        <v/>
      </c>
      <c r="T128" s="151" t="str">
        <f t="shared" si="4"/>
        <v/>
      </c>
      <c r="U128" s="151" t="str">
        <f t="shared" si="5"/>
        <v/>
      </c>
      <c r="V128" s="108"/>
    </row>
    <row r="129" spans="1:22">
      <c r="A129" s="101"/>
      <c r="B129" s="157" t="s">
        <v>387</v>
      </c>
      <c r="C129" s="158"/>
      <c r="D129" s="148"/>
      <c r="E129" s="159">
        <f>(2*((0.75-0.08-0.016)/6))+0.012+0.02</f>
        <v>0.25</v>
      </c>
      <c r="F129" s="150"/>
      <c r="G129" s="107">
        <v>10</v>
      </c>
      <c r="H129" s="108">
        <v>7</v>
      </c>
      <c r="I129" s="108">
        <v>1</v>
      </c>
      <c r="J129" s="160">
        <f>2*(D131+E129)+2*8*G129/1000</f>
        <v>1.0999999999999999</v>
      </c>
      <c r="K129" s="108"/>
      <c r="L129" s="108">
        <v>5</v>
      </c>
      <c r="M129" s="121">
        <f>2*G129*L129/1000</f>
        <v>0.1</v>
      </c>
      <c r="N129" s="121">
        <f>(J129+K129-M129)</f>
        <v>0.99999999999999989</v>
      </c>
      <c r="O129" s="121">
        <f>(H129*I129*N129)</f>
        <v>6.9999999999999991</v>
      </c>
      <c r="P129" s="151" t="str">
        <f t="shared" si="0"/>
        <v/>
      </c>
      <c r="Q129" s="151">
        <f t="shared" si="1"/>
        <v>6.9999999999999991</v>
      </c>
      <c r="R129" s="151" t="str">
        <f t="shared" si="2"/>
        <v/>
      </c>
      <c r="S129" s="151" t="str">
        <f t="shared" si="3"/>
        <v/>
      </c>
      <c r="T129" s="151" t="str">
        <f t="shared" si="4"/>
        <v/>
      </c>
      <c r="U129" s="151" t="str">
        <f t="shared" si="5"/>
        <v/>
      </c>
      <c r="V129" s="108"/>
    </row>
    <row r="130" spans="1:22">
      <c r="A130" s="101"/>
      <c r="B130" s="157"/>
      <c r="C130" s="147"/>
      <c r="D130" s="148"/>
      <c r="E130" s="161"/>
      <c r="F130" s="150"/>
      <c r="G130" s="107"/>
      <c r="H130" s="108"/>
      <c r="I130" s="108"/>
      <c r="J130" s="109"/>
      <c r="K130" s="108"/>
      <c r="L130" s="108"/>
      <c r="M130" s="108"/>
      <c r="N130" s="108"/>
      <c r="O130" s="121"/>
      <c r="P130" s="151" t="str">
        <f t="shared" si="0"/>
        <v/>
      </c>
      <c r="Q130" s="151" t="str">
        <f t="shared" si="1"/>
        <v/>
      </c>
      <c r="R130" s="151" t="str">
        <f t="shared" si="2"/>
        <v/>
      </c>
      <c r="S130" s="151" t="str">
        <f t="shared" si="3"/>
        <v/>
      </c>
      <c r="T130" s="151" t="str">
        <f t="shared" si="4"/>
        <v/>
      </c>
      <c r="U130" s="151" t="str">
        <f t="shared" si="5"/>
        <v/>
      </c>
      <c r="V130" s="108"/>
    </row>
    <row r="131" spans="1:22">
      <c r="A131" s="101"/>
      <c r="B131" s="157"/>
      <c r="C131" s="147"/>
      <c r="D131" s="118">
        <f>0.3-0.08</f>
        <v>0.21999999999999997</v>
      </c>
      <c r="E131" s="149"/>
      <c r="F131" s="150"/>
      <c r="G131" s="107"/>
      <c r="H131" s="108"/>
      <c r="I131" s="108"/>
      <c r="J131" s="109"/>
      <c r="K131" s="108"/>
      <c r="L131" s="108"/>
      <c r="M131" s="108"/>
      <c r="N131" s="108"/>
      <c r="O131" s="121"/>
      <c r="P131" s="151" t="str">
        <f t="shared" si="0"/>
        <v/>
      </c>
      <c r="Q131" s="151" t="str">
        <f t="shared" si="1"/>
        <v/>
      </c>
      <c r="R131" s="151" t="str">
        <f t="shared" si="2"/>
        <v/>
      </c>
      <c r="S131" s="151" t="str">
        <f t="shared" si="3"/>
        <v/>
      </c>
      <c r="T131" s="151" t="str">
        <f t="shared" si="4"/>
        <v/>
      </c>
      <c r="U131" s="151" t="str">
        <f t="shared" si="5"/>
        <v/>
      </c>
      <c r="V131" s="108"/>
    </row>
    <row r="132" spans="1:22">
      <c r="A132" s="101"/>
      <c r="B132" s="157"/>
      <c r="C132" s="147"/>
      <c r="D132" s="148"/>
      <c r="E132" s="149"/>
      <c r="F132" s="150"/>
      <c r="G132" s="107"/>
      <c r="H132" s="108"/>
      <c r="I132" s="108"/>
      <c r="J132" s="109"/>
      <c r="K132" s="108"/>
      <c r="L132" s="108"/>
      <c r="M132" s="108"/>
      <c r="N132" s="108"/>
      <c r="O132" s="121"/>
      <c r="P132" s="151" t="str">
        <f t="shared" si="0"/>
        <v/>
      </c>
      <c r="Q132" s="151" t="str">
        <f t="shared" si="1"/>
        <v/>
      </c>
      <c r="R132" s="151" t="str">
        <f t="shared" si="2"/>
        <v/>
      </c>
      <c r="S132" s="151" t="str">
        <f t="shared" si="3"/>
        <v/>
      </c>
      <c r="T132" s="151" t="str">
        <f t="shared" si="4"/>
        <v/>
      </c>
      <c r="U132" s="151" t="str">
        <f t="shared" si="5"/>
        <v/>
      </c>
      <c r="V132" s="108"/>
    </row>
    <row r="133" spans="1:22">
      <c r="A133" s="101"/>
      <c r="B133" s="157" t="s">
        <v>388</v>
      </c>
      <c r="C133" s="147"/>
      <c r="D133" s="153"/>
      <c r="E133" s="149"/>
      <c r="F133" s="150"/>
      <c r="G133" s="107">
        <v>10</v>
      </c>
      <c r="H133" s="108">
        <v>7</v>
      </c>
      <c r="I133" s="108">
        <v>1</v>
      </c>
      <c r="J133" s="160">
        <f>C134+D136+E134+2*8*G133/1000</f>
        <v>0.73</v>
      </c>
      <c r="K133" s="108"/>
      <c r="L133" s="108">
        <v>4</v>
      </c>
      <c r="M133" s="121">
        <f>2*G133*L133/1000</f>
        <v>0.08</v>
      </c>
      <c r="N133" s="121">
        <f>(J133+K133-M133)</f>
        <v>0.65</v>
      </c>
      <c r="O133" s="121">
        <f>(H133*I133*N133)</f>
        <v>4.55</v>
      </c>
      <c r="P133" s="151" t="str">
        <f t="shared" si="0"/>
        <v/>
      </c>
      <c r="Q133" s="151">
        <f t="shared" si="1"/>
        <v>4.55</v>
      </c>
      <c r="R133" s="151" t="str">
        <f t="shared" si="2"/>
        <v/>
      </c>
      <c r="S133" s="151" t="str">
        <f t="shared" si="3"/>
        <v/>
      </c>
      <c r="T133" s="151" t="str">
        <f t="shared" si="4"/>
        <v/>
      </c>
      <c r="U133" s="151" t="str">
        <f t="shared" si="5"/>
        <v/>
      </c>
      <c r="V133" s="108"/>
    </row>
    <row r="134" spans="1:22">
      <c r="A134" s="101"/>
      <c r="B134" s="157"/>
      <c r="C134" s="162">
        <v>0.17499999999999999</v>
      </c>
      <c r="D134" s="148"/>
      <c r="E134" s="149">
        <v>0.17499999999999999</v>
      </c>
      <c r="F134" s="150"/>
      <c r="G134" s="107"/>
      <c r="H134" s="108"/>
      <c r="I134" s="108"/>
      <c r="J134" s="109"/>
      <c r="K134" s="108"/>
      <c r="L134" s="108"/>
      <c r="M134" s="108"/>
      <c r="N134" s="108"/>
      <c r="O134" s="121"/>
      <c r="P134" s="151" t="str">
        <f>IF($G134=8,$O134,"")</f>
        <v/>
      </c>
      <c r="Q134" s="151" t="str">
        <f>IF($G134=10,$O134,"")</f>
        <v/>
      </c>
      <c r="R134" s="151" t="str">
        <f>IF($G134=12,$O134,"")</f>
        <v/>
      </c>
      <c r="S134" s="151" t="str">
        <f>IF($G134=16,$O134,"")</f>
        <v/>
      </c>
      <c r="T134" s="151" t="str">
        <f>IF($G134=20,$O134,"")</f>
        <v/>
      </c>
      <c r="U134" s="151" t="str">
        <f>IF($G134=25,$O134,"")</f>
        <v/>
      </c>
      <c r="V134" s="108"/>
    </row>
    <row r="135" spans="1:22">
      <c r="A135" s="101"/>
      <c r="B135" s="157"/>
      <c r="C135" s="147"/>
      <c r="D135" s="148"/>
      <c r="E135" s="149"/>
      <c r="F135" s="150"/>
      <c r="G135" s="107"/>
      <c r="H135" s="108"/>
      <c r="I135" s="108"/>
      <c r="J135" s="109"/>
      <c r="K135" s="108"/>
      <c r="L135" s="108"/>
      <c r="M135" s="108"/>
      <c r="N135" s="108"/>
      <c r="O135" s="121"/>
      <c r="P135" s="151" t="str">
        <f t="shared" si="0"/>
        <v/>
      </c>
      <c r="Q135" s="151" t="str">
        <f t="shared" si="1"/>
        <v/>
      </c>
      <c r="R135" s="151" t="str">
        <f t="shared" si="2"/>
        <v/>
      </c>
      <c r="S135" s="151" t="str">
        <f t="shared" si="3"/>
        <v/>
      </c>
      <c r="T135" s="151" t="str">
        <f t="shared" si="4"/>
        <v/>
      </c>
      <c r="U135" s="151" t="str">
        <f t="shared" si="5"/>
        <v/>
      </c>
      <c r="V135" s="108"/>
    </row>
    <row r="136" spans="1:22">
      <c r="A136" s="101"/>
      <c r="B136" s="157"/>
      <c r="C136" s="147"/>
      <c r="D136" s="118">
        <f>0.3-0.08</f>
        <v>0.21999999999999997</v>
      </c>
      <c r="E136" s="149"/>
      <c r="F136" s="150"/>
      <c r="G136" s="107"/>
      <c r="H136" s="108"/>
      <c r="I136" s="108"/>
      <c r="J136" s="109"/>
      <c r="K136" s="108"/>
      <c r="L136" s="108"/>
      <c r="M136" s="108"/>
      <c r="N136" s="108"/>
      <c r="O136" s="121"/>
      <c r="P136" s="151" t="str">
        <f t="shared" si="0"/>
        <v/>
      </c>
      <c r="Q136" s="151" t="str">
        <f t="shared" si="1"/>
        <v/>
      </c>
      <c r="R136" s="151" t="str">
        <f t="shared" si="2"/>
        <v/>
      </c>
      <c r="S136" s="151" t="str">
        <f t="shared" si="3"/>
        <v/>
      </c>
      <c r="T136" s="151" t="str">
        <f t="shared" si="4"/>
        <v/>
      </c>
      <c r="U136" s="151" t="str">
        <f t="shared" si="5"/>
        <v/>
      </c>
      <c r="V136" s="108"/>
    </row>
    <row r="137" spans="1:22">
      <c r="A137" s="101"/>
      <c r="B137" s="157"/>
      <c r="C137" s="147"/>
      <c r="D137" s="148"/>
      <c r="E137" s="149"/>
      <c r="F137" s="150"/>
      <c r="G137" s="107"/>
      <c r="H137" s="108"/>
      <c r="I137" s="108"/>
      <c r="J137" s="109"/>
      <c r="K137" s="108"/>
      <c r="L137" s="108"/>
      <c r="M137" s="108"/>
      <c r="N137" s="108"/>
      <c r="O137" s="121"/>
      <c r="P137" s="151" t="str">
        <f t="shared" si="0"/>
        <v/>
      </c>
      <c r="Q137" s="151" t="str">
        <f t="shared" si="1"/>
        <v/>
      </c>
      <c r="R137" s="151" t="str">
        <f t="shared" si="2"/>
        <v/>
      </c>
      <c r="S137" s="151" t="str">
        <f t="shared" si="3"/>
        <v/>
      </c>
      <c r="T137" s="151" t="str">
        <f t="shared" si="4"/>
        <v/>
      </c>
      <c r="U137" s="151" t="str">
        <f t="shared" si="5"/>
        <v/>
      </c>
      <c r="V137" s="108"/>
    </row>
    <row r="138" spans="1:22">
      <c r="A138" s="101"/>
      <c r="B138" s="157" t="s">
        <v>389</v>
      </c>
      <c r="C138" s="147"/>
      <c r="D138" s="153"/>
      <c r="E138" s="149"/>
      <c r="F138" s="150"/>
      <c r="G138" s="107">
        <v>10</v>
      </c>
      <c r="H138" s="108">
        <v>7</v>
      </c>
      <c r="I138" s="108">
        <v>1</v>
      </c>
      <c r="J138" s="160">
        <f>C139+D141+E139+2*8*G138/1000</f>
        <v>0.73</v>
      </c>
      <c r="K138" s="108"/>
      <c r="L138" s="108">
        <v>4</v>
      </c>
      <c r="M138" s="121">
        <f>2*G138*L138/1000</f>
        <v>0.08</v>
      </c>
      <c r="N138" s="121">
        <f>(J138+K138-M138)</f>
        <v>0.65</v>
      </c>
      <c r="O138" s="121">
        <f>(H138*I138*N138)</f>
        <v>4.55</v>
      </c>
      <c r="P138" s="151" t="str">
        <f t="shared" si="0"/>
        <v/>
      </c>
      <c r="Q138" s="151">
        <f t="shared" si="1"/>
        <v>4.55</v>
      </c>
      <c r="R138" s="151" t="str">
        <f t="shared" si="2"/>
        <v/>
      </c>
      <c r="S138" s="151" t="str">
        <f t="shared" si="3"/>
        <v/>
      </c>
      <c r="T138" s="151" t="str">
        <f t="shared" si="4"/>
        <v/>
      </c>
      <c r="U138" s="151" t="str">
        <f t="shared" si="5"/>
        <v/>
      </c>
      <c r="V138" s="108"/>
    </row>
    <row r="139" spans="1:22">
      <c r="A139" s="101"/>
      <c r="B139" s="157"/>
      <c r="C139" s="162">
        <v>0.17499999999999999</v>
      </c>
      <c r="D139" s="148"/>
      <c r="E139" s="149">
        <v>0.17499999999999999</v>
      </c>
      <c r="F139" s="150"/>
      <c r="G139" s="107"/>
      <c r="H139" s="108"/>
      <c r="I139" s="108"/>
      <c r="J139" s="109"/>
      <c r="K139" s="108"/>
      <c r="L139" s="108"/>
      <c r="M139" s="108"/>
      <c r="N139" s="108"/>
      <c r="O139" s="121"/>
      <c r="P139" s="151" t="str">
        <f t="shared" si="0"/>
        <v/>
      </c>
      <c r="Q139" s="151" t="str">
        <f t="shared" si="1"/>
        <v/>
      </c>
      <c r="R139" s="151" t="str">
        <f t="shared" si="2"/>
        <v/>
      </c>
      <c r="S139" s="151" t="str">
        <f t="shared" si="3"/>
        <v/>
      </c>
      <c r="T139" s="151" t="str">
        <f t="shared" si="4"/>
        <v/>
      </c>
      <c r="U139" s="151" t="str">
        <f t="shared" si="5"/>
        <v/>
      </c>
      <c r="V139" s="108"/>
    </row>
    <row r="140" spans="1:22">
      <c r="A140" s="101"/>
      <c r="B140" s="157"/>
      <c r="C140" s="147"/>
      <c r="D140" s="148"/>
      <c r="E140" s="149"/>
      <c r="F140" s="150"/>
      <c r="G140" s="107"/>
      <c r="H140" s="108"/>
      <c r="I140" s="108"/>
      <c r="J140" s="109"/>
      <c r="K140" s="108"/>
      <c r="L140" s="108"/>
      <c r="M140" s="108"/>
      <c r="N140" s="108"/>
      <c r="O140" s="110"/>
      <c r="P140" s="151" t="str">
        <f t="shared" si="0"/>
        <v/>
      </c>
      <c r="Q140" s="151" t="str">
        <f t="shared" si="1"/>
        <v/>
      </c>
      <c r="R140" s="151" t="str">
        <f t="shared" si="2"/>
        <v/>
      </c>
      <c r="S140" s="151" t="str">
        <f t="shared" si="3"/>
        <v/>
      </c>
      <c r="T140" s="151" t="str">
        <f t="shared" si="4"/>
        <v/>
      </c>
      <c r="U140" s="151" t="str">
        <f t="shared" si="5"/>
        <v/>
      </c>
      <c r="V140" s="108"/>
    </row>
    <row r="141" spans="1:22">
      <c r="A141" s="101"/>
      <c r="B141" s="157"/>
      <c r="C141" s="147"/>
      <c r="D141" s="118">
        <f>0.3-0.08</f>
        <v>0.21999999999999997</v>
      </c>
      <c r="E141" s="149"/>
      <c r="F141" s="150"/>
      <c r="G141" s="107"/>
      <c r="H141" s="108"/>
      <c r="I141" s="108"/>
      <c r="J141" s="109"/>
      <c r="K141" s="108"/>
      <c r="L141" s="108"/>
      <c r="M141" s="108"/>
      <c r="N141" s="108"/>
      <c r="O141" s="110"/>
      <c r="P141" s="151" t="str">
        <f t="shared" si="0"/>
        <v/>
      </c>
      <c r="Q141" s="151" t="str">
        <f t="shared" si="1"/>
        <v/>
      </c>
      <c r="R141" s="151" t="str">
        <f t="shared" si="2"/>
        <v/>
      </c>
      <c r="S141" s="151" t="str">
        <f t="shared" si="3"/>
        <v/>
      </c>
      <c r="T141" s="151" t="str">
        <f t="shared" si="4"/>
        <v/>
      </c>
      <c r="U141" s="151" t="str">
        <f t="shared" si="5"/>
        <v/>
      </c>
      <c r="V141" s="108"/>
    </row>
    <row r="142" spans="1:22">
      <c r="A142" s="101"/>
      <c r="B142" s="152"/>
      <c r="C142" s="147"/>
      <c r="D142" s="148"/>
      <c r="E142" s="149"/>
      <c r="F142" s="150"/>
      <c r="G142" s="107"/>
      <c r="H142" s="108"/>
      <c r="I142" s="108"/>
      <c r="J142" s="109"/>
      <c r="K142" s="108"/>
      <c r="L142" s="108"/>
      <c r="M142" s="108"/>
      <c r="N142" s="108"/>
      <c r="O142" s="110"/>
      <c r="P142" s="151" t="str">
        <f t="shared" si="0"/>
        <v/>
      </c>
      <c r="Q142" s="151" t="str">
        <f t="shared" si="1"/>
        <v/>
      </c>
      <c r="R142" s="151" t="str">
        <f t="shared" si="2"/>
        <v/>
      </c>
      <c r="S142" s="151" t="str">
        <f t="shared" si="3"/>
        <v/>
      </c>
      <c r="T142" s="151" t="str">
        <f t="shared" si="4"/>
        <v/>
      </c>
      <c r="U142" s="151" t="str">
        <f t="shared" si="5"/>
        <v/>
      </c>
      <c r="V142" s="108"/>
    </row>
    <row r="143" spans="1:22">
      <c r="A143" s="101"/>
      <c r="B143" s="152"/>
      <c r="C143" s="147"/>
      <c r="D143" s="148"/>
      <c r="E143" s="155">
        <v>0.08</v>
      </c>
      <c r="F143" s="150"/>
      <c r="G143" s="107"/>
      <c r="H143" s="108"/>
      <c r="I143" s="108"/>
      <c r="J143" s="109"/>
      <c r="K143" s="108"/>
      <c r="L143" s="108"/>
      <c r="M143" s="108"/>
      <c r="N143" s="108"/>
      <c r="O143" s="110"/>
      <c r="P143" s="151" t="str">
        <f t="shared" si="0"/>
        <v/>
      </c>
      <c r="Q143" s="151" t="str">
        <f t="shared" si="1"/>
        <v/>
      </c>
      <c r="R143" s="151" t="str">
        <f t="shared" si="2"/>
        <v/>
      </c>
      <c r="S143" s="151" t="str">
        <f t="shared" si="3"/>
        <v/>
      </c>
      <c r="T143" s="151" t="str">
        <f t="shared" si="4"/>
        <v/>
      </c>
      <c r="U143" s="151" t="str">
        <f t="shared" si="5"/>
        <v/>
      </c>
      <c r="V143" s="108"/>
    </row>
    <row r="144" spans="1:22">
      <c r="A144" s="101"/>
      <c r="B144" s="157" t="s">
        <v>394</v>
      </c>
      <c r="C144" s="147"/>
      <c r="D144" s="153">
        <f>0.3-0.08</f>
        <v>0.21999999999999997</v>
      </c>
      <c r="E144" s="155"/>
      <c r="F144" s="150"/>
      <c r="G144" s="107">
        <v>10</v>
      </c>
      <c r="H144" s="108">
        <v>7</v>
      </c>
      <c r="I144" s="108">
        <v>1</v>
      </c>
      <c r="J144" s="160">
        <f>D144+E143+E145</f>
        <v>0.38</v>
      </c>
      <c r="K144" s="108"/>
      <c r="L144" s="108">
        <v>2</v>
      </c>
      <c r="M144" s="121">
        <f>2*G144*L144/1000</f>
        <v>0.04</v>
      </c>
      <c r="N144" s="121">
        <f>(J144+K144-M144)</f>
        <v>0.34</v>
      </c>
      <c r="O144" s="121">
        <f>(H144*I144*N144)</f>
        <v>2.3800000000000003</v>
      </c>
      <c r="P144" s="151" t="str">
        <f t="shared" si="0"/>
        <v/>
      </c>
      <c r="Q144" s="151">
        <f t="shared" si="1"/>
        <v>2.3800000000000003</v>
      </c>
      <c r="R144" s="151" t="str">
        <f t="shared" si="2"/>
        <v/>
      </c>
      <c r="S144" s="151" t="str">
        <f t="shared" si="3"/>
        <v/>
      </c>
      <c r="T144" s="151" t="str">
        <f t="shared" si="4"/>
        <v/>
      </c>
      <c r="U144" s="151" t="str">
        <f t="shared" si="5"/>
        <v/>
      </c>
      <c r="V144" s="108"/>
    </row>
    <row r="145" spans="1:22">
      <c r="A145" s="101"/>
      <c r="B145" s="152"/>
      <c r="C145" s="147"/>
      <c r="D145" s="148"/>
      <c r="E145" s="155">
        <v>0.08</v>
      </c>
      <c r="F145" s="150"/>
      <c r="G145" s="107"/>
      <c r="H145" s="108"/>
      <c r="I145" s="108"/>
      <c r="J145" s="109"/>
      <c r="K145" s="108"/>
      <c r="L145" s="108"/>
      <c r="M145" s="108"/>
      <c r="N145" s="108"/>
      <c r="O145" s="110"/>
      <c r="P145" s="151" t="str">
        <f t="shared" si="0"/>
        <v/>
      </c>
      <c r="Q145" s="151" t="str">
        <f t="shared" si="1"/>
        <v/>
      </c>
      <c r="R145" s="151" t="str">
        <f t="shared" si="2"/>
        <v/>
      </c>
      <c r="S145" s="151" t="str">
        <f t="shared" si="3"/>
        <v/>
      </c>
      <c r="T145" s="151" t="str">
        <f t="shared" si="4"/>
        <v/>
      </c>
      <c r="U145" s="151" t="str">
        <f t="shared" si="5"/>
        <v/>
      </c>
      <c r="V145" s="108"/>
    </row>
    <row r="146" spans="1:22">
      <c r="A146" s="101"/>
      <c r="B146" s="157"/>
      <c r="C146" s="147"/>
      <c r="D146" s="163"/>
      <c r="E146" s="149"/>
      <c r="F146" s="150"/>
      <c r="G146" s="107"/>
      <c r="H146" s="108"/>
      <c r="I146" s="108"/>
      <c r="J146" s="109"/>
      <c r="K146" s="108"/>
      <c r="L146" s="108"/>
      <c r="M146" s="108"/>
      <c r="N146" s="108"/>
      <c r="O146" s="110"/>
      <c r="P146" s="151" t="str">
        <f t="shared" si="0"/>
        <v/>
      </c>
      <c r="Q146" s="151" t="str">
        <f t="shared" si="1"/>
        <v/>
      </c>
      <c r="R146" s="151" t="str">
        <f t="shared" si="2"/>
        <v/>
      </c>
      <c r="S146" s="151" t="str">
        <f t="shared" si="3"/>
        <v/>
      </c>
      <c r="T146" s="151" t="str">
        <f t="shared" si="4"/>
        <v/>
      </c>
      <c r="U146" s="151" t="str">
        <f t="shared" si="5"/>
        <v/>
      </c>
      <c r="V146" s="108"/>
    </row>
    <row r="147" spans="1:22">
      <c r="A147" s="101">
        <v>6</v>
      </c>
      <c r="B147" s="101" t="s">
        <v>396</v>
      </c>
      <c r="C147" s="147"/>
      <c r="D147" s="148"/>
      <c r="E147" s="149"/>
      <c r="F147" s="150"/>
      <c r="G147" s="107"/>
      <c r="H147" s="108"/>
      <c r="I147" s="108"/>
      <c r="J147" s="118"/>
      <c r="K147" s="121"/>
      <c r="L147" s="121"/>
      <c r="M147" s="108"/>
      <c r="N147" s="121"/>
      <c r="O147" s="121"/>
      <c r="P147" s="151" t="str">
        <f>IF($G147=8,$O147,"")</f>
        <v/>
      </c>
      <c r="Q147" s="151" t="str">
        <f>IF($G147=10,$O147,"")</f>
        <v/>
      </c>
      <c r="R147" s="151" t="str">
        <f>IF($G147=12,$O147,"")</f>
        <v/>
      </c>
      <c r="S147" s="151" t="str">
        <f>IF($G147=16,$O147,"")</f>
        <v/>
      </c>
      <c r="T147" s="151" t="str">
        <f>IF($G147=20,$O147,"")</f>
        <v/>
      </c>
      <c r="U147" s="151" t="str">
        <f>IF($G147=25,$O147,"")</f>
        <v/>
      </c>
      <c r="V147" s="108"/>
    </row>
    <row r="148" spans="1:22">
      <c r="A148" s="101"/>
      <c r="B148" s="152" t="s">
        <v>382</v>
      </c>
      <c r="C148" s="147"/>
      <c r="D148" s="153">
        <f>0.85-0.075-2*0.016</f>
        <v>0.74299999999999999</v>
      </c>
      <c r="E148" s="149"/>
      <c r="F148" s="150"/>
      <c r="G148" s="107">
        <v>16</v>
      </c>
      <c r="H148" s="108">
        <v>7</v>
      </c>
      <c r="I148" s="108">
        <v>4</v>
      </c>
      <c r="J148" s="118">
        <f>D148</f>
        <v>0.74299999999999999</v>
      </c>
      <c r="K148" s="119" t="str">
        <f>IF(N148&lt;12,"0",0.049*G148)</f>
        <v>0</v>
      </c>
      <c r="L148" s="120">
        <v>1</v>
      </c>
      <c r="M148" s="108">
        <f>2*G148*L148/1000</f>
        <v>3.2000000000000001E-2</v>
      </c>
      <c r="N148" s="121">
        <f>J148+E150-M148</f>
        <v>1.0109999999999999</v>
      </c>
      <c r="O148" s="121">
        <f>H148*I148*N148</f>
        <v>28.307999999999996</v>
      </c>
      <c r="P148" s="151" t="str">
        <f t="shared" si="0"/>
        <v/>
      </c>
      <c r="Q148" s="151" t="str">
        <f t="shared" si="1"/>
        <v/>
      </c>
      <c r="R148" s="151" t="str">
        <f t="shared" si="2"/>
        <v/>
      </c>
      <c r="S148" s="151">
        <f t="shared" si="3"/>
        <v>28.307999999999996</v>
      </c>
      <c r="T148" s="151" t="str">
        <f t="shared" si="4"/>
        <v/>
      </c>
      <c r="U148" s="151" t="str">
        <f t="shared" si="5"/>
        <v/>
      </c>
      <c r="V148" s="108"/>
    </row>
    <row r="149" spans="1:22">
      <c r="A149" s="101"/>
      <c r="B149" s="152" t="s">
        <v>383</v>
      </c>
      <c r="C149" s="147"/>
      <c r="D149" s="148"/>
      <c r="E149" s="149"/>
      <c r="F149" s="150"/>
      <c r="G149" s="107">
        <v>12</v>
      </c>
      <c r="H149" s="108">
        <v>7</v>
      </c>
      <c r="I149" s="108">
        <v>2</v>
      </c>
      <c r="J149" s="118">
        <f>D148</f>
        <v>0.74299999999999999</v>
      </c>
      <c r="K149" s="119" t="str">
        <f t="shared" ref="K149:K152" si="16">IF(N149&lt;12,"0",0.049*G149)</f>
        <v>0</v>
      </c>
      <c r="L149" s="120">
        <v>1</v>
      </c>
      <c r="M149" s="108">
        <f t="shared" ref="M149:M152" si="17">2*G149*L149/1000</f>
        <v>2.4E-2</v>
      </c>
      <c r="N149" s="121">
        <f>J149+E150-M149</f>
        <v>1.0189999999999999</v>
      </c>
      <c r="O149" s="121">
        <f>H149*I149*N149</f>
        <v>14.265999999999998</v>
      </c>
      <c r="P149" s="151" t="str">
        <f t="shared" si="0"/>
        <v/>
      </c>
      <c r="Q149" s="151" t="str">
        <f t="shared" si="1"/>
        <v/>
      </c>
      <c r="R149" s="151">
        <f t="shared" si="2"/>
        <v>14.265999999999998</v>
      </c>
      <c r="S149" s="151" t="str">
        <f t="shared" si="3"/>
        <v/>
      </c>
      <c r="T149" s="151" t="str">
        <f t="shared" si="4"/>
        <v/>
      </c>
      <c r="U149" s="151" t="str">
        <f t="shared" si="5"/>
        <v/>
      </c>
      <c r="V149" s="108"/>
    </row>
    <row r="150" spans="1:22">
      <c r="A150" s="101"/>
      <c r="B150" s="152" t="s">
        <v>384</v>
      </c>
      <c r="C150" s="154"/>
      <c r="D150" s="153"/>
      <c r="E150" s="155">
        <v>0.3</v>
      </c>
      <c r="F150" s="150"/>
      <c r="G150" s="107">
        <v>12</v>
      </c>
      <c r="H150" s="108">
        <v>7</v>
      </c>
      <c r="I150" s="108">
        <v>4</v>
      </c>
      <c r="J150" s="118">
        <f>D148</f>
        <v>0.74299999999999999</v>
      </c>
      <c r="K150" s="119" t="str">
        <f t="shared" si="16"/>
        <v>0</v>
      </c>
      <c r="L150" s="120">
        <v>1</v>
      </c>
      <c r="M150" s="108">
        <f t="shared" si="17"/>
        <v>2.4E-2</v>
      </c>
      <c r="N150" s="121">
        <f>J150+E150-M150</f>
        <v>1.0189999999999999</v>
      </c>
      <c r="O150" s="121">
        <f>H150*I150*N150</f>
        <v>28.531999999999996</v>
      </c>
      <c r="P150" s="151" t="str">
        <f t="shared" si="0"/>
        <v/>
      </c>
      <c r="Q150" s="151" t="str">
        <f t="shared" si="1"/>
        <v/>
      </c>
      <c r="R150" s="151">
        <f t="shared" si="2"/>
        <v>28.531999999999996</v>
      </c>
      <c r="S150" s="151" t="str">
        <f t="shared" si="3"/>
        <v/>
      </c>
      <c r="T150" s="151" t="str">
        <f t="shared" si="4"/>
        <v/>
      </c>
      <c r="U150" s="151" t="str">
        <f t="shared" si="5"/>
        <v/>
      </c>
      <c r="V150" s="108"/>
    </row>
    <row r="151" spans="1:22">
      <c r="A151" s="101"/>
      <c r="B151" s="152" t="s">
        <v>385</v>
      </c>
      <c r="C151" s="147"/>
      <c r="D151" s="148"/>
      <c r="E151" s="149"/>
      <c r="F151" s="150"/>
      <c r="G151" s="107">
        <v>12</v>
      </c>
      <c r="H151" s="108">
        <v>7</v>
      </c>
      <c r="I151" s="108">
        <v>4</v>
      </c>
      <c r="J151" s="118">
        <f>D148</f>
        <v>0.74299999999999999</v>
      </c>
      <c r="K151" s="119" t="str">
        <f t="shared" si="16"/>
        <v>0</v>
      </c>
      <c r="L151" s="120">
        <v>1</v>
      </c>
      <c r="M151" s="108">
        <f t="shared" si="17"/>
        <v>2.4E-2</v>
      </c>
      <c r="N151" s="121">
        <f>J151+E150-M151</f>
        <v>1.0189999999999999</v>
      </c>
      <c r="O151" s="121">
        <f>H151*I151*N151</f>
        <v>28.531999999999996</v>
      </c>
      <c r="P151" s="151" t="str">
        <f t="shared" si="0"/>
        <v/>
      </c>
      <c r="Q151" s="151" t="str">
        <f t="shared" si="1"/>
        <v/>
      </c>
      <c r="R151" s="151">
        <f t="shared" si="2"/>
        <v>28.531999999999996</v>
      </c>
      <c r="S151" s="151" t="str">
        <f t="shared" si="3"/>
        <v/>
      </c>
      <c r="T151" s="151" t="str">
        <f t="shared" si="4"/>
        <v/>
      </c>
      <c r="U151" s="151" t="str">
        <f t="shared" si="5"/>
        <v/>
      </c>
      <c r="V151" s="108"/>
    </row>
    <row r="152" spans="1:22">
      <c r="A152" s="101"/>
      <c r="B152" s="152" t="s">
        <v>393</v>
      </c>
      <c r="C152" s="147"/>
      <c r="D152" s="148"/>
      <c r="E152" s="149"/>
      <c r="F152" s="150"/>
      <c r="G152" s="107">
        <v>12</v>
      </c>
      <c r="H152" s="108">
        <v>7</v>
      </c>
      <c r="I152" s="108">
        <v>2</v>
      </c>
      <c r="J152" s="118">
        <f>D148</f>
        <v>0.74299999999999999</v>
      </c>
      <c r="K152" s="119" t="str">
        <f t="shared" si="16"/>
        <v>0</v>
      </c>
      <c r="L152" s="120">
        <v>1</v>
      </c>
      <c r="M152" s="108">
        <f t="shared" si="17"/>
        <v>2.4E-2</v>
      </c>
      <c r="N152" s="121">
        <f>J152+E151-M152</f>
        <v>0.71899999999999997</v>
      </c>
      <c r="O152" s="121">
        <f>H152*I152*N152</f>
        <v>10.065999999999999</v>
      </c>
      <c r="P152" s="151" t="str">
        <f t="shared" si="0"/>
        <v/>
      </c>
      <c r="Q152" s="151" t="str">
        <f t="shared" si="1"/>
        <v/>
      </c>
      <c r="R152" s="151">
        <f t="shared" si="2"/>
        <v>10.065999999999999</v>
      </c>
      <c r="S152" s="151" t="str">
        <f t="shared" si="3"/>
        <v/>
      </c>
      <c r="T152" s="151" t="str">
        <f t="shared" si="4"/>
        <v/>
      </c>
      <c r="U152" s="151" t="str">
        <f t="shared" si="5"/>
        <v/>
      </c>
      <c r="V152" s="108"/>
    </row>
    <row r="153" spans="1:22">
      <c r="A153" s="101"/>
      <c r="B153" s="152"/>
      <c r="C153" s="147"/>
      <c r="D153" s="148"/>
      <c r="E153" s="149"/>
      <c r="F153" s="150"/>
      <c r="G153" s="107"/>
      <c r="H153" s="108"/>
      <c r="I153" s="108"/>
      <c r="J153" s="109"/>
      <c r="K153" s="108"/>
      <c r="L153" s="108"/>
      <c r="M153" s="108"/>
      <c r="N153" s="108"/>
      <c r="O153" s="110"/>
      <c r="P153" s="151" t="str">
        <f t="shared" si="0"/>
        <v/>
      </c>
      <c r="Q153" s="151" t="str">
        <f t="shared" si="1"/>
        <v/>
      </c>
      <c r="R153" s="151" t="str">
        <f t="shared" si="2"/>
        <v/>
      </c>
      <c r="S153" s="151" t="str">
        <f t="shared" si="3"/>
        <v/>
      </c>
      <c r="T153" s="151" t="str">
        <f t="shared" si="4"/>
        <v/>
      </c>
      <c r="U153" s="151" t="str">
        <f t="shared" si="5"/>
        <v/>
      </c>
      <c r="V153" s="108"/>
    </row>
    <row r="154" spans="1:22">
      <c r="A154" s="101"/>
      <c r="B154" s="101"/>
      <c r="C154" s="156">
        <v>0.08</v>
      </c>
      <c r="D154" s="148"/>
      <c r="E154" s="149"/>
      <c r="F154" s="150"/>
      <c r="G154" s="107"/>
      <c r="H154" s="108"/>
      <c r="I154" s="108"/>
      <c r="J154" s="109"/>
      <c r="K154" s="108"/>
      <c r="L154" s="108"/>
      <c r="M154" s="108"/>
      <c r="N154" s="108"/>
      <c r="O154" s="110"/>
      <c r="P154" s="151" t="str">
        <f t="shared" si="0"/>
        <v/>
      </c>
      <c r="Q154" s="151" t="str">
        <f t="shared" si="1"/>
        <v/>
      </c>
      <c r="R154" s="151" t="str">
        <f t="shared" si="2"/>
        <v/>
      </c>
      <c r="S154" s="151" t="str">
        <f t="shared" si="3"/>
        <v/>
      </c>
      <c r="T154" s="151" t="str">
        <f t="shared" si="4"/>
        <v/>
      </c>
      <c r="U154" s="151" t="str">
        <f t="shared" si="5"/>
        <v/>
      </c>
      <c r="V154" s="108"/>
    </row>
    <row r="155" spans="1:22">
      <c r="A155" s="101"/>
      <c r="B155" s="157" t="s">
        <v>386</v>
      </c>
      <c r="C155" s="158"/>
      <c r="D155" s="148"/>
      <c r="E155" s="159">
        <f>0.715-0.08</f>
        <v>0.63500000000000001</v>
      </c>
      <c r="F155" s="150"/>
      <c r="G155" s="107">
        <v>10</v>
      </c>
      <c r="H155" s="108">
        <v>7</v>
      </c>
      <c r="I155" s="108">
        <v>4</v>
      </c>
      <c r="J155" s="160">
        <f>2*(D157+E155)+2*8*G155/1000</f>
        <v>1.8699999999999999</v>
      </c>
      <c r="K155" s="108"/>
      <c r="L155" s="108">
        <v>5</v>
      </c>
      <c r="M155" s="121">
        <f>2*G155*L155/1000</f>
        <v>0.1</v>
      </c>
      <c r="N155" s="121">
        <f>(J155+K155-M155)</f>
        <v>1.7699999999999998</v>
      </c>
      <c r="O155" s="121">
        <f>(H155*I155*N155)</f>
        <v>49.559999999999995</v>
      </c>
      <c r="P155" s="151" t="str">
        <f t="shared" si="0"/>
        <v/>
      </c>
      <c r="Q155" s="151">
        <f t="shared" si="1"/>
        <v>49.559999999999995</v>
      </c>
      <c r="R155" s="151" t="str">
        <f t="shared" si="2"/>
        <v/>
      </c>
      <c r="S155" s="151" t="str">
        <f t="shared" si="3"/>
        <v/>
      </c>
      <c r="T155" s="151" t="str">
        <f t="shared" si="4"/>
        <v/>
      </c>
      <c r="U155" s="151" t="str">
        <f t="shared" si="5"/>
        <v/>
      </c>
      <c r="V155" s="108"/>
    </row>
    <row r="156" spans="1:22">
      <c r="A156" s="101"/>
      <c r="B156" s="157"/>
      <c r="C156" s="147"/>
      <c r="D156" s="148"/>
      <c r="E156" s="161"/>
      <c r="F156" s="150"/>
      <c r="G156" s="107"/>
      <c r="H156" s="108"/>
      <c r="I156" s="108"/>
      <c r="J156" s="109"/>
      <c r="K156" s="108"/>
      <c r="L156" s="108"/>
      <c r="M156" s="108"/>
      <c r="N156" s="108"/>
      <c r="O156" s="121"/>
      <c r="P156" s="151" t="str">
        <f t="shared" si="0"/>
        <v/>
      </c>
      <c r="Q156" s="151" t="str">
        <f t="shared" si="1"/>
        <v/>
      </c>
      <c r="R156" s="151" t="str">
        <f t="shared" si="2"/>
        <v/>
      </c>
      <c r="S156" s="151" t="str">
        <f t="shared" si="3"/>
        <v/>
      </c>
      <c r="T156" s="151" t="str">
        <f t="shared" si="4"/>
        <v/>
      </c>
      <c r="U156" s="151" t="str">
        <f t="shared" si="5"/>
        <v/>
      </c>
      <c r="V156" s="108"/>
    </row>
    <row r="157" spans="1:22">
      <c r="A157" s="101"/>
      <c r="B157" s="157"/>
      <c r="C157" s="147"/>
      <c r="D157" s="118">
        <f>0.3-0.08</f>
        <v>0.21999999999999997</v>
      </c>
      <c r="E157" s="149"/>
      <c r="F157" s="150"/>
      <c r="G157" s="107"/>
      <c r="H157" s="108"/>
      <c r="I157" s="108"/>
      <c r="J157" s="109"/>
      <c r="K157" s="108"/>
      <c r="L157" s="108"/>
      <c r="M157" s="108"/>
      <c r="N157" s="108"/>
      <c r="O157" s="121"/>
      <c r="P157" s="151" t="str">
        <f t="shared" si="0"/>
        <v/>
      </c>
      <c r="Q157" s="151" t="str">
        <f t="shared" si="1"/>
        <v/>
      </c>
      <c r="R157" s="151" t="str">
        <f t="shared" si="2"/>
        <v/>
      </c>
      <c r="S157" s="151" t="str">
        <f t="shared" si="3"/>
        <v/>
      </c>
      <c r="T157" s="151" t="str">
        <f t="shared" si="4"/>
        <v/>
      </c>
      <c r="U157" s="151" t="str">
        <f t="shared" si="5"/>
        <v/>
      </c>
      <c r="V157" s="108"/>
    </row>
    <row r="158" spans="1:22">
      <c r="A158" s="101"/>
      <c r="B158" s="152"/>
      <c r="C158" s="147"/>
      <c r="D158" s="148"/>
      <c r="E158" s="149"/>
      <c r="F158" s="150"/>
      <c r="G158" s="107"/>
      <c r="H158" s="108"/>
      <c r="I158" s="108"/>
      <c r="J158" s="109"/>
      <c r="K158" s="108"/>
      <c r="L158" s="108"/>
      <c r="M158" s="108"/>
      <c r="N158" s="108"/>
      <c r="O158" s="121"/>
      <c r="P158" s="151" t="str">
        <f t="shared" si="0"/>
        <v/>
      </c>
      <c r="Q158" s="151" t="str">
        <f t="shared" si="1"/>
        <v/>
      </c>
      <c r="R158" s="151" t="str">
        <f t="shared" si="2"/>
        <v/>
      </c>
      <c r="S158" s="151" t="str">
        <f t="shared" si="3"/>
        <v/>
      </c>
      <c r="T158" s="151" t="str">
        <f t="shared" si="4"/>
        <v/>
      </c>
      <c r="U158" s="151" t="str">
        <f t="shared" si="5"/>
        <v/>
      </c>
      <c r="V158" s="108"/>
    </row>
    <row r="159" spans="1:22">
      <c r="A159" s="101"/>
      <c r="B159" s="101"/>
      <c r="C159" s="156">
        <v>0.08</v>
      </c>
      <c r="D159" s="148"/>
      <c r="E159" s="149"/>
      <c r="F159" s="150"/>
      <c r="G159" s="107"/>
      <c r="H159" s="108"/>
      <c r="I159" s="108"/>
      <c r="J159" s="109"/>
      <c r="K159" s="108"/>
      <c r="L159" s="108"/>
      <c r="M159" s="108"/>
      <c r="N159" s="108"/>
      <c r="O159" s="121"/>
      <c r="P159" s="151" t="str">
        <f t="shared" si="0"/>
        <v/>
      </c>
      <c r="Q159" s="151" t="str">
        <f t="shared" si="1"/>
        <v/>
      </c>
      <c r="R159" s="151" t="str">
        <f t="shared" si="2"/>
        <v/>
      </c>
      <c r="S159" s="151" t="str">
        <f t="shared" si="3"/>
        <v/>
      </c>
      <c r="T159" s="151" t="str">
        <f t="shared" si="4"/>
        <v/>
      </c>
      <c r="U159" s="151" t="str">
        <f t="shared" si="5"/>
        <v/>
      </c>
      <c r="V159" s="108"/>
    </row>
    <row r="160" spans="1:22">
      <c r="A160" s="101"/>
      <c r="B160" s="157" t="s">
        <v>387</v>
      </c>
      <c r="C160" s="158"/>
      <c r="D160" s="148"/>
      <c r="E160" s="159">
        <f>(2*((0.715-0.08-0.016)/6))+0.012+0.02</f>
        <v>0.23833333333333334</v>
      </c>
      <c r="F160" s="150"/>
      <c r="G160" s="107">
        <v>10</v>
      </c>
      <c r="H160" s="108">
        <v>7</v>
      </c>
      <c r="I160" s="108">
        <v>1</v>
      </c>
      <c r="J160" s="160">
        <f>2*(D162+E160)+2*8*G160/1000</f>
        <v>1.0766666666666667</v>
      </c>
      <c r="K160" s="108"/>
      <c r="L160" s="108">
        <v>5</v>
      </c>
      <c r="M160" s="121">
        <f>2*G160*L160/1000</f>
        <v>0.1</v>
      </c>
      <c r="N160" s="121">
        <f>(J160+K160-M160)</f>
        <v>0.97666666666666668</v>
      </c>
      <c r="O160" s="121">
        <f>(H160*I160*N160)</f>
        <v>6.8366666666666669</v>
      </c>
      <c r="P160" s="151" t="str">
        <f t="shared" si="0"/>
        <v/>
      </c>
      <c r="Q160" s="151">
        <f t="shared" si="1"/>
        <v>6.8366666666666669</v>
      </c>
      <c r="R160" s="151" t="str">
        <f t="shared" si="2"/>
        <v/>
      </c>
      <c r="S160" s="151" t="str">
        <f t="shared" si="3"/>
        <v/>
      </c>
      <c r="T160" s="151" t="str">
        <f t="shared" si="4"/>
        <v/>
      </c>
      <c r="U160" s="151" t="str">
        <f t="shared" si="5"/>
        <v/>
      </c>
      <c r="V160" s="108"/>
    </row>
    <row r="161" spans="1:22">
      <c r="A161" s="101"/>
      <c r="B161" s="157"/>
      <c r="C161" s="147"/>
      <c r="D161" s="148"/>
      <c r="E161" s="161"/>
      <c r="F161" s="150"/>
      <c r="G161" s="107"/>
      <c r="H161" s="108"/>
      <c r="I161" s="108"/>
      <c r="J161" s="109"/>
      <c r="K161" s="108"/>
      <c r="L161" s="108"/>
      <c r="M161" s="108"/>
      <c r="N161" s="108"/>
      <c r="O161" s="121"/>
      <c r="P161" s="151" t="str">
        <f t="shared" si="0"/>
        <v/>
      </c>
      <c r="Q161" s="151" t="str">
        <f t="shared" si="1"/>
        <v/>
      </c>
      <c r="R161" s="151" t="str">
        <f t="shared" si="2"/>
        <v/>
      </c>
      <c r="S161" s="151" t="str">
        <f t="shared" si="3"/>
        <v/>
      </c>
      <c r="T161" s="151" t="str">
        <f t="shared" si="4"/>
        <v/>
      </c>
      <c r="U161" s="151" t="str">
        <f t="shared" si="5"/>
        <v/>
      </c>
      <c r="V161" s="108"/>
    </row>
    <row r="162" spans="1:22">
      <c r="A162" s="101"/>
      <c r="B162" s="157"/>
      <c r="C162" s="147"/>
      <c r="D162" s="118">
        <f>0.3-0.08</f>
        <v>0.21999999999999997</v>
      </c>
      <c r="E162" s="149"/>
      <c r="F162" s="150"/>
      <c r="G162" s="107"/>
      <c r="H162" s="108"/>
      <c r="I162" s="108"/>
      <c r="J162" s="109"/>
      <c r="K162" s="108"/>
      <c r="L162" s="108"/>
      <c r="M162" s="108"/>
      <c r="N162" s="108"/>
      <c r="O162" s="121"/>
      <c r="P162" s="151" t="str">
        <f t="shared" si="0"/>
        <v/>
      </c>
      <c r="Q162" s="151" t="str">
        <f t="shared" si="1"/>
        <v/>
      </c>
      <c r="R162" s="151" t="str">
        <f t="shared" si="2"/>
        <v/>
      </c>
      <c r="S162" s="151" t="str">
        <f t="shared" si="3"/>
        <v/>
      </c>
      <c r="T162" s="151" t="str">
        <f t="shared" si="4"/>
        <v/>
      </c>
      <c r="U162" s="151" t="str">
        <f t="shared" si="5"/>
        <v/>
      </c>
      <c r="V162" s="108"/>
    </row>
    <row r="163" spans="1:22">
      <c r="A163" s="101"/>
      <c r="B163" s="157"/>
      <c r="C163" s="147"/>
      <c r="D163" s="148"/>
      <c r="E163" s="149"/>
      <c r="F163" s="150"/>
      <c r="G163" s="107"/>
      <c r="H163" s="108"/>
      <c r="I163" s="108"/>
      <c r="J163" s="109"/>
      <c r="K163" s="108"/>
      <c r="L163" s="108"/>
      <c r="M163" s="108"/>
      <c r="N163" s="108"/>
      <c r="O163" s="121"/>
      <c r="P163" s="151" t="str">
        <f t="shared" si="0"/>
        <v/>
      </c>
      <c r="Q163" s="151" t="str">
        <f t="shared" si="1"/>
        <v/>
      </c>
      <c r="R163" s="151" t="str">
        <f t="shared" si="2"/>
        <v/>
      </c>
      <c r="S163" s="151" t="str">
        <f t="shared" si="3"/>
        <v/>
      </c>
      <c r="T163" s="151" t="str">
        <f t="shared" si="4"/>
        <v/>
      </c>
      <c r="U163" s="151" t="str">
        <f t="shared" si="5"/>
        <v/>
      </c>
      <c r="V163" s="108"/>
    </row>
    <row r="164" spans="1:22">
      <c r="A164" s="101"/>
      <c r="B164" s="157" t="s">
        <v>388</v>
      </c>
      <c r="C164" s="147"/>
      <c r="D164" s="153"/>
      <c r="E164" s="149"/>
      <c r="F164" s="150"/>
      <c r="G164" s="107">
        <v>10</v>
      </c>
      <c r="H164" s="108">
        <v>7</v>
      </c>
      <c r="I164" s="108">
        <v>1</v>
      </c>
      <c r="J164" s="160">
        <f>C165+D167+E165+2*8*G164/1000</f>
        <v>0.73</v>
      </c>
      <c r="K164" s="108"/>
      <c r="L164" s="108">
        <v>4</v>
      </c>
      <c r="M164" s="121">
        <f>2*G164*L164/1000</f>
        <v>0.08</v>
      </c>
      <c r="N164" s="121">
        <f>(J164+K164-M164)</f>
        <v>0.65</v>
      </c>
      <c r="O164" s="121">
        <f>(H164*I164*N164)</f>
        <v>4.55</v>
      </c>
      <c r="P164" s="151" t="str">
        <f t="shared" si="0"/>
        <v/>
      </c>
      <c r="Q164" s="151">
        <f t="shared" si="1"/>
        <v>4.55</v>
      </c>
      <c r="R164" s="151" t="str">
        <f t="shared" si="2"/>
        <v/>
      </c>
      <c r="S164" s="151" t="str">
        <f t="shared" si="3"/>
        <v/>
      </c>
      <c r="T164" s="151" t="str">
        <f t="shared" si="4"/>
        <v/>
      </c>
      <c r="U164" s="151" t="str">
        <f t="shared" si="5"/>
        <v/>
      </c>
      <c r="V164" s="108"/>
    </row>
    <row r="165" spans="1:22">
      <c r="A165" s="101"/>
      <c r="B165" s="157"/>
      <c r="C165" s="162">
        <v>0.17499999999999999</v>
      </c>
      <c r="D165" s="148"/>
      <c r="E165" s="149">
        <v>0.17499999999999999</v>
      </c>
      <c r="F165" s="150"/>
      <c r="G165" s="107"/>
      <c r="H165" s="108"/>
      <c r="I165" s="108"/>
      <c r="J165" s="109"/>
      <c r="K165" s="108"/>
      <c r="L165" s="108"/>
      <c r="M165" s="108"/>
      <c r="N165" s="108"/>
      <c r="O165" s="121"/>
      <c r="P165" s="151" t="str">
        <f>IF($G165=8,$O165,"")</f>
        <v/>
      </c>
      <c r="Q165" s="151" t="str">
        <f>IF($G165=10,$O165,"")</f>
        <v/>
      </c>
      <c r="R165" s="151" t="str">
        <f>IF($G165=12,$O165,"")</f>
        <v/>
      </c>
      <c r="S165" s="151" t="str">
        <f>IF($G165=16,$O165,"")</f>
        <v/>
      </c>
      <c r="T165" s="151" t="str">
        <f>IF($G165=20,$O165,"")</f>
        <v/>
      </c>
      <c r="U165" s="151" t="str">
        <f>IF($G165=25,$O165,"")</f>
        <v/>
      </c>
      <c r="V165" s="108"/>
    </row>
    <row r="166" spans="1:22">
      <c r="A166" s="101"/>
      <c r="B166" s="157"/>
      <c r="C166" s="147"/>
      <c r="D166" s="148"/>
      <c r="E166" s="149"/>
      <c r="F166" s="150"/>
      <c r="G166" s="107"/>
      <c r="H166" s="108"/>
      <c r="I166" s="108"/>
      <c r="J166" s="109"/>
      <c r="K166" s="108"/>
      <c r="L166" s="108"/>
      <c r="M166" s="108"/>
      <c r="N166" s="108"/>
      <c r="O166" s="121"/>
      <c r="P166" s="151" t="str">
        <f t="shared" si="0"/>
        <v/>
      </c>
      <c r="Q166" s="151" t="str">
        <f t="shared" si="1"/>
        <v/>
      </c>
      <c r="R166" s="151" t="str">
        <f t="shared" si="2"/>
        <v/>
      </c>
      <c r="S166" s="151" t="str">
        <f t="shared" si="3"/>
        <v/>
      </c>
      <c r="T166" s="151" t="str">
        <f t="shared" si="4"/>
        <v/>
      </c>
      <c r="U166" s="151" t="str">
        <f t="shared" si="5"/>
        <v/>
      </c>
      <c r="V166" s="108"/>
    </row>
    <row r="167" spans="1:22">
      <c r="A167" s="101"/>
      <c r="B167" s="157"/>
      <c r="C167" s="147"/>
      <c r="D167" s="118">
        <f>0.3-0.08</f>
        <v>0.21999999999999997</v>
      </c>
      <c r="E167" s="149"/>
      <c r="F167" s="150"/>
      <c r="G167" s="107"/>
      <c r="H167" s="108"/>
      <c r="I167" s="108"/>
      <c r="J167" s="109"/>
      <c r="K167" s="108"/>
      <c r="L167" s="108"/>
      <c r="M167" s="108"/>
      <c r="N167" s="108"/>
      <c r="O167" s="121"/>
      <c r="P167" s="151" t="str">
        <f t="shared" si="0"/>
        <v/>
      </c>
      <c r="Q167" s="151" t="str">
        <f t="shared" si="1"/>
        <v/>
      </c>
      <c r="R167" s="151" t="str">
        <f t="shared" si="2"/>
        <v/>
      </c>
      <c r="S167" s="151" t="str">
        <f t="shared" si="3"/>
        <v/>
      </c>
      <c r="T167" s="151" t="str">
        <f t="shared" si="4"/>
        <v/>
      </c>
      <c r="U167" s="151" t="str">
        <f t="shared" si="5"/>
        <v/>
      </c>
      <c r="V167" s="108"/>
    </row>
    <row r="168" spans="1:22">
      <c r="A168" s="101"/>
      <c r="B168" s="157"/>
      <c r="C168" s="147"/>
      <c r="D168" s="148"/>
      <c r="E168" s="149"/>
      <c r="F168" s="150"/>
      <c r="G168" s="107"/>
      <c r="H168" s="108"/>
      <c r="I168" s="108"/>
      <c r="J168" s="109"/>
      <c r="K168" s="108"/>
      <c r="L168" s="108"/>
      <c r="M168" s="108"/>
      <c r="N168" s="108"/>
      <c r="O168" s="121"/>
      <c r="P168" s="151" t="str">
        <f t="shared" si="0"/>
        <v/>
      </c>
      <c r="Q168" s="151" t="str">
        <f t="shared" si="1"/>
        <v/>
      </c>
      <c r="R168" s="151" t="str">
        <f t="shared" si="2"/>
        <v/>
      </c>
      <c r="S168" s="151" t="str">
        <f t="shared" si="3"/>
        <v/>
      </c>
      <c r="T168" s="151" t="str">
        <f t="shared" si="4"/>
        <v/>
      </c>
      <c r="U168" s="151" t="str">
        <f t="shared" si="5"/>
        <v/>
      </c>
      <c r="V168" s="108"/>
    </row>
    <row r="169" spans="1:22">
      <c r="A169" s="101"/>
      <c r="B169" s="157" t="s">
        <v>389</v>
      </c>
      <c r="C169" s="147"/>
      <c r="D169" s="153"/>
      <c r="E169" s="149"/>
      <c r="F169" s="150"/>
      <c r="G169" s="107">
        <v>10</v>
      </c>
      <c r="H169" s="108">
        <v>7</v>
      </c>
      <c r="I169" s="108">
        <v>1</v>
      </c>
      <c r="J169" s="160">
        <f>C170+D172+E170+2*8*G169/1000</f>
        <v>0.73</v>
      </c>
      <c r="K169" s="108"/>
      <c r="L169" s="108">
        <v>4</v>
      </c>
      <c r="M169" s="121">
        <f>2*G169*L169/1000</f>
        <v>0.08</v>
      </c>
      <c r="N169" s="121">
        <f>(J169+K169-M169)</f>
        <v>0.65</v>
      </c>
      <c r="O169" s="121">
        <f>(H169*I169*N169)</f>
        <v>4.55</v>
      </c>
      <c r="P169" s="151" t="str">
        <f t="shared" si="0"/>
        <v/>
      </c>
      <c r="Q169" s="151">
        <f t="shared" si="1"/>
        <v>4.55</v>
      </c>
      <c r="R169" s="151" t="str">
        <f t="shared" si="2"/>
        <v/>
      </c>
      <c r="S169" s="151" t="str">
        <f t="shared" si="3"/>
        <v/>
      </c>
      <c r="T169" s="151" t="str">
        <f t="shared" si="4"/>
        <v/>
      </c>
      <c r="U169" s="151" t="str">
        <f t="shared" si="5"/>
        <v/>
      </c>
      <c r="V169" s="108"/>
    </row>
    <row r="170" spans="1:22">
      <c r="A170" s="101"/>
      <c r="B170" s="157"/>
      <c r="C170" s="162">
        <v>0.17499999999999999</v>
      </c>
      <c r="D170" s="148"/>
      <c r="E170" s="149">
        <v>0.17499999999999999</v>
      </c>
      <c r="F170" s="150"/>
      <c r="G170" s="107"/>
      <c r="H170" s="108"/>
      <c r="I170" s="108"/>
      <c r="J170" s="109"/>
      <c r="K170" s="108"/>
      <c r="L170" s="108"/>
      <c r="M170" s="108"/>
      <c r="N170" s="108"/>
      <c r="O170" s="121"/>
      <c r="P170" s="151" t="str">
        <f t="shared" si="0"/>
        <v/>
      </c>
      <c r="Q170" s="151" t="str">
        <f t="shared" si="1"/>
        <v/>
      </c>
      <c r="R170" s="151" t="str">
        <f t="shared" si="2"/>
        <v/>
      </c>
      <c r="S170" s="151" t="str">
        <f t="shared" si="3"/>
        <v/>
      </c>
      <c r="T170" s="151" t="str">
        <f t="shared" si="4"/>
        <v/>
      </c>
      <c r="U170" s="151" t="str">
        <f t="shared" si="5"/>
        <v/>
      </c>
      <c r="V170" s="108"/>
    </row>
    <row r="171" spans="1:22">
      <c r="A171" s="101"/>
      <c r="B171" s="157"/>
      <c r="C171" s="147"/>
      <c r="D171" s="148"/>
      <c r="E171" s="149"/>
      <c r="F171" s="150"/>
      <c r="G171" s="107"/>
      <c r="H171" s="108"/>
      <c r="I171" s="108"/>
      <c r="J171" s="109"/>
      <c r="K171" s="108"/>
      <c r="L171" s="108"/>
      <c r="M171" s="108"/>
      <c r="N171" s="108"/>
      <c r="O171" s="110"/>
      <c r="P171" s="151" t="str">
        <f t="shared" si="0"/>
        <v/>
      </c>
      <c r="Q171" s="151" t="str">
        <f t="shared" si="1"/>
        <v/>
      </c>
      <c r="R171" s="151" t="str">
        <f t="shared" si="2"/>
        <v/>
      </c>
      <c r="S171" s="151" t="str">
        <f t="shared" si="3"/>
        <v/>
      </c>
      <c r="T171" s="151" t="str">
        <f t="shared" si="4"/>
        <v/>
      </c>
      <c r="U171" s="151" t="str">
        <f t="shared" si="5"/>
        <v/>
      </c>
      <c r="V171" s="108"/>
    </row>
    <row r="172" spans="1:22">
      <c r="A172" s="101"/>
      <c r="B172" s="157"/>
      <c r="C172" s="147"/>
      <c r="D172" s="118">
        <f>0.3-0.08</f>
        <v>0.21999999999999997</v>
      </c>
      <c r="E172" s="149"/>
      <c r="F172" s="150"/>
      <c r="G172" s="107"/>
      <c r="H172" s="108"/>
      <c r="I172" s="108"/>
      <c r="J172" s="109"/>
      <c r="K172" s="108"/>
      <c r="L172" s="108"/>
      <c r="M172" s="108"/>
      <c r="N172" s="108"/>
      <c r="O172" s="110"/>
      <c r="P172" s="151" t="str">
        <f t="shared" si="0"/>
        <v/>
      </c>
      <c r="Q172" s="151" t="str">
        <f t="shared" si="1"/>
        <v/>
      </c>
      <c r="R172" s="151" t="str">
        <f t="shared" si="2"/>
        <v/>
      </c>
      <c r="S172" s="151" t="str">
        <f t="shared" si="3"/>
        <v/>
      </c>
      <c r="T172" s="151" t="str">
        <f t="shared" si="4"/>
        <v/>
      </c>
      <c r="U172" s="151" t="str">
        <f t="shared" si="5"/>
        <v/>
      </c>
      <c r="V172" s="108"/>
    </row>
    <row r="173" spans="1:22">
      <c r="A173" s="101"/>
      <c r="B173" s="152"/>
      <c r="C173" s="147"/>
      <c r="D173" s="148"/>
      <c r="E173" s="149"/>
      <c r="F173" s="150"/>
      <c r="G173" s="107"/>
      <c r="H173" s="108"/>
      <c r="I173" s="108"/>
      <c r="J173" s="109"/>
      <c r="K173" s="108"/>
      <c r="L173" s="108"/>
      <c r="M173" s="108"/>
      <c r="N173" s="108"/>
      <c r="O173" s="110"/>
      <c r="P173" s="151" t="str">
        <f t="shared" si="0"/>
        <v/>
      </c>
      <c r="Q173" s="151" t="str">
        <f t="shared" si="1"/>
        <v/>
      </c>
      <c r="R173" s="151" t="str">
        <f t="shared" si="2"/>
        <v/>
      </c>
      <c r="S173" s="151" t="str">
        <f t="shared" si="3"/>
        <v/>
      </c>
      <c r="T173" s="151" t="str">
        <f t="shared" si="4"/>
        <v/>
      </c>
      <c r="U173" s="151" t="str">
        <f t="shared" si="5"/>
        <v/>
      </c>
      <c r="V173" s="108"/>
    </row>
    <row r="174" spans="1:22">
      <c r="A174" s="101"/>
      <c r="B174" s="152"/>
      <c r="C174" s="147"/>
      <c r="D174" s="148"/>
      <c r="E174" s="155">
        <v>0.08</v>
      </c>
      <c r="F174" s="150"/>
      <c r="G174" s="107"/>
      <c r="H174" s="108"/>
      <c r="I174" s="108"/>
      <c r="J174" s="109"/>
      <c r="K174" s="108"/>
      <c r="L174" s="108"/>
      <c r="M174" s="108"/>
      <c r="N174" s="108"/>
      <c r="O174" s="110"/>
      <c r="P174" s="151" t="str">
        <f t="shared" si="0"/>
        <v/>
      </c>
      <c r="Q174" s="151" t="str">
        <f t="shared" si="1"/>
        <v/>
      </c>
      <c r="R174" s="151" t="str">
        <f t="shared" si="2"/>
        <v/>
      </c>
      <c r="S174" s="151" t="str">
        <f t="shared" si="3"/>
        <v/>
      </c>
      <c r="T174" s="151" t="str">
        <f t="shared" si="4"/>
        <v/>
      </c>
      <c r="U174" s="151" t="str">
        <f t="shared" si="5"/>
        <v/>
      </c>
      <c r="V174" s="108"/>
    </row>
    <row r="175" spans="1:22">
      <c r="A175" s="101"/>
      <c r="B175" s="157" t="s">
        <v>394</v>
      </c>
      <c r="C175" s="147"/>
      <c r="D175" s="153">
        <f>0.3-0.08</f>
        <v>0.21999999999999997</v>
      </c>
      <c r="E175" s="155"/>
      <c r="F175" s="150"/>
      <c r="G175" s="107">
        <v>10</v>
      </c>
      <c r="H175" s="108">
        <v>7</v>
      </c>
      <c r="I175" s="108">
        <v>1</v>
      </c>
      <c r="J175" s="160">
        <f>D175+E174+E176</f>
        <v>0.38</v>
      </c>
      <c r="K175" s="108"/>
      <c r="L175" s="108">
        <v>2</v>
      </c>
      <c r="M175" s="121">
        <f>2*G175*L175/1000</f>
        <v>0.04</v>
      </c>
      <c r="N175" s="121">
        <f>(J175+K175-M175)</f>
        <v>0.34</v>
      </c>
      <c r="O175" s="121">
        <f>(H175*I175*N175)</f>
        <v>2.3800000000000003</v>
      </c>
      <c r="P175" s="151" t="str">
        <f t="shared" si="0"/>
        <v/>
      </c>
      <c r="Q175" s="151">
        <f t="shared" si="1"/>
        <v>2.3800000000000003</v>
      </c>
      <c r="R175" s="151" t="str">
        <f t="shared" si="2"/>
        <v/>
      </c>
      <c r="S175" s="151" t="str">
        <f t="shared" si="3"/>
        <v/>
      </c>
      <c r="T175" s="151" t="str">
        <f t="shared" si="4"/>
        <v/>
      </c>
      <c r="U175" s="151" t="str">
        <f t="shared" si="5"/>
        <v/>
      </c>
      <c r="V175" s="108"/>
    </row>
    <row r="176" spans="1:22">
      <c r="A176" s="101"/>
      <c r="B176" s="152"/>
      <c r="C176" s="147"/>
      <c r="D176" s="148"/>
      <c r="E176" s="155">
        <v>0.08</v>
      </c>
      <c r="F176" s="150"/>
      <c r="G176" s="107"/>
      <c r="H176" s="108"/>
      <c r="I176" s="108"/>
      <c r="J176" s="109"/>
      <c r="K176" s="108"/>
      <c r="L176" s="108"/>
      <c r="M176" s="108"/>
      <c r="N176" s="108"/>
      <c r="O176" s="110"/>
      <c r="P176" s="151" t="str">
        <f t="shared" si="0"/>
        <v/>
      </c>
      <c r="Q176" s="151" t="str">
        <f t="shared" si="1"/>
        <v/>
      </c>
      <c r="R176" s="151" t="str">
        <f t="shared" si="2"/>
        <v/>
      </c>
      <c r="S176" s="151" t="str">
        <f t="shared" si="3"/>
        <v/>
      </c>
      <c r="T176" s="151" t="str">
        <f t="shared" si="4"/>
        <v/>
      </c>
      <c r="U176" s="151" t="str">
        <f t="shared" si="5"/>
        <v/>
      </c>
      <c r="V176" s="108"/>
    </row>
    <row r="177" spans="1:22">
      <c r="A177" s="101"/>
      <c r="B177" s="157"/>
      <c r="C177" s="147"/>
      <c r="D177" s="163"/>
      <c r="E177" s="149"/>
      <c r="F177" s="150"/>
      <c r="G177" s="107"/>
      <c r="H177" s="108"/>
      <c r="I177" s="108"/>
      <c r="J177" s="109"/>
      <c r="K177" s="108"/>
      <c r="L177" s="108"/>
      <c r="M177" s="108"/>
      <c r="N177" s="108"/>
      <c r="O177" s="110"/>
      <c r="P177" s="151" t="str">
        <f t="shared" si="0"/>
        <v/>
      </c>
      <c r="Q177" s="151" t="str">
        <f t="shared" si="1"/>
        <v/>
      </c>
      <c r="R177" s="151" t="str">
        <f t="shared" si="2"/>
        <v/>
      </c>
      <c r="S177" s="151" t="str">
        <f t="shared" si="3"/>
        <v/>
      </c>
      <c r="T177" s="151" t="str">
        <f t="shared" si="4"/>
        <v/>
      </c>
      <c r="U177" s="151" t="str">
        <f t="shared" si="5"/>
        <v/>
      </c>
      <c r="V177" s="108"/>
    </row>
    <row r="178" spans="1:22">
      <c r="A178" s="101">
        <v>7</v>
      </c>
      <c r="B178" s="101" t="s">
        <v>397</v>
      </c>
      <c r="C178" s="147"/>
      <c r="D178" s="148"/>
      <c r="E178" s="149"/>
      <c r="F178" s="150"/>
      <c r="G178" s="107"/>
      <c r="H178" s="108"/>
      <c r="I178" s="108"/>
      <c r="J178" s="118"/>
      <c r="K178" s="121"/>
      <c r="L178" s="121"/>
      <c r="M178" s="108"/>
      <c r="N178" s="121"/>
      <c r="O178" s="121"/>
      <c r="P178" s="151" t="str">
        <f>IF($G178=8,$O178,"")</f>
        <v/>
      </c>
      <c r="Q178" s="151" t="str">
        <f>IF($G178=10,$O178,"")</f>
        <v/>
      </c>
      <c r="R178" s="151" t="str">
        <f>IF($G178=12,$O178,"")</f>
        <v/>
      </c>
      <c r="S178" s="151" t="str">
        <f>IF($G178=16,$O178,"")</f>
        <v/>
      </c>
      <c r="T178" s="151" t="str">
        <f>IF($G178=20,$O178,"")</f>
        <v/>
      </c>
      <c r="U178" s="151" t="str">
        <f>IF($G178=25,$O178,"")</f>
        <v/>
      </c>
      <c r="V178" s="108"/>
    </row>
    <row r="179" spans="1:22">
      <c r="A179" s="101"/>
      <c r="B179" s="152" t="s">
        <v>382</v>
      </c>
      <c r="C179" s="147"/>
      <c r="D179" s="153">
        <f>0.85-0.075-2*0.016</f>
        <v>0.74299999999999999</v>
      </c>
      <c r="E179" s="149"/>
      <c r="F179" s="150"/>
      <c r="G179" s="107">
        <v>16</v>
      </c>
      <c r="H179" s="108">
        <v>2</v>
      </c>
      <c r="I179" s="108">
        <v>4</v>
      </c>
      <c r="J179" s="118">
        <f>D179</f>
        <v>0.74299999999999999</v>
      </c>
      <c r="K179" s="119" t="str">
        <f>IF(N179&lt;12,"0",0.049*G179)</f>
        <v>0</v>
      </c>
      <c r="L179" s="120">
        <v>1</v>
      </c>
      <c r="M179" s="108">
        <f>2*G179*L179/1000</f>
        <v>3.2000000000000001E-2</v>
      </c>
      <c r="N179" s="121">
        <f>J179+E181-M179</f>
        <v>1.0109999999999999</v>
      </c>
      <c r="O179" s="121">
        <f>H179*I179*N179</f>
        <v>8.0879999999999992</v>
      </c>
      <c r="P179" s="151" t="str">
        <f t="shared" si="0"/>
        <v/>
      </c>
      <c r="Q179" s="151" t="str">
        <f t="shared" si="1"/>
        <v/>
      </c>
      <c r="R179" s="151" t="str">
        <f t="shared" si="2"/>
        <v/>
      </c>
      <c r="S179" s="151">
        <f t="shared" si="3"/>
        <v>8.0879999999999992</v>
      </c>
      <c r="T179" s="151" t="str">
        <f t="shared" si="4"/>
        <v/>
      </c>
      <c r="U179" s="151" t="str">
        <f t="shared" si="5"/>
        <v/>
      </c>
      <c r="V179" s="108"/>
    </row>
    <row r="180" spans="1:22">
      <c r="A180" s="101"/>
      <c r="B180" s="152" t="s">
        <v>383</v>
      </c>
      <c r="C180" s="147"/>
      <c r="D180" s="148"/>
      <c r="E180" s="149"/>
      <c r="F180" s="150"/>
      <c r="G180" s="107">
        <v>12</v>
      </c>
      <c r="H180" s="108">
        <v>2</v>
      </c>
      <c r="I180" s="108">
        <v>2</v>
      </c>
      <c r="J180" s="118">
        <f>D179</f>
        <v>0.74299999999999999</v>
      </c>
      <c r="K180" s="119" t="str">
        <f t="shared" ref="K180:K183" si="18">IF(N180&lt;12,"0",0.049*G180)</f>
        <v>0</v>
      </c>
      <c r="L180" s="120">
        <v>1</v>
      </c>
      <c r="M180" s="108">
        <f t="shared" ref="M180:M183" si="19">2*G180*L180/1000</f>
        <v>2.4E-2</v>
      </c>
      <c r="N180" s="121">
        <f>J180+E181-M180</f>
        <v>1.0189999999999999</v>
      </c>
      <c r="O180" s="121">
        <f>H180*I180*N180</f>
        <v>4.0759999999999996</v>
      </c>
      <c r="P180" s="151" t="str">
        <f t="shared" si="0"/>
        <v/>
      </c>
      <c r="Q180" s="151" t="str">
        <f t="shared" si="1"/>
        <v/>
      </c>
      <c r="R180" s="151">
        <f t="shared" si="2"/>
        <v>4.0759999999999996</v>
      </c>
      <c r="S180" s="151" t="str">
        <f t="shared" si="3"/>
        <v/>
      </c>
      <c r="T180" s="151" t="str">
        <f t="shared" si="4"/>
        <v/>
      </c>
      <c r="U180" s="151" t="str">
        <f t="shared" si="5"/>
        <v/>
      </c>
      <c r="V180" s="108"/>
    </row>
    <row r="181" spans="1:22">
      <c r="A181" s="101"/>
      <c r="B181" s="152" t="s">
        <v>384</v>
      </c>
      <c r="C181" s="154"/>
      <c r="D181" s="153"/>
      <c r="E181" s="155">
        <v>0.3</v>
      </c>
      <c r="F181" s="150"/>
      <c r="G181" s="107">
        <v>12</v>
      </c>
      <c r="H181" s="108">
        <v>2</v>
      </c>
      <c r="I181" s="108">
        <v>4</v>
      </c>
      <c r="J181" s="118">
        <f>D179</f>
        <v>0.74299999999999999</v>
      </c>
      <c r="K181" s="119" t="str">
        <f t="shared" si="18"/>
        <v>0</v>
      </c>
      <c r="L181" s="120">
        <v>1</v>
      </c>
      <c r="M181" s="108">
        <f t="shared" si="19"/>
        <v>2.4E-2</v>
      </c>
      <c r="N181" s="121">
        <f>J181+E181-M181</f>
        <v>1.0189999999999999</v>
      </c>
      <c r="O181" s="121">
        <f>H181*I181*N181</f>
        <v>8.1519999999999992</v>
      </c>
      <c r="P181" s="151" t="str">
        <f t="shared" si="0"/>
        <v/>
      </c>
      <c r="Q181" s="151" t="str">
        <f t="shared" si="1"/>
        <v/>
      </c>
      <c r="R181" s="151">
        <f t="shared" si="2"/>
        <v>8.1519999999999992</v>
      </c>
      <c r="S181" s="151" t="str">
        <f t="shared" si="3"/>
        <v/>
      </c>
      <c r="T181" s="151" t="str">
        <f t="shared" si="4"/>
        <v/>
      </c>
      <c r="U181" s="151" t="str">
        <f t="shared" si="5"/>
        <v/>
      </c>
      <c r="V181" s="108"/>
    </row>
    <row r="182" spans="1:22">
      <c r="A182" s="101"/>
      <c r="B182" s="152" t="s">
        <v>385</v>
      </c>
      <c r="C182" s="147"/>
      <c r="D182" s="148"/>
      <c r="E182" s="149"/>
      <c r="F182" s="150"/>
      <c r="G182" s="107">
        <v>12</v>
      </c>
      <c r="H182" s="108">
        <v>2</v>
      </c>
      <c r="I182" s="108">
        <v>4</v>
      </c>
      <c r="J182" s="118">
        <f>D179</f>
        <v>0.74299999999999999</v>
      </c>
      <c r="K182" s="119" t="str">
        <f t="shared" si="18"/>
        <v>0</v>
      </c>
      <c r="L182" s="120">
        <v>1</v>
      </c>
      <c r="M182" s="108">
        <f t="shared" si="19"/>
        <v>2.4E-2</v>
      </c>
      <c r="N182" s="121">
        <f>J182+E181-M182</f>
        <v>1.0189999999999999</v>
      </c>
      <c r="O182" s="121">
        <f>H182*I182*N182</f>
        <v>8.1519999999999992</v>
      </c>
      <c r="P182" s="151" t="str">
        <f t="shared" si="0"/>
        <v/>
      </c>
      <c r="Q182" s="151" t="str">
        <f t="shared" si="1"/>
        <v/>
      </c>
      <c r="R182" s="151">
        <f t="shared" si="2"/>
        <v>8.1519999999999992</v>
      </c>
      <c r="S182" s="151" t="str">
        <f t="shared" si="3"/>
        <v/>
      </c>
      <c r="T182" s="151" t="str">
        <f t="shared" si="4"/>
        <v/>
      </c>
      <c r="U182" s="151" t="str">
        <f t="shared" si="5"/>
        <v/>
      </c>
      <c r="V182" s="108"/>
    </row>
    <row r="183" spans="1:22">
      <c r="A183" s="101"/>
      <c r="B183" s="152" t="s">
        <v>393</v>
      </c>
      <c r="C183" s="147"/>
      <c r="D183" s="148"/>
      <c r="E183" s="149"/>
      <c r="F183" s="150"/>
      <c r="G183" s="107">
        <v>12</v>
      </c>
      <c r="H183" s="108">
        <v>2</v>
      </c>
      <c r="I183" s="108">
        <v>4</v>
      </c>
      <c r="J183" s="118">
        <f>D179</f>
        <v>0.74299999999999999</v>
      </c>
      <c r="K183" s="119" t="str">
        <f t="shared" si="18"/>
        <v>0</v>
      </c>
      <c r="L183" s="120">
        <v>1</v>
      </c>
      <c r="M183" s="108">
        <f t="shared" si="19"/>
        <v>2.4E-2</v>
      </c>
      <c r="N183" s="121">
        <f>J183+E182-M183</f>
        <v>0.71899999999999997</v>
      </c>
      <c r="O183" s="121">
        <f>H183*I183*N183</f>
        <v>5.7519999999999998</v>
      </c>
      <c r="P183" s="151" t="str">
        <f t="shared" si="0"/>
        <v/>
      </c>
      <c r="Q183" s="151" t="str">
        <f t="shared" si="1"/>
        <v/>
      </c>
      <c r="R183" s="151">
        <f t="shared" si="2"/>
        <v>5.7519999999999998</v>
      </c>
      <c r="S183" s="151" t="str">
        <f t="shared" si="3"/>
        <v/>
      </c>
      <c r="T183" s="151" t="str">
        <f t="shared" si="4"/>
        <v/>
      </c>
      <c r="U183" s="151" t="str">
        <f t="shared" si="5"/>
        <v/>
      </c>
      <c r="V183" s="108"/>
    </row>
    <row r="184" spans="1:22">
      <c r="A184" s="101"/>
      <c r="B184" s="152"/>
      <c r="C184" s="147"/>
      <c r="D184" s="148"/>
      <c r="E184" s="149"/>
      <c r="F184" s="150"/>
      <c r="G184" s="107"/>
      <c r="H184" s="108"/>
      <c r="I184" s="108"/>
      <c r="J184" s="109"/>
      <c r="K184" s="108"/>
      <c r="L184" s="108"/>
      <c r="M184" s="108"/>
      <c r="N184" s="108"/>
      <c r="O184" s="110"/>
      <c r="P184" s="151" t="str">
        <f t="shared" si="0"/>
        <v/>
      </c>
      <c r="Q184" s="151" t="str">
        <f t="shared" si="1"/>
        <v/>
      </c>
      <c r="R184" s="151" t="str">
        <f t="shared" si="2"/>
        <v/>
      </c>
      <c r="S184" s="151" t="str">
        <f t="shared" si="3"/>
        <v/>
      </c>
      <c r="T184" s="151" t="str">
        <f t="shared" si="4"/>
        <v/>
      </c>
      <c r="U184" s="151" t="str">
        <f t="shared" si="5"/>
        <v/>
      </c>
      <c r="V184" s="108"/>
    </row>
    <row r="185" spans="1:22">
      <c r="A185" s="101"/>
      <c r="B185" s="101"/>
      <c r="C185" s="156">
        <v>0.08</v>
      </c>
      <c r="D185" s="148"/>
      <c r="E185" s="149"/>
      <c r="F185" s="150"/>
      <c r="G185" s="107"/>
      <c r="H185" s="108"/>
      <c r="I185" s="108"/>
      <c r="J185" s="109"/>
      <c r="K185" s="108"/>
      <c r="L185" s="108"/>
      <c r="M185" s="108"/>
      <c r="N185" s="108"/>
      <c r="O185" s="110"/>
      <c r="P185" s="151" t="str">
        <f t="shared" si="0"/>
        <v/>
      </c>
      <c r="Q185" s="151" t="str">
        <f t="shared" si="1"/>
        <v/>
      </c>
      <c r="R185" s="151" t="str">
        <f t="shared" si="2"/>
        <v/>
      </c>
      <c r="S185" s="151" t="str">
        <f t="shared" si="3"/>
        <v/>
      </c>
      <c r="T185" s="151" t="str">
        <f t="shared" si="4"/>
        <v/>
      </c>
      <c r="U185" s="151" t="str">
        <f t="shared" si="5"/>
        <v/>
      </c>
      <c r="V185" s="108"/>
    </row>
    <row r="186" spans="1:22">
      <c r="A186" s="101"/>
      <c r="B186" s="157" t="s">
        <v>386</v>
      </c>
      <c r="C186" s="158"/>
      <c r="D186" s="148"/>
      <c r="E186" s="159">
        <f>0.8-0.08</f>
        <v>0.72000000000000008</v>
      </c>
      <c r="F186" s="150"/>
      <c r="G186" s="107">
        <v>10</v>
      </c>
      <c r="H186" s="108">
        <v>2</v>
      </c>
      <c r="I186" s="108">
        <v>4</v>
      </c>
      <c r="J186" s="160">
        <f>2*(D188+E186)+2*8*G186/1000</f>
        <v>2.04</v>
      </c>
      <c r="K186" s="108"/>
      <c r="L186" s="108">
        <v>5</v>
      </c>
      <c r="M186" s="121">
        <f>2*G186*L186/1000</f>
        <v>0.1</v>
      </c>
      <c r="N186" s="121">
        <f>(J186+K186-M186)</f>
        <v>1.94</v>
      </c>
      <c r="O186" s="121">
        <f>(H186*I186*N186)</f>
        <v>15.52</v>
      </c>
      <c r="P186" s="151" t="str">
        <f t="shared" si="0"/>
        <v/>
      </c>
      <c r="Q186" s="151">
        <f t="shared" si="1"/>
        <v>15.52</v>
      </c>
      <c r="R186" s="151" t="str">
        <f t="shared" si="2"/>
        <v/>
      </c>
      <c r="S186" s="151" t="str">
        <f t="shared" si="3"/>
        <v/>
      </c>
      <c r="T186" s="151" t="str">
        <f t="shared" si="4"/>
        <v/>
      </c>
      <c r="U186" s="151" t="str">
        <f t="shared" si="5"/>
        <v/>
      </c>
      <c r="V186" s="108"/>
    </row>
    <row r="187" spans="1:22">
      <c r="A187" s="101"/>
      <c r="B187" s="157"/>
      <c r="C187" s="147"/>
      <c r="D187" s="148"/>
      <c r="E187" s="161"/>
      <c r="F187" s="150"/>
      <c r="G187" s="107"/>
      <c r="H187" s="108"/>
      <c r="I187" s="108"/>
      <c r="J187" s="109"/>
      <c r="K187" s="108"/>
      <c r="L187" s="108"/>
      <c r="M187" s="108"/>
      <c r="N187" s="108"/>
      <c r="O187" s="121"/>
      <c r="P187" s="151" t="str">
        <f t="shared" si="0"/>
        <v/>
      </c>
      <c r="Q187" s="151" t="str">
        <f t="shared" si="1"/>
        <v/>
      </c>
      <c r="R187" s="151" t="str">
        <f t="shared" si="2"/>
        <v/>
      </c>
      <c r="S187" s="151" t="str">
        <f t="shared" si="3"/>
        <v/>
      </c>
      <c r="T187" s="151" t="str">
        <f t="shared" si="4"/>
        <v/>
      </c>
      <c r="U187" s="151" t="str">
        <f t="shared" si="5"/>
        <v/>
      </c>
      <c r="V187" s="108"/>
    </row>
    <row r="188" spans="1:22">
      <c r="A188" s="101"/>
      <c r="B188" s="157"/>
      <c r="C188" s="147"/>
      <c r="D188" s="118">
        <f>0.3-0.08</f>
        <v>0.21999999999999997</v>
      </c>
      <c r="E188" s="149"/>
      <c r="F188" s="150"/>
      <c r="G188" s="107"/>
      <c r="H188" s="108"/>
      <c r="I188" s="108"/>
      <c r="J188" s="109"/>
      <c r="K188" s="108"/>
      <c r="L188" s="108"/>
      <c r="M188" s="108"/>
      <c r="N188" s="108"/>
      <c r="O188" s="121"/>
      <c r="P188" s="151" t="str">
        <f t="shared" si="0"/>
        <v/>
      </c>
      <c r="Q188" s="151" t="str">
        <f t="shared" si="1"/>
        <v/>
      </c>
      <c r="R188" s="151" t="str">
        <f t="shared" si="2"/>
        <v/>
      </c>
      <c r="S188" s="151" t="str">
        <f t="shared" si="3"/>
        <v/>
      </c>
      <c r="T188" s="151" t="str">
        <f t="shared" si="4"/>
        <v/>
      </c>
      <c r="U188" s="151" t="str">
        <f t="shared" si="5"/>
        <v/>
      </c>
      <c r="V188" s="108"/>
    </row>
    <row r="189" spans="1:22">
      <c r="A189" s="101"/>
      <c r="B189" s="152"/>
      <c r="C189" s="147"/>
      <c r="D189" s="148"/>
      <c r="E189" s="149"/>
      <c r="F189" s="150"/>
      <c r="G189" s="107"/>
      <c r="H189" s="108"/>
      <c r="I189" s="108"/>
      <c r="J189" s="109"/>
      <c r="K189" s="108"/>
      <c r="L189" s="108"/>
      <c r="M189" s="108"/>
      <c r="N189" s="108"/>
      <c r="O189" s="121"/>
      <c r="P189" s="151" t="str">
        <f t="shared" si="0"/>
        <v/>
      </c>
      <c r="Q189" s="151" t="str">
        <f t="shared" si="1"/>
        <v/>
      </c>
      <c r="R189" s="151" t="str">
        <f t="shared" si="2"/>
        <v/>
      </c>
      <c r="S189" s="151" t="str">
        <f t="shared" si="3"/>
        <v/>
      </c>
      <c r="T189" s="151" t="str">
        <f t="shared" si="4"/>
        <v/>
      </c>
      <c r="U189" s="151" t="str">
        <f t="shared" si="5"/>
        <v/>
      </c>
      <c r="V189" s="108"/>
    </row>
    <row r="190" spans="1:22">
      <c r="A190" s="101"/>
      <c r="B190" s="101"/>
      <c r="C190" s="156">
        <v>0.08</v>
      </c>
      <c r="D190" s="148"/>
      <c r="E190" s="149"/>
      <c r="F190" s="150"/>
      <c r="G190" s="107"/>
      <c r="H190" s="108"/>
      <c r="I190" s="108"/>
      <c r="J190" s="109"/>
      <c r="K190" s="108"/>
      <c r="L190" s="108"/>
      <c r="M190" s="108"/>
      <c r="N190" s="108"/>
      <c r="O190" s="121"/>
      <c r="P190" s="151" t="str">
        <f t="shared" si="0"/>
        <v/>
      </c>
      <c r="Q190" s="151" t="str">
        <f t="shared" si="1"/>
        <v/>
      </c>
      <c r="R190" s="151" t="str">
        <f t="shared" si="2"/>
        <v/>
      </c>
      <c r="S190" s="151" t="str">
        <f t="shared" si="3"/>
        <v/>
      </c>
      <c r="T190" s="151" t="str">
        <f t="shared" si="4"/>
        <v/>
      </c>
      <c r="U190" s="151" t="str">
        <f t="shared" si="5"/>
        <v/>
      </c>
      <c r="V190" s="108"/>
    </row>
    <row r="191" spans="1:22">
      <c r="A191" s="101"/>
      <c r="B191" s="157" t="s">
        <v>387</v>
      </c>
      <c r="C191" s="158"/>
      <c r="D191" s="148"/>
      <c r="E191" s="159">
        <f>((0.8-0.08-0.016)/7)+0.012+0.02</f>
        <v>0.13257142857142856</v>
      </c>
      <c r="F191" s="150"/>
      <c r="G191" s="107">
        <v>10</v>
      </c>
      <c r="H191" s="108">
        <v>2</v>
      </c>
      <c r="I191" s="108">
        <v>1</v>
      </c>
      <c r="J191" s="160">
        <f>2*(D193+E191)+2*8*G191/1000</f>
        <v>0.8651428571428571</v>
      </c>
      <c r="K191" s="108"/>
      <c r="L191" s="108">
        <v>5</v>
      </c>
      <c r="M191" s="121">
        <f>2*G191*L191/1000</f>
        <v>0.1</v>
      </c>
      <c r="N191" s="121">
        <f>(J191+K191-M191)</f>
        <v>0.76514285714285712</v>
      </c>
      <c r="O191" s="121">
        <f>(H191*I191*N191)</f>
        <v>1.5302857142857142</v>
      </c>
      <c r="P191" s="151" t="str">
        <f t="shared" si="0"/>
        <v/>
      </c>
      <c r="Q191" s="151">
        <f t="shared" si="1"/>
        <v>1.5302857142857142</v>
      </c>
      <c r="R191" s="151" t="str">
        <f t="shared" si="2"/>
        <v/>
      </c>
      <c r="S191" s="151" t="str">
        <f t="shared" si="3"/>
        <v/>
      </c>
      <c r="T191" s="151" t="str">
        <f t="shared" si="4"/>
        <v/>
      </c>
      <c r="U191" s="151" t="str">
        <f t="shared" si="5"/>
        <v/>
      </c>
      <c r="V191" s="108"/>
    </row>
    <row r="192" spans="1:22">
      <c r="A192" s="101"/>
      <c r="B192" s="157"/>
      <c r="C192" s="147"/>
      <c r="D192" s="148"/>
      <c r="E192" s="161"/>
      <c r="F192" s="150"/>
      <c r="G192" s="107"/>
      <c r="H192" s="108"/>
      <c r="I192" s="108"/>
      <c r="J192" s="109"/>
      <c r="K192" s="108"/>
      <c r="L192" s="108"/>
      <c r="M192" s="108"/>
      <c r="N192" s="108"/>
      <c r="O192" s="121"/>
      <c r="P192" s="151" t="str">
        <f t="shared" si="0"/>
        <v/>
      </c>
      <c r="Q192" s="151" t="str">
        <f t="shared" si="1"/>
        <v/>
      </c>
      <c r="R192" s="151" t="str">
        <f t="shared" si="2"/>
        <v/>
      </c>
      <c r="S192" s="151" t="str">
        <f t="shared" si="3"/>
        <v/>
      </c>
      <c r="T192" s="151" t="str">
        <f t="shared" si="4"/>
        <v/>
      </c>
      <c r="U192" s="151" t="str">
        <f t="shared" si="5"/>
        <v/>
      </c>
      <c r="V192" s="108"/>
    </row>
    <row r="193" spans="1:22">
      <c r="A193" s="101"/>
      <c r="B193" s="157"/>
      <c r="C193" s="147"/>
      <c r="D193" s="118">
        <f>0.3-0.08</f>
        <v>0.21999999999999997</v>
      </c>
      <c r="E193" s="149"/>
      <c r="F193" s="150"/>
      <c r="G193" s="107"/>
      <c r="H193" s="108"/>
      <c r="I193" s="108"/>
      <c r="J193" s="109"/>
      <c r="K193" s="108"/>
      <c r="L193" s="108"/>
      <c r="M193" s="108"/>
      <c r="N193" s="108"/>
      <c r="O193" s="121"/>
      <c r="P193" s="151" t="str">
        <f t="shared" si="0"/>
        <v/>
      </c>
      <c r="Q193" s="151" t="str">
        <f t="shared" si="1"/>
        <v/>
      </c>
      <c r="R193" s="151" t="str">
        <f t="shared" si="2"/>
        <v/>
      </c>
      <c r="S193" s="151" t="str">
        <f t="shared" si="3"/>
        <v/>
      </c>
      <c r="T193" s="151" t="str">
        <f t="shared" si="4"/>
        <v/>
      </c>
      <c r="U193" s="151" t="str">
        <f t="shared" si="5"/>
        <v/>
      </c>
      <c r="V193" s="108"/>
    </row>
    <row r="194" spans="1:22">
      <c r="A194" s="101"/>
      <c r="B194" s="152"/>
      <c r="C194" s="147"/>
      <c r="D194" s="148"/>
      <c r="E194" s="149"/>
      <c r="F194" s="150"/>
      <c r="G194" s="107"/>
      <c r="H194" s="108"/>
      <c r="I194" s="108"/>
      <c r="J194" s="109"/>
      <c r="K194" s="108"/>
      <c r="L194" s="108"/>
      <c r="M194" s="108"/>
      <c r="N194" s="108"/>
      <c r="O194" s="121"/>
      <c r="P194" s="151" t="str">
        <f t="shared" si="0"/>
        <v/>
      </c>
      <c r="Q194" s="151" t="str">
        <f t="shared" si="1"/>
        <v/>
      </c>
      <c r="R194" s="151" t="str">
        <f t="shared" si="2"/>
        <v/>
      </c>
      <c r="S194" s="151" t="str">
        <f t="shared" si="3"/>
        <v/>
      </c>
      <c r="T194" s="151" t="str">
        <f t="shared" si="4"/>
        <v/>
      </c>
      <c r="U194" s="151" t="str">
        <f t="shared" si="5"/>
        <v/>
      </c>
      <c r="V194" s="108"/>
    </row>
    <row r="195" spans="1:22">
      <c r="A195" s="101"/>
      <c r="B195" s="101"/>
      <c r="C195" s="156">
        <v>0.08</v>
      </c>
      <c r="D195" s="148"/>
      <c r="E195" s="149"/>
      <c r="F195" s="150"/>
      <c r="G195" s="107"/>
      <c r="H195" s="108"/>
      <c r="I195" s="108"/>
      <c r="J195" s="109"/>
      <c r="K195" s="108"/>
      <c r="L195" s="108"/>
      <c r="M195" s="108"/>
      <c r="N195" s="108"/>
      <c r="O195" s="121"/>
      <c r="P195" s="151" t="str">
        <f t="shared" si="0"/>
        <v/>
      </c>
      <c r="Q195" s="151" t="str">
        <f t="shared" si="1"/>
        <v/>
      </c>
      <c r="R195" s="151" t="str">
        <f t="shared" si="2"/>
        <v/>
      </c>
      <c r="S195" s="151" t="str">
        <f t="shared" si="3"/>
        <v/>
      </c>
      <c r="T195" s="151" t="str">
        <f t="shared" si="4"/>
        <v/>
      </c>
      <c r="U195" s="151" t="str">
        <f t="shared" si="5"/>
        <v/>
      </c>
      <c r="V195" s="108"/>
    </row>
    <row r="196" spans="1:22">
      <c r="A196" s="101"/>
      <c r="B196" s="157" t="s">
        <v>388</v>
      </c>
      <c r="C196" s="158"/>
      <c r="D196" s="148"/>
      <c r="E196" s="159">
        <f>((0.8-0.08-0.016)/7)+0.012+0.02</f>
        <v>0.13257142857142856</v>
      </c>
      <c r="F196" s="150"/>
      <c r="G196" s="107">
        <v>10</v>
      </c>
      <c r="H196" s="108">
        <v>2</v>
      </c>
      <c r="I196" s="108">
        <v>1</v>
      </c>
      <c r="J196" s="160">
        <f>2*(D198+E196)+2*8*G196/1000</f>
        <v>0.8651428571428571</v>
      </c>
      <c r="K196" s="108"/>
      <c r="L196" s="108">
        <v>5</v>
      </c>
      <c r="M196" s="121">
        <f>2*G196*L196/1000</f>
        <v>0.1</v>
      </c>
      <c r="N196" s="121">
        <f>(J196+K196-M196)</f>
        <v>0.76514285714285712</v>
      </c>
      <c r="O196" s="121">
        <f>(H196*I196*N196)</f>
        <v>1.5302857142857142</v>
      </c>
      <c r="P196" s="151" t="str">
        <f t="shared" si="0"/>
        <v/>
      </c>
      <c r="Q196" s="151">
        <f t="shared" si="1"/>
        <v>1.5302857142857142</v>
      </c>
      <c r="R196" s="151" t="str">
        <f t="shared" si="2"/>
        <v/>
      </c>
      <c r="S196" s="151" t="str">
        <f t="shared" si="3"/>
        <v/>
      </c>
      <c r="T196" s="151" t="str">
        <f t="shared" si="4"/>
        <v/>
      </c>
      <c r="U196" s="151" t="str">
        <f t="shared" si="5"/>
        <v/>
      </c>
      <c r="V196" s="108"/>
    </row>
    <row r="197" spans="1:22">
      <c r="A197" s="101"/>
      <c r="B197" s="157"/>
      <c r="C197" s="147"/>
      <c r="D197" s="148"/>
      <c r="E197" s="161"/>
      <c r="F197" s="150"/>
      <c r="G197" s="107"/>
      <c r="H197" s="108"/>
      <c r="I197" s="108"/>
      <c r="J197" s="109"/>
      <c r="K197" s="108"/>
      <c r="L197" s="108"/>
      <c r="M197" s="108"/>
      <c r="N197" s="108"/>
      <c r="O197" s="121"/>
      <c r="P197" s="151" t="str">
        <f t="shared" si="0"/>
        <v/>
      </c>
      <c r="Q197" s="151" t="str">
        <f t="shared" si="1"/>
        <v/>
      </c>
      <c r="R197" s="151" t="str">
        <f t="shared" si="2"/>
        <v/>
      </c>
      <c r="S197" s="151" t="str">
        <f t="shared" si="3"/>
        <v/>
      </c>
      <c r="T197" s="151" t="str">
        <f t="shared" si="4"/>
        <v/>
      </c>
      <c r="U197" s="151" t="str">
        <f t="shared" si="5"/>
        <v/>
      </c>
      <c r="V197" s="108"/>
    </row>
    <row r="198" spans="1:22">
      <c r="A198" s="101"/>
      <c r="B198" s="157"/>
      <c r="C198" s="147"/>
      <c r="D198" s="118">
        <f>0.3-0.08</f>
        <v>0.21999999999999997</v>
      </c>
      <c r="E198" s="149"/>
      <c r="F198" s="150"/>
      <c r="G198" s="107"/>
      <c r="H198" s="108"/>
      <c r="I198" s="108"/>
      <c r="J198" s="109"/>
      <c r="K198" s="108"/>
      <c r="L198" s="108"/>
      <c r="M198" s="108"/>
      <c r="N198" s="108"/>
      <c r="O198" s="121"/>
      <c r="P198" s="151" t="str">
        <f t="shared" si="0"/>
        <v/>
      </c>
      <c r="Q198" s="151" t="str">
        <f t="shared" si="1"/>
        <v/>
      </c>
      <c r="R198" s="151" t="str">
        <f t="shared" si="2"/>
        <v/>
      </c>
      <c r="S198" s="151" t="str">
        <f t="shared" si="3"/>
        <v/>
      </c>
      <c r="T198" s="151" t="str">
        <f t="shared" si="4"/>
        <v/>
      </c>
      <c r="U198" s="151" t="str">
        <f t="shared" si="5"/>
        <v/>
      </c>
      <c r="V198" s="108"/>
    </row>
    <row r="199" spans="1:22">
      <c r="A199" s="101"/>
      <c r="B199" s="157"/>
      <c r="C199" s="147"/>
      <c r="D199" s="148"/>
      <c r="E199" s="149"/>
      <c r="F199" s="150"/>
      <c r="G199" s="107"/>
      <c r="H199" s="108"/>
      <c r="I199" s="108"/>
      <c r="J199" s="109"/>
      <c r="K199" s="108"/>
      <c r="L199" s="108"/>
      <c r="M199" s="108"/>
      <c r="N199" s="108"/>
      <c r="O199" s="121"/>
      <c r="P199" s="151" t="str">
        <f t="shared" si="0"/>
        <v/>
      </c>
      <c r="Q199" s="151" t="str">
        <f t="shared" si="1"/>
        <v/>
      </c>
      <c r="R199" s="151" t="str">
        <f t="shared" si="2"/>
        <v/>
      </c>
      <c r="S199" s="151" t="str">
        <f t="shared" si="3"/>
        <v/>
      </c>
      <c r="T199" s="151" t="str">
        <f t="shared" si="4"/>
        <v/>
      </c>
      <c r="U199" s="151" t="str">
        <f t="shared" si="5"/>
        <v/>
      </c>
      <c r="V199" s="108"/>
    </row>
    <row r="200" spans="1:22">
      <c r="A200" s="101"/>
      <c r="B200" s="157" t="s">
        <v>389</v>
      </c>
      <c r="C200" s="147"/>
      <c r="D200" s="153"/>
      <c r="E200" s="149"/>
      <c r="F200" s="150"/>
      <c r="G200" s="107">
        <v>10</v>
      </c>
      <c r="H200" s="108">
        <v>2</v>
      </c>
      <c r="I200" s="108">
        <v>1</v>
      </c>
      <c r="J200" s="160">
        <f>C201+D203+E201+2*8*G200/1000</f>
        <v>0.73</v>
      </c>
      <c r="K200" s="108"/>
      <c r="L200" s="108">
        <v>4</v>
      </c>
      <c r="M200" s="121">
        <f>2*G200*L200/1000</f>
        <v>0.08</v>
      </c>
      <c r="N200" s="121">
        <f>(J200+K200-M200)</f>
        <v>0.65</v>
      </c>
      <c r="O200" s="121">
        <f>(H200*I200*N200)</f>
        <v>1.3</v>
      </c>
      <c r="P200" s="151" t="str">
        <f t="shared" si="0"/>
        <v/>
      </c>
      <c r="Q200" s="151">
        <f t="shared" si="1"/>
        <v>1.3</v>
      </c>
      <c r="R200" s="151" t="str">
        <f t="shared" si="2"/>
        <v/>
      </c>
      <c r="S200" s="151" t="str">
        <f t="shared" si="3"/>
        <v/>
      </c>
      <c r="T200" s="151" t="str">
        <f t="shared" si="4"/>
        <v/>
      </c>
      <c r="U200" s="151" t="str">
        <f t="shared" si="5"/>
        <v/>
      </c>
      <c r="V200" s="108"/>
    </row>
    <row r="201" spans="1:22">
      <c r="A201" s="101"/>
      <c r="B201" s="157"/>
      <c r="C201" s="162">
        <v>0.17499999999999999</v>
      </c>
      <c r="D201" s="148"/>
      <c r="E201" s="149">
        <v>0.17499999999999999</v>
      </c>
      <c r="F201" s="150"/>
      <c r="G201" s="107"/>
      <c r="H201" s="108"/>
      <c r="I201" s="108"/>
      <c r="J201" s="109"/>
      <c r="K201" s="108"/>
      <c r="L201" s="108"/>
      <c r="M201" s="108"/>
      <c r="N201" s="108"/>
      <c r="O201" s="121"/>
      <c r="P201" s="151" t="str">
        <f>IF($G201=8,$O201,"")</f>
        <v/>
      </c>
      <c r="Q201" s="151" t="str">
        <f>IF($G201=10,$O201,"")</f>
        <v/>
      </c>
      <c r="R201" s="151" t="str">
        <f>IF($G201=12,$O201,"")</f>
        <v/>
      </c>
      <c r="S201" s="151" t="str">
        <f>IF($G201=16,$O201,"")</f>
        <v/>
      </c>
      <c r="T201" s="151" t="str">
        <f>IF($G201=20,$O201,"")</f>
        <v/>
      </c>
      <c r="U201" s="151" t="str">
        <f>IF($G201=25,$O201,"")</f>
        <v/>
      </c>
      <c r="V201" s="108"/>
    </row>
    <row r="202" spans="1:22">
      <c r="A202" s="101"/>
      <c r="B202" s="157"/>
      <c r="C202" s="147"/>
      <c r="D202" s="148"/>
      <c r="E202" s="149"/>
      <c r="F202" s="150"/>
      <c r="G202" s="107"/>
      <c r="H202" s="108"/>
      <c r="I202" s="108"/>
      <c r="J202" s="109"/>
      <c r="K202" s="108"/>
      <c r="L202" s="108"/>
      <c r="M202" s="108"/>
      <c r="N202" s="108"/>
      <c r="O202" s="121"/>
      <c r="P202" s="151" t="str">
        <f t="shared" si="0"/>
        <v/>
      </c>
      <c r="Q202" s="151" t="str">
        <f t="shared" si="1"/>
        <v/>
      </c>
      <c r="R202" s="151" t="str">
        <f t="shared" si="2"/>
        <v/>
      </c>
      <c r="S202" s="151" t="str">
        <f t="shared" si="3"/>
        <v/>
      </c>
      <c r="T202" s="151" t="str">
        <f t="shared" si="4"/>
        <v/>
      </c>
      <c r="U202" s="151" t="str">
        <f t="shared" si="5"/>
        <v/>
      </c>
      <c r="V202" s="108"/>
    </row>
    <row r="203" spans="1:22">
      <c r="A203" s="101"/>
      <c r="B203" s="157"/>
      <c r="C203" s="147"/>
      <c r="D203" s="118">
        <f>0.3-0.08</f>
        <v>0.21999999999999997</v>
      </c>
      <c r="E203" s="149"/>
      <c r="F203" s="150"/>
      <c r="G203" s="107"/>
      <c r="H203" s="108"/>
      <c r="I203" s="108"/>
      <c r="J203" s="109"/>
      <c r="K203" s="108"/>
      <c r="L203" s="108"/>
      <c r="M203" s="108"/>
      <c r="N203" s="108"/>
      <c r="O203" s="121"/>
      <c r="P203" s="151" t="str">
        <f t="shared" si="0"/>
        <v/>
      </c>
      <c r="Q203" s="151" t="str">
        <f t="shared" si="1"/>
        <v/>
      </c>
      <c r="R203" s="151" t="str">
        <f t="shared" si="2"/>
        <v/>
      </c>
      <c r="S203" s="151" t="str">
        <f t="shared" si="3"/>
        <v/>
      </c>
      <c r="T203" s="151" t="str">
        <f t="shared" si="4"/>
        <v/>
      </c>
      <c r="U203" s="151" t="str">
        <f t="shared" si="5"/>
        <v/>
      </c>
      <c r="V203" s="108"/>
    </row>
    <row r="204" spans="1:22">
      <c r="A204" s="101"/>
      <c r="B204" s="157"/>
      <c r="C204" s="147"/>
      <c r="D204" s="148"/>
      <c r="E204" s="149"/>
      <c r="F204" s="150"/>
      <c r="G204" s="107"/>
      <c r="H204" s="108"/>
      <c r="I204" s="108"/>
      <c r="J204" s="109"/>
      <c r="K204" s="108"/>
      <c r="L204" s="108"/>
      <c r="M204" s="108"/>
      <c r="N204" s="108"/>
      <c r="O204" s="121"/>
      <c r="P204" s="151" t="str">
        <f t="shared" si="0"/>
        <v/>
      </c>
      <c r="Q204" s="151" t="str">
        <f t="shared" si="1"/>
        <v/>
      </c>
      <c r="R204" s="151" t="str">
        <f t="shared" si="2"/>
        <v/>
      </c>
      <c r="S204" s="151" t="str">
        <f t="shared" si="3"/>
        <v/>
      </c>
      <c r="T204" s="151" t="str">
        <f t="shared" si="4"/>
        <v/>
      </c>
      <c r="U204" s="151" t="str">
        <f t="shared" si="5"/>
        <v/>
      </c>
      <c r="V204" s="108"/>
    </row>
    <row r="205" spans="1:22">
      <c r="A205" s="101"/>
      <c r="B205" s="157" t="s">
        <v>394</v>
      </c>
      <c r="C205" s="147"/>
      <c r="D205" s="153"/>
      <c r="E205" s="149"/>
      <c r="F205" s="150"/>
      <c r="G205" s="107">
        <v>10</v>
      </c>
      <c r="H205" s="108">
        <v>2</v>
      </c>
      <c r="I205" s="108">
        <v>1</v>
      </c>
      <c r="J205" s="160">
        <f>C206+D208+E206+2*8*G205/1000</f>
        <v>0.73</v>
      </c>
      <c r="K205" s="108"/>
      <c r="L205" s="108">
        <v>4</v>
      </c>
      <c r="M205" s="121">
        <f>2*G205*L205/1000</f>
        <v>0.08</v>
      </c>
      <c r="N205" s="121">
        <f>(J205+K205-M205)</f>
        <v>0.65</v>
      </c>
      <c r="O205" s="121">
        <f>(H205*I205*N205)</f>
        <v>1.3</v>
      </c>
      <c r="P205" s="151" t="str">
        <f t="shared" si="0"/>
        <v/>
      </c>
      <c r="Q205" s="151">
        <f t="shared" si="1"/>
        <v>1.3</v>
      </c>
      <c r="R205" s="151" t="str">
        <f t="shared" si="2"/>
        <v/>
      </c>
      <c r="S205" s="151" t="str">
        <f t="shared" si="3"/>
        <v/>
      </c>
      <c r="T205" s="151" t="str">
        <f t="shared" si="4"/>
        <v/>
      </c>
      <c r="U205" s="151" t="str">
        <f t="shared" si="5"/>
        <v/>
      </c>
      <c r="V205" s="108"/>
    </row>
    <row r="206" spans="1:22">
      <c r="A206" s="101"/>
      <c r="B206" s="157"/>
      <c r="C206" s="162">
        <v>0.17499999999999999</v>
      </c>
      <c r="D206" s="148"/>
      <c r="E206" s="149">
        <v>0.17499999999999999</v>
      </c>
      <c r="F206" s="150"/>
      <c r="G206" s="107"/>
      <c r="H206" s="108"/>
      <c r="I206" s="108"/>
      <c r="J206" s="109"/>
      <c r="K206" s="108"/>
      <c r="L206" s="108"/>
      <c r="M206" s="108"/>
      <c r="N206" s="108"/>
      <c r="O206" s="121"/>
      <c r="P206" s="151" t="str">
        <f t="shared" si="0"/>
        <v/>
      </c>
      <c r="Q206" s="151" t="str">
        <f t="shared" si="1"/>
        <v/>
      </c>
      <c r="R206" s="151" t="str">
        <f t="shared" si="2"/>
        <v/>
      </c>
      <c r="S206" s="151" t="str">
        <f t="shared" si="3"/>
        <v/>
      </c>
      <c r="T206" s="151" t="str">
        <f t="shared" si="4"/>
        <v/>
      </c>
      <c r="U206" s="151" t="str">
        <f t="shared" si="5"/>
        <v/>
      </c>
      <c r="V206" s="108"/>
    </row>
    <row r="207" spans="1:22">
      <c r="A207" s="101"/>
      <c r="B207" s="157"/>
      <c r="C207" s="147"/>
      <c r="D207" s="148"/>
      <c r="E207" s="149"/>
      <c r="F207" s="150"/>
      <c r="G207" s="107"/>
      <c r="H207" s="108"/>
      <c r="I207" s="108"/>
      <c r="J207" s="109"/>
      <c r="K207" s="108"/>
      <c r="L207" s="108"/>
      <c r="M207" s="108"/>
      <c r="N207" s="108"/>
      <c r="O207" s="110"/>
      <c r="P207" s="151" t="str">
        <f t="shared" si="0"/>
        <v/>
      </c>
      <c r="Q207" s="151" t="str">
        <f t="shared" si="1"/>
        <v/>
      </c>
      <c r="R207" s="151" t="str">
        <f t="shared" si="2"/>
        <v/>
      </c>
      <c r="S207" s="151" t="str">
        <f t="shared" si="3"/>
        <v/>
      </c>
      <c r="T207" s="151" t="str">
        <f t="shared" si="4"/>
        <v/>
      </c>
      <c r="U207" s="151" t="str">
        <f t="shared" si="5"/>
        <v/>
      </c>
      <c r="V207" s="108"/>
    </row>
    <row r="208" spans="1:22">
      <c r="A208" s="101"/>
      <c r="B208" s="157"/>
      <c r="C208" s="147"/>
      <c r="D208" s="118">
        <f>0.3-0.08</f>
        <v>0.21999999999999997</v>
      </c>
      <c r="E208" s="149"/>
      <c r="F208" s="150"/>
      <c r="G208" s="107"/>
      <c r="H208" s="108"/>
      <c r="I208" s="108"/>
      <c r="J208" s="109"/>
      <c r="K208" s="108"/>
      <c r="L208" s="108"/>
      <c r="M208" s="108"/>
      <c r="N208" s="108"/>
      <c r="O208" s="110"/>
      <c r="P208" s="151" t="str">
        <f t="shared" si="0"/>
        <v/>
      </c>
      <c r="Q208" s="151" t="str">
        <f t="shared" si="1"/>
        <v/>
      </c>
      <c r="R208" s="151" t="str">
        <f t="shared" si="2"/>
        <v/>
      </c>
      <c r="S208" s="151" t="str">
        <f t="shared" si="3"/>
        <v/>
      </c>
      <c r="T208" s="151" t="str">
        <f t="shared" si="4"/>
        <v/>
      </c>
      <c r="U208" s="151" t="str">
        <f t="shared" si="5"/>
        <v/>
      </c>
      <c r="V208" s="108"/>
    </row>
    <row r="209" spans="1:22">
      <c r="A209" s="101"/>
      <c r="B209" s="157"/>
      <c r="C209" s="147"/>
      <c r="D209" s="163"/>
      <c r="E209" s="149"/>
      <c r="F209" s="150"/>
      <c r="G209" s="107"/>
      <c r="H209" s="108"/>
      <c r="I209" s="108"/>
      <c r="J209" s="109"/>
      <c r="K209" s="108"/>
      <c r="L209" s="108"/>
      <c r="M209" s="108"/>
      <c r="N209" s="108"/>
      <c r="O209" s="110"/>
      <c r="P209" s="151" t="str">
        <f t="shared" si="0"/>
        <v/>
      </c>
      <c r="Q209" s="151" t="str">
        <f t="shared" si="1"/>
        <v/>
      </c>
      <c r="R209" s="151" t="str">
        <f t="shared" si="2"/>
        <v/>
      </c>
      <c r="S209" s="151" t="str">
        <f t="shared" si="3"/>
        <v/>
      </c>
      <c r="T209" s="151" t="str">
        <f t="shared" si="4"/>
        <v/>
      </c>
      <c r="U209" s="151" t="str">
        <f t="shared" si="5"/>
        <v/>
      </c>
      <c r="V209" s="108"/>
    </row>
    <row r="210" spans="1:22">
      <c r="A210" s="101">
        <v>8</v>
      </c>
      <c r="B210" s="101" t="s">
        <v>398</v>
      </c>
      <c r="C210" s="147"/>
      <c r="D210" s="148"/>
      <c r="E210" s="149"/>
      <c r="F210" s="150"/>
      <c r="G210" s="107"/>
      <c r="H210" s="108"/>
      <c r="I210" s="108"/>
      <c r="J210" s="118"/>
      <c r="K210" s="121"/>
      <c r="L210" s="121"/>
      <c r="M210" s="108"/>
      <c r="N210" s="121"/>
      <c r="O210" s="121"/>
      <c r="P210" s="151" t="str">
        <f>IF($G210=8,$O210,"")</f>
        <v/>
      </c>
      <c r="Q210" s="151" t="str">
        <f>IF($G210=10,$O210,"")</f>
        <v/>
      </c>
      <c r="R210" s="151" t="str">
        <f>IF($G210=12,$O210,"")</f>
        <v/>
      </c>
      <c r="S210" s="151" t="str">
        <f>IF($G210=16,$O210,"")</f>
        <v/>
      </c>
      <c r="T210" s="151" t="str">
        <f>IF($G210=20,$O210,"")</f>
        <v/>
      </c>
      <c r="U210" s="151" t="str">
        <f>IF($G210=25,$O210,"")</f>
        <v/>
      </c>
      <c r="V210" s="108"/>
    </row>
    <row r="211" spans="1:22">
      <c r="A211" s="101"/>
      <c r="B211" s="152" t="s">
        <v>382</v>
      </c>
      <c r="C211" s="147"/>
      <c r="D211" s="153">
        <f>0.85-0.075-2*0.016</f>
        <v>0.74299999999999999</v>
      </c>
      <c r="E211" s="149"/>
      <c r="F211" s="150"/>
      <c r="G211" s="107">
        <v>20</v>
      </c>
      <c r="H211" s="108">
        <v>2</v>
      </c>
      <c r="I211" s="108">
        <v>4</v>
      </c>
      <c r="J211" s="118">
        <f>D211</f>
        <v>0.74299999999999999</v>
      </c>
      <c r="K211" s="119" t="str">
        <f>IF(N211&lt;12,"0",0.049*G211)</f>
        <v>0</v>
      </c>
      <c r="L211" s="120">
        <v>1</v>
      </c>
      <c r="M211" s="108">
        <f>2*G211*L211/1000</f>
        <v>0.04</v>
      </c>
      <c r="N211" s="121">
        <f>J211+E213-M211</f>
        <v>1.0029999999999999</v>
      </c>
      <c r="O211" s="121">
        <f>H211*I211*N211</f>
        <v>8.0239999999999991</v>
      </c>
      <c r="P211" s="151" t="str">
        <f t="shared" si="0"/>
        <v/>
      </c>
      <c r="Q211" s="151" t="str">
        <f t="shared" si="1"/>
        <v/>
      </c>
      <c r="R211" s="151" t="str">
        <f t="shared" si="2"/>
        <v/>
      </c>
      <c r="S211" s="151" t="str">
        <f t="shared" si="3"/>
        <v/>
      </c>
      <c r="T211" s="151">
        <f t="shared" si="4"/>
        <v>8.0239999999999991</v>
      </c>
      <c r="U211" s="151" t="str">
        <f t="shared" si="5"/>
        <v/>
      </c>
      <c r="V211" s="108"/>
    </row>
    <row r="212" spans="1:22">
      <c r="A212" s="101"/>
      <c r="B212" s="152" t="s">
        <v>383</v>
      </c>
      <c r="C212" s="147"/>
      <c r="D212" s="148"/>
      <c r="E212" s="149"/>
      <c r="F212" s="150"/>
      <c r="G212" s="107">
        <v>20</v>
      </c>
      <c r="H212" s="108">
        <v>2</v>
      </c>
      <c r="I212" s="108">
        <v>2</v>
      </c>
      <c r="J212" s="118">
        <f>D211</f>
        <v>0.74299999999999999</v>
      </c>
      <c r="K212" s="119" t="str">
        <f t="shared" ref="K212:K214" si="20">IF(N212&lt;12,"0",0.049*G212)</f>
        <v>0</v>
      </c>
      <c r="L212" s="120">
        <v>1</v>
      </c>
      <c r="M212" s="108">
        <f t="shared" ref="M212:M214" si="21">2*G212*L212/1000</f>
        <v>0.04</v>
      </c>
      <c r="N212" s="121">
        <f>J212+E213-M212</f>
        <v>1.0029999999999999</v>
      </c>
      <c r="O212" s="121">
        <f>H212*I212*N212</f>
        <v>4.0119999999999996</v>
      </c>
      <c r="P212" s="151" t="str">
        <f t="shared" si="0"/>
        <v/>
      </c>
      <c r="Q212" s="151" t="str">
        <f t="shared" si="1"/>
        <v/>
      </c>
      <c r="R212" s="151" t="str">
        <f t="shared" si="2"/>
        <v/>
      </c>
      <c r="S212" s="151" t="str">
        <f t="shared" si="3"/>
        <v/>
      </c>
      <c r="T212" s="151">
        <f t="shared" si="4"/>
        <v>4.0119999999999996</v>
      </c>
      <c r="U212" s="151" t="str">
        <f t="shared" si="5"/>
        <v/>
      </c>
      <c r="V212" s="108"/>
    </row>
    <row r="213" spans="1:22">
      <c r="A213" s="101"/>
      <c r="B213" s="152" t="s">
        <v>384</v>
      </c>
      <c r="C213" s="154"/>
      <c r="D213" s="153"/>
      <c r="E213" s="155">
        <v>0.3</v>
      </c>
      <c r="F213" s="150"/>
      <c r="G213" s="107">
        <v>20</v>
      </c>
      <c r="H213" s="108">
        <v>2</v>
      </c>
      <c r="I213" s="108">
        <v>4</v>
      </c>
      <c r="J213" s="118">
        <f>D211</f>
        <v>0.74299999999999999</v>
      </c>
      <c r="K213" s="119" t="str">
        <f t="shared" si="20"/>
        <v>0</v>
      </c>
      <c r="L213" s="120">
        <v>1</v>
      </c>
      <c r="M213" s="108">
        <f t="shared" si="21"/>
        <v>0.04</v>
      </c>
      <c r="N213" s="121">
        <f>J213+E213-M213</f>
        <v>1.0029999999999999</v>
      </c>
      <c r="O213" s="121">
        <f>H213*I213*N213</f>
        <v>8.0239999999999991</v>
      </c>
      <c r="P213" s="151" t="str">
        <f t="shared" si="0"/>
        <v/>
      </c>
      <c r="Q213" s="151" t="str">
        <f t="shared" si="1"/>
        <v/>
      </c>
      <c r="R213" s="151" t="str">
        <f t="shared" si="2"/>
        <v/>
      </c>
      <c r="S213" s="151" t="str">
        <f t="shared" si="3"/>
        <v/>
      </c>
      <c r="T213" s="151">
        <f t="shared" si="4"/>
        <v>8.0239999999999991</v>
      </c>
      <c r="U213" s="151" t="str">
        <f t="shared" si="5"/>
        <v/>
      </c>
      <c r="V213" s="108"/>
    </row>
    <row r="214" spans="1:22">
      <c r="A214" s="101"/>
      <c r="B214" s="152" t="s">
        <v>385</v>
      </c>
      <c r="C214" s="147"/>
      <c r="D214" s="148"/>
      <c r="E214" s="149"/>
      <c r="F214" s="150"/>
      <c r="G214" s="107">
        <v>20</v>
      </c>
      <c r="H214" s="108">
        <v>2</v>
      </c>
      <c r="I214" s="108">
        <v>4</v>
      </c>
      <c r="J214" s="118">
        <f>D211</f>
        <v>0.74299999999999999</v>
      </c>
      <c r="K214" s="119" t="str">
        <f t="shared" si="20"/>
        <v>0</v>
      </c>
      <c r="L214" s="120">
        <v>1</v>
      </c>
      <c r="M214" s="108">
        <f t="shared" si="21"/>
        <v>0.04</v>
      </c>
      <c r="N214" s="121">
        <f>J214+E213-M214</f>
        <v>1.0029999999999999</v>
      </c>
      <c r="O214" s="121">
        <f>H214*I214*N214</f>
        <v>8.0239999999999991</v>
      </c>
      <c r="P214" s="151" t="str">
        <f t="shared" si="0"/>
        <v/>
      </c>
      <c r="Q214" s="151" t="str">
        <f t="shared" si="1"/>
        <v/>
      </c>
      <c r="R214" s="151" t="str">
        <f t="shared" si="2"/>
        <v/>
      </c>
      <c r="S214" s="151" t="str">
        <f t="shared" si="3"/>
        <v/>
      </c>
      <c r="T214" s="151">
        <f t="shared" si="4"/>
        <v>8.0239999999999991</v>
      </c>
      <c r="U214" s="151" t="str">
        <f t="shared" si="5"/>
        <v/>
      </c>
      <c r="V214" s="108"/>
    </row>
    <row r="215" spans="1:22">
      <c r="A215" s="101"/>
      <c r="B215" s="152"/>
      <c r="C215" s="147"/>
      <c r="D215" s="148"/>
      <c r="E215" s="149"/>
      <c r="F215" s="150"/>
      <c r="G215" s="107"/>
      <c r="H215" s="108"/>
      <c r="I215" s="108"/>
      <c r="J215" s="109"/>
      <c r="K215" s="108"/>
      <c r="L215" s="108"/>
      <c r="M215" s="108"/>
      <c r="N215" s="108"/>
      <c r="O215" s="110"/>
      <c r="P215" s="151" t="str">
        <f t="shared" si="0"/>
        <v/>
      </c>
      <c r="Q215" s="151" t="str">
        <f t="shared" si="1"/>
        <v/>
      </c>
      <c r="R215" s="151" t="str">
        <f t="shared" si="2"/>
        <v/>
      </c>
      <c r="S215" s="151" t="str">
        <f t="shared" si="3"/>
        <v/>
      </c>
      <c r="T215" s="151" t="str">
        <f t="shared" si="4"/>
        <v/>
      </c>
      <c r="U215" s="151" t="str">
        <f t="shared" si="5"/>
        <v/>
      </c>
      <c r="V215" s="108"/>
    </row>
    <row r="216" spans="1:22">
      <c r="A216" s="101"/>
      <c r="B216" s="101"/>
      <c r="C216" s="156">
        <v>0.08</v>
      </c>
      <c r="D216" s="148"/>
      <c r="E216" s="149"/>
      <c r="F216" s="150"/>
      <c r="G216" s="107"/>
      <c r="H216" s="108"/>
      <c r="I216" s="108"/>
      <c r="J216" s="109"/>
      <c r="K216" s="108"/>
      <c r="L216" s="108"/>
      <c r="M216" s="108"/>
      <c r="N216" s="108"/>
      <c r="O216" s="110"/>
      <c r="P216" s="151" t="str">
        <f t="shared" si="0"/>
        <v/>
      </c>
      <c r="Q216" s="151" t="str">
        <f t="shared" si="1"/>
        <v/>
      </c>
      <c r="R216" s="151" t="str">
        <f t="shared" si="2"/>
        <v/>
      </c>
      <c r="S216" s="151" t="str">
        <f t="shared" si="3"/>
        <v/>
      </c>
      <c r="T216" s="151" t="str">
        <f t="shared" si="4"/>
        <v/>
      </c>
      <c r="U216" s="151" t="str">
        <f t="shared" si="5"/>
        <v/>
      </c>
      <c r="V216" s="108"/>
    </row>
    <row r="217" spans="1:22">
      <c r="A217" s="101"/>
      <c r="B217" s="157" t="s">
        <v>386</v>
      </c>
      <c r="C217" s="158"/>
      <c r="D217" s="148"/>
      <c r="E217" s="159">
        <f>0.6-0.08</f>
        <v>0.52</v>
      </c>
      <c r="F217" s="150"/>
      <c r="G217" s="107">
        <v>10</v>
      </c>
      <c r="H217" s="108">
        <v>2</v>
      </c>
      <c r="I217" s="108">
        <v>4</v>
      </c>
      <c r="J217" s="160">
        <f>2*(D219+E217)+2*8*G217/1000</f>
        <v>1.64</v>
      </c>
      <c r="K217" s="108"/>
      <c r="L217" s="108">
        <v>5</v>
      </c>
      <c r="M217" s="121">
        <f>2*G217*L217/1000</f>
        <v>0.1</v>
      </c>
      <c r="N217" s="121">
        <f>(J217+K217-M217)</f>
        <v>1.5399999999999998</v>
      </c>
      <c r="O217" s="121">
        <f>(H217*I217*N217)</f>
        <v>12.319999999999999</v>
      </c>
      <c r="P217" s="151" t="str">
        <f t="shared" si="0"/>
        <v/>
      </c>
      <c r="Q217" s="151">
        <f t="shared" si="1"/>
        <v>12.319999999999999</v>
      </c>
      <c r="R217" s="151" t="str">
        <f t="shared" si="2"/>
        <v/>
      </c>
      <c r="S217" s="151" t="str">
        <f t="shared" si="3"/>
        <v/>
      </c>
      <c r="T217" s="151" t="str">
        <f t="shared" si="4"/>
        <v/>
      </c>
      <c r="U217" s="151" t="str">
        <f t="shared" si="5"/>
        <v/>
      </c>
      <c r="V217" s="108"/>
    </row>
    <row r="218" spans="1:22">
      <c r="A218" s="101"/>
      <c r="B218" s="157"/>
      <c r="C218" s="147"/>
      <c r="D218" s="148"/>
      <c r="E218" s="161"/>
      <c r="F218" s="150"/>
      <c r="G218" s="107"/>
      <c r="H218" s="108"/>
      <c r="I218" s="108"/>
      <c r="J218" s="109"/>
      <c r="K218" s="108"/>
      <c r="L218" s="108"/>
      <c r="M218" s="108"/>
      <c r="N218" s="108"/>
      <c r="O218" s="121"/>
      <c r="P218" s="151" t="str">
        <f t="shared" si="0"/>
        <v/>
      </c>
      <c r="Q218" s="151" t="str">
        <f t="shared" si="1"/>
        <v/>
      </c>
      <c r="R218" s="151" t="str">
        <f t="shared" si="2"/>
        <v/>
      </c>
      <c r="S218" s="151" t="str">
        <f t="shared" si="3"/>
        <v/>
      </c>
      <c r="T218" s="151" t="str">
        <f t="shared" si="4"/>
        <v/>
      </c>
      <c r="U218" s="151" t="str">
        <f t="shared" si="5"/>
        <v/>
      </c>
      <c r="V218" s="108"/>
    </row>
    <row r="219" spans="1:22">
      <c r="A219" s="101"/>
      <c r="B219" s="157"/>
      <c r="C219" s="147"/>
      <c r="D219" s="118">
        <f>0.3-0.08</f>
        <v>0.21999999999999997</v>
      </c>
      <c r="E219" s="149"/>
      <c r="F219" s="150"/>
      <c r="G219" s="107"/>
      <c r="H219" s="108"/>
      <c r="I219" s="108"/>
      <c r="J219" s="109"/>
      <c r="K219" s="108"/>
      <c r="L219" s="108"/>
      <c r="M219" s="108"/>
      <c r="N219" s="108"/>
      <c r="O219" s="121"/>
      <c r="P219" s="151" t="str">
        <f t="shared" si="0"/>
        <v/>
      </c>
      <c r="Q219" s="151" t="str">
        <f t="shared" si="1"/>
        <v/>
      </c>
      <c r="R219" s="151" t="str">
        <f t="shared" si="2"/>
        <v/>
      </c>
      <c r="S219" s="151" t="str">
        <f t="shared" si="3"/>
        <v/>
      </c>
      <c r="T219" s="151" t="str">
        <f t="shared" si="4"/>
        <v/>
      </c>
      <c r="U219" s="151" t="str">
        <f t="shared" si="5"/>
        <v/>
      </c>
      <c r="V219" s="108"/>
    </row>
    <row r="220" spans="1:22">
      <c r="A220" s="101"/>
      <c r="B220" s="152"/>
      <c r="C220" s="147"/>
      <c r="D220" s="148"/>
      <c r="E220" s="149"/>
      <c r="F220" s="150"/>
      <c r="G220" s="107"/>
      <c r="H220" s="108"/>
      <c r="I220" s="108"/>
      <c r="J220" s="109"/>
      <c r="K220" s="108"/>
      <c r="L220" s="108"/>
      <c r="M220" s="108"/>
      <c r="N220" s="108"/>
      <c r="O220" s="121"/>
      <c r="P220" s="151" t="str">
        <f t="shared" si="0"/>
        <v/>
      </c>
      <c r="Q220" s="151" t="str">
        <f t="shared" si="1"/>
        <v/>
      </c>
      <c r="R220" s="151" t="str">
        <f t="shared" si="2"/>
        <v/>
      </c>
      <c r="S220" s="151" t="str">
        <f t="shared" si="3"/>
        <v/>
      </c>
      <c r="T220" s="151" t="str">
        <f t="shared" si="4"/>
        <v/>
      </c>
      <c r="U220" s="151" t="str">
        <f t="shared" si="5"/>
        <v/>
      </c>
      <c r="V220" s="108"/>
    </row>
    <row r="221" spans="1:22">
      <c r="A221" s="101"/>
      <c r="B221" s="101"/>
      <c r="C221" s="156">
        <v>0.08</v>
      </c>
      <c r="D221" s="148"/>
      <c r="E221" s="149"/>
      <c r="F221" s="150"/>
      <c r="G221" s="107"/>
      <c r="H221" s="108"/>
      <c r="I221" s="108"/>
      <c r="J221" s="109"/>
      <c r="K221" s="108"/>
      <c r="L221" s="108"/>
      <c r="M221" s="108"/>
      <c r="N221" s="108"/>
      <c r="O221" s="121"/>
      <c r="P221" s="151" t="str">
        <f t="shared" si="0"/>
        <v/>
      </c>
      <c r="Q221" s="151" t="str">
        <f t="shared" si="1"/>
        <v/>
      </c>
      <c r="R221" s="151" t="str">
        <f t="shared" si="2"/>
        <v/>
      </c>
      <c r="S221" s="151" t="str">
        <f t="shared" si="3"/>
        <v/>
      </c>
      <c r="T221" s="151" t="str">
        <f t="shared" si="4"/>
        <v/>
      </c>
      <c r="U221" s="151" t="str">
        <f t="shared" si="5"/>
        <v/>
      </c>
      <c r="V221" s="108"/>
    </row>
    <row r="222" spans="1:22">
      <c r="A222" s="101"/>
      <c r="B222" s="157" t="s">
        <v>387</v>
      </c>
      <c r="C222" s="158"/>
      <c r="D222" s="148"/>
      <c r="E222" s="159">
        <f>((0.6-0.08-0.016)/5)+0.012+0.02</f>
        <v>0.1328</v>
      </c>
      <c r="F222" s="150"/>
      <c r="G222" s="107">
        <v>10</v>
      </c>
      <c r="H222" s="108">
        <v>2</v>
      </c>
      <c r="I222" s="108">
        <v>1</v>
      </c>
      <c r="J222" s="160">
        <f>2*(D224+E222)+2*8*G222/1000</f>
        <v>0.86560000000000004</v>
      </c>
      <c r="K222" s="108"/>
      <c r="L222" s="108">
        <v>5</v>
      </c>
      <c r="M222" s="121">
        <f>2*G222*L222/1000</f>
        <v>0.1</v>
      </c>
      <c r="N222" s="121">
        <f>(J222+K222-M222)</f>
        <v>0.76560000000000006</v>
      </c>
      <c r="O222" s="121">
        <f>(H222*I222*N222)</f>
        <v>1.5312000000000001</v>
      </c>
      <c r="P222" s="151" t="str">
        <f t="shared" si="0"/>
        <v/>
      </c>
      <c r="Q222" s="151">
        <f t="shared" si="1"/>
        <v>1.5312000000000001</v>
      </c>
      <c r="R222" s="151" t="str">
        <f t="shared" si="2"/>
        <v/>
      </c>
      <c r="S222" s="151" t="str">
        <f t="shared" si="3"/>
        <v/>
      </c>
      <c r="T222" s="151" t="str">
        <f t="shared" si="4"/>
        <v/>
      </c>
      <c r="U222" s="151" t="str">
        <f t="shared" si="5"/>
        <v/>
      </c>
      <c r="V222" s="108"/>
    </row>
    <row r="223" spans="1:22">
      <c r="A223" s="101"/>
      <c r="B223" s="157"/>
      <c r="C223" s="147"/>
      <c r="D223" s="148"/>
      <c r="E223" s="161"/>
      <c r="F223" s="150"/>
      <c r="G223" s="107"/>
      <c r="H223" s="108"/>
      <c r="I223" s="108"/>
      <c r="J223" s="109"/>
      <c r="K223" s="108"/>
      <c r="L223" s="108"/>
      <c r="M223" s="108"/>
      <c r="N223" s="108"/>
      <c r="O223" s="121"/>
      <c r="P223" s="151" t="str">
        <f t="shared" si="0"/>
        <v/>
      </c>
      <c r="Q223" s="151" t="str">
        <f t="shared" si="1"/>
        <v/>
      </c>
      <c r="R223" s="151" t="str">
        <f t="shared" si="2"/>
        <v/>
      </c>
      <c r="S223" s="151" t="str">
        <f t="shared" si="3"/>
        <v/>
      </c>
      <c r="T223" s="151" t="str">
        <f t="shared" si="4"/>
        <v/>
      </c>
      <c r="U223" s="151" t="str">
        <f t="shared" si="5"/>
        <v/>
      </c>
      <c r="V223" s="108"/>
    </row>
    <row r="224" spans="1:22">
      <c r="A224" s="101"/>
      <c r="B224" s="157"/>
      <c r="C224" s="147"/>
      <c r="D224" s="118">
        <f>0.3-0.08</f>
        <v>0.21999999999999997</v>
      </c>
      <c r="E224" s="149"/>
      <c r="F224" s="150"/>
      <c r="G224" s="107"/>
      <c r="H224" s="108"/>
      <c r="I224" s="108"/>
      <c r="J224" s="109"/>
      <c r="K224" s="108"/>
      <c r="L224" s="108"/>
      <c r="M224" s="108"/>
      <c r="N224" s="108"/>
      <c r="O224" s="121"/>
      <c r="P224" s="151" t="str">
        <f t="shared" si="0"/>
        <v/>
      </c>
      <c r="Q224" s="151" t="str">
        <f t="shared" si="1"/>
        <v/>
      </c>
      <c r="R224" s="151" t="str">
        <f t="shared" si="2"/>
        <v/>
      </c>
      <c r="S224" s="151" t="str">
        <f t="shared" si="3"/>
        <v/>
      </c>
      <c r="T224" s="151" t="str">
        <f t="shared" si="4"/>
        <v/>
      </c>
      <c r="U224" s="151" t="str">
        <f t="shared" si="5"/>
        <v/>
      </c>
      <c r="V224" s="108"/>
    </row>
    <row r="225" spans="1:22">
      <c r="A225" s="101"/>
      <c r="B225" s="157"/>
      <c r="C225" s="147"/>
      <c r="D225" s="148"/>
      <c r="E225" s="149"/>
      <c r="F225" s="150"/>
      <c r="G225" s="107"/>
      <c r="H225" s="108"/>
      <c r="I225" s="108"/>
      <c r="J225" s="109"/>
      <c r="K225" s="108"/>
      <c r="L225" s="108"/>
      <c r="M225" s="108"/>
      <c r="N225" s="108"/>
      <c r="O225" s="121"/>
      <c r="P225" s="151" t="str">
        <f t="shared" si="0"/>
        <v/>
      </c>
      <c r="Q225" s="151" t="str">
        <f t="shared" si="1"/>
        <v/>
      </c>
      <c r="R225" s="151" t="str">
        <f t="shared" si="2"/>
        <v/>
      </c>
      <c r="S225" s="151" t="str">
        <f t="shared" si="3"/>
        <v/>
      </c>
      <c r="T225" s="151" t="str">
        <f t="shared" si="4"/>
        <v/>
      </c>
      <c r="U225" s="151" t="str">
        <f t="shared" si="5"/>
        <v/>
      </c>
      <c r="V225" s="108"/>
    </row>
    <row r="226" spans="1:22">
      <c r="A226" s="101"/>
      <c r="B226" s="157" t="s">
        <v>388</v>
      </c>
      <c r="C226" s="147"/>
      <c r="D226" s="153"/>
      <c r="E226" s="149"/>
      <c r="F226" s="150"/>
      <c r="G226" s="107">
        <v>10</v>
      </c>
      <c r="H226" s="108">
        <v>2</v>
      </c>
      <c r="I226" s="108">
        <v>1</v>
      </c>
      <c r="J226" s="160">
        <f>C227+D229+E227+2*8*G226/1000</f>
        <v>0.73</v>
      </c>
      <c r="K226" s="108"/>
      <c r="L226" s="108">
        <v>4</v>
      </c>
      <c r="M226" s="121">
        <f>2*G226*L226/1000</f>
        <v>0.08</v>
      </c>
      <c r="N226" s="121">
        <f>(J226+K226-M226)</f>
        <v>0.65</v>
      </c>
      <c r="O226" s="121">
        <f>(H226*I226*N226)</f>
        <v>1.3</v>
      </c>
      <c r="P226" s="151" t="str">
        <f t="shared" si="0"/>
        <v/>
      </c>
      <c r="Q226" s="151">
        <f t="shared" si="1"/>
        <v>1.3</v>
      </c>
      <c r="R226" s="151" t="str">
        <f t="shared" si="2"/>
        <v/>
      </c>
      <c r="S226" s="151" t="str">
        <f t="shared" si="3"/>
        <v/>
      </c>
      <c r="T226" s="151" t="str">
        <f t="shared" si="4"/>
        <v/>
      </c>
      <c r="U226" s="151" t="str">
        <f t="shared" si="5"/>
        <v/>
      </c>
      <c r="V226" s="108"/>
    </row>
    <row r="227" spans="1:22">
      <c r="A227" s="101"/>
      <c r="B227" s="157"/>
      <c r="C227" s="162">
        <v>0.17499999999999999</v>
      </c>
      <c r="D227" s="148"/>
      <c r="E227" s="149">
        <v>0.17499999999999999</v>
      </c>
      <c r="F227" s="150"/>
      <c r="G227" s="107"/>
      <c r="H227" s="108"/>
      <c r="I227" s="108"/>
      <c r="J227" s="109"/>
      <c r="K227" s="108"/>
      <c r="L227" s="108"/>
      <c r="M227" s="108"/>
      <c r="N227" s="108"/>
      <c r="O227" s="121"/>
      <c r="P227" s="151" t="str">
        <f>IF($G227=8,$O227,"")</f>
        <v/>
      </c>
      <c r="Q227" s="151" t="str">
        <f>IF($G227=10,$O227,"")</f>
        <v/>
      </c>
      <c r="R227" s="151" t="str">
        <f>IF($G227=12,$O227,"")</f>
        <v/>
      </c>
      <c r="S227" s="151" t="str">
        <f>IF($G227=16,$O227,"")</f>
        <v/>
      </c>
      <c r="T227" s="151" t="str">
        <f>IF($G227=20,$O227,"")</f>
        <v/>
      </c>
      <c r="U227" s="151" t="str">
        <f>IF($G227=25,$O227,"")</f>
        <v/>
      </c>
      <c r="V227" s="108"/>
    </row>
    <row r="228" spans="1:22">
      <c r="A228" s="101"/>
      <c r="B228" s="157"/>
      <c r="C228" s="147"/>
      <c r="D228" s="148"/>
      <c r="E228" s="149"/>
      <c r="F228" s="150"/>
      <c r="G228" s="107"/>
      <c r="H228" s="108"/>
      <c r="I228" s="108"/>
      <c r="J228" s="109"/>
      <c r="K228" s="108"/>
      <c r="L228" s="108"/>
      <c r="M228" s="108"/>
      <c r="N228" s="108"/>
      <c r="O228" s="121"/>
      <c r="P228" s="151" t="str">
        <f t="shared" si="0"/>
        <v/>
      </c>
      <c r="Q228" s="151" t="str">
        <f t="shared" si="1"/>
        <v/>
      </c>
      <c r="R228" s="151" t="str">
        <f t="shared" si="2"/>
        <v/>
      </c>
      <c r="S228" s="151" t="str">
        <f t="shared" si="3"/>
        <v/>
      </c>
      <c r="T228" s="151" t="str">
        <f t="shared" si="4"/>
        <v/>
      </c>
      <c r="U228" s="151" t="str">
        <f t="shared" si="5"/>
        <v/>
      </c>
      <c r="V228" s="108"/>
    </row>
    <row r="229" spans="1:22">
      <c r="A229" s="101"/>
      <c r="B229" s="157"/>
      <c r="C229" s="147"/>
      <c r="D229" s="118">
        <f>0.3-0.08</f>
        <v>0.21999999999999997</v>
      </c>
      <c r="E229" s="149"/>
      <c r="F229" s="150"/>
      <c r="G229" s="107"/>
      <c r="H229" s="108"/>
      <c r="I229" s="108"/>
      <c r="J229" s="109"/>
      <c r="K229" s="108"/>
      <c r="L229" s="108"/>
      <c r="M229" s="108"/>
      <c r="N229" s="108"/>
      <c r="O229" s="121"/>
      <c r="P229" s="151" t="str">
        <f t="shared" si="0"/>
        <v/>
      </c>
      <c r="Q229" s="151" t="str">
        <f t="shared" si="1"/>
        <v/>
      </c>
      <c r="R229" s="151" t="str">
        <f t="shared" si="2"/>
        <v/>
      </c>
      <c r="S229" s="151" t="str">
        <f t="shared" si="3"/>
        <v/>
      </c>
      <c r="T229" s="151" t="str">
        <f t="shared" si="4"/>
        <v/>
      </c>
      <c r="U229" s="151" t="str">
        <f t="shared" si="5"/>
        <v/>
      </c>
      <c r="V229" s="108"/>
    </row>
    <row r="230" spans="1:22">
      <c r="A230" s="101"/>
      <c r="B230" s="157"/>
      <c r="C230" s="147"/>
      <c r="D230" s="148"/>
      <c r="E230" s="149"/>
      <c r="F230" s="150"/>
      <c r="G230" s="107"/>
      <c r="H230" s="108"/>
      <c r="I230" s="108"/>
      <c r="J230" s="109"/>
      <c r="K230" s="108"/>
      <c r="L230" s="108"/>
      <c r="M230" s="108"/>
      <c r="N230" s="108"/>
      <c r="O230" s="121"/>
      <c r="P230" s="151" t="str">
        <f t="shared" si="0"/>
        <v/>
      </c>
      <c r="Q230" s="151" t="str">
        <f t="shared" si="1"/>
        <v/>
      </c>
      <c r="R230" s="151" t="str">
        <f t="shared" si="2"/>
        <v/>
      </c>
      <c r="S230" s="151" t="str">
        <f t="shared" si="3"/>
        <v/>
      </c>
      <c r="T230" s="151" t="str">
        <f t="shared" si="4"/>
        <v/>
      </c>
      <c r="U230" s="151" t="str">
        <f t="shared" si="5"/>
        <v/>
      </c>
      <c r="V230" s="108"/>
    </row>
    <row r="231" spans="1:22">
      <c r="A231" s="101"/>
      <c r="B231" s="157" t="s">
        <v>389</v>
      </c>
      <c r="C231" s="147"/>
      <c r="D231" s="153"/>
      <c r="E231" s="149"/>
      <c r="F231" s="150"/>
      <c r="G231" s="107">
        <v>10</v>
      </c>
      <c r="H231" s="108">
        <v>2</v>
      </c>
      <c r="I231" s="108">
        <v>1</v>
      </c>
      <c r="J231" s="160">
        <f>C232+D234+E232+2*8*G231/1000</f>
        <v>0.73</v>
      </c>
      <c r="K231" s="108"/>
      <c r="L231" s="108">
        <v>4</v>
      </c>
      <c r="M231" s="121">
        <f>2*G231*L231/1000</f>
        <v>0.08</v>
      </c>
      <c r="N231" s="121">
        <f>(J231+K231-M231)</f>
        <v>0.65</v>
      </c>
      <c r="O231" s="121">
        <f>(H231*I231*N231)</f>
        <v>1.3</v>
      </c>
      <c r="P231" s="151" t="str">
        <f t="shared" si="0"/>
        <v/>
      </c>
      <c r="Q231" s="151">
        <f t="shared" si="1"/>
        <v>1.3</v>
      </c>
      <c r="R231" s="151" t="str">
        <f t="shared" si="2"/>
        <v/>
      </c>
      <c r="S231" s="151" t="str">
        <f t="shared" si="3"/>
        <v/>
      </c>
      <c r="T231" s="151" t="str">
        <f t="shared" si="4"/>
        <v/>
      </c>
      <c r="U231" s="151" t="str">
        <f t="shared" si="5"/>
        <v/>
      </c>
      <c r="V231" s="108"/>
    </row>
    <row r="232" spans="1:22">
      <c r="A232" s="101"/>
      <c r="B232" s="157"/>
      <c r="C232" s="162">
        <v>0.17499999999999999</v>
      </c>
      <c r="D232" s="148"/>
      <c r="E232" s="149">
        <v>0.17499999999999999</v>
      </c>
      <c r="F232" s="150"/>
      <c r="G232" s="107"/>
      <c r="H232" s="108"/>
      <c r="I232" s="108"/>
      <c r="J232" s="109"/>
      <c r="K232" s="108"/>
      <c r="L232" s="108"/>
      <c r="M232" s="108"/>
      <c r="N232" s="108"/>
      <c r="O232" s="121"/>
      <c r="P232" s="151" t="str">
        <f>IF($G232=8,$O232,"")</f>
        <v/>
      </c>
      <c r="Q232" s="151" t="str">
        <f>IF($G232=10,$O232,"")</f>
        <v/>
      </c>
      <c r="R232" s="151" t="str">
        <f>IF($G232=12,$O232,"")</f>
        <v/>
      </c>
      <c r="S232" s="151" t="str">
        <f>IF($G232=16,$O232,"")</f>
        <v/>
      </c>
      <c r="T232" s="151" t="str">
        <f>IF($G232=20,$O232,"")</f>
        <v/>
      </c>
      <c r="U232" s="151" t="str">
        <f>IF($G232=25,$O232,"")</f>
        <v/>
      </c>
      <c r="V232" s="108"/>
    </row>
    <row r="233" spans="1:22">
      <c r="A233" s="101"/>
      <c r="B233" s="157"/>
      <c r="C233" s="147"/>
      <c r="D233" s="148"/>
      <c r="E233" s="149"/>
      <c r="F233" s="150"/>
      <c r="G233" s="107"/>
      <c r="H233" s="108"/>
      <c r="I233" s="108"/>
      <c r="J233" s="109"/>
      <c r="K233" s="108"/>
      <c r="L233" s="108"/>
      <c r="M233" s="108"/>
      <c r="N233" s="108"/>
      <c r="O233" s="110"/>
      <c r="P233" s="151" t="str">
        <f t="shared" si="0"/>
        <v/>
      </c>
      <c r="Q233" s="151" t="str">
        <f t="shared" si="1"/>
        <v/>
      </c>
      <c r="R233" s="151" t="str">
        <f t="shared" si="2"/>
        <v/>
      </c>
      <c r="S233" s="151" t="str">
        <f t="shared" si="3"/>
        <v/>
      </c>
      <c r="T233" s="151" t="str">
        <f t="shared" si="4"/>
        <v/>
      </c>
      <c r="U233" s="151" t="str">
        <f t="shared" si="5"/>
        <v/>
      </c>
      <c r="V233" s="108"/>
    </row>
    <row r="234" spans="1:22">
      <c r="A234" s="101"/>
      <c r="B234" s="157"/>
      <c r="C234" s="147"/>
      <c r="D234" s="118">
        <f>0.3-0.08</f>
        <v>0.21999999999999997</v>
      </c>
      <c r="E234" s="149"/>
      <c r="F234" s="150"/>
      <c r="G234" s="107"/>
      <c r="H234" s="108"/>
      <c r="I234" s="108"/>
      <c r="J234" s="109"/>
      <c r="K234" s="108"/>
      <c r="L234" s="108"/>
      <c r="M234" s="108"/>
      <c r="N234" s="108"/>
      <c r="O234" s="110"/>
      <c r="P234" s="151" t="str">
        <f t="shared" si="0"/>
        <v/>
      </c>
      <c r="Q234" s="151" t="str">
        <f t="shared" si="1"/>
        <v/>
      </c>
      <c r="R234" s="151" t="str">
        <f t="shared" si="2"/>
        <v/>
      </c>
      <c r="S234" s="151" t="str">
        <f t="shared" si="3"/>
        <v/>
      </c>
      <c r="T234" s="151" t="str">
        <f t="shared" si="4"/>
        <v/>
      </c>
      <c r="U234" s="151" t="str">
        <f t="shared" si="5"/>
        <v/>
      </c>
      <c r="V234" s="108"/>
    </row>
    <row r="235" spans="1:22">
      <c r="A235" s="101"/>
      <c r="B235" s="157"/>
      <c r="C235" s="147"/>
      <c r="D235" s="163"/>
      <c r="E235" s="149"/>
      <c r="F235" s="150"/>
      <c r="G235" s="107"/>
      <c r="H235" s="108"/>
      <c r="I235" s="108"/>
      <c r="J235" s="109"/>
      <c r="K235" s="108"/>
      <c r="L235" s="108"/>
      <c r="M235" s="108"/>
      <c r="N235" s="108"/>
      <c r="O235" s="110"/>
      <c r="P235" s="151" t="str">
        <f t="shared" si="0"/>
        <v/>
      </c>
      <c r="Q235" s="151" t="str">
        <f t="shared" si="1"/>
        <v/>
      </c>
      <c r="R235" s="151" t="str">
        <f t="shared" si="2"/>
        <v/>
      </c>
      <c r="S235" s="151" t="str">
        <f t="shared" si="3"/>
        <v/>
      </c>
      <c r="T235" s="151" t="str">
        <f t="shared" si="4"/>
        <v/>
      </c>
      <c r="U235" s="151" t="str">
        <f t="shared" si="5"/>
        <v/>
      </c>
      <c r="V235" s="108"/>
    </row>
    <row r="236" spans="1:22">
      <c r="A236" s="101">
        <v>9</v>
      </c>
      <c r="B236" s="101" t="s">
        <v>399</v>
      </c>
      <c r="C236" s="147"/>
      <c r="D236" s="148"/>
      <c r="E236" s="149"/>
      <c r="F236" s="150"/>
      <c r="G236" s="107"/>
      <c r="H236" s="108"/>
      <c r="I236" s="108"/>
      <c r="J236" s="118"/>
      <c r="K236" s="121"/>
      <c r="L236" s="121"/>
      <c r="M236" s="108"/>
      <c r="N236" s="121"/>
      <c r="O236" s="121"/>
      <c r="P236" s="151" t="str">
        <f>IF($G236=8,$O236,"")</f>
        <v/>
      </c>
      <c r="Q236" s="151" t="str">
        <f>IF($G236=10,$O236,"")</f>
        <v/>
      </c>
      <c r="R236" s="151" t="str">
        <f>IF($G236=12,$O236,"")</f>
        <v/>
      </c>
      <c r="S236" s="151" t="str">
        <f>IF($G236=16,$O236,"")</f>
        <v/>
      </c>
      <c r="T236" s="151" t="str">
        <f>IF($G236=20,$O236,"")</f>
        <v/>
      </c>
      <c r="U236" s="151" t="str">
        <f>IF($G236=25,$O236,"")</f>
        <v/>
      </c>
      <c r="V236" s="108"/>
    </row>
    <row r="237" spans="1:22">
      <c r="A237" s="101"/>
      <c r="B237" s="152" t="s">
        <v>382</v>
      </c>
      <c r="C237" s="147"/>
      <c r="D237" s="153">
        <f>0.85-0.075-2*0.016</f>
        <v>0.74299999999999999</v>
      </c>
      <c r="E237" s="149"/>
      <c r="F237" s="150"/>
      <c r="G237" s="107">
        <v>16</v>
      </c>
      <c r="H237" s="108">
        <v>1</v>
      </c>
      <c r="I237" s="108">
        <v>8</v>
      </c>
      <c r="J237" s="118">
        <f>D237</f>
        <v>0.74299999999999999</v>
      </c>
      <c r="K237" s="119" t="str">
        <f>IF(N237&lt;12,"0",0.049*G237)</f>
        <v>0</v>
      </c>
      <c r="L237" s="120">
        <v>1</v>
      </c>
      <c r="M237" s="108">
        <f>2*G237*L237/1000</f>
        <v>3.2000000000000001E-2</v>
      </c>
      <c r="N237" s="121">
        <f>J237+E239-M237</f>
        <v>1.0109999999999999</v>
      </c>
      <c r="O237" s="121">
        <f>H237*I237*N237</f>
        <v>8.0879999999999992</v>
      </c>
      <c r="P237" s="151" t="str">
        <f t="shared" si="0"/>
        <v/>
      </c>
      <c r="Q237" s="151" t="str">
        <f t="shared" si="1"/>
        <v/>
      </c>
      <c r="R237" s="151" t="str">
        <f t="shared" si="2"/>
        <v/>
      </c>
      <c r="S237" s="151">
        <f t="shared" si="3"/>
        <v>8.0879999999999992</v>
      </c>
      <c r="T237" s="151" t="str">
        <f t="shared" si="4"/>
        <v/>
      </c>
      <c r="U237" s="151" t="str">
        <f t="shared" si="5"/>
        <v/>
      </c>
      <c r="V237" s="108"/>
    </row>
    <row r="238" spans="1:22">
      <c r="A238" s="101"/>
      <c r="B238" s="152" t="s">
        <v>383</v>
      </c>
      <c r="C238" s="147"/>
      <c r="D238" s="148"/>
      <c r="E238" s="149"/>
      <c r="F238" s="150"/>
      <c r="G238" s="107">
        <v>12</v>
      </c>
      <c r="H238" s="108">
        <v>1</v>
      </c>
      <c r="I238" s="108">
        <v>16</v>
      </c>
      <c r="J238" s="118">
        <f>D237</f>
        <v>0.74299999999999999</v>
      </c>
      <c r="K238" s="119" t="str">
        <f t="shared" ref="K238:K239" si="22">IF(N238&lt;12,"0",0.049*G238)</f>
        <v>0</v>
      </c>
      <c r="L238" s="120">
        <v>1</v>
      </c>
      <c r="M238" s="108">
        <f t="shared" ref="M238:M239" si="23">2*G238*L238/1000</f>
        <v>2.4E-2</v>
      </c>
      <c r="N238" s="121">
        <f>J238+E239-M238</f>
        <v>1.0189999999999999</v>
      </c>
      <c r="O238" s="121">
        <f>H238*I238*N238</f>
        <v>16.303999999999998</v>
      </c>
      <c r="P238" s="151" t="str">
        <f t="shared" si="0"/>
        <v/>
      </c>
      <c r="Q238" s="151" t="str">
        <f t="shared" si="1"/>
        <v/>
      </c>
      <c r="R238" s="151">
        <f t="shared" si="2"/>
        <v>16.303999999999998</v>
      </c>
      <c r="S238" s="151" t="str">
        <f t="shared" si="3"/>
        <v/>
      </c>
      <c r="T238" s="151" t="str">
        <f t="shared" si="4"/>
        <v/>
      </c>
      <c r="U238" s="151" t="str">
        <f t="shared" si="5"/>
        <v/>
      </c>
      <c r="V238" s="108"/>
    </row>
    <row r="239" spans="1:22">
      <c r="A239" s="101"/>
      <c r="B239" s="152" t="s">
        <v>384</v>
      </c>
      <c r="C239" s="154"/>
      <c r="D239" s="153"/>
      <c r="E239" s="155">
        <v>0.3</v>
      </c>
      <c r="F239" s="150"/>
      <c r="G239" s="107">
        <v>10</v>
      </c>
      <c r="H239" s="108">
        <v>1</v>
      </c>
      <c r="I239" s="108">
        <v>8</v>
      </c>
      <c r="J239" s="118">
        <f>D237</f>
        <v>0.74299999999999999</v>
      </c>
      <c r="K239" s="119" t="str">
        <f t="shared" si="22"/>
        <v>0</v>
      </c>
      <c r="L239" s="120">
        <v>1</v>
      </c>
      <c r="M239" s="108">
        <f t="shared" si="23"/>
        <v>0.02</v>
      </c>
      <c r="N239" s="121">
        <f>J239+E239-M239</f>
        <v>1.0229999999999999</v>
      </c>
      <c r="O239" s="121">
        <f>H239*I239*N239</f>
        <v>8.1839999999999993</v>
      </c>
      <c r="P239" s="151" t="str">
        <f t="shared" si="0"/>
        <v/>
      </c>
      <c r="Q239" s="151">
        <f t="shared" si="1"/>
        <v>8.1839999999999993</v>
      </c>
      <c r="R239" s="151" t="str">
        <f t="shared" si="2"/>
        <v/>
      </c>
      <c r="S239" s="151" t="str">
        <f t="shared" si="3"/>
        <v/>
      </c>
      <c r="T239" s="151" t="str">
        <f t="shared" si="4"/>
        <v/>
      </c>
      <c r="U239" s="151" t="str">
        <f t="shared" si="5"/>
        <v/>
      </c>
      <c r="V239" s="108"/>
    </row>
    <row r="240" spans="1:22">
      <c r="A240" s="101"/>
      <c r="B240" s="152"/>
      <c r="C240" s="147"/>
      <c r="D240" s="148"/>
      <c r="E240" s="149"/>
      <c r="F240" s="150"/>
      <c r="G240" s="107"/>
      <c r="H240" s="108"/>
      <c r="I240" s="108"/>
      <c r="J240" s="118"/>
      <c r="K240" s="119"/>
      <c r="L240" s="120"/>
      <c r="M240" s="108"/>
      <c r="N240" s="121"/>
      <c r="O240" s="121"/>
      <c r="P240" s="151" t="str">
        <f t="shared" si="0"/>
        <v/>
      </c>
      <c r="Q240" s="151" t="str">
        <f t="shared" si="1"/>
        <v/>
      </c>
      <c r="R240" s="151" t="str">
        <f t="shared" si="2"/>
        <v/>
      </c>
      <c r="S240" s="151" t="str">
        <f t="shared" si="3"/>
        <v/>
      </c>
      <c r="T240" s="151" t="str">
        <f t="shared" si="4"/>
        <v/>
      </c>
      <c r="U240" s="151" t="str">
        <f t="shared" si="5"/>
        <v/>
      </c>
      <c r="V240" s="108"/>
    </row>
    <row r="241" spans="1:22">
      <c r="A241" s="101"/>
      <c r="B241" s="152"/>
      <c r="C241" s="147"/>
      <c r="D241" s="148"/>
      <c r="E241" s="149"/>
      <c r="F241" s="150"/>
      <c r="G241" s="107"/>
      <c r="H241" s="108"/>
      <c r="I241" s="108"/>
      <c r="J241" s="109"/>
      <c r="K241" s="108"/>
      <c r="L241" s="108"/>
      <c r="M241" s="108"/>
      <c r="N241" s="108"/>
      <c r="O241" s="110"/>
      <c r="P241" s="151" t="str">
        <f t="shared" si="0"/>
        <v/>
      </c>
      <c r="Q241" s="151" t="str">
        <f t="shared" si="1"/>
        <v/>
      </c>
      <c r="R241" s="151" t="str">
        <f t="shared" si="2"/>
        <v/>
      </c>
      <c r="S241" s="151" t="str">
        <f t="shared" si="3"/>
        <v/>
      </c>
      <c r="T241" s="151" t="str">
        <f t="shared" si="4"/>
        <v/>
      </c>
      <c r="U241" s="151" t="str">
        <f t="shared" si="5"/>
        <v/>
      </c>
      <c r="V241" s="108"/>
    </row>
    <row r="242" spans="1:22">
      <c r="A242" s="101"/>
      <c r="B242" s="101"/>
      <c r="C242" s="156">
        <v>0.08</v>
      </c>
      <c r="D242" s="148"/>
      <c r="E242" s="149"/>
      <c r="F242" s="150"/>
      <c r="G242" s="107"/>
      <c r="H242" s="108"/>
      <c r="I242" s="108"/>
      <c r="J242" s="109"/>
      <c r="K242" s="108"/>
      <c r="L242" s="108"/>
      <c r="M242" s="108"/>
      <c r="N242" s="108"/>
      <c r="O242" s="110"/>
      <c r="P242" s="151" t="str">
        <f t="shared" si="0"/>
        <v/>
      </c>
      <c r="Q242" s="151" t="str">
        <f t="shared" si="1"/>
        <v/>
      </c>
      <c r="R242" s="151" t="str">
        <f t="shared" si="2"/>
        <v/>
      </c>
      <c r="S242" s="151" t="str">
        <f t="shared" si="3"/>
        <v/>
      </c>
      <c r="T242" s="151" t="str">
        <f t="shared" si="4"/>
        <v/>
      </c>
      <c r="U242" s="151" t="str">
        <f t="shared" si="5"/>
        <v/>
      </c>
      <c r="V242" s="108"/>
    </row>
    <row r="243" spans="1:22">
      <c r="A243" s="101"/>
      <c r="B243" s="157" t="s">
        <v>386</v>
      </c>
      <c r="C243" s="158"/>
      <c r="D243" s="148"/>
      <c r="E243" s="159">
        <f>0.65-0.05</f>
        <v>0.6</v>
      </c>
      <c r="F243" s="150"/>
      <c r="G243" s="107">
        <v>10</v>
      </c>
      <c r="H243" s="108">
        <v>1</v>
      </c>
      <c r="I243" s="108">
        <v>4</v>
      </c>
      <c r="J243" s="160">
        <f>2*(D245+E243)+2*8*G243/1000</f>
        <v>1.72</v>
      </c>
      <c r="K243" s="108"/>
      <c r="L243" s="108">
        <v>5</v>
      </c>
      <c r="M243" s="121">
        <f>2*G243*L243/1000</f>
        <v>0.1</v>
      </c>
      <c r="N243" s="121">
        <f>(J243+K243-M243)</f>
        <v>1.6199999999999999</v>
      </c>
      <c r="O243" s="121">
        <f>(H243*I243*N243)</f>
        <v>6.4799999999999995</v>
      </c>
      <c r="P243" s="151" t="str">
        <f t="shared" si="0"/>
        <v/>
      </c>
      <c r="Q243" s="151">
        <f t="shared" si="1"/>
        <v>6.4799999999999995</v>
      </c>
      <c r="R243" s="151" t="str">
        <f t="shared" si="2"/>
        <v/>
      </c>
      <c r="S243" s="151" t="str">
        <f t="shared" si="3"/>
        <v/>
      </c>
      <c r="T243" s="151" t="str">
        <f t="shared" si="4"/>
        <v/>
      </c>
      <c r="U243" s="151" t="str">
        <f t="shared" si="5"/>
        <v/>
      </c>
      <c r="V243" s="108"/>
    </row>
    <row r="244" spans="1:22">
      <c r="A244" s="101"/>
      <c r="B244" s="157"/>
      <c r="C244" s="147"/>
      <c r="D244" s="148"/>
      <c r="E244" s="161"/>
      <c r="F244" s="150"/>
      <c r="G244" s="107"/>
      <c r="H244" s="108"/>
      <c r="I244" s="108"/>
      <c r="J244" s="109"/>
      <c r="K244" s="108"/>
      <c r="L244" s="108"/>
      <c r="M244" s="108"/>
      <c r="N244" s="108"/>
      <c r="O244" s="121"/>
      <c r="P244" s="151" t="str">
        <f t="shared" si="0"/>
        <v/>
      </c>
      <c r="Q244" s="151" t="str">
        <f t="shared" si="1"/>
        <v/>
      </c>
      <c r="R244" s="151" t="str">
        <f t="shared" si="2"/>
        <v/>
      </c>
      <c r="S244" s="151" t="str">
        <f t="shared" si="3"/>
        <v/>
      </c>
      <c r="T244" s="151" t="str">
        <f t="shared" si="4"/>
        <v/>
      </c>
      <c r="U244" s="151" t="str">
        <f t="shared" si="5"/>
        <v/>
      </c>
      <c r="V244" s="108"/>
    </row>
    <row r="245" spans="1:22">
      <c r="A245" s="101"/>
      <c r="B245" s="157"/>
      <c r="C245" s="147"/>
      <c r="D245" s="118">
        <f>0.23-0.05</f>
        <v>0.18</v>
      </c>
      <c r="E245" s="149"/>
      <c r="F245" s="150"/>
      <c r="G245" s="107"/>
      <c r="H245" s="108"/>
      <c r="I245" s="108"/>
      <c r="J245" s="109"/>
      <c r="K245" s="108"/>
      <c r="L245" s="108"/>
      <c r="M245" s="108"/>
      <c r="N245" s="108"/>
      <c r="O245" s="121"/>
      <c r="P245" s="151" t="str">
        <f t="shared" si="0"/>
        <v/>
      </c>
      <c r="Q245" s="151" t="str">
        <f t="shared" si="1"/>
        <v/>
      </c>
      <c r="R245" s="151" t="str">
        <f t="shared" si="2"/>
        <v/>
      </c>
      <c r="S245" s="151" t="str">
        <f t="shared" si="3"/>
        <v/>
      </c>
      <c r="T245" s="151" t="str">
        <f t="shared" si="4"/>
        <v/>
      </c>
      <c r="U245" s="151" t="str">
        <f t="shared" si="5"/>
        <v/>
      </c>
      <c r="V245" s="108"/>
    </row>
    <row r="246" spans="1:22">
      <c r="A246" s="101"/>
      <c r="B246" s="152"/>
      <c r="C246" s="147"/>
      <c r="D246" s="148"/>
      <c r="E246" s="149"/>
      <c r="F246" s="150"/>
      <c r="G246" s="107"/>
      <c r="H246" s="108"/>
      <c r="I246" s="108"/>
      <c r="J246" s="109"/>
      <c r="K246" s="108"/>
      <c r="L246" s="108"/>
      <c r="M246" s="108"/>
      <c r="N246" s="108"/>
      <c r="O246" s="110"/>
      <c r="P246" s="151" t="str">
        <f t="shared" si="0"/>
        <v/>
      </c>
      <c r="Q246" s="151" t="str">
        <f t="shared" si="1"/>
        <v/>
      </c>
      <c r="R246" s="151" t="str">
        <f t="shared" si="2"/>
        <v/>
      </c>
      <c r="S246" s="151" t="str">
        <f t="shared" si="3"/>
        <v/>
      </c>
      <c r="T246" s="151" t="str">
        <f t="shared" si="4"/>
        <v/>
      </c>
      <c r="U246" s="151" t="str">
        <f t="shared" si="5"/>
        <v/>
      </c>
      <c r="V246" s="108"/>
    </row>
    <row r="247" spans="1:22">
      <c r="A247" s="101"/>
      <c r="B247" s="101"/>
      <c r="C247" s="156">
        <v>0.08</v>
      </c>
      <c r="D247" s="148"/>
      <c r="E247" s="149"/>
      <c r="F247" s="150"/>
      <c r="G247" s="107"/>
      <c r="H247" s="108"/>
      <c r="I247" s="108"/>
      <c r="J247" s="109"/>
      <c r="K247" s="108"/>
      <c r="L247" s="108"/>
      <c r="M247" s="108"/>
      <c r="N247" s="108"/>
      <c r="O247" s="110"/>
      <c r="P247" s="151" t="str">
        <f t="shared" si="0"/>
        <v/>
      </c>
      <c r="Q247" s="151" t="str">
        <f t="shared" si="1"/>
        <v/>
      </c>
      <c r="R247" s="151" t="str">
        <f t="shared" si="2"/>
        <v/>
      </c>
      <c r="S247" s="151" t="str">
        <f t="shared" si="3"/>
        <v/>
      </c>
      <c r="T247" s="151" t="str">
        <f t="shared" si="4"/>
        <v/>
      </c>
      <c r="U247" s="151" t="str">
        <f t="shared" si="5"/>
        <v/>
      </c>
      <c r="V247" s="108"/>
    </row>
    <row r="248" spans="1:22">
      <c r="A248" s="101"/>
      <c r="B248" s="157" t="s">
        <v>387</v>
      </c>
      <c r="C248" s="158"/>
      <c r="D248" s="148"/>
      <c r="E248" s="159">
        <f>1.65-0.05</f>
        <v>1.5999999999999999</v>
      </c>
      <c r="F248" s="150"/>
      <c r="G248" s="107">
        <v>10</v>
      </c>
      <c r="H248" s="108">
        <v>1</v>
      </c>
      <c r="I248" s="108">
        <v>4</v>
      </c>
      <c r="J248" s="160">
        <f>2*(D250+E248)+2*8*G248/1000</f>
        <v>3.7199999999999998</v>
      </c>
      <c r="K248" s="108"/>
      <c r="L248" s="108">
        <v>5</v>
      </c>
      <c r="M248" s="121">
        <f>2*G248*L248/1000</f>
        <v>0.1</v>
      </c>
      <c r="N248" s="121">
        <f>(J248+K248-M248)</f>
        <v>3.6199999999999997</v>
      </c>
      <c r="O248" s="121">
        <f>(H248*I248*N248)</f>
        <v>14.479999999999999</v>
      </c>
      <c r="P248" s="151" t="str">
        <f t="shared" si="0"/>
        <v/>
      </c>
      <c r="Q248" s="151">
        <f t="shared" si="1"/>
        <v>14.479999999999999</v>
      </c>
      <c r="R248" s="151" t="str">
        <f t="shared" si="2"/>
        <v/>
      </c>
      <c r="S248" s="151" t="str">
        <f t="shared" si="3"/>
        <v/>
      </c>
      <c r="T248" s="151" t="str">
        <f t="shared" si="4"/>
        <v/>
      </c>
      <c r="U248" s="151" t="str">
        <f t="shared" si="5"/>
        <v/>
      </c>
      <c r="V248" s="108"/>
    </row>
    <row r="249" spans="1:22">
      <c r="A249" s="101"/>
      <c r="B249" s="157"/>
      <c r="C249" s="147"/>
      <c r="D249" s="148"/>
      <c r="E249" s="161"/>
      <c r="F249" s="150"/>
      <c r="G249" s="107"/>
      <c r="H249" s="108"/>
      <c r="I249" s="108"/>
      <c r="J249" s="109"/>
      <c r="K249" s="108"/>
      <c r="L249" s="108"/>
      <c r="M249" s="108"/>
      <c r="N249" s="108"/>
      <c r="O249" s="121"/>
      <c r="P249" s="151" t="str">
        <f t="shared" si="0"/>
        <v/>
      </c>
      <c r="Q249" s="151" t="str">
        <f t="shared" si="1"/>
        <v/>
      </c>
      <c r="R249" s="151" t="str">
        <f t="shared" si="2"/>
        <v/>
      </c>
      <c r="S249" s="151" t="str">
        <f t="shared" si="3"/>
        <v/>
      </c>
      <c r="T249" s="151" t="str">
        <f t="shared" si="4"/>
        <v/>
      </c>
      <c r="U249" s="151" t="str">
        <f t="shared" si="5"/>
        <v/>
      </c>
      <c r="V249" s="108"/>
    </row>
    <row r="250" spans="1:22">
      <c r="A250" s="101"/>
      <c r="B250" s="157"/>
      <c r="C250" s="147"/>
      <c r="D250" s="118">
        <f>0.23-0.05</f>
        <v>0.18</v>
      </c>
      <c r="E250" s="149"/>
      <c r="F250" s="150"/>
      <c r="G250" s="107"/>
      <c r="H250" s="108"/>
      <c r="I250" s="108"/>
      <c r="J250" s="109"/>
      <c r="K250" s="108"/>
      <c r="L250" s="108"/>
      <c r="M250" s="108"/>
      <c r="N250" s="108"/>
      <c r="O250" s="121"/>
      <c r="P250" s="151" t="str">
        <f t="shared" si="0"/>
        <v/>
      </c>
      <c r="Q250" s="151" t="str">
        <f t="shared" si="1"/>
        <v/>
      </c>
      <c r="R250" s="151" t="str">
        <f t="shared" si="2"/>
        <v/>
      </c>
      <c r="S250" s="151" t="str">
        <f t="shared" si="3"/>
        <v/>
      </c>
      <c r="T250" s="151" t="str">
        <f t="shared" si="4"/>
        <v/>
      </c>
      <c r="U250" s="151" t="str">
        <f t="shared" si="5"/>
        <v/>
      </c>
      <c r="V250" s="108"/>
    </row>
    <row r="251" spans="1:22">
      <c r="A251" s="101"/>
      <c r="B251" s="152"/>
      <c r="C251" s="147"/>
      <c r="D251" s="148"/>
      <c r="E251" s="149"/>
      <c r="F251" s="150"/>
      <c r="G251" s="107"/>
      <c r="H251" s="108"/>
      <c r="I251" s="108"/>
      <c r="J251" s="109"/>
      <c r="K251" s="108"/>
      <c r="L251" s="108"/>
      <c r="M251" s="108"/>
      <c r="N251" s="108"/>
      <c r="O251" s="121"/>
      <c r="P251" s="151" t="str">
        <f t="shared" si="0"/>
        <v/>
      </c>
      <c r="Q251" s="151" t="str">
        <f t="shared" si="1"/>
        <v/>
      </c>
      <c r="R251" s="151" t="str">
        <f t="shared" si="2"/>
        <v/>
      </c>
      <c r="S251" s="151" t="str">
        <f t="shared" si="3"/>
        <v/>
      </c>
      <c r="T251" s="151" t="str">
        <f t="shared" si="4"/>
        <v/>
      </c>
      <c r="U251" s="151" t="str">
        <f t="shared" si="5"/>
        <v/>
      </c>
      <c r="V251" s="108"/>
    </row>
    <row r="252" spans="1:22">
      <c r="A252" s="101"/>
      <c r="B252" s="101"/>
      <c r="C252" s="156">
        <v>0.08</v>
      </c>
      <c r="D252" s="148"/>
      <c r="E252" s="149"/>
      <c r="F252" s="150"/>
      <c r="G252" s="107"/>
      <c r="H252" s="108"/>
      <c r="I252" s="108"/>
      <c r="J252" s="109"/>
      <c r="K252" s="108"/>
      <c r="L252" s="108"/>
      <c r="M252" s="108"/>
      <c r="N252" s="108"/>
      <c r="O252" s="121"/>
      <c r="P252" s="151" t="str">
        <f t="shared" si="0"/>
        <v/>
      </c>
      <c r="Q252" s="151" t="str">
        <f t="shared" si="1"/>
        <v/>
      </c>
      <c r="R252" s="151" t="str">
        <f t="shared" si="2"/>
        <v/>
      </c>
      <c r="S252" s="151" t="str">
        <f t="shared" si="3"/>
        <v/>
      </c>
      <c r="T252" s="151" t="str">
        <f t="shared" si="4"/>
        <v/>
      </c>
      <c r="U252" s="151" t="str">
        <f t="shared" si="5"/>
        <v/>
      </c>
      <c r="V252" s="108"/>
    </row>
    <row r="253" spans="1:22">
      <c r="A253" s="101"/>
      <c r="B253" s="157" t="s">
        <v>388</v>
      </c>
      <c r="C253" s="158"/>
      <c r="D253" s="148"/>
      <c r="E253" s="159">
        <f>((0.65-0.05-0.016)/5)*2+0.012+0.02</f>
        <v>0.2656</v>
      </c>
      <c r="F253" s="150"/>
      <c r="G253" s="107">
        <v>10</v>
      </c>
      <c r="H253" s="108">
        <v>1</v>
      </c>
      <c r="I253" s="108">
        <v>1</v>
      </c>
      <c r="J253" s="160">
        <f>2*(D255+E253)+2*8*G253/1000</f>
        <v>1.0511999999999999</v>
      </c>
      <c r="K253" s="108"/>
      <c r="L253" s="108">
        <v>5</v>
      </c>
      <c r="M253" s="121">
        <f>2*G253*L253/1000</f>
        <v>0.1</v>
      </c>
      <c r="N253" s="121">
        <f>(J253+K253-M253)</f>
        <v>0.95119999999999993</v>
      </c>
      <c r="O253" s="121">
        <f>(H253*I253*N253)</f>
        <v>0.95119999999999993</v>
      </c>
      <c r="P253" s="151" t="str">
        <f t="shared" si="0"/>
        <v/>
      </c>
      <c r="Q253" s="151">
        <f t="shared" si="1"/>
        <v>0.95119999999999993</v>
      </c>
      <c r="R253" s="151" t="str">
        <f t="shared" si="2"/>
        <v/>
      </c>
      <c r="S253" s="151" t="str">
        <f t="shared" si="3"/>
        <v/>
      </c>
      <c r="T253" s="151" t="str">
        <f t="shared" si="4"/>
        <v/>
      </c>
      <c r="U253" s="151" t="str">
        <f t="shared" si="5"/>
        <v/>
      </c>
      <c r="V253" s="108"/>
    </row>
    <row r="254" spans="1:22">
      <c r="A254" s="101"/>
      <c r="B254" s="157"/>
      <c r="C254" s="147"/>
      <c r="D254" s="148"/>
      <c r="E254" s="161"/>
      <c r="F254" s="150"/>
      <c r="G254" s="107"/>
      <c r="H254" s="108"/>
      <c r="I254" s="108"/>
      <c r="J254" s="109"/>
      <c r="K254" s="108"/>
      <c r="L254" s="108"/>
      <c r="M254" s="108"/>
      <c r="N254" s="108"/>
      <c r="O254" s="121"/>
      <c r="P254" s="151" t="str">
        <f t="shared" si="0"/>
        <v/>
      </c>
      <c r="Q254" s="151" t="str">
        <f t="shared" si="1"/>
        <v/>
      </c>
      <c r="R254" s="151" t="str">
        <f t="shared" si="2"/>
        <v/>
      </c>
      <c r="S254" s="151" t="str">
        <f t="shared" si="3"/>
        <v/>
      </c>
      <c r="T254" s="151" t="str">
        <f t="shared" si="4"/>
        <v/>
      </c>
      <c r="U254" s="151" t="str">
        <f t="shared" si="5"/>
        <v/>
      </c>
      <c r="V254" s="108"/>
    </row>
    <row r="255" spans="1:22">
      <c r="A255" s="101"/>
      <c r="B255" s="157"/>
      <c r="C255" s="147"/>
      <c r="D255" s="118">
        <f>0.23-0.05</f>
        <v>0.18</v>
      </c>
      <c r="E255" s="149"/>
      <c r="F255" s="150"/>
      <c r="G255" s="107"/>
      <c r="H255" s="108"/>
      <c r="I255" s="108"/>
      <c r="J255" s="109"/>
      <c r="K255" s="108"/>
      <c r="L255" s="108"/>
      <c r="M255" s="108"/>
      <c r="N255" s="108"/>
      <c r="O255" s="121"/>
      <c r="P255" s="151" t="str">
        <f t="shared" si="0"/>
        <v/>
      </c>
      <c r="Q255" s="151" t="str">
        <f t="shared" si="1"/>
        <v/>
      </c>
      <c r="R255" s="151" t="str">
        <f t="shared" si="2"/>
        <v/>
      </c>
      <c r="S255" s="151" t="str">
        <f t="shared" si="3"/>
        <v/>
      </c>
      <c r="T255" s="151" t="str">
        <f t="shared" si="4"/>
        <v/>
      </c>
      <c r="U255" s="151" t="str">
        <f t="shared" si="5"/>
        <v/>
      </c>
      <c r="V255" s="108"/>
    </row>
    <row r="256" spans="1:22">
      <c r="A256" s="101"/>
      <c r="B256" s="152"/>
      <c r="C256" s="147"/>
      <c r="D256" s="148"/>
      <c r="E256" s="149"/>
      <c r="F256" s="150"/>
      <c r="G256" s="107"/>
      <c r="H256" s="108"/>
      <c r="I256" s="108"/>
      <c r="J256" s="109"/>
      <c r="K256" s="108"/>
      <c r="L256" s="108"/>
      <c r="M256" s="108"/>
      <c r="N256" s="108"/>
      <c r="O256" s="110"/>
      <c r="P256" s="151" t="str">
        <f t="shared" si="0"/>
        <v/>
      </c>
      <c r="Q256" s="151" t="str">
        <f t="shared" si="1"/>
        <v/>
      </c>
      <c r="R256" s="151" t="str">
        <f t="shared" si="2"/>
        <v/>
      </c>
      <c r="S256" s="151" t="str">
        <f t="shared" si="3"/>
        <v/>
      </c>
      <c r="T256" s="151" t="str">
        <f t="shared" si="4"/>
        <v/>
      </c>
      <c r="U256" s="151" t="str">
        <f t="shared" si="5"/>
        <v/>
      </c>
      <c r="V256" s="108"/>
    </row>
    <row r="257" spans="1:22">
      <c r="A257" s="101"/>
      <c r="B257" s="101"/>
      <c r="C257" s="156">
        <v>0.08</v>
      </c>
      <c r="D257" s="148"/>
      <c r="E257" s="149"/>
      <c r="F257" s="150"/>
      <c r="G257" s="107"/>
      <c r="H257" s="108"/>
      <c r="I257" s="108"/>
      <c r="J257" s="109"/>
      <c r="K257" s="108"/>
      <c r="L257" s="108"/>
      <c r="M257" s="108"/>
      <c r="N257" s="108"/>
      <c r="O257" s="110"/>
      <c r="P257" s="151" t="str">
        <f t="shared" si="0"/>
        <v/>
      </c>
      <c r="Q257" s="151" t="str">
        <f t="shared" si="1"/>
        <v/>
      </c>
      <c r="R257" s="151" t="str">
        <f t="shared" si="2"/>
        <v/>
      </c>
      <c r="S257" s="151" t="str">
        <f t="shared" si="3"/>
        <v/>
      </c>
      <c r="T257" s="151" t="str">
        <f t="shared" si="4"/>
        <v/>
      </c>
      <c r="U257" s="151" t="str">
        <f t="shared" si="5"/>
        <v/>
      </c>
      <c r="V257" s="108"/>
    </row>
    <row r="258" spans="1:22">
      <c r="A258" s="101"/>
      <c r="B258" s="157" t="s">
        <v>389</v>
      </c>
      <c r="C258" s="158"/>
      <c r="D258" s="148"/>
      <c r="E258" s="159">
        <f>((1.65-0.05-0.014)/11)*3+0.014+0.02</f>
        <v>0.46654545454545449</v>
      </c>
      <c r="F258" s="150"/>
      <c r="G258" s="107">
        <v>10</v>
      </c>
      <c r="H258" s="108">
        <v>1</v>
      </c>
      <c r="I258" s="108">
        <v>1</v>
      </c>
      <c r="J258" s="160">
        <f>2*(D260+E258)+2*8*G258/1000</f>
        <v>1.453090909090909</v>
      </c>
      <c r="K258" s="108"/>
      <c r="L258" s="108">
        <v>5</v>
      </c>
      <c r="M258" s="121">
        <f>2*G258*L258/1000</f>
        <v>0.1</v>
      </c>
      <c r="N258" s="121">
        <f>(J258+K258-M258)</f>
        <v>1.3530909090909089</v>
      </c>
      <c r="O258" s="121">
        <f>(H258*I258*N258)</f>
        <v>1.3530909090909089</v>
      </c>
      <c r="P258" s="151" t="str">
        <f t="shared" si="0"/>
        <v/>
      </c>
      <c r="Q258" s="151">
        <f t="shared" si="1"/>
        <v>1.3530909090909089</v>
      </c>
      <c r="R258" s="151" t="str">
        <f t="shared" si="2"/>
        <v/>
      </c>
      <c r="S258" s="151" t="str">
        <f t="shared" si="3"/>
        <v/>
      </c>
      <c r="T258" s="151" t="str">
        <f t="shared" si="4"/>
        <v/>
      </c>
      <c r="U258" s="151" t="str">
        <f t="shared" si="5"/>
        <v/>
      </c>
      <c r="V258" s="108"/>
    </row>
    <row r="259" spans="1:22">
      <c r="A259" s="101"/>
      <c r="B259" s="157"/>
      <c r="C259" s="147"/>
      <c r="D259" s="148"/>
      <c r="E259" s="161"/>
      <c r="F259" s="150"/>
      <c r="G259" s="107"/>
      <c r="H259" s="108"/>
      <c r="I259" s="108"/>
      <c r="J259" s="109"/>
      <c r="K259" s="108"/>
      <c r="L259" s="108"/>
      <c r="M259" s="108"/>
      <c r="N259" s="108"/>
      <c r="O259" s="121"/>
      <c r="P259" s="151" t="str">
        <f t="shared" si="0"/>
        <v/>
      </c>
      <c r="Q259" s="151" t="str">
        <f t="shared" si="1"/>
        <v/>
      </c>
      <c r="R259" s="151" t="str">
        <f t="shared" si="2"/>
        <v/>
      </c>
      <c r="S259" s="151" t="str">
        <f t="shared" si="3"/>
        <v/>
      </c>
      <c r="T259" s="151" t="str">
        <f t="shared" si="4"/>
        <v/>
      </c>
      <c r="U259" s="151" t="str">
        <f t="shared" si="5"/>
        <v/>
      </c>
      <c r="V259" s="108"/>
    </row>
    <row r="260" spans="1:22">
      <c r="A260" s="101"/>
      <c r="B260" s="157"/>
      <c r="C260" s="147"/>
      <c r="D260" s="118">
        <f>0.23-0.05</f>
        <v>0.18</v>
      </c>
      <c r="E260" s="149"/>
      <c r="F260" s="150"/>
      <c r="G260" s="107"/>
      <c r="H260" s="108"/>
      <c r="I260" s="108"/>
      <c r="J260" s="109"/>
      <c r="K260" s="108"/>
      <c r="L260" s="108"/>
      <c r="M260" s="108"/>
      <c r="N260" s="108"/>
      <c r="O260" s="121"/>
      <c r="P260" s="151" t="str">
        <f t="shared" si="0"/>
        <v/>
      </c>
      <c r="Q260" s="151" t="str">
        <f t="shared" si="1"/>
        <v/>
      </c>
      <c r="R260" s="151" t="str">
        <f t="shared" si="2"/>
        <v/>
      </c>
      <c r="S260" s="151" t="str">
        <f t="shared" si="3"/>
        <v/>
      </c>
      <c r="T260" s="151" t="str">
        <f t="shared" si="4"/>
        <v/>
      </c>
      <c r="U260" s="151" t="str">
        <f t="shared" si="5"/>
        <v/>
      </c>
      <c r="V260" s="108"/>
    </row>
    <row r="261" spans="1:22">
      <c r="A261" s="101"/>
      <c r="B261" s="152"/>
      <c r="C261" s="147"/>
      <c r="D261" s="148"/>
      <c r="E261" s="149"/>
      <c r="F261" s="150"/>
      <c r="G261" s="107"/>
      <c r="H261" s="108"/>
      <c r="I261" s="108"/>
      <c r="J261" s="109"/>
      <c r="K261" s="108"/>
      <c r="L261" s="108"/>
      <c r="M261" s="108"/>
      <c r="N261" s="108"/>
      <c r="O261" s="110"/>
      <c r="P261" s="151" t="str">
        <f t="shared" si="0"/>
        <v/>
      </c>
      <c r="Q261" s="151" t="str">
        <f t="shared" si="1"/>
        <v/>
      </c>
      <c r="R261" s="151" t="str">
        <f t="shared" si="2"/>
        <v/>
      </c>
      <c r="S261" s="151" t="str">
        <f t="shared" si="3"/>
        <v/>
      </c>
      <c r="T261" s="151" t="str">
        <f t="shared" si="4"/>
        <v/>
      </c>
      <c r="U261" s="151" t="str">
        <f t="shared" si="5"/>
        <v/>
      </c>
      <c r="V261" s="108"/>
    </row>
    <row r="262" spans="1:22">
      <c r="A262" s="101"/>
      <c r="B262" s="101"/>
      <c r="C262" s="156">
        <v>0.08</v>
      </c>
      <c r="D262" s="148"/>
      <c r="E262" s="149"/>
      <c r="F262" s="150"/>
      <c r="G262" s="107"/>
      <c r="H262" s="108"/>
      <c r="I262" s="108"/>
      <c r="J262" s="109"/>
      <c r="K262" s="108"/>
      <c r="L262" s="108"/>
      <c r="M262" s="108"/>
      <c r="N262" s="108"/>
      <c r="O262" s="110"/>
      <c r="P262" s="151" t="str">
        <f t="shared" si="0"/>
        <v/>
      </c>
      <c r="Q262" s="151" t="str">
        <f t="shared" si="1"/>
        <v/>
      </c>
      <c r="R262" s="151" t="str">
        <f t="shared" si="2"/>
        <v/>
      </c>
      <c r="S262" s="151" t="str">
        <f t="shared" si="3"/>
        <v/>
      </c>
      <c r="T262" s="151" t="str">
        <f t="shared" si="4"/>
        <v/>
      </c>
      <c r="U262" s="151" t="str">
        <f t="shared" si="5"/>
        <v/>
      </c>
      <c r="V262" s="108"/>
    </row>
    <row r="263" spans="1:22">
      <c r="A263" s="101"/>
      <c r="B263" s="157" t="s">
        <v>394</v>
      </c>
      <c r="C263" s="158"/>
      <c r="D263" s="148"/>
      <c r="E263" s="159">
        <f>((1.65-0.05-0.014)/11)*5+0.01+0.02</f>
        <v>0.75090909090909086</v>
      </c>
      <c r="F263" s="150"/>
      <c r="G263" s="107">
        <v>10</v>
      </c>
      <c r="H263" s="108">
        <v>1</v>
      </c>
      <c r="I263" s="108">
        <v>1</v>
      </c>
      <c r="J263" s="160">
        <f>2*(D265+E263)+2*8*G263/1000</f>
        <v>2.021818181818182</v>
      </c>
      <c r="K263" s="108"/>
      <c r="L263" s="108">
        <v>5</v>
      </c>
      <c r="M263" s="121">
        <f>2*G263*L263/1000</f>
        <v>0.1</v>
      </c>
      <c r="N263" s="121">
        <f>(J263+K263-M263)</f>
        <v>1.9218181818181819</v>
      </c>
      <c r="O263" s="121">
        <f>(H263*I263*N263)</f>
        <v>1.9218181818181819</v>
      </c>
      <c r="P263" s="151" t="str">
        <f t="shared" si="0"/>
        <v/>
      </c>
      <c r="Q263" s="151">
        <f t="shared" si="1"/>
        <v>1.9218181818181819</v>
      </c>
      <c r="R263" s="151" t="str">
        <f t="shared" si="2"/>
        <v/>
      </c>
      <c r="S263" s="151" t="str">
        <f t="shared" si="3"/>
        <v/>
      </c>
      <c r="T263" s="151" t="str">
        <f t="shared" si="4"/>
        <v/>
      </c>
      <c r="U263" s="151" t="str">
        <f t="shared" si="5"/>
        <v/>
      </c>
      <c r="V263" s="108"/>
    </row>
    <row r="264" spans="1:22">
      <c r="A264" s="101"/>
      <c r="B264" s="157"/>
      <c r="C264" s="147"/>
      <c r="D264" s="148"/>
      <c r="E264" s="161"/>
      <c r="F264" s="150"/>
      <c r="G264" s="107"/>
      <c r="H264" s="108"/>
      <c r="I264" s="108"/>
      <c r="J264" s="109"/>
      <c r="K264" s="108"/>
      <c r="L264" s="108"/>
      <c r="M264" s="108"/>
      <c r="N264" s="108"/>
      <c r="O264" s="121"/>
      <c r="P264" s="151" t="str">
        <f t="shared" si="0"/>
        <v/>
      </c>
      <c r="Q264" s="151" t="str">
        <f t="shared" si="1"/>
        <v/>
      </c>
      <c r="R264" s="151" t="str">
        <f t="shared" si="2"/>
        <v/>
      </c>
      <c r="S264" s="151" t="str">
        <f t="shared" si="3"/>
        <v/>
      </c>
      <c r="T264" s="151" t="str">
        <f t="shared" si="4"/>
        <v/>
      </c>
      <c r="U264" s="151" t="str">
        <f t="shared" si="5"/>
        <v/>
      </c>
      <c r="V264" s="108"/>
    </row>
    <row r="265" spans="1:22">
      <c r="A265" s="101"/>
      <c r="B265" s="157"/>
      <c r="C265" s="147"/>
      <c r="D265" s="118">
        <f>0.23-0.05</f>
        <v>0.18</v>
      </c>
      <c r="E265" s="149"/>
      <c r="F265" s="150"/>
      <c r="G265" s="107"/>
      <c r="H265" s="108"/>
      <c r="I265" s="108"/>
      <c r="J265" s="109"/>
      <c r="K265" s="108"/>
      <c r="L265" s="108"/>
      <c r="M265" s="108"/>
      <c r="N265" s="108"/>
      <c r="O265" s="121"/>
      <c r="P265" s="151" t="str">
        <f t="shared" si="0"/>
        <v/>
      </c>
      <c r="Q265" s="151" t="str">
        <f t="shared" si="1"/>
        <v/>
      </c>
      <c r="R265" s="151" t="str">
        <f t="shared" si="2"/>
        <v/>
      </c>
      <c r="S265" s="151" t="str">
        <f t="shared" si="3"/>
        <v/>
      </c>
      <c r="T265" s="151" t="str">
        <f t="shared" si="4"/>
        <v/>
      </c>
      <c r="U265" s="151" t="str">
        <f t="shared" si="5"/>
        <v/>
      </c>
      <c r="V265" s="108"/>
    </row>
    <row r="266" spans="1:22">
      <c r="A266" s="101"/>
      <c r="B266" s="152"/>
      <c r="C266" s="147"/>
      <c r="D266" s="148"/>
      <c r="E266" s="149"/>
      <c r="F266" s="150"/>
      <c r="G266" s="107"/>
      <c r="H266" s="108"/>
      <c r="I266" s="108"/>
      <c r="J266" s="109"/>
      <c r="K266" s="108"/>
      <c r="L266" s="108"/>
      <c r="M266" s="108"/>
      <c r="N266" s="108"/>
      <c r="O266" s="110"/>
      <c r="P266" s="151" t="str">
        <f t="shared" si="0"/>
        <v/>
      </c>
      <c r="Q266" s="151" t="str">
        <f t="shared" si="1"/>
        <v/>
      </c>
      <c r="R266" s="151" t="str">
        <f t="shared" si="2"/>
        <v/>
      </c>
      <c r="S266" s="151" t="str">
        <f t="shared" si="3"/>
        <v/>
      </c>
      <c r="T266" s="151" t="str">
        <f t="shared" si="4"/>
        <v/>
      </c>
      <c r="U266" s="151" t="str">
        <f t="shared" si="5"/>
        <v/>
      </c>
      <c r="V266" s="108"/>
    </row>
    <row r="267" spans="1:22">
      <c r="A267" s="101"/>
      <c r="B267" s="152"/>
      <c r="C267" s="156">
        <v>0.08</v>
      </c>
      <c r="D267" s="148"/>
      <c r="E267" s="149"/>
      <c r="F267" s="150"/>
      <c r="G267" s="107"/>
      <c r="H267" s="108"/>
      <c r="I267" s="108"/>
      <c r="J267" s="109"/>
      <c r="K267" s="108"/>
      <c r="L267" s="108"/>
      <c r="M267" s="108"/>
      <c r="N267" s="108"/>
      <c r="O267" s="110"/>
      <c r="P267" s="151" t="str">
        <f t="shared" si="0"/>
        <v/>
      </c>
      <c r="Q267" s="151" t="str">
        <f t="shared" si="1"/>
        <v/>
      </c>
      <c r="R267" s="151" t="str">
        <f t="shared" si="2"/>
        <v/>
      </c>
      <c r="S267" s="151" t="str">
        <f t="shared" si="3"/>
        <v/>
      </c>
      <c r="T267" s="151" t="str">
        <f t="shared" si="4"/>
        <v/>
      </c>
      <c r="U267" s="151" t="str">
        <f t="shared" si="5"/>
        <v/>
      </c>
      <c r="V267" s="108"/>
    </row>
    <row r="268" spans="1:22">
      <c r="A268" s="101"/>
      <c r="B268" s="157" t="s">
        <v>400</v>
      </c>
      <c r="C268" s="158"/>
      <c r="D268" s="148"/>
      <c r="E268" s="159">
        <f>((1.65-0.05-0.014)/11)*1+0.012+0.02</f>
        <v>0.17618181818181816</v>
      </c>
      <c r="F268" s="150"/>
      <c r="G268" s="107">
        <v>10</v>
      </c>
      <c r="H268" s="108">
        <v>1</v>
      </c>
      <c r="I268" s="108">
        <v>1</v>
      </c>
      <c r="J268" s="160">
        <f>2*(D270+E268)+2*8*G268/1000</f>
        <v>0.87236363636363634</v>
      </c>
      <c r="K268" s="108"/>
      <c r="L268" s="108">
        <v>5</v>
      </c>
      <c r="M268" s="121">
        <f>2*G268*L268/1000</f>
        <v>0.1</v>
      </c>
      <c r="N268" s="121">
        <f>(J268+K268-M268)</f>
        <v>0.77236363636363636</v>
      </c>
      <c r="O268" s="121">
        <f>(H268*I268*N268)</f>
        <v>0.77236363636363636</v>
      </c>
      <c r="P268" s="151" t="str">
        <f t="shared" si="0"/>
        <v/>
      </c>
      <c r="Q268" s="151">
        <f t="shared" si="1"/>
        <v>0.77236363636363636</v>
      </c>
      <c r="R268" s="151" t="str">
        <f t="shared" si="2"/>
        <v/>
      </c>
      <c r="S268" s="151" t="str">
        <f t="shared" si="3"/>
        <v/>
      </c>
      <c r="T268" s="151" t="str">
        <f t="shared" si="4"/>
        <v/>
      </c>
      <c r="U268" s="151" t="str">
        <f t="shared" si="5"/>
        <v/>
      </c>
      <c r="V268" s="108"/>
    </row>
    <row r="269" spans="1:22">
      <c r="A269" s="101"/>
      <c r="B269" s="157"/>
      <c r="C269" s="147"/>
      <c r="D269" s="148"/>
      <c r="E269" s="161"/>
      <c r="F269" s="150"/>
      <c r="G269" s="107"/>
      <c r="H269" s="108"/>
      <c r="I269" s="108"/>
      <c r="J269" s="109"/>
      <c r="K269" s="108"/>
      <c r="L269" s="108"/>
      <c r="M269" s="108"/>
      <c r="N269" s="108"/>
      <c r="O269" s="121"/>
      <c r="P269" s="151" t="str">
        <f t="shared" si="0"/>
        <v/>
      </c>
      <c r="Q269" s="151" t="str">
        <f t="shared" si="1"/>
        <v/>
      </c>
      <c r="R269" s="151" t="str">
        <f t="shared" si="2"/>
        <v/>
      </c>
      <c r="S269" s="151" t="str">
        <f t="shared" si="3"/>
        <v/>
      </c>
      <c r="T269" s="151" t="str">
        <f t="shared" si="4"/>
        <v/>
      </c>
      <c r="U269" s="151" t="str">
        <f t="shared" si="5"/>
        <v/>
      </c>
      <c r="V269" s="108"/>
    </row>
    <row r="270" spans="1:22">
      <c r="A270" s="101"/>
      <c r="B270" s="157"/>
      <c r="C270" s="147"/>
      <c r="D270" s="118">
        <f>0.23-0.05</f>
        <v>0.18</v>
      </c>
      <c r="E270" s="149"/>
      <c r="F270" s="150"/>
      <c r="G270" s="107"/>
      <c r="H270" s="108"/>
      <c r="I270" s="108"/>
      <c r="J270" s="109"/>
      <c r="K270" s="108"/>
      <c r="L270" s="108"/>
      <c r="M270" s="108"/>
      <c r="N270" s="108"/>
      <c r="O270" s="121"/>
      <c r="P270" s="151" t="str">
        <f t="shared" si="0"/>
        <v/>
      </c>
      <c r="Q270" s="151" t="str">
        <f t="shared" si="1"/>
        <v/>
      </c>
      <c r="R270" s="151" t="str">
        <f t="shared" si="2"/>
        <v/>
      </c>
      <c r="S270" s="151" t="str">
        <f t="shared" si="3"/>
        <v/>
      </c>
      <c r="T270" s="151" t="str">
        <f t="shared" si="4"/>
        <v/>
      </c>
      <c r="U270" s="151" t="str">
        <f t="shared" si="5"/>
        <v/>
      </c>
      <c r="V270" s="108"/>
    </row>
    <row r="271" spans="1:22">
      <c r="A271" s="101"/>
      <c r="B271" s="152"/>
      <c r="C271" s="147"/>
      <c r="D271" s="148"/>
      <c r="E271" s="149"/>
      <c r="F271" s="150"/>
      <c r="G271" s="107"/>
      <c r="H271" s="108"/>
      <c r="I271" s="108"/>
      <c r="J271" s="109"/>
      <c r="K271" s="108"/>
      <c r="L271" s="108"/>
      <c r="M271" s="108"/>
      <c r="N271" s="108"/>
      <c r="O271" s="110"/>
      <c r="P271" s="151" t="str">
        <f t="shared" si="0"/>
        <v/>
      </c>
      <c r="Q271" s="151" t="str">
        <f t="shared" si="1"/>
        <v/>
      </c>
      <c r="R271" s="151" t="str">
        <f t="shared" si="2"/>
        <v/>
      </c>
      <c r="S271" s="151" t="str">
        <f t="shared" si="3"/>
        <v/>
      </c>
      <c r="T271" s="151" t="str">
        <f t="shared" si="4"/>
        <v/>
      </c>
      <c r="U271" s="151" t="str">
        <f t="shared" si="5"/>
        <v/>
      </c>
      <c r="V271" s="108"/>
    </row>
    <row r="272" spans="1:22">
      <c r="A272" s="101"/>
      <c r="B272" s="152"/>
      <c r="C272" s="147"/>
      <c r="D272" s="148"/>
      <c r="E272" s="155">
        <v>0.08</v>
      </c>
      <c r="F272" s="150"/>
      <c r="G272" s="107"/>
      <c r="H272" s="108"/>
      <c r="I272" s="108"/>
      <c r="J272" s="109"/>
      <c r="K272" s="108"/>
      <c r="L272" s="108"/>
      <c r="M272" s="108"/>
      <c r="N272" s="108"/>
      <c r="O272" s="110"/>
      <c r="P272" s="151" t="str">
        <f t="shared" si="0"/>
        <v/>
      </c>
      <c r="Q272" s="151" t="str">
        <f t="shared" si="1"/>
        <v/>
      </c>
      <c r="R272" s="151" t="str">
        <f t="shared" si="2"/>
        <v/>
      </c>
      <c r="S272" s="151" t="str">
        <f t="shared" si="3"/>
        <v/>
      </c>
      <c r="T272" s="151" t="str">
        <f t="shared" si="4"/>
        <v/>
      </c>
      <c r="U272" s="151" t="str">
        <f t="shared" si="5"/>
        <v/>
      </c>
      <c r="V272" s="108"/>
    </row>
    <row r="273" spans="1:22">
      <c r="A273" s="101"/>
      <c r="B273" s="157" t="s">
        <v>401</v>
      </c>
      <c r="C273" s="147"/>
      <c r="D273" s="153">
        <f>0.23-0.05</f>
        <v>0.18</v>
      </c>
      <c r="E273" s="155"/>
      <c r="F273" s="150"/>
      <c r="G273" s="107">
        <v>10</v>
      </c>
      <c r="H273" s="108">
        <v>1</v>
      </c>
      <c r="I273" s="108">
        <v>4</v>
      </c>
      <c r="J273" s="160">
        <f>D273+E272+E274</f>
        <v>0.34</v>
      </c>
      <c r="K273" s="108"/>
      <c r="L273" s="108">
        <v>2</v>
      </c>
      <c r="M273" s="121">
        <f>2*G273*L273/1000</f>
        <v>0.04</v>
      </c>
      <c r="N273" s="121">
        <f>(J273+K273-M273)</f>
        <v>0.30000000000000004</v>
      </c>
      <c r="O273" s="121">
        <f>(H273*I273*N273)</f>
        <v>1.2000000000000002</v>
      </c>
      <c r="P273" s="151" t="str">
        <f t="shared" si="0"/>
        <v/>
      </c>
      <c r="Q273" s="151">
        <f t="shared" si="1"/>
        <v>1.2000000000000002</v>
      </c>
      <c r="R273" s="151" t="str">
        <f t="shared" si="2"/>
        <v/>
      </c>
      <c r="S273" s="151" t="str">
        <f t="shared" si="3"/>
        <v/>
      </c>
      <c r="T273" s="151" t="str">
        <f t="shared" si="4"/>
        <v/>
      </c>
      <c r="U273" s="151" t="str">
        <f t="shared" si="5"/>
        <v/>
      </c>
      <c r="V273" s="108"/>
    </row>
    <row r="274" spans="1:22">
      <c r="A274" s="101"/>
      <c r="B274" s="152"/>
      <c r="C274" s="147"/>
      <c r="D274" s="148"/>
      <c r="E274" s="155">
        <v>0.08</v>
      </c>
      <c r="F274" s="150"/>
      <c r="G274" s="107"/>
      <c r="H274" s="108"/>
      <c r="I274" s="108"/>
      <c r="J274" s="109"/>
      <c r="K274" s="108"/>
      <c r="L274" s="108"/>
      <c r="M274" s="108"/>
      <c r="N274" s="108"/>
      <c r="O274" s="110"/>
      <c r="P274" s="151" t="str">
        <f t="shared" si="0"/>
        <v/>
      </c>
      <c r="Q274" s="151" t="str">
        <f t="shared" si="1"/>
        <v/>
      </c>
      <c r="R274" s="151" t="str">
        <f t="shared" si="2"/>
        <v/>
      </c>
      <c r="S274" s="151" t="str">
        <f t="shared" si="3"/>
        <v/>
      </c>
      <c r="T274" s="151" t="str">
        <f t="shared" si="4"/>
        <v/>
      </c>
      <c r="U274" s="151" t="str">
        <f t="shared" si="5"/>
        <v/>
      </c>
      <c r="V274" s="108"/>
    </row>
    <row r="275" spans="1:22">
      <c r="A275" s="101"/>
      <c r="B275" s="157"/>
      <c r="C275" s="147"/>
      <c r="D275" s="163"/>
      <c r="E275" s="149"/>
      <c r="F275" s="150"/>
      <c r="G275" s="107"/>
      <c r="H275" s="108"/>
      <c r="I275" s="108"/>
      <c r="J275" s="109"/>
      <c r="K275" s="108"/>
      <c r="L275" s="108"/>
      <c r="M275" s="108"/>
      <c r="N275" s="108"/>
      <c r="O275" s="110"/>
      <c r="P275" s="151" t="str">
        <f t="shared" si="0"/>
        <v/>
      </c>
      <c r="Q275" s="151" t="str">
        <f t="shared" si="1"/>
        <v/>
      </c>
      <c r="R275" s="151" t="str">
        <f t="shared" si="2"/>
        <v/>
      </c>
      <c r="S275" s="151" t="str">
        <f t="shared" si="3"/>
        <v/>
      </c>
      <c r="T275" s="151" t="str">
        <f t="shared" si="4"/>
        <v/>
      </c>
      <c r="U275" s="151" t="str">
        <f t="shared" si="5"/>
        <v/>
      </c>
      <c r="V275" s="108"/>
    </row>
    <row r="276" spans="1:22">
      <c r="A276" s="101">
        <v>10</v>
      </c>
      <c r="B276" s="101" t="s">
        <v>402</v>
      </c>
      <c r="C276" s="147"/>
      <c r="D276" s="148"/>
      <c r="E276" s="149"/>
      <c r="F276" s="150"/>
      <c r="G276" s="107"/>
      <c r="H276" s="108"/>
      <c r="I276" s="108"/>
      <c r="J276" s="118"/>
      <c r="K276" s="121"/>
      <c r="L276" s="121"/>
      <c r="M276" s="108"/>
      <c r="N276" s="121"/>
      <c r="O276" s="121"/>
      <c r="P276" s="151" t="str">
        <f>IF($G276=8,$O276,"")</f>
        <v/>
      </c>
      <c r="Q276" s="151" t="str">
        <f>IF($G276=10,$O276,"")</f>
        <v/>
      </c>
      <c r="R276" s="151" t="str">
        <f>IF($G276=12,$O276,"")</f>
        <v/>
      </c>
      <c r="S276" s="151" t="str">
        <f>IF($G276=16,$O276,"")</f>
        <v/>
      </c>
      <c r="T276" s="151" t="str">
        <f>IF($G276=20,$O276,"")</f>
        <v/>
      </c>
      <c r="U276" s="151" t="str">
        <f>IF($G276=25,$O276,"")</f>
        <v/>
      </c>
      <c r="V276" s="108"/>
    </row>
    <row r="277" spans="1:22">
      <c r="A277" s="101"/>
      <c r="B277" s="152" t="s">
        <v>382</v>
      </c>
      <c r="C277" s="147"/>
      <c r="D277" s="153">
        <f>0.85-0.075-2*0.016</f>
        <v>0.74299999999999999</v>
      </c>
      <c r="E277" s="149"/>
      <c r="F277" s="150"/>
      <c r="G277" s="107">
        <v>16</v>
      </c>
      <c r="H277" s="108">
        <v>1</v>
      </c>
      <c r="I277" s="108">
        <v>8</v>
      </c>
      <c r="J277" s="118">
        <f>D277</f>
        <v>0.74299999999999999</v>
      </c>
      <c r="K277" s="119" t="str">
        <f>IF(N277&lt;12,"0",0.049*G277)</f>
        <v>0</v>
      </c>
      <c r="L277" s="120">
        <v>1</v>
      </c>
      <c r="M277" s="108">
        <f>2*G277*L277/1000</f>
        <v>3.2000000000000001E-2</v>
      </c>
      <c r="N277" s="121">
        <f>J277+E279-M277</f>
        <v>1.0109999999999999</v>
      </c>
      <c r="O277" s="121">
        <f>H277*I277*N277</f>
        <v>8.0879999999999992</v>
      </c>
      <c r="P277" s="151" t="str">
        <f t="shared" si="0"/>
        <v/>
      </c>
      <c r="Q277" s="151" t="str">
        <f t="shared" si="1"/>
        <v/>
      </c>
      <c r="R277" s="151" t="str">
        <f t="shared" si="2"/>
        <v/>
      </c>
      <c r="S277" s="151">
        <f t="shared" si="3"/>
        <v>8.0879999999999992</v>
      </c>
      <c r="T277" s="151" t="str">
        <f t="shared" si="4"/>
        <v/>
      </c>
      <c r="U277" s="151" t="str">
        <f t="shared" si="5"/>
        <v/>
      </c>
      <c r="V277" s="108"/>
    </row>
    <row r="278" spans="1:22">
      <c r="A278" s="101"/>
      <c r="B278" s="152" t="s">
        <v>383</v>
      </c>
      <c r="C278" s="147"/>
      <c r="D278" s="148"/>
      <c r="E278" s="149"/>
      <c r="F278" s="150"/>
      <c r="G278" s="107">
        <v>12</v>
      </c>
      <c r="H278" s="108">
        <v>1</v>
      </c>
      <c r="I278" s="108">
        <v>16</v>
      </c>
      <c r="J278" s="118">
        <f>D277</f>
        <v>0.74299999999999999</v>
      </c>
      <c r="K278" s="119" t="str">
        <f t="shared" ref="K278:K279" si="24">IF(N278&lt;12,"0",0.049*G278)</f>
        <v>0</v>
      </c>
      <c r="L278" s="120">
        <v>1</v>
      </c>
      <c r="M278" s="108">
        <f t="shared" ref="M278:M279" si="25">2*G278*L278/1000</f>
        <v>2.4E-2</v>
      </c>
      <c r="N278" s="121">
        <f>J278+E279-M278</f>
        <v>1.0189999999999999</v>
      </c>
      <c r="O278" s="121">
        <f>H278*I278*N278</f>
        <v>16.303999999999998</v>
      </c>
      <c r="P278" s="151" t="str">
        <f t="shared" si="0"/>
        <v/>
      </c>
      <c r="Q278" s="151" t="str">
        <f t="shared" si="1"/>
        <v/>
      </c>
      <c r="R278" s="151">
        <f t="shared" si="2"/>
        <v>16.303999999999998</v>
      </c>
      <c r="S278" s="151" t="str">
        <f t="shared" si="3"/>
        <v/>
      </c>
      <c r="T278" s="151" t="str">
        <f t="shared" si="4"/>
        <v/>
      </c>
      <c r="U278" s="151" t="str">
        <f t="shared" si="5"/>
        <v/>
      </c>
      <c r="V278" s="108"/>
    </row>
    <row r="279" spans="1:22">
      <c r="A279" s="101"/>
      <c r="B279" s="152" t="s">
        <v>384</v>
      </c>
      <c r="C279" s="154"/>
      <c r="D279" s="153"/>
      <c r="E279" s="155">
        <v>0.3</v>
      </c>
      <c r="F279" s="150"/>
      <c r="G279" s="107">
        <v>10</v>
      </c>
      <c r="H279" s="108">
        <v>1</v>
      </c>
      <c r="I279" s="108">
        <v>10</v>
      </c>
      <c r="J279" s="118">
        <f>D277</f>
        <v>0.74299999999999999</v>
      </c>
      <c r="K279" s="119" t="str">
        <f t="shared" si="24"/>
        <v>0</v>
      </c>
      <c r="L279" s="120">
        <v>1</v>
      </c>
      <c r="M279" s="108">
        <f t="shared" si="25"/>
        <v>0.02</v>
      </c>
      <c r="N279" s="121">
        <f>J279+E279-M279</f>
        <v>1.0229999999999999</v>
      </c>
      <c r="O279" s="121">
        <f>H279*I279*N279</f>
        <v>10.229999999999999</v>
      </c>
      <c r="P279" s="151" t="str">
        <f t="shared" si="0"/>
        <v/>
      </c>
      <c r="Q279" s="151">
        <f t="shared" si="1"/>
        <v>10.229999999999999</v>
      </c>
      <c r="R279" s="151" t="str">
        <f t="shared" si="2"/>
        <v/>
      </c>
      <c r="S279" s="151" t="str">
        <f t="shared" si="3"/>
        <v/>
      </c>
      <c r="T279" s="151" t="str">
        <f t="shared" si="4"/>
        <v/>
      </c>
      <c r="U279" s="151" t="str">
        <f t="shared" si="5"/>
        <v/>
      </c>
      <c r="V279" s="108"/>
    </row>
    <row r="280" spans="1:22">
      <c r="A280" s="101"/>
      <c r="B280" s="152"/>
      <c r="C280" s="147"/>
      <c r="D280" s="148"/>
      <c r="E280" s="149"/>
      <c r="F280" s="150"/>
      <c r="G280" s="107"/>
      <c r="H280" s="108"/>
      <c r="I280" s="108"/>
      <c r="J280" s="118"/>
      <c r="K280" s="119"/>
      <c r="L280" s="120"/>
      <c r="M280" s="108"/>
      <c r="N280" s="121"/>
      <c r="O280" s="121"/>
      <c r="P280" s="151" t="str">
        <f t="shared" si="0"/>
        <v/>
      </c>
      <c r="Q280" s="151" t="str">
        <f t="shared" si="1"/>
        <v/>
      </c>
      <c r="R280" s="151" t="str">
        <f t="shared" si="2"/>
        <v/>
      </c>
      <c r="S280" s="151" t="str">
        <f t="shared" si="3"/>
        <v/>
      </c>
      <c r="T280" s="151" t="str">
        <f t="shared" si="4"/>
        <v/>
      </c>
      <c r="U280" s="151" t="str">
        <f t="shared" si="5"/>
        <v/>
      </c>
      <c r="V280" s="108"/>
    </row>
    <row r="281" spans="1:22">
      <c r="A281" s="101"/>
      <c r="B281" s="152"/>
      <c r="C281" s="147"/>
      <c r="D281" s="148"/>
      <c r="E281" s="149"/>
      <c r="F281" s="150"/>
      <c r="G281" s="107"/>
      <c r="H281" s="108"/>
      <c r="I281" s="108"/>
      <c r="J281" s="109"/>
      <c r="K281" s="108"/>
      <c r="L281" s="108"/>
      <c r="M281" s="108"/>
      <c r="N281" s="108"/>
      <c r="O281" s="110"/>
      <c r="P281" s="151" t="str">
        <f t="shared" si="0"/>
        <v/>
      </c>
      <c r="Q281" s="151" t="str">
        <f t="shared" si="1"/>
        <v/>
      </c>
      <c r="R281" s="151" t="str">
        <f t="shared" si="2"/>
        <v/>
      </c>
      <c r="S281" s="151" t="str">
        <f t="shared" si="3"/>
        <v/>
      </c>
      <c r="T281" s="151" t="str">
        <f t="shared" si="4"/>
        <v/>
      </c>
      <c r="U281" s="151" t="str">
        <f t="shared" si="5"/>
        <v/>
      </c>
      <c r="V281" s="108"/>
    </row>
    <row r="282" spans="1:22">
      <c r="A282" s="101"/>
      <c r="B282" s="101"/>
      <c r="C282" s="156">
        <v>0.08</v>
      </c>
      <c r="D282" s="148"/>
      <c r="E282" s="149"/>
      <c r="F282" s="150"/>
      <c r="G282" s="107"/>
      <c r="H282" s="108"/>
      <c r="I282" s="108"/>
      <c r="J282" s="109"/>
      <c r="K282" s="108"/>
      <c r="L282" s="108"/>
      <c r="M282" s="108"/>
      <c r="N282" s="108"/>
      <c r="O282" s="110"/>
      <c r="P282" s="151" t="str">
        <f t="shared" si="0"/>
        <v/>
      </c>
      <c r="Q282" s="151" t="str">
        <f t="shared" si="1"/>
        <v/>
      </c>
      <c r="R282" s="151" t="str">
        <f t="shared" si="2"/>
        <v/>
      </c>
      <c r="S282" s="151" t="str">
        <f t="shared" si="3"/>
        <v/>
      </c>
      <c r="T282" s="151" t="str">
        <f t="shared" si="4"/>
        <v/>
      </c>
      <c r="U282" s="151" t="str">
        <f t="shared" si="5"/>
        <v/>
      </c>
      <c r="V282" s="108"/>
    </row>
    <row r="283" spans="1:22">
      <c r="A283" s="101"/>
      <c r="B283" s="157" t="s">
        <v>386</v>
      </c>
      <c r="C283" s="158"/>
      <c r="D283" s="148"/>
      <c r="E283" s="159">
        <f>0.65-0.05</f>
        <v>0.6</v>
      </c>
      <c r="F283" s="150"/>
      <c r="G283" s="107">
        <v>10</v>
      </c>
      <c r="H283" s="108">
        <v>1</v>
      </c>
      <c r="I283" s="108">
        <v>4</v>
      </c>
      <c r="J283" s="160">
        <f>2*(D285+E283)+2*8*G283/1000</f>
        <v>1.72</v>
      </c>
      <c r="K283" s="108"/>
      <c r="L283" s="108">
        <v>5</v>
      </c>
      <c r="M283" s="121">
        <f>2*G283*L283/1000</f>
        <v>0.1</v>
      </c>
      <c r="N283" s="121">
        <f>(J283+K283-M283)</f>
        <v>1.6199999999999999</v>
      </c>
      <c r="O283" s="121">
        <f>(H283*I283*N283)</f>
        <v>6.4799999999999995</v>
      </c>
      <c r="P283" s="151" t="str">
        <f t="shared" ref="P283:P346" si="26">IF($G283=8,$O283,"")</f>
        <v/>
      </c>
      <c r="Q283" s="151">
        <f t="shared" ref="Q283:Q346" si="27">IF($G283=10,$O283,"")</f>
        <v>6.4799999999999995</v>
      </c>
      <c r="R283" s="151" t="str">
        <f t="shared" ref="R283:R346" si="28">IF($G283=12,$O283,"")</f>
        <v/>
      </c>
      <c r="S283" s="151" t="str">
        <f t="shared" ref="S283:S346" si="29">IF($G283=16,$O283,"")</f>
        <v/>
      </c>
      <c r="T283" s="151" t="str">
        <f t="shared" ref="T283:T346" si="30">IF($G283=20,$O283,"")</f>
        <v/>
      </c>
      <c r="U283" s="151" t="str">
        <f t="shared" ref="U283:U346" si="31">IF($G283=25,$O283,"")</f>
        <v/>
      </c>
      <c r="V283" s="108"/>
    </row>
    <row r="284" spans="1:22">
      <c r="A284" s="101"/>
      <c r="B284" s="157"/>
      <c r="C284" s="147"/>
      <c r="D284" s="148"/>
      <c r="E284" s="161"/>
      <c r="F284" s="150"/>
      <c r="G284" s="107"/>
      <c r="H284" s="108"/>
      <c r="I284" s="108"/>
      <c r="J284" s="109"/>
      <c r="K284" s="108"/>
      <c r="L284" s="108"/>
      <c r="M284" s="108"/>
      <c r="N284" s="108"/>
      <c r="O284" s="121"/>
      <c r="P284" s="151" t="str">
        <f t="shared" si="26"/>
        <v/>
      </c>
      <c r="Q284" s="151" t="str">
        <f t="shared" si="27"/>
        <v/>
      </c>
      <c r="R284" s="151" t="str">
        <f t="shared" si="28"/>
        <v/>
      </c>
      <c r="S284" s="151" t="str">
        <f t="shared" si="29"/>
        <v/>
      </c>
      <c r="T284" s="151" t="str">
        <f t="shared" si="30"/>
        <v/>
      </c>
      <c r="U284" s="151" t="str">
        <f t="shared" si="31"/>
        <v/>
      </c>
      <c r="V284" s="108"/>
    </row>
    <row r="285" spans="1:22">
      <c r="A285" s="101"/>
      <c r="B285" s="157"/>
      <c r="C285" s="147"/>
      <c r="D285" s="118">
        <f>0.23-0.05</f>
        <v>0.18</v>
      </c>
      <c r="E285" s="149"/>
      <c r="F285" s="150"/>
      <c r="G285" s="107"/>
      <c r="H285" s="108"/>
      <c r="I285" s="108"/>
      <c r="J285" s="109"/>
      <c r="K285" s="108"/>
      <c r="L285" s="108"/>
      <c r="M285" s="108"/>
      <c r="N285" s="108"/>
      <c r="O285" s="121"/>
      <c r="P285" s="151" t="str">
        <f t="shared" si="26"/>
        <v/>
      </c>
      <c r="Q285" s="151" t="str">
        <f t="shared" si="27"/>
        <v/>
      </c>
      <c r="R285" s="151" t="str">
        <f t="shared" si="28"/>
        <v/>
      </c>
      <c r="S285" s="151" t="str">
        <f t="shared" si="29"/>
        <v/>
      </c>
      <c r="T285" s="151" t="str">
        <f t="shared" si="30"/>
        <v/>
      </c>
      <c r="U285" s="151" t="str">
        <f t="shared" si="31"/>
        <v/>
      </c>
      <c r="V285" s="108"/>
    </row>
    <row r="286" spans="1:22">
      <c r="A286" s="101"/>
      <c r="B286" s="152"/>
      <c r="C286" s="147"/>
      <c r="D286" s="148"/>
      <c r="E286" s="149"/>
      <c r="F286" s="150"/>
      <c r="G286" s="107"/>
      <c r="H286" s="108"/>
      <c r="I286" s="108"/>
      <c r="J286" s="109"/>
      <c r="K286" s="108"/>
      <c r="L286" s="108"/>
      <c r="M286" s="108"/>
      <c r="N286" s="108"/>
      <c r="O286" s="110"/>
      <c r="P286" s="151" t="str">
        <f t="shared" si="26"/>
        <v/>
      </c>
      <c r="Q286" s="151" t="str">
        <f t="shared" si="27"/>
        <v/>
      </c>
      <c r="R286" s="151" t="str">
        <f t="shared" si="28"/>
        <v/>
      </c>
      <c r="S286" s="151" t="str">
        <f t="shared" si="29"/>
        <v/>
      </c>
      <c r="T286" s="151" t="str">
        <f t="shared" si="30"/>
        <v/>
      </c>
      <c r="U286" s="151" t="str">
        <f t="shared" si="31"/>
        <v/>
      </c>
      <c r="V286" s="108"/>
    </row>
    <row r="287" spans="1:22">
      <c r="A287" s="101"/>
      <c r="B287" s="101"/>
      <c r="C287" s="156">
        <v>0.08</v>
      </c>
      <c r="D287" s="148"/>
      <c r="E287" s="149"/>
      <c r="F287" s="150"/>
      <c r="G287" s="107"/>
      <c r="H287" s="108"/>
      <c r="I287" s="108"/>
      <c r="J287" s="109"/>
      <c r="K287" s="108"/>
      <c r="L287" s="108"/>
      <c r="M287" s="108"/>
      <c r="N287" s="108"/>
      <c r="O287" s="110"/>
      <c r="P287" s="151" t="str">
        <f t="shared" si="26"/>
        <v/>
      </c>
      <c r="Q287" s="151" t="str">
        <f t="shared" si="27"/>
        <v/>
      </c>
      <c r="R287" s="151" t="str">
        <f t="shared" si="28"/>
        <v/>
      </c>
      <c r="S287" s="151" t="str">
        <f t="shared" si="29"/>
        <v/>
      </c>
      <c r="T287" s="151" t="str">
        <f t="shared" si="30"/>
        <v/>
      </c>
      <c r="U287" s="151" t="str">
        <f t="shared" si="31"/>
        <v/>
      </c>
      <c r="V287" s="108"/>
    </row>
    <row r="288" spans="1:22">
      <c r="A288" s="101"/>
      <c r="B288" s="157" t="s">
        <v>387</v>
      </c>
      <c r="C288" s="158"/>
      <c r="D288" s="148"/>
      <c r="E288" s="159">
        <f>1.85-0.05</f>
        <v>1.8</v>
      </c>
      <c r="F288" s="150"/>
      <c r="G288" s="107">
        <v>10</v>
      </c>
      <c r="H288" s="108">
        <v>1</v>
      </c>
      <c r="I288" s="108">
        <v>4</v>
      </c>
      <c r="J288" s="160">
        <f>2*(D290+E288)+2*8*G288/1000</f>
        <v>4.12</v>
      </c>
      <c r="K288" s="108"/>
      <c r="L288" s="108">
        <v>5</v>
      </c>
      <c r="M288" s="121">
        <f>2*G288*L288/1000</f>
        <v>0.1</v>
      </c>
      <c r="N288" s="121">
        <f>(J288+K288-M288)</f>
        <v>4.0200000000000005</v>
      </c>
      <c r="O288" s="121">
        <f>(H288*I288*N288)</f>
        <v>16.080000000000002</v>
      </c>
      <c r="P288" s="151" t="str">
        <f t="shared" si="26"/>
        <v/>
      </c>
      <c r="Q288" s="151">
        <f t="shared" si="27"/>
        <v>16.080000000000002</v>
      </c>
      <c r="R288" s="151" t="str">
        <f t="shared" si="28"/>
        <v/>
      </c>
      <c r="S288" s="151" t="str">
        <f t="shared" si="29"/>
        <v/>
      </c>
      <c r="T288" s="151" t="str">
        <f t="shared" si="30"/>
        <v/>
      </c>
      <c r="U288" s="151" t="str">
        <f t="shared" si="31"/>
        <v/>
      </c>
      <c r="V288" s="108"/>
    </row>
    <row r="289" spans="1:22">
      <c r="A289" s="101"/>
      <c r="B289" s="157"/>
      <c r="C289" s="147"/>
      <c r="D289" s="148"/>
      <c r="E289" s="161"/>
      <c r="F289" s="150"/>
      <c r="G289" s="107"/>
      <c r="H289" s="108"/>
      <c r="I289" s="108"/>
      <c r="J289" s="109"/>
      <c r="K289" s="108"/>
      <c r="L289" s="108"/>
      <c r="M289" s="108"/>
      <c r="N289" s="108"/>
      <c r="O289" s="121"/>
      <c r="P289" s="151" t="str">
        <f t="shared" si="26"/>
        <v/>
      </c>
      <c r="Q289" s="151" t="str">
        <f t="shared" si="27"/>
        <v/>
      </c>
      <c r="R289" s="151" t="str">
        <f t="shared" si="28"/>
        <v/>
      </c>
      <c r="S289" s="151" t="str">
        <f t="shared" si="29"/>
        <v/>
      </c>
      <c r="T289" s="151" t="str">
        <f t="shared" si="30"/>
        <v/>
      </c>
      <c r="U289" s="151" t="str">
        <f t="shared" si="31"/>
        <v/>
      </c>
      <c r="V289" s="108"/>
    </row>
    <row r="290" spans="1:22">
      <c r="A290" s="101"/>
      <c r="B290" s="157"/>
      <c r="C290" s="147"/>
      <c r="D290" s="118">
        <f>0.23-0.05</f>
        <v>0.18</v>
      </c>
      <c r="E290" s="149"/>
      <c r="F290" s="150"/>
      <c r="G290" s="107"/>
      <c r="H290" s="108"/>
      <c r="I290" s="108"/>
      <c r="J290" s="109"/>
      <c r="K290" s="108"/>
      <c r="L290" s="108"/>
      <c r="M290" s="108"/>
      <c r="N290" s="108"/>
      <c r="O290" s="121"/>
      <c r="P290" s="151" t="str">
        <f t="shared" si="26"/>
        <v/>
      </c>
      <c r="Q290" s="151" t="str">
        <f t="shared" si="27"/>
        <v/>
      </c>
      <c r="R290" s="151" t="str">
        <f t="shared" si="28"/>
        <v/>
      </c>
      <c r="S290" s="151" t="str">
        <f t="shared" si="29"/>
        <v/>
      </c>
      <c r="T290" s="151" t="str">
        <f t="shared" si="30"/>
        <v/>
      </c>
      <c r="U290" s="151" t="str">
        <f t="shared" si="31"/>
        <v/>
      </c>
      <c r="V290" s="108"/>
    </row>
    <row r="291" spans="1:22">
      <c r="A291" s="101"/>
      <c r="B291" s="152"/>
      <c r="C291" s="147"/>
      <c r="D291" s="148"/>
      <c r="E291" s="149"/>
      <c r="F291" s="150"/>
      <c r="G291" s="107"/>
      <c r="H291" s="108"/>
      <c r="I291" s="108"/>
      <c r="J291" s="109"/>
      <c r="K291" s="108"/>
      <c r="L291" s="108"/>
      <c r="M291" s="108"/>
      <c r="N291" s="108"/>
      <c r="O291" s="121"/>
      <c r="P291" s="151" t="str">
        <f t="shared" si="26"/>
        <v/>
      </c>
      <c r="Q291" s="151" t="str">
        <f t="shared" si="27"/>
        <v/>
      </c>
      <c r="R291" s="151" t="str">
        <f t="shared" si="28"/>
        <v/>
      </c>
      <c r="S291" s="151" t="str">
        <f t="shared" si="29"/>
        <v/>
      </c>
      <c r="T291" s="151" t="str">
        <f t="shared" si="30"/>
        <v/>
      </c>
      <c r="U291" s="151" t="str">
        <f t="shared" si="31"/>
        <v/>
      </c>
      <c r="V291" s="108"/>
    </row>
    <row r="292" spans="1:22">
      <c r="A292" s="101"/>
      <c r="B292" s="101"/>
      <c r="C292" s="156">
        <v>0.08</v>
      </c>
      <c r="D292" s="148"/>
      <c r="E292" s="149"/>
      <c r="F292" s="150"/>
      <c r="G292" s="107"/>
      <c r="H292" s="108"/>
      <c r="I292" s="108"/>
      <c r="J292" s="109"/>
      <c r="K292" s="108"/>
      <c r="L292" s="108"/>
      <c r="M292" s="108"/>
      <c r="N292" s="108"/>
      <c r="O292" s="121"/>
      <c r="P292" s="151" t="str">
        <f t="shared" si="26"/>
        <v/>
      </c>
      <c r="Q292" s="151" t="str">
        <f t="shared" si="27"/>
        <v/>
      </c>
      <c r="R292" s="151" t="str">
        <f t="shared" si="28"/>
        <v/>
      </c>
      <c r="S292" s="151" t="str">
        <f t="shared" si="29"/>
        <v/>
      </c>
      <c r="T292" s="151" t="str">
        <f t="shared" si="30"/>
        <v/>
      </c>
      <c r="U292" s="151" t="str">
        <f t="shared" si="31"/>
        <v/>
      </c>
      <c r="V292" s="108"/>
    </row>
    <row r="293" spans="1:22">
      <c r="A293" s="101"/>
      <c r="B293" s="157" t="s">
        <v>388</v>
      </c>
      <c r="C293" s="158"/>
      <c r="D293" s="148"/>
      <c r="E293" s="159">
        <f>((0.65-0.05-0.016)/5)*2+0.012+0.02</f>
        <v>0.2656</v>
      </c>
      <c r="F293" s="150"/>
      <c r="G293" s="107">
        <v>10</v>
      </c>
      <c r="H293" s="108">
        <v>1</v>
      </c>
      <c r="I293" s="108">
        <v>1</v>
      </c>
      <c r="J293" s="160">
        <f>2*(D295+E293)+2*8*G293/1000</f>
        <v>1.0511999999999999</v>
      </c>
      <c r="K293" s="108"/>
      <c r="L293" s="108">
        <v>5</v>
      </c>
      <c r="M293" s="121">
        <f>2*G293*L293/1000</f>
        <v>0.1</v>
      </c>
      <c r="N293" s="121">
        <f>(J293+K293-M293)</f>
        <v>0.95119999999999993</v>
      </c>
      <c r="O293" s="121">
        <f>(H293*I293*N293)</f>
        <v>0.95119999999999993</v>
      </c>
      <c r="P293" s="151" t="str">
        <f t="shared" si="26"/>
        <v/>
      </c>
      <c r="Q293" s="151">
        <f t="shared" si="27"/>
        <v>0.95119999999999993</v>
      </c>
      <c r="R293" s="151" t="str">
        <f t="shared" si="28"/>
        <v/>
      </c>
      <c r="S293" s="151" t="str">
        <f t="shared" si="29"/>
        <v/>
      </c>
      <c r="T293" s="151" t="str">
        <f t="shared" si="30"/>
        <v/>
      </c>
      <c r="U293" s="151" t="str">
        <f t="shared" si="31"/>
        <v/>
      </c>
      <c r="V293" s="108"/>
    </row>
    <row r="294" spans="1:22">
      <c r="A294" s="101"/>
      <c r="B294" s="157"/>
      <c r="C294" s="147"/>
      <c r="D294" s="148"/>
      <c r="E294" s="161"/>
      <c r="F294" s="150"/>
      <c r="G294" s="107"/>
      <c r="H294" s="108"/>
      <c r="I294" s="108"/>
      <c r="J294" s="109"/>
      <c r="K294" s="108"/>
      <c r="L294" s="108"/>
      <c r="M294" s="108"/>
      <c r="N294" s="108"/>
      <c r="O294" s="121"/>
      <c r="P294" s="151" t="str">
        <f t="shared" si="26"/>
        <v/>
      </c>
      <c r="Q294" s="151" t="str">
        <f t="shared" si="27"/>
        <v/>
      </c>
      <c r="R294" s="151" t="str">
        <f t="shared" si="28"/>
        <v/>
      </c>
      <c r="S294" s="151" t="str">
        <f t="shared" si="29"/>
        <v/>
      </c>
      <c r="T294" s="151" t="str">
        <f t="shared" si="30"/>
        <v/>
      </c>
      <c r="U294" s="151" t="str">
        <f t="shared" si="31"/>
        <v/>
      </c>
      <c r="V294" s="108"/>
    </row>
    <row r="295" spans="1:22">
      <c r="A295" s="101"/>
      <c r="B295" s="157"/>
      <c r="C295" s="147"/>
      <c r="D295" s="118">
        <f>0.23-0.05</f>
        <v>0.18</v>
      </c>
      <c r="E295" s="149"/>
      <c r="F295" s="150"/>
      <c r="G295" s="107"/>
      <c r="H295" s="108"/>
      <c r="I295" s="108"/>
      <c r="J295" s="109"/>
      <c r="K295" s="108"/>
      <c r="L295" s="108"/>
      <c r="M295" s="108"/>
      <c r="N295" s="108"/>
      <c r="O295" s="121"/>
      <c r="P295" s="151" t="str">
        <f t="shared" si="26"/>
        <v/>
      </c>
      <c r="Q295" s="151" t="str">
        <f t="shared" si="27"/>
        <v/>
      </c>
      <c r="R295" s="151" t="str">
        <f t="shared" si="28"/>
        <v/>
      </c>
      <c r="S295" s="151" t="str">
        <f t="shared" si="29"/>
        <v/>
      </c>
      <c r="T295" s="151" t="str">
        <f t="shared" si="30"/>
        <v/>
      </c>
      <c r="U295" s="151" t="str">
        <f t="shared" si="31"/>
        <v/>
      </c>
      <c r="V295" s="108"/>
    </row>
    <row r="296" spans="1:22">
      <c r="A296" s="101"/>
      <c r="B296" s="152"/>
      <c r="C296" s="147"/>
      <c r="D296" s="148"/>
      <c r="E296" s="149"/>
      <c r="F296" s="150"/>
      <c r="G296" s="107"/>
      <c r="H296" s="108"/>
      <c r="I296" s="108"/>
      <c r="J296" s="109"/>
      <c r="K296" s="108"/>
      <c r="L296" s="108"/>
      <c r="M296" s="108"/>
      <c r="N296" s="108"/>
      <c r="O296" s="110"/>
      <c r="P296" s="151" t="str">
        <f t="shared" si="26"/>
        <v/>
      </c>
      <c r="Q296" s="151" t="str">
        <f t="shared" si="27"/>
        <v/>
      </c>
      <c r="R296" s="151" t="str">
        <f t="shared" si="28"/>
        <v/>
      </c>
      <c r="S296" s="151" t="str">
        <f t="shared" si="29"/>
        <v/>
      </c>
      <c r="T296" s="151" t="str">
        <f t="shared" si="30"/>
        <v/>
      </c>
      <c r="U296" s="151" t="str">
        <f t="shared" si="31"/>
        <v/>
      </c>
      <c r="V296" s="108"/>
    </row>
    <row r="297" spans="1:22">
      <c r="A297" s="101"/>
      <c r="B297" s="101"/>
      <c r="C297" s="156">
        <v>0.08</v>
      </c>
      <c r="D297" s="148"/>
      <c r="E297" s="149"/>
      <c r="F297" s="150"/>
      <c r="G297" s="107"/>
      <c r="H297" s="108"/>
      <c r="I297" s="108"/>
      <c r="J297" s="109"/>
      <c r="K297" s="108"/>
      <c r="L297" s="108"/>
      <c r="M297" s="108"/>
      <c r="N297" s="108"/>
      <c r="O297" s="110"/>
      <c r="P297" s="151" t="str">
        <f t="shared" si="26"/>
        <v/>
      </c>
      <c r="Q297" s="151" t="str">
        <f t="shared" si="27"/>
        <v/>
      </c>
      <c r="R297" s="151" t="str">
        <f t="shared" si="28"/>
        <v/>
      </c>
      <c r="S297" s="151" t="str">
        <f t="shared" si="29"/>
        <v/>
      </c>
      <c r="T297" s="151" t="str">
        <f t="shared" si="30"/>
        <v/>
      </c>
      <c r="U297" s="151" t="str">
        <f t="shared" si="31"/>
        <v/>
      </c>
      <c r="V297" s="108"/>
    </row>
    <row r="298" spans="1:22">
      <c r="A298" s="101"/>
      <c r="B298" s="157" t="s">
        <v>389</v>
      </c>
      <c r="C298" s="158"/>
      <c r="D298" s="148"/>
      <c r="E298" s="159">
        <f>((1.8-0.05-0.014)/12)*3+0.014+0.02</f>
        <v>0.46800000000000003</v>
      </c>
      <c r="F298" s="150"/>
      <c r="G298" s="107">
        <v>10</v>
      </c>
      <c r="H298" s="108">
        <v>1</v>
      </c>
      <c r="I298" s="108">
        <v>1</v>
      </c>
      <c r="J298" s="160">
        <f>2*(D300+E298)+2*8*G298/1000</f>
        <v>1.456</v>
      </c>
      <c r="K298" s="108"/>
      <c r="L298" s="108">
        <v>5</v>
      </c>
      <c r="M298" s="121">
        <f>2*G298*L298/1000</f>
        <v>0.1</v>
      </c>
      <c r="N298" s="121">
        <f>(J298+K298-M298)</f>
        <v>1.3559999999999999</v>
      </c>
      <c r="O298" s="121">
        <f>(H298*I298*N298)</f>
        <v>1.3559999999999999</v>
      </c>
      <c r="P298" s="151" t="str">
        <f t="shared" si="26"/>
        <v/>
      </c>
      <c r="Q298" s="151">
        <f t="shared" si="27"/>
        <v>1.3559999999999999</v>
      </c>
      <c r="R298" s="151" t="str">
        <f t="shared" si="28"/>
        <v/>
      </c>
      <c r="S298" s="151" t="str">
        <f t="shared" si="29"/>
        <v/>
      </c>
      <c r="T298" s="151" t="str">
        <f t="shared" si="30"/>
        <v/>
      </c>
      <c r="U298" s="151" t="str">
        <f t="shared" si="31"/>
        <v/>
      </c>
      <c r="V298" s="108"/>
    </row>
    <row r="299" spans="1:22">
      <c r="A299" s="101"/>
      <c r="B299" s="157"/>
      <c r="C299" s="147"/>
      <c r="D299" s="148"/>
      <c r="E299" s="161"/>
      <c r="F299" s="150"/>
      <c r="G299" s="107"/>
      <c r="H299" s="108"/>
      <c r="I299" s="108"/>
      <c r="J299" s="109"/>
      <c r="K299" s="108"/>
      <c r="L299" s="108"/>
      <c r="M299" s="108"/>
      <c r="N299" s="108"/>
      <c r="O299" s="121"/>
      <c r="P299" s="151" t="str">
        <f t="shared" si="26"/>
        <v/>
      </c>
      <c r="Q299" s="151" t="str">
        <f t="shared" si="27"/>
        <v/>
      </c>
      <c r="R299" s="151" t="str">
        <f t="shared" si="28"/>
        <v/>
      </c>
      <c r="S299" s="151" t="str">
        <f t="shared" si="29"/>
        <v/>
      </c>
      <c r="T299" s="151" t="str">
        <f t="shared" si="30"/>
        <v/>
      </c>
      <c r="U299" s="151" t="str">
        <f t="shared" si="31"/>
        <v/>
      </c>
      <c r="V299" s="108"/>
    </row>
    <row r="300" spans="1:22">
      <c r="A300" s="101"/>
      <c r="B300" s="157"/>
      <c r="C300" s="147"/>
      <c r="D300" s="118">
        <f>0.23-0.05</f>
        <v>0.18</v>
      </c>
      <c r="E300" s="149"/>
      <c r="F300" s="150"/>
      <c r="G300" s="107"/>
      <c r="H300" s="108"/>
      <c r="I300" s="108"/>
      <c r="J300" s="109"/>
      <c r="K300" s="108"/>
      <c r="L300" s="108"/>
      <c r="M300" s="108"/>
      <c r="N300" s="108"/>
      <c r="O300" s="121"/>
      <c r="P300" s="151" t="str">
        <f t="shared" si="26"/>
        <v/>
      </c>
      <c r="Q300" s="151" t="str">
        <f t="shared" si="27"/>
        <v/>
      </c>
      <c r="R300" s="151" t="str">
        <f t="shared" si="28"/>
        <v/>
      </c>
      <c r="S300" s="151" t="str">
        <f t="shared" si="29"/>
        <v/>
      </c>
      <c r="T300" s="151" t="str">
        <f t="shared" si="30"/>
        <v/>
      </c>
      <c r="U300" s="151" t="str">
        <f t="shared" si="31"/>
        <v/>
      </c>
      <c r="V300" s="108"/>
    </row>
    <row r="301" spans="1:22">
      <c r="A301" s="101"/>
      <c r="B301" s="152"/>
      <c r="C301" s="147"/>
      <c r="D301" s="148"/>
      <c r="E301" s="149"/>
      <c r="F301" s="150"/>
      <c r="G301" s="107"/>
      <c r="H301" s="108"/>
      <c r="I301" s="108"/>
      <c r="J301" s="109"/>
      <c r="K301" s="108"/>
      <c r="L301" s="108"/>
      <c r="M301" s="108"/>
      <c r="N301" s="108"/>
      <c r="O301" s="110"/>
      <c r="P301" s="151" t="str">
        <f t="shared" si="26"/>
        <v/>
      </c>
      <c r="Q301" s="151" t="str">
        <f t="shared" si="27"/>
        <v/>
      </c>
      <c r="R301" s="151" t="str">
        <f t="shared" si="28"/>
        <v/>
      </c>
      <c r="S301" s="151" t="str">
        <f t="shared" si="29"/>
        <v/>
      </c>
      <c r="T301" s="151" t="str">
        <f t="shared" si="30"/>
        <v/>
      </c>
      <c r="U301" s="151" t="str">
        <f t="shared" si="31"/>
        <v/>
      </c>
      <c r="V301" s="108"/>
    </row>
    <row r="302" spans="1:22">
      <c r="A302" s="101"/>
      <c r="B302" s="101"/>
      <c r="C302" s="156">
        <v>0.08</v>
      </c>
      <c r="D302" s="148"/>
      <c r="E302" s="149"/>
      <c r="F302" s="150"/>
      <c r="G302" s="107"/>
      <c r="H302" s="108"/>
      <c r="I302" s="108"/>
      <c r="J302" s="109"/>
      <c r="K302" s="108"/>
      <c r="L302" s="108"/>
      <c r="M302" s="108"/>
      <c r="N302" s="108"/>
      <c r="O302" s="110"/>
      <c r="P302" s="151" t="str">
        <f t="shared" si="26"/>
        <v/>
      </c>
      <c r="Q302" s="151" t="str">
        <f t="shared" si="27"/>
        <v/>
      </c>
      <c r="R302" s="151" t="str">
        <f t="shared" si="28"/>
        <v/>
      </c>
      <c r="S302" s="151" t="str">
        <f t="shared" si="29"/>
        <v/>
      </c>
      <c r="T302" s="151" t="str">
        <f t="shared" si="30"/>
        <v/>
      </c>
      <c r="U302" s="151" t="str">
        <f t="shared" si="31"/>
        <v/>
      </c>
      <c r="V302" s="108"/>
    </row>
    <row r="303" spans="1:22">
      <c r="A303" s="101"/>
      <c r="B303" s="157" t="s">
        <v>394</v>
      </c>
      <c r="C303" s="158"/>
      <c r="D303" s="148"/>
      <c r="E303" s="159">
        <f>((1.8-0.05-0.014)/12)*5+0.01+0.02</f>
        <v>0.75333333333333341</v>
      </c>
      <c r="F303" s="150"/>
      <c r="G303" s="107">
        <v>10</v>
      </c>
      <c r="H303" s="108">
        <v>1</v>
      </c>
      <c r="I303" s="108">
        <v>1</v>
      </c>
      <c r="J303" s="160">
        <f>2*(D305+E303)+2*8*G303/1000</f>
        <v>2.0266666666666668</v>
      </c>
      <c r="K303" s="108"/>
      <c r="L303" s="108">
        <v>5</v>
      </c>
      <c r="M303" s="121">
        <f>2*G303*L303/1000</f>
        <v>0.1</v>
      </c>
      <c r="N303" s="121">
        <f>(J303+K303-M303)</f>
        <v>1.9266666666666667</v>
      </c>
      <c r="O303" s="121">
        <f>(H303*I303*N303)</f>
        <v>1.9266666666666667</v>
      </c>
      <c r="P303" s="151" t="str">
        <f t="shared" si="26"/>
        <v/>
      </c>
      <c r="Q303" s="151">
        <f t="shared" si="27"/>
        <v>1.9266666666666667</v>
      </c>
      <c r="R303" s="151" t="str">
        <f t="shared" si="28"/>
        <v/>
      </c>
      <c r="S303" s="151" t="str">
        <f t="shared" si="29"/>
        <v/>
      </c>
      <c r="T303" s="151" t="str">
        <f t="shared" si="30"/>
        <v/>
      </c>
      <c r="U303" s="151" t="str">
        <f t="shared" si="31"/>
        <v/>
      </c>
      <c r="V303" s="108"/>
    </row>
    <row r="304" spans="1:22">
      <c r="A304" s="101"/>
      <c r="B304" s="157"/>
      <c r="C304" s="147"/>
      <c r="D304" s="148"/>
      <c r="E304" s="161"/>
      <c r="F304" s="150"/>
      <c r="G304" s="107"/>
      <c r="H304" s="108"/>
      <c r="I304" s="108"/>
      <c r="J304" s="109"/>
      <c r="K304" s="108"/>
      <c r="L304" s="108"/>
      <c r="M304" s="108"/>
      <c r="N304" s="108"/>
      <c r="O304" s="121"/>
      <c r="P304" s="151" t="str">
        <f t="shared" si="26"/>
        <v/>
      </c>
      <c r="Q304" s="151" t="str">
        <f t="shared" si="27"/>
        <v/>
      </c>
      <c r="R304" s="151" t="str">
        <f t="shared" si="28"/>
        <v/>
      </c>
      <c r="S304" s="151" t="str">
        <f t="shared" si="29"/>
        <v/>
      </c>
      <c r="T304" s="151" t="str">
        <f t="shared" si="30"/>
        <v/>
      </c>
      <c r="U304" s="151" t="str">
        <f t="shared" si="31"/>
        <v/>
      </c>
      <c r="V304" s="108"/>
    </row>
    <row r="305" spans="1:22">
      <c r="A305" s="101"/>
      <c r="B305" s="157"/>
      <c r="C305" s="147"/>
      <c r="D305" s="118">
        <f>0.23-0.05</f>
        <v>0.18</v>
      </c>
      <c r="E305" s="149"/>
      <c r="F305" s="150"/>
      <c r="G305" s="107"/>
      <c r="H305" s="108"/>
      <c r="I305" s="108"/>
      <c r="J305" s="109"/>
      <c r="K305" s="108"/>
      <c r="L305" s="108"/>
      <c r="M305" s="108"/>
      <c r="N305" s="108"/>
      <c r="O305" s="121"/>
      <c r="P305" s="151" t="str">
        <f t="shared" si="26"/>
        <v/>
      </c>
      <c r="Q305" s="151" t="str">
        <f t="shared" si="27"/>
        <v/>
      </c>
      <c r="R305" s="151" t="str">
        <f t="shared" si="28"/>
        <v/>
      </c>
      <c r="S305" s="151" t="str">
        <f t="shared" si="29"/>
        <v/>
      </c>
      <c r="T305" s="151" t="str">
        <f t="shared" si="30"/>
        <v/>
      </c>
      <c r="U305" s="151" t="str">
        <f t="shared" si="31"/>
        <v/>
      </c>
      <c r="V305" s="108"/>
    </row>
    <row r="306" spans="1:22">
      <c r="A306" s="101"/>
      <c r="B306" s="152"/>
      <c r="C306" s="147"/>
      <c r="D306" s="148"/>
      <c r="E306" s="149"/>
      <c r="F306" s="150"/>
      <c r="G306" s="107"/>
      <c r="H306" s="108"/>
      <c r="I306" s="108"/>
      <c r="J306" s="109"/>
      <c r="K306" s="108"/>
      <c r="L306" s="108"/>
      <c r="M306" s="108"/>
      <c r="N306" s="108"/>
      <c r="O306" s="110"/>
      <c r="P306" s="151" t="str">
        <f t="shared" si="26"/>
        <v/>
      </c>
      <c r="Q306" s="151" t="str">
        <f t="shared" si="27"/>
        <v/>
      </c>
      <c r="R306" s="151" t="str">
        <f t="shared" si="28"/>
        <v/>
      </c>
      <c r="S306" s="151" t="str">
        <f t="shared" si="29"/>
        <v/>
      </c>
      <c r="T306" s="151" t="str">
        <f t="shared" si="30"/>
        <v/>
      </c>
      <c r="U306" s="151" t="str">
        <f t="shared" si="31"/>
        <v/>
      </c>
      <c r="V306" s="108"/>
    </row>
    <row r="307" spans="1:22">
      <c r="A307" s="101"/>
      <c r="B307" s="152"/>
      <c r="C307" s="156">
        <v>0.08</v>
      </c>
      <c r="D307" s="148"/>
      <c r="E307" s="149"/>
      <c r="F307" s="150"/>
      <c r="G307" s="107"/>
      <c r="H307" s="108"/>
      <c r="I307" s="108"/>
      <c r="J307" s="109"/>
      <c r="K307" s="108"/>
      <c r="L307" s="108"/>
      <c r="M307" s="108"/>
      <c r="N307" s="108"/>
      <c r="O307" s="110"/>
      <c r="P307" s="151" t="str">
        <f t="shared" si="26"/>
        <v/>
      </c>
      <c r="Q307" s="151" t="str">
        <f t="shared" si="27"/>
        <v/>
      </c>
      <c r="R307" s="151" t="str">
        <f t="shared" si="28"/>
        <v/>
      </c>
      <c r="S307" s="151" t="str">
        <f t="shared" si="29"/>
        <v/>
      </c>
      <c r="T307" s="151" t="str">
        <f t="shared" si="30"/>
        <v/>
      </c>
      <c r="U307" s="151" t="str">
        <f t="shared" si="31"/>
        <v/>
      </c>
      <c r="V307" s="108"/>
    </row>
    <row r="308" spans="1:22">
      <c r="A308" s="101"/>
      <c r="B308" s="157" t="s">
        <v>400</v>
      </c>
      <c r="C308" s="158"/>
      <c r="D308" s="148"/>
      <c r="E308" s="159">
        <f>((1.8-0.05-0.014)/12)*1+0.012+0.02</f>
        <v>0.17666666666666667</v>
      </c>
      <c r="F308" s="150"/>
      <c r="G308" s="107">
        <v>10</v>
      </c>
      <c r="H308" s="108">
        <v>1</v>
      </c>
      <c r="I308" s="108">
        <v>1</v>
      </c>
      <c r="J308" s="160">
        <f>2*(D310+E308)+2*8*G308/1000</f>
        <v>0.87333333333333341</v>
      </c>
      <c r="K308" s="108"/>
      <c r="L308" s="108">
        <v>5</v>
      </c>
      <c r="M308" s="121">
        <f>2*G308*L308/1000</f>
        <v>0.1</v>
      </c>
      <c r="N308" s="121">
        <f>(J308+K308-M308)</f>
        <v>0.77333333333333343</v>
      </c>
      <c r="O308" s="121">
        <f>(H308*I308*N308)</f>
        <v>0.77333333333333343</v>
      </c>
      <c r="P308" s="151" t="str">
        <f t="shared" si="26"/>
        <v/>
      </c>
      <c r="Q308" s="151">
        <f t="shared" si="27"/>
        <v>0.77333333333333343</v>
      </c>
      <c r="R308" s="151" t="str">
        <f t="shared" si="28"/>
        <v/>
      </c>
      <c r="S308" s="151" t="str">
        <f t="shared" si="29"/>
        <v/>
      </c>
      <c r="T308" s="151" t="str">
        <f t="shared" si="30"/>
        <v/>
      </c>
      <c r="U308" s="151" t="str">
        <f t="shared" si="31"/>
        <v/>
      </c>
      <c r="V308" s="108"/>
    </row>
    <row r="309" spans="1:22">
      <c r="A309" s="101"/>
      <c r="B309" s="157"/>
      <c r="C309" s="147"/>
      <c r="D309" s="148"/>
      <c r="E309" s="161"/>
      <c r="F309" s="150"/>
      <c r="G309" s="107"/>
      <c r="H309" s="108"/>
      <c r="I309" s="108"/>
      <c r="J309" s="109"/>
      <c r="K309" s="108"/>
      <c r="L309" s="108"/>
      <c r="M309" s="108"/>
      <c r="N309" s="108"/>
      <c r="O309" s="121"/>
      <c r="P309" s="151" t="str">
        <f t="shared" si="26"/>
        <v/>
      </c>
      <c r="Q309" s="151" t="str">
        <f t="shared" si="27"/>
        <v/>
      </c>
      <c r="R309" s="151" t="str">
        <f t="shared" si="28"/>
        <v/>
      </c>
      <c r="S309" s="151" t="str">
        <f t="shared" si="29"/>
        <v/>
      </c>
      <c r="T309" s="151" t="str">
        <f t="shared" si="30"/>
        <v/>
      </c>
      <c r="U309" s="151" t="str">
        <f t="shared" si="31"/>
        <v/>
      </c>
      <c r="V309" s="108"/>
    </row>
    <row r="310" spans="1:22">
      <c r="A310" s="101"/>
      <c r="B310" s="157"/>
      <c r="C310" s="147"/>
      <c r="D310" s="118">
        <f>0.23-0.05</f>
        <v>0.18</v>
      </c>
      <c r="E310" s="149"/>
      <c r="F310" s="150"/>
      <c r="G310" s="107"/>
      <c r="H310" s="108"/>
      <c r="I310" s="108"/>
      <c r="J310" s="109"/>
      <c r="K310" s="108"/>
      <c r="L310" s="108"/>
      <c r="M310" s="108"/>
      <c r="N310" s="108"/>
      <c r="O310" s="121"/>
      <c r="P310" s="151" t="str">
        <f t="shared" si="26"/>
        <v/>
      </c>
      <c r="Q310" s="151" t="str">
        <f t="shared" si="27"/>
        <v/>
      </c>
      <c r="R310" s="151" t="str">
        <f t="shared" si="28"/>
        <v/>
      </c>
      <c r="S310" s="151" t="str">
        <f t="shared" si="29"/>
        <v/>
      </c>
      <c r="T310" s="151" t="str">
        <f t="shared" si="30"/>
        <v/>
      </c>
      <c r="U310" s="151" t="str">
        <f t="shared" si="31"/>
        <v/>
      </c>
      <c r="V310" s="108"/>
    </row>
    <row r="311" spans="1:22">
      <c r="A311" s="101"/>
      <c r="B311" s="152"/>
      <c r="C311" s="147"/>
      <c r="D311" s="148"/>
      <c r="E311" s="149"/>
      <c r="F311" s="150"/>
      <c r="G311" s="107"/>
      <c r="H311" s="108"/>
      <c r="I311" s="108"/>
      <c r="J311" s="109"/>
      <c r="K311" s="108"/>
      <c r="L311" s="108"/>
      <c r="M311" s="108"/>
      <c r="N311" s="108"/>
      <c r="O311" s="110"/>
      <c r="P311" s="151" t="str">
        <f t="shared" si="26"/>
        <v/>
      </c>
      <c r="Q311" s="151" t="str">
        <f t="shared" si="27"/>
        <v/>
      </c>
      <c r="R311" s="151" t="str">
        <f t="shared" si="28"/>
        <v/>
      </c>
      <c r="S311" s="151" t="str">
        <f t="shared" si="29"/>
        <v/>
      </c>
      <c r="T311" s="151" t="str">
        <f t="shared" si="30"/>
        <v/>
      </c>
      <c r="U311" s="151" t="str">
        <f t="shared" si="31"/>
        <v/>
      </c>
      <c r="V311" s="108"/>
    </row>
    <row r="312" spans="1:22">
      <c r="A312" s="101"/>
      <c r="B312" s="152"/>
      <c r="C312" s="147"/>
      <c r="D312" s="148"/>
      <c r="E312" s="155">
        <v>0.08</v>
      </c>
      <c r="F312" s="150"/>
      <c r="G312" s="107"/>
      <c r="H312" s="108"/>
      <c r="I312" s="108"/>
      <c r="J312" s="109"/>
      <c r="K312" s="108"/>
      <c r="L312" s="108"/>
      <c r="M312" s="108"/>
      <c r="N312" s="108"/>
      <c r="O312" s="110"/>
      <c r="P312" s="151" t="str">
        <f t="shared" si="26"/>
        <v/>
      </c>
      <c r="Q312" s="151" t="str">
        <f t="shared" si="27"/>
        <v/>
      </c>
      <c r="R312" s="151" t="str">
        <f t="shared" si="28"/>
        <v/>
      </c>
      <c r="S312" s="151" t="str">
        <f t="shared" si="29"/>
        <v/>
      </c>
      <c r="T312" s="151" t="str">
        <f t="shared" si="30"/>
        <v/>
      </c>
      <c r="U312" s="151" t="str">
        <f t="shared" si="31"/>
        <v/>
      </c>
      <c r="V312" s="108"/>
    </row>
    <row r="313" spans="1:22">
      <c r="A313" s="101"/>
      <c r="B313" s="157" t="s">
        <v>401</v>
      </c>
      <c r="C313" s="147"/>
      <c r="D313" s="153">
        <f>0.23-0.05</f>
        <v>0.18</v>
      </c>
      <c r="E313" s="155"/>
      <c r="F313" s="150"/>
      <c r="G313" s="107">
        <v>10</v>
      </c>
      <c r="H313" s="108">
        <v>1</v>
      </c>
      <c r="I313" s="108">
        <v>4</v>
      </c>
      <c r="J313" s="160">
        <f>D313+E312+E314</f>
        <v>0.34</v>
      </c>
      <c r="K313" s="108"/>
      <c r="L313" s="108">
        <v>2</v>
      </c>
      <c r="M313" s="121">
        <f>2*G313*L313/1000</f>
        <v>0.04</v>
      </c>
      <c r="N313" s="121">
        <f>(J313+K313-M313)</f>
        <v>0.30000000000000004</v>
      </c>
      <c r="O313" s="121">
        <f>(H313*I313*N313)</f>
        <v>1.2000000000000002</v>
      </c>
      <c r="P313" s="151" t="str">
        <f t="shared" si="26"/>
        <v/>
      </c>
      <c r="Q313" s="151">
        <f t="shared" si="27"/>
        <v>1.2000000000000002</v>
      </c>
      <c r="R313" s="151" t="str">
        <f t="shared" si="28"/>
        <v/>
      </c>
      <c r="S313" s="151" t="str">
        <f t="shared" si="29"/>
        <v/>
      </c>
      <c r="T313" s="151" t="str">
        <f t="shared" si="30"/>
        <v/>
      </c>
      <c r="U313" s="151" t="str">
        <f t="shared" si="31"/>
        <v/>
      </c>
      <c r="V313" s="108"/>
    </row>
    <row r="314" spans="1:22">
      <c r="A314" s="101"/>
      <c r="B314" s="152"/>
      <c r="C314" s="147"/>
      <c r="D314" s="148"/>
      <c r="E314" s="155">
        <v>0.08</v>
      </c>
      <c r="F314" s="150"/>
      <c r="G314" s="107"/>
      <c r="H314" s="108"/>
      <c r="I314" s="108"/>
      <c r="J314" s="109"/>
      <c r="K314" s="108"/>
      <c r="L314" s="108"/>
      <c r="M314" s="108"/>
      <c r="N314" s="108"/>
      <c r="O314" s="110"/>
      <c r="P314" s="151" t="str">
        <f t="shared" si="26"/>
        <v/>
      </c>
      <c r="Q314" s="151" t="str">
        <f t="shared" si="27"/>
        <v/>
      </c>
      <c r="R314" s="151" t="str">
        <f t="shared" si="28"/>
        <v/>
      </c>
      <c r="S314" s="151" t="str">
        <f t="shared" si="29"/>
        <v/>
      </c>
      <c r="T314" s="151" t="str">
        <f t="shared" si="30"/>
        <v/>
      </c>
      <c r="U314" s="151" t="str">
        <f t="shared" si="31"/>
        <v/>
      </c>
      <c r="V314" s="108"/>
    </row>
    <row r="315" spans="1:22">
      <c r="A315" s="101"/>
      <c r="B315" s="157"/>
      <c r="C315" s="147"/>
      <c r="D315" s="163"/>
      <c r="E315" s="155"/>
      <c r="F315" s="150"/>
      <c r="G315" s="107"/>
      <c r="H315" s="108"/>
      <c r="I315" s="108"/>
      <c r="J315" s="109"/>
      <c r="K315" s="108"/>
      <c r="L315" s="108"/>
      <c r="M315" s="108"/>
      <c r="N315" s="108"/>
      <c r="O315" s="110"/>
      <c r="P315" s="151" t="str">
        <f t="shared" si="26"/>
        <v/>
      </c>
      <c r="Q315" s="151" t="str">
        <f t="shared" si="27"/>
        <v/>
      </c>
      <c r="R315" s="151" t="str">
        <f t="shared" si="28"/>
        <v/>
      </c>
      <c r="S315" s="151" t="str">
        <f t="shared" si="29"/>
        <v/>
      </c>
      <c r="T315" s="151" t="str">
        <f t="shared" si="30"/>
        <v/>
      </c>
      <c r="U315" s="151" t="str">
        <f t="shared" si="31"/>
        <v/>
      </c>
      <c r="V315" s="108"/>
    </row>
    <row r="316" spans="1:22">
      <c r="A316" s="101">
        <v>11</v>
      </c>
      <c r="B316" s="101" t="s">
        <v>403</v>
      </c>
      <c r="C316" s="147"/>
      <c r="D316" s="148"/>
      <c r="E316" s="149"/>
      <c r="F316" s="150"/>
      <c r="G316" s="107"/>
      <c r="H316" s="108"/>
      <c r="I316" s="108"/>
      <c r="J316" s="118"/>
      <c r="K316" s="121"/>
      <c r="L316" s="121"/>
      <c r="M316" s="108"/>
      <c r="N316" s="121"/>
      <c r="O316" s="121"/>
      <c r="P316" s="151" t="str">
        <f>IF($G316=8,$O316,"")</f>
        <v/>
      </c>
      <c r="Q316" s="151" t="str">
        <f>IF($G316=10,$O316,"")</f>
        <v/>
      </c>
      <c r="R316" s="151" t="str">
        <f>IF($G316=12,$O316,"")</f>
        <v/>
      </c>
      <c r="S316" s="151" t="str">
        <f>IF($G316=16,$O316,"")</f>
        <v/>
      </c>
      <c r="T316" s="151" t="str">
        <f>IF($G316=20,$O316,"")</f>
        <v/>
      </c>
      <c r="U316" s="151" t="str">
        <f>IF($G316=25,$O316,"")</f>
        <v/>
      </c>
      <c r="V316" s="108"/>
    </row>
    <row r="317" spans="1:22">
      <c r="A317" s="101"/>
      <c r="B317" s="152" t="s">
        <v>382</v>
      </c>
      <c r="C317" s="147"/>
      <c r="D317" s="153">
        <f>0.85-0.075-2*0.016</f>
        <v>0.74299999999999999</v>
      </c>
      <c r="E317" s="149"/>
      <c r="F317" s="150"/>
      <c r="G317" s="107">
        <v>16</v>
      </c>
      <c r="H317" s="108">
        <v>1</v>
      </c>
      <c r="I317" s="108">
        <v>4</v>
      </c>
      <c r="J317" s="118">
        <f>D317</f>
        <v>0.74299999999999999</v>
      </c>
      <c r="K317" s="119" t="str">
        <f>IF(N317&lt;12,"0",0.049*G317)</f>
        <v>0</v>
      </c>
      <c r="L317" s="120">
        <v>1</v>
      </c>
      <c r="M317" s="108">
        <f>2*G317*L317/1000</f>
        <v>3.2000000000000001E-2</v>
      </c>
      <c r="N317" s="121">
        <f>J317+E319-M317</f>
        <v>1.0109999999999999</v>
      </c>
      <c r="O317" s="121">
        <f>H317*I317*N317</f>
        <v>4.0439999999999996</v>
      </c>
      <c r="P317" s="151" t="str">
        <f t="shared" si="26"/>
        <v/>
      </c>
      <c r="Q317" s="151" t="str">
        <f t="shared" si="27"/>
        <v/>
      </c>
      <c r="R317" s="151" t="str">
        <f t="shared" si="28"/>
        <v/>
      </c>
      <c r="S317" s="151">
        <f t="shared" si="29"/>
        <v>4.0439999999999996</v>
      </c>
      <c r="T317" s="151" t="str">
        <f t="shared" si="30"/>
        <v/>
      </c>
      <c r="U317" s="151" t="str">
        <f t="shared" si="31"/>
        <v/>
      </c>
      <c r="V317" s="108"/>
    </row>
    <row r="318" spans="1:22">
      <c r="A318" s="101"/>
      <c r="B318" s="152" t="s">
        <v>383</v>
      </c>
      <c r="C318" s="147"/>
      <c r="D318" s="148"/>
      <c r="E318" s="149"/>
      <c r="F318" s="150"/>
      <c r="G318" s="107">
        <v>12</v>
      </c>
      <c r="H318" s="108">
        <v>1</v>
      </c>
      <c r="I318" s="108">
        <v>4</v>
      </c>
      <c r="J318" s="118">
        <f>D317</f>
        <v>0.74299999999999999</v>
      </c>
      <c r="K318" s="119" t="str">
        <f t="shared" ref="K318:K321" si="32">IF(N318&lt;12,"0",0.049*G318)</f>
        <v>0</v>
      </c>
      <c r="L318" s="120">
        <v>1</v>
      </c>
      <c r="M318" s="108">
        <f t="shared" ref="M318:M321" si="33">2*G318*L318/1000</f>
        <v>2.4E-2</v>
      </c>
      <c r="N318" s="121">
        <f>J318+E319-M318</f>
        <v>1.0189999999999999</v>
      </c>
      <c r="O318" s="121">
        <f>H318*I318*N318</f>
        <v>4.0759999999999996</v>
      </c>
      <c r="P318" s="151" t="str">
        <f t="shared" si="26"/>
        <v/>
      </c>
      <c r="Q318" s="151" t="str">
        <f t="shared" si="27"/>
        <v/>
      </c>
      <c r="R318" s="151">
        <f t="shared" si="28"/>
        <v>4.0759999999999996</v>
      </c>
      <c r="S318" s="151" t="str">
        <f t="shared" si="29"/>
        <v/>
      </c>
      <c r="T318" s="151" t="str">
        <f t="shared" si="30"/>
        <v/>
      </c>
      <c r="U318" s="151" t="str">
        <f t="shared" si="31"/>
        <v/>
      </c>
      <c r="V318" s="108"/>
    </row>
    <row r="319" spans="1:22">
      <c r="A319" s="101"/>
      <c r="B319" s="152" t="s">
        <v>384</v>
      </c>
      <c r="C319" s="154"/>
      <c r="D319" s="153"/>
      <c r="E319" s="155">
        <v>0.3</v>
      </c>
      <c r="F319" s="150"/>
      <c r="G319" s="107">
        <v>12</v>
      </c>
      <c r="H319" s="108">
        <v>1</v>
      </c>
      <c r="I319" s="108">
        <v>4</v>
      </c>
      <c r="J319" s="118">
        <f>D317</f>
        <v>0.74299999999999999</v>
      </c>
      <c r="K319" s="119" t="str">
        <f t="shared" si="32"/>
        <v>0</v>
      </c>
      <c r="L319" s="120">
        <v>1</v>
      </c>
      <c r="M319" s="108">
        <f t="shared" si="33"/>
        <v>2.4E-2</v>
      </c>
      <c r="N319" s="121">
        <f>J319+E319-M319</f>
        <v>1.0189999999999999</v>
      </c>
      <c r="O319" s="121">
        <f>H319*I319*N319</f>
        <v>4.0759999999999996</v>
      </c>
      <c r="P319" s="151" t="str">
        <f t="shared" si="26"/>
        <v/>
      </c>
      <c r="Q319" s="151" t="str">
        <f t="shared" si="27"/>
        <v/>
      </c>
      <c r="R319" s="151">
        <f t="shared" si="28"/>
        <v>4.0759999999999996</v>
      </c>
      <c r="S319" s="151" t="str">
        <f t="shared" si="29"/>
        <v/>
      </c>
      <c r="T319" s="151" t="str">
        <f t="shared" si="30"/>
        <v/>
      </c>
      <c r="U319" s="151" t="str">
        <f t="shared" si="31"/>
        <v/>
      </c>
      <c r="V319" s="108"/>
    </row>
    <row r="320" spans="1:22">
      <c r="A320" s="101"/>
      <c r="B320" s="152" t="s">
        <v>385</v>
      </c>
      <c r="C320" s="147"/>
      <c r="D320" s="148"/>
      <c r="E320" s="149"/>
      <c r="F320" s="150"/>
      <c r="G320" s="107">
        <v>12</v>
      </c>
      <c r="H320" s="108">
        <v>1</v>
      </c>
      <c r="I320" s="108">
        <v>4</v>
      </c>
      <c r="J320" s="118">
        <f>D317</f>
        <v>0.74299999999999999</v>
      </c>
      <c r="K320" s="119" t="str">
        <f t="shared" si="32"/>
        <v>0</v>
      </c>
      <c r="L320" s="120">
        <v>1</v>
      </c>
      <c r="M320" s="108">
        <f t="shared" si="33"/>
        <v>2.4E-2</v>
      </c>
      <c r="N320" s="121">
        <f>J320+E320-M320</f>
        <v>0.71899999999999997</v>
      </c>
      <c r="O320" s="121">
        <f>H320*I320*N320</f>
        <v>2.8759999999999999</v>
      </c>
      <c r="P320" s="151" t="str">
        <f t="shared" si="26"/>
        <v/>
      </c>
      <c r="Q320" s="151" t="str">
        <f t="shared" si="27"/>
        <v/>
      </c>
      <c r="R320" s="151">
        <f t="shared" si="28"/>
        <v>2.8759999999999999</v>
      </c>
      <c r="S320" s="151" t="str">
        <f t="shared" si="29"/>
        <v/>
      </c>
      <c r="T320" s="151" t="str">
        <f t="shared" si="30"/>
        <v/>
      </c>
      <c r="U320" s="151" t="str">
        <f t="shared" si="31"/>
        <v/>
      </c>
      <c r="V320" s="108"/>
    </row>
    <row r="321" spans="1:22">
      <c r="A321" s="101"/>
      <c r="B321" s="152" t="s">
        <v>393</v>
      </c>
      <c r="C321" s="147"/>
      <c r="D321" s="148"/>
      <c r="E321" s="149"/>
      <c r="F321" s="150"/>
      <c r="G321" s="107">
        <v>12</v>
      </c>
      <c r="H321" s="108">
        <v>1</v>
      </c>
      <c r="I321" s="108">
        <v>4</v>
      </c>
      <c r="J321" s="118">
        <f>D317</f>
        <v>0.74299999999999999</v>
      </c>
      <c r="K321" s="119" t="str">
        <f t="shared" si="32"/>
        <v>0</v>
      </c>
      <c r="L321" s="120">
        <v>1</v>
      </c>
      <c r="M321" s="108">
        <f t="shared" si="33"/>
        <v>2.4E-2</v>
      </c>
      <c r="N321" s="121">
        <f>J321+E321-M321</f>
        <v>0.71899999999999997</v>
      </c>
      <c r="O321" s="121">
        <f>H321*I321*N321</f>
        <v>2.8759999999999999</v>
      </c>
      <c r="P321" s="151" t="str">
        <f t="shared" si="26"/>
        <v/>
      </c>
      <c r="Q321" s="151" t="str">
        <f t="shared" si="27"/>
        <v/>
      </c>
      <c r="R321" s="151">
        <f t="shared" si="28"/>
        <v>2.8759999999999999</v>
      </c>
      <c r="S321" s="151" t="str">
        <f t="shared" si="29"/>
        <v/>
      </c>
      <c r="T321" s="151" t="str">
        <f t="shared" si="30"/>
        <v/>
      </c>
      <c r="U321" s="151" t="str">
        <f t="shared" si="31"/>
        <v/>
      </c>
      <c r="V321" s="108"/>
    </row>
    <row r="322" spans="1:22">
      <c r="A322" s="101"/>
      <c r="B322" s="101"/>
      <c r="C322" s="156">
        <v>0.08</v>
      </c>
      <c r="D322" s="148"/>
      <c r="E322" s="149"/>
      <c r="F322" s="150"/>
      <c r="G322" s="107"/>
      <c r="H322" s="108"/>
      <c r="I322" s="108"/>
      <c r="J322" s="109"/>
      <c r="K322" s="108"/>
      <c r="L322" s="108"/>
      <c r="M322" s="108"/>
      <c r="N322" s="108"/>
      <c r="O322" s="110"/>
      <c r="P322" s="151" t="str">
        <f t="shared" si="26"/>
        <v/>
      </c>
      <c r="Q322" s="151" t="str">
        <f t="shared" si="27"/>
        <v/>
      </c>
      <c r="R322" s="151" t="str">
        <f t="shared" si="28"/>
        <v/>
      </c>
      <c r="S322" s="151" t="str">
        <f t="shared" si="29"/>
        <v/>
      </c>
      <c r="T322" s="151" t="str">
        <f t="shared" si="30"/>
        <v/>
      </c>
      <c r="U322" s="151" t="str">
        <f t="shared" si="31"/>
        <v/>
      </c>
      <c r="V322" s="108"/>
    </row>
    <row r="323" spans="1:22">
      <c r="A323" s="101"/>
      <c r="B323" s="157" t="s">
        <v>386</v>
      </c>
      <c r="C323" s="158"/>
      <c r="D323" s="148"/>
      <c r="E323" s="159">
        <f>1-0.05</f>
        <v>0.95</v>
      </c>
      <c r="F323" s="150"/>
      <c r="G323" s="107">
        <v>10</v>
      </c>
      <c r="H323" s="108">
        <v>1</v>
      </c>
      <c r="I323" s="108">
        <v>4</v>
      </c>
      <c r="J323" s="160">
        <f>2*(D325+E323)+2*8*G323/1000</f>
        <v>2.42</v>
      </c>
      <c r="K323" s="108"/>
      <c r="L323" s="108">
        <v>5</v>
      </c>
      <c r="M323" s="121">
        <f>2*G323*L323/1000</f>
        <v>0.1</v>
      </c>
      <c r="N323" s="121">
        <f>(J323+K323-M323)</f>
        <v>2.3199999999999998</v>
      </c>
      <c r="O323" s="121">
        <f>(H323*I323*N323)</f>
        <v>9.2799999999999994</v>
      </c>
      <c r="P323" s="151" t="str">
        <f t="shared" si="26"/>
        <v/>
      </c>
      <c r="Q323" s="151">
        <f t="shared" si="27"/>
        <v>9.2799999999999994</v>
      </c>
      <c r="R323" s="151" t="str">
        <f t="shared" si="28"/>
        <v/>
      </c>
      <c r="S323" s="151" t="str">
        <f t="shared" si="29"/>
        <v/>
      </c>
      <c r="T323" s="151" t="str">
        <f t="shared" si="30"/>
        <v/>
      </c>
      <c r="U323" s="151" t="str">
        <f t="shared" si="31"/>
        <v/>
      </c>
      <c r="V323" s="108"/>
    </row>
    <row r="324" spans="1:22">
      <c r="A324" s="101"/>
      <c r="B324" s="157"/>
      <c r="C324" s="147"/>
      <c r="D324" s="148"/>
      <c r="E324" s="161"/>
      <c r="F324" s="150"/>
      <c r="G324" s="107"/>
      <c r="H324" s="108"/>
      <c r="I324" s="108"/>
      <c r="J324" s="109"/>
      <c r="K324" s="108"/>
      <c r="L324" s="108"/>
      <c r="M324" s="108"/>
      <c r="N324" s="108"/>
      <c r="O324" s="121"/>
      <c r="P324" s="151" t="str">
        <f t="shared" si="26"/>
        <v/>
      </c>
      <c r="Q324" s="151" t="str">
        <f t="shared" si="27"/>
        <v/>
      </c>
      <c r="R324" s="151" t="str">
        <f t="shared" si="28"/>
        <v/>
      </c>
      <c r="S324" s="151" t="str">
        <f t="shared" si="29"/>
        <v/>
      </c>
      <c r="T324" s="151" t="str">
        <f t="shared" si="30"/>
        <v/>
      </c>
      <c r="U324" s="151" t="str">
        <f t="shared" si="31"/>
        <v/>
      </c>
      <c r="V324" s="108"/>
    </row>
    <row r="325" spans="1:22">
      <c r="A325" s="101"/>
      <c r="B325" s="157"/>
      <c r="C325" s="147"/>
      <c r="D325" s="118">
        <f>0.23-0.05</f>
        <v>0.18</v>
      </c>
      <c r="E325" s="149"/>
      <c r="F325" s="150"/>
      <c r="G325" s="107"/>
      <c r="H325" s="108"/>
      <c r="I325" s="108"/>
      <c r="J325" s="109"/>
      <c r="K325" s="108"/>
      <c r="L325" s="108"/>
      <c r="M325" s="108"/>
      <c r="N325" s="108"/>
      <c r="O325" s="121"/>
      <c r="P325" s="151" t="str">
        <f t="shared" si="26"/>
        <v/>
      </c>
      <c r="Q325" s="151" t="str">
        <f t="shared" si="27"/>
        <v/>
      </c>
      <c r="R325" s="151" t="str">
        <f t="shared" si="28"/>
        <v/>
      </c>
      <c r="S325" s="151" t="str">
        <f t="shared" si="29"/>
        <v/>
      </c>
      <c r="T325" s="151" t="str">
        <f t="shared" si="30"/>
        <v/>
      </c>
      <c r="U325" s="151" t="str">
        <f t="shared" si="31"/>
        <v/>
      </c>
      <c r="V325" s="108"/>
    </row>
    <row r="326" spans="1:22">
      <c r="A326" s="101"/>
      <c r="B326" s="152"/>
      <c r="C326" s="147"/>
      <c r="D326" s="148"/>
      <c r="E326" s="149"/>
      <c r="F326" s="150"/>
      <c r="G326" s="107"/>
      <c r="H326" s="108"/>
      <c r="I326" s="108"/>
      <c r="J326" s="109"/>
      <c r="K326" s="108"/>
      <c r="L326" s="108"/>
      <c r="M326" s="108"/>
      <c r="N326" s="108"/>
      <c r="O326" s="121"/>
      <c r="P326" s="151" t="str">
        <f t="shared" si="26"/>
        <v/>
      </c>
      <c r="Q326" s="151" t="str">
        <f t="shared" si="27"/>
        <v/>
      </c>
      <c r="R326" s="151" t="str">
        <f t="shared" si="28"/>
        <v/>
      </c>
      <c r="S326" s="151" t="str">
        <f t="shared" si="29"/>
        <v/>
      </c>
      <c r="T326" s="151" t="str">
        <f t="shared" si="30"/>
        <v/>
      </c>
      <c r="U326" s="151" t="str">
        <f t="shared" si="31"/>
        <v/>
      </c>
      <c r="V326" s="108"/>
    </row>
    <row r="327" spans="1:22">
      <c r="A327" s="101"/>
      <c r="B327" s="101"/>
      <c r="C327" s="156">
        <v>0.08</v>
      </c>
      <c r="D327" s="148"/>
      <c r="E327" s="149"/>
      <c r="F327" s="150"/>
      <c r="G327" s="107"/>
      <c r="H327" s="108"/>
      <c r="I327" s="108"/>
      <c r="J327" s="109"/>
      <c r="K327" s="108"/>
      <c r="L327" s="108"/>
      <c r="M327" s="108"/>
      <c r="N327" s="108"/>
      <c r="O327" s="121"/>
      <c r="P327" s="151" t="str">
        <f t="shared" si="26"/>
        <v/>
      </c>
      <c r="Q327" s="151" t="str">
        <f t="shared" si="27"/>
        <v/>
      </c>
      <c r="R327" s="151" t="str">
        <f t="shared" si="28"/>
        <v/>
      </c>
      <c r="S327" s="151" t="str">
        <f t="shared" si="29"/>
        <v/>
      </c>
      <c r="T327" s="151" t="str">
        <f t="shared" si="30"/>
        <v/>
      </c>
      <c r="U327" s="151" t="str">
        <f t="shared" si="31"/>
        <v/>
      </c>
      <c r="V327" s="108"/>
    </row>
    <row r="328" spans="1:22">
      <c r="A328" s="101"/>
      <c r="B328" s="157" t="s">
        <v>387</v>
      </c>
      <c r="C328" s="158"/>
      <c r="D328" s="148"/>
      <c r="E328" s="159">
        <f>((1-0.05-0.016)/9)+0.012+0.02</f>
        <v>0.13577777777777778</v>
      </c>
      <c r="F328" s="150"/>
      <c r="G328" s="107">
        <v>10</v>
      </c>
      <c r="H328" s="108">
        <v>1</v>
      </c>
      <c r="I328" s="108">
        <f>1*4</f>
        <v>4</v>
      </c>
      <c r="J328" s="160">
        <f>2*(D330+E328)+2*8*G328/1000</f>
        <v>0.79155555555555557</v>
      </c>
      <c r="K328" s="108"/>
      <c r="L328" s="108">
        <v>5</v>
      </c>
      <c r="M328" s="121">
        <f>2*G328*L328/1000</f>
        <v>0.1</v>
      </c>
      <c r="N328" s="121">
        <f>(J328+K328-M328)</f>
        <v>0.69155555555555559</v>
      </c>
      <c r="O328" s="121">
        <f>(H328*I328*N328)</f>
        <v>2.7662222222222224</v>
      </c>
      <c r="P328" s="151" t="str">
        <f t="shared" si="26"/>
        <v/>
      </c>
      <c r="Q328" s="151">
        <f t="shared" si="27"/>
        <v>2.7662222222222224</v>
      </c>
      <c r="R328" s="151" t="str">
        <f t="shared" si="28"/>
        <v/>
      </c>
      <c r="S328" s="151" t="str">
        <f t="shared" si="29"/>
        <v/>
      </c>
      <c r="T328" s="151" t="str">
        <f t="shared" si="30"/>
        <v/>
      </c>
      <c r="U328" s="151" t="str">
        <f t="shared" si="31"/>
        <v/>
      </c>
      <c r="V328" s="108"/>
    </row>
    <row r="329" spans="1:22">
      <c r="A329" s="101"/>
      <c r="B329" s="157"/>
      <c r="C329" s="147"/>
      <c r="D329" s="148"/>
      <c r="E329" s="161"/>
      <c r="F329" s="150"/>
      <c r="G329" s="107"/>
      <c r="H329" s="108"/>
      <c r="I329" s="108"/>
      <c r="J329" s="109"/>
      <c r="K329" s="108"/>
      <c r="L329" s="108"/>
      <c r="M329" s="108"/>
      <c r="N329" s="108"/>
      <c r="O329" s="121"/>
      <c r="P329" s="151" t="str">
        <f t="shared" si="26"/>
        <v/>
      </c>
      <c r="Q329" s="151" t="str">
        <f t="shared" si="27"/>
        <v/>
      </c>
      <c r="R329" s="151" t="str">
        <f t="shared" si="28"/>
        <v/>
      </c>
      <c r="S329" s="151" t="str">
        <f t="shared" si="29"/>
        <v/>
      </c>
      <c r="T329" s="151" t="str">
        <f t="shared" si="30"/>
        <v/>
      </c>
      <c r="U329" s="151" t="str">
        <f t="shared" si="31"/>
        <v/>
      </c>
      <c r="V329" s="108"/>
    </row>
    <row r="330" spans="1:22">
      <c r="A330" s="101"/>
      <c r="B330" s="157"/>
      <c r="C330" s="147"/>
      <c r="D330" s="118">
        <f>0.23-0.05</f>
        <v>0.18</v>
      </c>
      <c r="E330" s="149"/>
      <c r="F330" s="150"/>
      <c r="G330" s="107"/>
      <c r="H330" s="108"/>
      <c r="I330" s="108"/>
      <c r="J330" s="109"/>
      <c r="K330" s="108"/>
      <c r="L330" s="108"/>
      <c r="M330" s="108"/>
      <c r="N330" s="108"/>
      <c r="O330" s="121"/>
      <c r="P330" s="151" t="str">
        <f t="shared" si="26"/>
        <v/>
      </c>
      <c r="Q330" s="151" t="str">
        <f t="shared" si="27"/>
        <v/>
      </c>
      <c r="R330" s="151" t="str">
        <f t="shared" si="28"/>
        <v/>
      </c>
      <c r="S330" s="151" t="str">
        <f t="shared" si="29"/>
        <v/>
      </c>
      <c r="T330" s="151" t="str">
        <f t="shared" si="30"/>
        <v/>
      </c>
      <c r="U330" s="151" t="str">
        <f t="shared" si="31"/>
        <v/>
      </c>
      <c r="V330" s="108"/>
    </row>
    <row r="331" spans="1:22">
      <c r="A331" s="101"/>
      <c r="B331" s="157"/>
      <c r="C331" s="147"/>
      <c r="D331" s="163"/>
      <c r="E331" s="149"/>
      <c r="F331" s="150"/>
      <c r="G331" s="107"/>
      <c r="H331" s="108"/>
      <c r="I331" s="108"/>
      <c r="J331" s="109"/>
      <c r="K331" s="108"/>
      <c r="L331" s="108"/>
      <c r="M331" s="108"/>
      <c r="N331" s="108"/>
      <c r="O331" s="110"/>
      <c r="P331" s="151" t="str">
        <f t="shared" si="26"/>
        <v/>
      </c>
      <c r="Q331" s="151" t="str">
        <f t="shared" si="27"/>
        <v/>
      </c>
      <c r="R331" s="151" t="str">
        <f t="shared" si="28"/>
        <v/>
      </c>
      <c r="S331" s="151" t="str">
        <f t="shared" si="29"/>
        <v/>
      </c>
      <c r="T331" s="151" t="str">
        <f t="shared" si="30"/>
        <v/>
      </c>
      <c r="U331" s="151" t="str">
        <f t="shared" si="31"/>
        <v/>
      </c>
      <c r="V331" s="108"/>
    </row>
    <row r="332" spans="1:22">
      <c r="A332" s="101">
        <v>12</v>
      </c>
      <c r="B332" s="101" t="s">
        <v>404</v>
      </c>
      <c r="C332" s="147"/>
      <c r="D332" s="148"/>
      <c r="E332" s="149"/>
      <c r="F332" s="150"/>
      <c r="G332" s="107"/>
      <c r="H332" s="108"/>
      <c r="I332" s="108"/>
      <c r="J332" s="118"/>
      <c r="K332" s="121"/>
      <c r="L332" s="121"/>
      <c r="M332" s="108"/>
      <c r="N332" s="121"/>
      <c r="O332" s="121"/>
      <c r="P332" s="151" t="str">
        <f>IF($G332=8,$O332,"")</f>
        <v/>
      </c>
      <c r="Q332" s="151" t="str">
        <f>IF($G332=10,$O332,"")</f>
        <v/>
      </c>
      <c r="R332" s="151" t="str">
        <f>IF($G332=12,$O332,"")</f>
        <v/>
      </c>
      <c r="S332" s="151" t="str">
        <f>IF($G332=16,$O332,"")</f>
        <v/>
      </c>
      <c r="T332" s="151" t="str">
        <f>IF($G332=20,$O332,"")</f>
        <v/>
      </c>
      <c r="U332" s="151" t="str">
        <f>IF($G332=25,$O332,"")</f>
        <v/>
      </c>
      <c r="V332" s="108"/>
    </row>
    <row r="333" spans="1:22">
      <c r="A333" s="101"/>
      <c r="B333" s="152" t="s">
        <v>382</v>
      </c>
      <c r="C333" s="147"/>
      <c r="D333" s="153">
        <f>0.85-0.075-2*0.016</f>
        <v>0.74299999999999999</v>
      </c>
      <c r="E333" s="149"/>
      <c r="F333" s="150"/>
      <c r="G333" s="107">
        <v>16</v>
      </c>
      <c r="H333" s="108">
        <v>1</v>
      </c>
      <c r="I333" s="108">
        <v>4</v>
      </c>
      <c r="J333" s="118">
        <f>D333</f>
        <v>0.74299999999999999</v>
      </c>
      <c r="K333" s="119" t="str">
        <f>IF(N333&lt;12,"0",0.049*G333)</f>
        <v>0</v>
      </c>
      <c r="L333" s="120">
        <v>1</v>
      </c>
      <c r="M333" s="108">
        <f>2*G333*L333/1000</f>
        <v>3.2000000000000001E-2</v>
      </c>
      <c r="N333" s="121">
        <f>J333+E335-M333</f>
        <v>1.0109999999999999</v>
      </c>
      <c r="O333" s="121">
        <f t="shared" ref="O333:O338" si="34">H333*I333*N333</f>
        <v>4.0439999999999996</v>
      </c>
      <c r="P333" s="151" t="str">
        <f t="shared" si="26"/>
        <v/>
      </c>
      <c r="Q333" s="151" t="str">
        <f t="shared" si="27"/>
        <v/>
      </c>
      <c r="R333" s="151" t="str">
        <f t="shared" si="28"/>
        <v/>
      </c>
      <c r="S333" s="151">
        <f t="shared" si="29"/>
        <v>4.0439999999999996</v>
      </c>
      <c r="T333" s="151" t="str">
        <f t="shared" si="30"/>
        <v/>
      </c>
      <c r="U333" s="151" t="str">
        <f t="shared" si="31"/>
        <v/>
      </c>
      <c r="V333" s="108"/>
    </row>
    <row r="334" spans="1:22">
      <c r="A334" s="101"/>
      <c r="B334" s="152" t="s">
        <v>383</v>
      </c>
      <c r="C334" s="147"/>
      <c r="D334" s="148"/>
      <c r="E334" s="149"/>
      <c r="F334" s="150"/>
      <c r="G334" s="107">
        <v>12</v>
      </c>
      <c r="H334" s="108">
        <v>1</v>
      </c>
      <c r="I334" s="108">
        <v>4</v>
      </c>
      <c r="J334" s="118">
        <f>D333</f>
        <v>0.74299999999999999</v>
      </c>
      <c r="K334" s="119" t="str">
        <f t="shared" ref="K334:K338" si="35">IF(N334&lt;12,"0",0.049*G334)</f>
        <v>0</v>
      </c>
      <c r="L334" s="120">
        <v>1</v>
      </c>
      <c r="M334" s="108">
        <f t="shared" ref="M334:M338" si="36">2*G334*L334/1000</f>
        <v>2.4E-2</v>
      </c>
      <c r="N334" s="121">
        <f>J334+E335-M334</f>
        <v>1.0189999999999999</v>
      </c>
      <c r="O334" s="121">
        <f t="shared" si="34"/>
        <v>4.0759999999999996</v>
      </c>
      <c r="P334" s="151" t="str">
        <f t="shared" si="26"/>
        <v/>
      </c>
      <c r="Q334" s="151" t="str">
        <f t="shared" si="27"/>
        <v/>
      </c>
      <c r="R334" s="151">
        <f t="shared" si="28"/>
        <v>4.0759999999999996</v>
      </c>
      <c r="S334" s="151" t="str">
        <f t="shared" si="29"/>
        <v/>
      </c>
      <c r="T334" s="151" t="str">
        <f t="shared" si="30"/>
        <v/>
      </c>
      <c r="U334" s="151" t="str">
        <f t="shared" si="31"/>
        <v/>
      </c>
      <c r="V334" s="108"/>
    </row>
    <row r="335" spans="1:22">
      <c r="A335" s="101"/>
      <c r="B335" s="152" t="s">
        <v>384</v>
      </c>
      <c r="C335" s="154"/>
      <c r="D335" s="153"/>
      <c r="E335" s="155">
        <v>0.3</v>
      </c>
      <c r="F335" s="150"/>
      <c r="G335" s="107">
        <v>12</v>
      </c>
      <c r="H335" s="108">
        <v>1</v>
      </c>
      <c r="I335" s="108">
        <v>4</v>
      </c>
      <c r="J335" s="118">
        <f>D333</f>
        <v>0.74299999999999999</v>
      </c>
      <c r="K335" s="119" t="str">
        <f t="shared" si="35"/>
        <v>0</v>
      </c>
      <c r="L335" s="120">
        <v>1</v>
      </c>
      <c r="M335" s="108">
        <f t="shared" si="36"/>
        <v>2.4E-2</v>
      </c>
      <c r="N335" s="121">
        <f>J335+E335-M335</f>
        <v>1.0189999999999999</v>
      </c>
      <c r="O335" s="121">
        <f t="shared" si="34"/>
        <v>4.0759999999999996</v>
      </c>
      <c r="P335" s="151" t="str">
        <f t="shared" si="26"/>
        <v/>
      </c>
      <c r="Q335" s="151" t="str">
        <f t="shared" si="27"/>
        <v/>
      </c>
      <c r="R335" s="151">
        <f t="shared" si="28"/>
        <v>4.0759999999999996</v>
      </c>
      <c r="S335" s="151" t="str">
        <f t="shared" si="29"/>
        <v/>
      </c>
      <c r="T335" s="151" t="str">
        <f t="shared" si="30"/>
        <v/>
      </c>
      <c r="U335" s="151" t="str">
        <f t="shared" si="31"/>
        <v/>
      </c>
      <c r="V335" s="108"/>
    </row>
    <row r="336" spans="1:22">
      <c r="A336" s="101"/>
      <c r="B336" s="152" t="s">
        <v>385</v>
      </c>
      <c r="C336" s="147"/>
      <c r="D336" s="148"/>
      <c r="E336" s="149"/>
      <c r="F336" s="150"/>
      <c r="G336" s="107">
        <v>12</v>
      </c>
      <c r="H336" s="108">
        <v>1</v>
      </c>
      <c r="I336" s="108">
        <v>4</v>
      </c>
      <c r="J336" s="118">
        <f>D333</f>
        <v>0.74299999999999999</v>
      </c>
      <c r="K336" s="119" t="str">
        <f t="shared" si="35"/>
        <v>0</v>
      </c>
      <c r="L336" s="120">
        <v>1</v>
      </c>
      <c r="M336" s="108">
        <f t="shared" si="36"/>
        <v>2.4E-2</v>
      </c>
      <c r="N336" s="121">
        <f>J336+E336-M336</f>
        <v>0.71899999999999997</v>
      </c>
      <c r="O336" s="121">
        <f t="shared" si="34"/>
        <v>2.8759999999999999</v>
      </c>
      <c r="P336" s="151" t="str">
        <f t="shared" si="26"/>
        <v/>
      </c>
      <c r="Q336" s="151" t="str">
        <f t="shared" si="27"/>
        <v/>
      </c>
      <c r="R336" s="151">
        <f t="shared" si="28"/>
        <v>2.8759999999999999</v>
      </c>
      <c r="S336" s="151" t="str">
        <f t="shared" si="29"/>
        <v/>
      </c>
      <c r="T336" s="151" t="str">
        <f t="shared" si="30"/>
        <v/>
      </c>
      <c r="U336" s="151" t="str">
        <f t="shared" si="31"/>
        <v/>
      </c>
      <c r="V336" s="108"/>
    </row>
    <row r="337" spans="1:22">
      <c r="A337" s="101"/>
      <c r="B337" s="152" t="s">
        <v>393</v>
      </c>
      <c r="C337" s="147"/>
      <c r="D337" s="148"/>
      <c r="E337" s="149"/>
      <c r="F337" s="150"/>
      <c r="G337" s="107">
        <v>12</v>
      </c>
      <c r="H337" s="108">
        <v>1</v>
      </c>
      <c r="I337" s="108">
        <v>4</v>
      </c>
      <c r="J337" s="118">
        <f>D333</f>
        <v>0.74299999999999999</v>
      </c>
      <c r="K337" s="119" t="str">
        <f t="shared" si="35"/>
        <v>0</v>
      </c>
      <c r="L337" s="120">
        <v>1</v>
      </c>
      <c r="M337" s="108">
        <f t="shared" si="36"/>
        <v>2.4E-2</v>
      </c>
      <c r="N337" s="121">
        <f>J337+E337-M337</f>
        <v>0.71899999999999997</v>
      </c>
      <c r="O337" s="121">
        <f t="shared" si="34"/>
        <v>2.8759999999999999</v>
      </c>
      <c r="P337" s="151" t="str">
        <f t="shared" si="26"/>
        <v/>
      </c>
      <c r="Q337" s="151" t="str">
        <f t="shared" si="27"/>
        <v/>
      </c>
      <c r="R337" s="151">
        <f t="shared" si="28"/>
        <v>2.8759999999999999</v>
      </c>
      <c r="S337" s="151" t="str">
        <f t="shared" si="29"/>
        <v/>
      </c>
      <c r="T337" s="151" t="str">
        <f t="shared" si="30"/>
        <v/>
      </c>
      <c r="U337" s="151" t="str">
        <f t="shared" si="31"/>
        <v/>
      </c>
      <c r="V337" s="108"/>
    </row>
    <row r="338" spans="1:22">
      <c r="A338" s="101"/>
      <c r="B338" s="152" t="s">
        <v>405</v>
      </c>
      <c r="C338" s="147"/>
      <c r="D338" s="148"/>
      <c r="E338" s="149"/>
      <c r="F338" s="150"/>
      <c r="G338" s="107">
        <v>12</v>
      </c>
      <c r="H338" s="108">
        <v>1</v>
      </c>
      <c r="I338" s="108">
        <v>2</v>
      </c>
      <c r="J338" s="118">
        <f>D333</f>
        <v>0.74299999999999999</v>
      </c>
      <c r="K338" s="119" t="str">
        <f t="shared" si="35"/>
        <v>0</v>
      </c>
      <c r="L338" s="120">
        <v>1</v>
      </c>
      <c r="M338" s="108">
        <f t="shared" si="36"/>
        <v>2.4E-2</v>
      </c>
      <c r="N338" s="121">
        <f>J338+E338-M338</f>
        <v>0.71899999999999997</v>
      </c>
      <c r="O338" s="121">
        <f t="shared" si="34"/>
        <v>1.4379999999999999</v>
      </c>
      <c r="P338" s="151" t="str">
        <f t="shared" si="26"/>
        <v/>
      </c>
      <c r="Q338" s="151" t="str">
        <f t="shared" si="27"/>
        <v/>
      </c>
      <c r="R338" s="151">
        <f t="shared" si="28"/>
        <v>1.4379999999999999</v>
      </c>
      <c r="S338" s="151" t="str">
        <f t="shared" si="29"/>
        <v/>
      </c>
      <c r="T338" s="151" t="str">
        <f t="shared" si="30"/>
        <v/>
      </c>
      <c r="U338" s="151" t="str">
        <f t="shared" si="31"/>
        <v/>
      </c>
      <c r="V338" s="108"/>
    </row>
    <row r="339" spans="1:22">
      <c r="A339" s="101"/>
      <c r="B339" s="152"/>
      <c r="C339" s="147"/>
      <c r="D339" s="148"/>
      <c r="E339" s="149"/>
      <c r="F339" s="150"/>
      <c r="G339" s="107"/>
      <c r="H339" s="108"/>
      <c r="I339" s="108"/>
      <c r="J339" s="118"/>
      <c r="K339" s="119"/>
      <c r="L339" s="120"/>
      <c r="M339" s="108"/>
      <c r="N339" s="121"/>
      <c r="O339" s="121"/>
      <c r="P339" s="151"/>
      <c r="Q339" s="151"/>
      <c r="R339" s="151"/>
      <c r="S339" s="151"/>
      <c r="T339" s="151"/>
      <c r="U339" s="151"/>
      <c r="V339" s="108"/>
    </row>
    <row r="340" spans="1:22">
      <c r="A340" s="101"/>
      <c r="B340" s="101"/>
      <c r="C340" s="156">
        <v>0.08</v>
      </c>
      <c r="D340" s="148"/>
      <c r="E340" s="149"/>
      <c r="F340" s="150"/>
      <c r="G340" s="107"/>
      <c r="H340" s="108"/>
      <c r="I340" s="108"/>
      <c r="J340" s="109"/>
      <c r="K340" s="108"/>
      <c r="L340" s="108"/>
      <c r="M340" s="108"/>
      <c r="N340" s="108"/>
      <c r="O340" s="110"/>
      <c r="P340" s="151" t="str">
        <f t="shared" si="26"/>
        <v/>
      </c>
      <c r="Q340" s="151" t="str">
        <f t="shared" si="27"/>
        <v/>
      </c>
      <c r="R340" s="151" t="str">
        <f t="shared" si="28"/>
        <v/>
      </c>
      <c r="S340" s="151" t="str">
        <f t="shared" si="29"/>
        <v/>
      </c>
      <c r="T340" s="151" t="str">
        <f t="shared" si="30"/>
        <v/>
      </c>
      <c r="U340" s="151" t="str">
        <f t="shared" si="31"/>
        <v/>
      </c>
      <c r="V340" s="108"/>
    </row>
    <row r="341" spans="1:22">
      <c r="A341" s="101"/>
      <c r="B341" s="157" t="s">
        <v>386</v>
      </c>
      <c r="C341" s="158"/>
      <c r="D341" s="148"/>
      <c r="E341" s="159">
        <f>1.15-0.05</f>
        <v>1.0999999999999999</v>
      </c>
      <c r="F341" s="150"/>
      <c r="G341" s="107">
        <v>10</v>
      </c>
      <c r="H341" s="108">
        <v>1</v>
      </c>
      <c r="I341" s="108">
        <v>4</v>
      </c>
      <c r="J341" s="160">
        <f>2*(D343+E341)+2*8*G341/1000</f>
        <v>2.7199999999999998</v>
      </c>
      <c r="K341" s="108"/>
      <c r="L341" s="108">
        <v>5</v>
      </c>
      <c r="M341" s="121">
        <f>2*G341*L341/1000</f>
        <v>0.1</v>
      </c>
      <c r="N341" s="121">
        <f>(J341+K341-M341)</f>
        <v>2.6199999999999997</v>
      </c>
      <c r="O341" s="121">
        <f>(H341*I341*N341)</f>
        <v>10.479999999999999</v>
      </c>
      <c r="P341" s="151" t="str">
        <f t="shared" si="26"/>
        <v/>
      </c>
      <c r="Q341" s="151">
        <f t="shared" si="27"/>
        <v>10.479999999999999</v>
      </c>
      <c r="R341" s="151" t="str">
        <f t="shared" si="28"/>
        <v/>
      </c>
      <c r="S341" s="151" t="str">
        <f t="shared" si="29"/>
        <v/>
      </c>
      <c r="T341" s="151" t="str">
        <f t="shared" si="30"/>
        <v/>
      </c>
      <c r="U341" s="151" t="str">
        <f t="shared" si="31"/>
        <v/>
      </c>
      <c r="V341" s="108"/>
    </row>
    <row r="342" spans="1:22">
      <c r="A342" s="101"/>
      <c r="B342" s="157"/>
      <c r="C342" s="147"/>
      <c r="D342" s="148"/>
      <c r="E342" s="161"/>
      <c r="F342" s="150"/>
      <c r="G342" s="107"/>
      <c r="H342" s="108"/>
      <c r="I342" s="108"/>
      <c r="J342" s="109"/>
      <c r="K342" s="108"/>
      <c r="L342" s="108"/>
      <c r="M342" s="108"/>
      <c r="N342" s="108"/>
      <c r="O342" s="121"/>
      <c r="P342" s="151" t="str">
        <f t="shared" si="26"/>
        <v/>
      </c>
      <c r="Q342" s="151" t="str">
        <f t="shared" si="27"/>
        <v/>
      </c>
      <c r="R342" s="151" t="str">
        <f t="shared" si="28"/>
        <v/>
      </c>
      <c r="S342" s="151" t="str">
        <f t="shared" si="29"/>
        <v/>
      </c>
      <c r="T342" s="151" t="str">
        <f t="shared" si="30"/>
        <v/>
      </c>
      <c r="U342" s="151" t="str">
        <f t="shared" si="31"/>
        <v/>
      </c>
      <c r="V342" s="108"/>
    </row>
    <row r="343" spans="1:22">
      <c r="A343" s="101"/>
      <c r="B343" s="157"/>
      <c r="C343" s="147"/>
      <c r="D343" s="118">
        <f>0.23-0.05</f>
        <v>0.18</v>
      </c>
      <c r="E343" s="149"/>
      <c r="F343" s="150"/>
      <c r="G343" s="107"/>
      <c r="H343" s="108"/>
      <c r="I343" s="108"/>
      <c r="J343" s="109"/>
      <c r="K343" s="108"/>
      <c r="L343" s="108"/>
      <c r="M343" s="108"/>
      <c r="N343" s="108"/>
      <c r="O343" s="121"/>
      <c r="P343" s="151" t="str">
        <f t="shared" si="26"/>
        <v/>
      </c>
      <c r="Q343" s="151" t="str">
        <f t="shared" si="27"/>
        <v/>
      </c>
      <c r="R343" s="151" t="str">
        <f t="shared" si="28"/>
        <v/>
      </c>
      <c r="S343" s="151" t="str">
        <f t="shared" si="29"/>
        <v/>
      </c>
      <c r="T343" s="151" t="str">
        <f t="shared" si="30"/>
        <v/>
      </c>
      <c r="U343" s="151" t="str">
        <f t="shared" si="31"/>
        <v/>
      </c>
      <c r="V343" s="108"/>
    </row>
    <row r="344" spans="1:22">
      <c r="A344" s="101"/>
      <c r="B344" s="152"/>
      <c r="C344" s="147"/>
      <c r="D344" s="148"/>
      <c r="E344" s="149"/>
      <c r="F344" s="150"/>
      <c r="G344" s="107"/>
      <c r="H344" s="108"/>
      <c r="I344" s="108"/>
      <c r="J344" s="109"/>
      <c r="K344" s="108"/>
      <c r="L344" s="108"/>
      <c r="M344" s="108"/>
      <c r="N344" s="108"/>
      <c r="O344" s="121"/>
      <c r="P344" s="151" t="str">
        <f t="shared" si="26"/>
        <v/>
      </c>
      <c r="Q344" s="151" t="str">
        <f t="shared" si="27"/>
        <v/>
      </c>
      <c r="R344" s="151" t="str">
        <f t="shared" si="28"/>
        <v/>
      </c>
      <c r="S344" s="151" t="str">
        <f t="shared" si="29"/>
        <v/>
      </c>
      <c r="T344" s="151" t="str">
        <f t="shared" si="30"/>
        <v/>
      </c>
      <c r="U344" s="151" t="str">
        <f t="shared" si="31"/>
        <v/>
      </c>
      <c r="V344" s="108"/>
    </row>
    <row r="345" spans="1:22">
      <c r="A345" s="101"/>
      <c r="B345" s="101"/>
      <c r="C345" s="156">
        <v>0.08</v>
      </c>
      <c r="D345" s="148"/>
      <c r="E345" s="149"/>
      <c r="F345" s="150"/>
      <c r="G345" s="107"/>
      <c r="H345" s="108"/>
      <c r="I345" s="108"/>
      <c r="J345" s="109"/>
      <c r="K345" s="108"/>
      <c r="L345" s="108"/>
      <c r="M345" s="108"/>
      <c r="N345" s="108"/>
      <c r="O345" s="121"/>
      <c r="P345" s="151" t="str">
        <f t="shared" si="26"/>
        <v/>
      </c>
      <c r="Q345" s="151" t="str">
        <f t="shared" si="27"/>
        <v/>
      </c>
      <c r="R345" s="151" t="str">
        <f t="shared" si="28"/>
        <v/>
      </c>
      <c r="S345" s="151" t="str">
        <f t="shared" si="29"/>
        <v/>
      </c>
      <c r="T345" s="151" t="str">
        <f t="shared" si="30"/>
        <v/>
      </c>
      <c r="U345" s="151" t="str">
        <f t="shared" si="31"/>
        <v/>
      </c>
      <c r="V345" s="108"/>
    </row>
    <row r="346" spans="1:22">
      <c r="A346" s="101"/>
      <c r="B346" s="157" t="s">
        <v>387</v>
      </c>
      <c r="C346" s="158"/>
      <c r="D346" s="148"/>
      <c r="E346" s="159">
        <f>((1.15-0.05-0.016)/10)+0.012+0.02</f>
        <v>0.14039999999999997</v>
      </c>
      <c r="F346" s="150"/>
      <c r="G346" s="107">
        <v>10</v>
      </c>
      <c r="H346" s="108">
        <v>1</v>
      </c>
      <c r="I346" s="108">
        <f>1*4</f>
        <v>4</v>
      </c>
      <c r="J346" s="160">
        <f>2*(D348+E346)+2*8*G346/1000</f>
        <v>0.80079999999999996</v>
      </c>
      <c r="K346" s="108"/>
      <c r="L346" s="108">
        <v>5</v>
      </c>
      <c r="M346" s="121">
        <f>2*G346*L346/1000</f>
        <v>0.1</v>
      </c>
      <c r="N346" s="121">
        <f>(J346+K346-M346)</f>
        <v>0.70079999999999998</v>
      </c>
      <c r="O346" s="121">
        <f>(H346*I346*N346)</f>
        <v>2.8031999999999999</v>
      </c>
      <c r="P346" s="151" t="str">
        <f t="shared" si="26"/>
        <v/>
      </c>
      <c r="Q346" s="151">
        <f t="shared" si="27"/>
        <v>2.8031999999999999</v>
      </c>
      <c r="R346" s="151" t="str">
        <f t="shared" si="28"/>
        <v/>
      </c>
      <c r="S346" s="151" t="str">
        <f t="shared" si="29"/>
        <v/>
      </c>
      <c r="T346" s="151" t="str">
        <f t="shared" si="30"/>
        <v/>
      </c>
      <c r="U346" s="151" t="str">
        <f t="shared" si="31"/>
        <v/>
      </c>
      <c r="V346" s="108"/>
    </row>
    <row r="347" spans="1:22">
      <c r="A347" s="101"/>
      <c r="B347" s="157"/>
      <c r="C347" s="147"/>
      <c r="D347" s="148"/>
      <c r="E347" s="161"/>
      <c r="F347" s="150"/>
      <c r="G347" s="107"/>
      <c r="H347" s="108"/>
      <c r="I347" s="108"/>
      <c r="J347" s="109"/>
      <c r="K347" s="108"/>
      <c r="L347" s="108"/>
      <c r="M347" s="108"/>
      <c r="N347" s="108"/>
      <c r="O347" s="121"/>
      <c r="P347" s="151" t="str">
        <f t="shared" ref="P347:P388" si="37">IF($G347=8,$O347,"")</f>
        <v/>
      </c>
      <c r="Q347" s="151" t="str">
        <f t="shared" ref="Q347:Q388" si="38">IF($G347=10,$O347,"")</f>
        <v/>
      </c>
      <c r="R347" s="151" t="str">
        <f t="shared" ref="R347:R388" si="39">IF($G347=12,$O347,"")</f>
        <v/>
      </c>
      <c r="S347" s="151" t="str">
        <f t="shared" ref="S347:S388" si="40">IF($G347=16,$O347,"")</f>
        <v/>
      </c>
      <c r="T347" s="151" t="str">
        <f t="shared" ref="T347:T388" si="41">IF($G347=20,$O347,"")</f>
        <v/>
      </c>
      <c r="U347" s="151" t="str">
        <f t="shared" ref="U347:U388" si="42">IF($G347=25,$O347,"")</f>
        <v/>
      </c>
      <c r="V347" s="108"/>
    </row>
    <row r="348" spans="1:22">
      <c r="A348" s="101"/>
      <c r="B348" s="157"/>
      <c r="C348" s="147"/>
      <c r="D348" s="118">
        <f>0.23-0.05</f>
        <v>0.18</v>
      </c>
      <c r="E348" s="149"/>
      <c r="F348" s="150"/>
      <c r="G348" s="107"/>
      <c r="H348" s="108"/>
      <c r="I348" s="108"/>
      <c r="J348" s="109"/>
      <c r="K348" s="108"/>
      <c r="L348" s="108"/>
      <c r="M348" s="108"/>
      <c r="N348" s="108"/>
      <c r="O348" s="121"/>
      <c r="P348" s="151" t="str">
        <f t="shared" si="37"/>
        <v/>
      </c>
      <c r="Q348" s="151" t="str">
        <f t="shared" si="38"/>
        <v/>
      </c>
      <c r="R348" s="151" t="str">
        <f t="shared" si="39"/>
        <v/>
      </c>
      <c r="S348" s="151" t="str">
        <f t="shared" si="40"/>
        <v/>
      </c>
      <c r="T348" s="151" t="str">
        <f t="shared" si="41"/>
        <v/>
      </c>
      <c r="U348" s="151" t="str">
        <f t="shared" si="42"/>
        <v/>
      </c>
      <c r="V348" s="108"/>
    </row>
    <row r="349" spans="1:22">
      <c r="A349" s="101"/>
      <c r="B349" s="152"/>
      <c r="C349" s="147"/>
      <c r="D349" s="148"/>
      <c r="E349" s="149"/>
      <c r="F349" s="150"/>
      <c r="G349" s="107"/>
      <c r="H349" s="108"/>
      <c r="I349" s="108"/>
      <c r="J349" s="109"/>
      <c r="K349" s="108"/>
      <c r="L349" s="108"/>
      <c r="M349" s="108"/>
      <c r="N349" s="108"/>
      <c r="O349" s="110"/>
      <c r="P349" s="151" t="str">
        <f t="shared" si="37"/>
        <v/>
      </c>
      <c r="Q349" s="151" t="str">
        <f t="shared" si="38"/>
        <v/>
      </c>
      <c r="R349" s="151" t="str">
        <f t="shared" si="39"/>
        <v/>
      </c>
      <c r="S349" s="151" t="str">
        <f t="shared" si="40"/>
        <v/>
      </c>
      <c r="T349" s="151" t="str">
        <f t="shared" si="41"/>
        <v/>
      </c>
      <c r="U349" s="151" t="str">
        <f t="shared" si="42"/>
        <v/>
      </c>
      <c r="V349" s="108"/>
    </row>
    <row r="350" spans="1:22">
      <c r="A350" s="101"/>
      <c r="B350" s="152"/>
      <c r="C350" s="147"/>
      <c r="D350" s="148"/>
      <c r="E350" s="155">
        <v>0.08</v>
      </c>
      <c r="F350" s="150"/>
      <c r="G350" s="107"/>
      <c r="H350" s="108"/>
      <c r="I350" s="108"/>
      <c r="J350" s="109"/>
      <c r="K350" s="108"/>
      <c r="L350" s="108"/>
      <c r="M350" s="108"/>
      <c r="N350" s="108"/>
      <c r="O350" s="110"/>
      <c r="P350" s="151" t="str">
        <f t="shared" si="37"/>
        <v/>
      </c>
      <c r="Q350" s="151" t="str">
        <f t="shared" si="38"/>
        <v/>
      </c>
      <c r="R350" s="151" t="str">
        <f t="shared" si="39"/>
        <v/>
      </c>
      <c r="S350" s="151" t="str">
        <f t="shared" si="40"/>
        <v/>
      </c>
      <c r="T350" s="151" t="str">
        <f t="shared" si="41"/>
        <v/>
      </c>
      <c r="U350" s="151" t="str">
        <f t="shared" si="42"/>
        <v/>
      </c>
      <c r="V350" s="108"/>
    </row>
    <row r="351" spans="1:22">
      <c r="A351" s="101"/>
      <c r="B351" s="157" t="s">
        <v>388</v>
      </c>
      <c r="C351" s="147"/>
      <c r="D351" s="153">
        <f>0.23-0.05</f>
        <v>0.18</v>
      </c>
      <c r="E351" s="155"/>
      <c r="F351" s="150"/>
      <c r="G351" s="107">
        <v>10</v>
      </c>
      <c r="H351" s="108">
        <v>1</v>
      </c>
      <c r="I351" s="108">
        <v>1</v>
      </c>
      <c r="J351" s="160">
        <f>D351+E350+E352</f>
        <v>0.34</v>
      </c>
      <c r="K351" s="108"/>
      <c r="L351" s="108">
        <v>2</v>
      </c>
      <c r="M351" s="121">
        <f>2*G351*L351/1000</f>
        <v>0.04</v>
      </c>
      <c r="N351" s="121">
        <f>(J351+K351-M351)</f>
        <v>0.30000000000000004</v>
      </c>
      <c r="O351" s="121">
        <f>(H351*I351*N351)</f>
        <v>0.30000000000000004</v>
      </c>
      <c r="P351" s="151" t="str">
        <f t="shared" si="37"/>
        <v/>
      </c>
      <c r="Q351" s="151">
        <f t="shared" si="38"/>
        <v>0.30000000000000004</v>
      </c>
      <c r="R351" s="151" t="str">
        <f t="shared" si="39"/>
        <v/>
      </c>
      <c r="S351" s="151" t="str">
        <f t="shared" si="40"/>
        <v/>
      </c>
      <c r="T351" s="151" t="str">
        <f t="shared" si="41"/>
        <v/>
      </c>
      <c r="U351" s="151" t="str">
        <f t="shared" si="42"/>
        <v/>
      </c>
      <c r="V351" s="108"/>
    </row>
    <row r="352" spans="1:22">
      <c r="A352" s="101"/>
      <c r="B352" s="152"/>
      <c r="C352" s="147"/>
      <c r="D352" s="148"/>
      <c r="E352" s="155">
        <v>0.08</v>
      </c>
      <c r="F352" s="150"/>
      <c r="G352" s="107"/>
      <c r="H352" s="108"/>
      <c r="I352" s="108"/>
      <c r="J352" s="109"/>
      <c r="K352" s="108"/>
      <c r="L352" s="108"/>
      <c r="M352" s="108"/>
      <c r="N352" s="108"/>
      <c r="O352" s="110"/>
      <c r="P352" s="151" t="str">
        <f t="shared" si="37"/>
        <v/>
      </c>
      <c r="Q352" s="151" t="str">
        <f t="shared" si="38"/>
        <v/>
      </c>
      <c r="R352" s="151" t="str">
        <f t="shared" si="39"/>
        <v/>
      </c>
      <c r="S352" s="151" t="str">
        <f t="shared" si="40"/>
        <v/>
      </c>
      <c r="T352" s="151" t="str">
        <f t="shared" si="41"/>
        <v/>
      </c>
      <c r="U352" s="151" t="str">
        <f t="shared" si="42"/>
        <v/>
      </c>
      <c r="V352" s="108"/>
    </row>
    <row r="353" spans="1:22">
      <c r="A353" s="101"/>
      <c r="B353" s="157"/>
      <c r="C353" s="147"/>
      <c r="D353" s="163"/>
      <c r="E353" s="149"/>
      <c r="F353" s="150"/>
      <c r="G353" s="107"/>
      <c r="H353" s="108"/>
      <c r="I353" s="108"/>
      <c r="J353" s="109"/>
      <c r="K353" s="108"/>
      <c r="L353" s="108"/>
      <c r="M353" s="108"/>
      <c r="N353" s="108"/>
      <c r="O353" s="110"/>
      <c r="P353" s="151" t="str">
        <f t="shared" si="37"/>
        <v/>
      </c>
      <c r="Q353" s="151" t="str">
        <f t="shared" si="38"/>
        <v/>
      </c>
      <c r="R353" s="151" t="str">
        <f t="shared" si="39"/>
        <v/>
      </c>
      <c r="S353" s="151" t="str">
        <f t="shared" si="40"/>
        <v/>
      </c>
      <c r="T353" s="151" t="str">
        <f t="shared" si="41"/>
        <v/>
      </c>
      <c r="U353" s="151" t="str">
        <f t="shared" si="42"/>
        <v/>
      </c>
      <c r="V353" s="108"/>
    </row>
    <row r="354" spans="1:22">
      <c r="A354" s="101">
        <v>13</v>
      </c>
      <c r="B354" s="101" t="s">
        <v>406</v>
      </c>
      <c r="C354" s="147"/>
      <c r="D354" s="148"/>
      <c r="E354" s="149"/>
      <c r="F354" s="150"/>
      <c r="G354" s="107"/>
      <c r="H354" s="108"/>
      <c r="I354" s="108"/>
      <c r="J354" s="118"/>
      <c r="K354" s="121"/>
      <c r="L354" s="121"/>
      <c r="M354" s="108"/>
      <c r="N354" s="121"/>
      <c r="O354" s="121"/>
      <c r="P354" s="151" t="str">
        <f>IF($G354=8,$O354,"")</f>
        <v/>
      </c>
      <c r="Q354" s="151" t="str">
        <f>IF($G354=10,$O354,"")</f>
        <v/>
      </c>
      <c r="R354" s="151" t="str">
        <f>IF($G354=12,$O354,"")</f>
        <v/>
      </c>
      <c r="S354" s="151" t="str">
        <f>IF($G354=16,$O354,"")</f>
        <v/>
      </c>
      <c r="T354" s="151" t="str">
        <f>IF($G354=20,$O354,"")</f>
        <v/>
      </c>
      <c r="U354" s="151" t="str">
        <f>IF($G354=25,$O354,"")</f>
        <v/>
      </c>
      <c r="V354" s="108"/>
    </row>
    <row r="355" spans="1:22">
      <c r="A355" s="101"/>
      <c r="B355" s="152" t="s">
        <v>382</v>
      </c>
      <c r="C355" s="147"/>
      <c r="D355" s="153">
        <f>0.85-0.075-2*0.016</f>
        <v>0.74299999999999999</v>
      </c>
      <c r="E355" s="149"/>
      <c r="F355" s="150"/>
      <c r="G355" s="107">
        <v>20</v>
      </c>
      <c r="H355" s="108">
        <v>1</v>
      </c>
      <c r="I355" s="108">
        <v>4</v>
      </c>
      <c r="J355" s="118">
        <f>D355</f>
        <v>0.74299999999999999</v>
      </c>
      <c r="K355" s="119" t="str">
        <f>IF(N355&lt;12,"0",0.049*G355)</f>
        <v>0</v>
      </c>
      <c r="L355" s="120">
        <v>1</v>
      </c>
      <c r="M355" s="108">
        <f>2*G355*L355/1000</f>
        <v>0.04</v>
      </c>
      <c r="N355" s="121">
        <f>J355+E357-M355</f>
        <v>1.0029999999999999</v>
      </c>
      <c r="O355" s="121">
        <f t="shared" ref="O355:O361" si="43">H355*I355*N355</f>
        <v>4.0119999999999996</v>
      </c>
      <c r="P355" s="151" t="str">
        <f t="shared" si="37"/>
        <v/>
      </c>
      <c r="Q355" s="151" t="str">
        <f t="shared" si="38"/>
        <v/>
      </c>
      <c r="R355" s="151" t="str">
        <f t="shared" si="39"/>
        <v/>
      </c>
      <c r="S355" s="151" t="str">
        <f t="shared" si="40"/>
        <v/>
      </c>
      <c r="T355" s="151">
        <f t="shared" si="41"/>
        <v>4.0119999999999996</v>
      </c>
      <c r="U355" s="151" t="str">
        <f t="shared" si="42"/>
        <v/>
      </c>
      <c r="V355" s="108"/>
    </row>
    <row r="356" spans="1:22">
      <c r="A356" s="101"/>
      <c r="B356" s="152" t="s">
        <v>383</v>
      </c>
      <c r="C356" s="147"/>
      <c r="D356" s="148"/>
      <c r="E356" s="149"/>
      <c r="F356" s="150"/>
      <c r="G356" s="107">
        <v>20</v>
      </c>
      <c r="H356" s="108">
        <v>1</v>
      </c>
      <c r="I356" s="108">
        <v>4</v>
      </c>
      <c r="J356" s="118">
        <f>D355</f>
        <v>0.74299999999999999</v>
      </c>
      <c r="K356" s="119" t="str">
        <f t="shared" ref="K356:K361" si="44">IF(N356&lt;12,"0",0.049*G356)</f>
        <v>0</v>
      </c>
      <c r="L356" s="120">
        <v>1</v>
      </c>
      <c r="M356" s="108">
        <f t="shared" ref="M356:M361" si="45">2*G356*L356/1000</f>
        <v>0.04</v>
      </c>
      <c r="N356" s="121">
        <f>J356+E357-M356</f>
        <v>1.0029999999999999</v>
      </c>
      <c r="O356" s="121">
        <f t="shared" si="43"/>
        <v>4.0119999999999996</v>
      </c>
      <c r="P356" s="151" t="str">
        <f t="shared" si="37"/>
        <v/>
      </c>
      <c r="Q356" s="151" t="str">
        <f t="shared" si="38"/>
        <v/>
      </c>
      <c r="R356" s="151" t="str">
        <f t="shared" si="39"/>
        <v/>
      </c>
      <c r="S356" s="151" t="str">
        <f t="shared" si="40"/>
        <v/>
      </c>
      <c r="T356" s="151">
        <f t="shared" si="41"/>
        <v>4.0119999999999996</v>
      </c>
      <c r="U356" s="151" t="str">
        <f t="shared" si="42"/>
        <v/>
      </c>
      <c r="V356" s="108"/>
    </row>
    <row r="357" spans="1:22">
      <c r="A357" s="101"/>
      <c r="B357" s="152" t="s">
        <v>384</v>
      </c>
      <c r="C357" s="154"/>
      <c r="D357" s="153"/>
      <c r="E357" s="155">
        <v>0.3</v>
      </c>
      <c r="F357" s="150"/>
      <c r="G357" s="107">
        <v>20</v>
      </c>
      <c r="H357" s="108">
        <v>1</v>
      </c>
      <c r="I357" s="108">
        <v>4</v>
      </c>
      <c r="J357" s="118">
        <f>D355</f>
        <v>0.74299999999999999</v>
      </c>
      <c r="K357" s="119" t="str">
        <f t="shared" si="44"/>
        <v>0</v>
      </c>
      <c r="L357" s="120">
        <v>1</v>
      </c>
      <c r="M357" s="108">
        <f t="shared" si="45"/>
        <v>0.04</v>
      </c>
      <c r="N357" s="121">
        <f>J357+E357-M357</f>
        <v>1.0029999999999999</v>
      </c>
      <c r="O357" s="121">
        <f t="shared" si="43"/>
        <v>4.0119999999999996</v>
      </c>
      <c r="P357" s="151" t="str">
        <f t="shared" si="37"/>
        <v/>
      </c>
      <c r="Q357" s="151" t="str">
        <f t="shared" si="38"/>
        <v/>
      </c>
      <c r="R357" s="151" t="str">
        <f t="shared" si="39"/>
        <v/>
      </c>
      <c r="S357" s="151" t="str">
        <f t="shared" si="40"/>
        <v/>
      </c>
      <c r="T357" s="151">
        <f t="shared" si="41"/>
        <v>4.0119999999999996</v>
      </c>
      <c r="U357" s="151" t="str">
        <f t="shared" si="42"/>
        <v/>
      </c>
      <c r="V357" s="108"/>
    </row>
    <row r="358" spans="1:22">
      <c r="A358" s="101"/>
      <c r="B358" s="152" t="s">
        <v>385</v>
      </c>
      <c r="C358" s="147"/>
      <c r="D358" s="148"/>
      <c r="E358" s="149"/>
      <c r="F358" s="150"/>
      <c r="G358" s="107">
        <v>16</v>
      </c>
      <c r="H358" s="108">
        <v>1</v>
      </c>
      <c r="I358" s="108">
        <v>4</v>
      </c>
      <c r="J358" s="118">
        <f>D355</f>
        <v>0.74299999999999999</v>
      </c>
      <c r="K358" s="119" t="str">
        <f t="shared" si="44"/>
        <v>0</v>
      </c>
      <c r="L358" s="120">
        <v>1</v>
      </c>
      <c r="M358" s="108">
        <f t="shared" si="45"/>
        <v>3.2000000000000001E-2</v>
      </c>
      <c r="N358" s="121">
        <f>J358+E358-M358</f>
        <v>0.71099999999999997</v>
      </c>
      <c r="O358" s="121">
        <f t="shared" si="43"/>
        <v>2.8439999999999999</v>
      </c>
      <c r="P358" s="151" t="str">
        <f t="shared" si="37"/>
        <v/>
      </c>
      <c r="Q358" s="151" t="str">
        <f t="shared" si="38"/>
        <v/>
      </c>
      <c r="R358" s="151" t="str">
        <f t="shared" si="39"/>
        <v/>
      </c>
      <c r="S358" s="151">
        <f t="shared" si="40"/>
        <v>2.8439999999999999</v>
      </c>
      <c r="T358" s="151" t="str">
        <f t="shared" si="41"/>
        <v/>
      </c>
      <c r="U358" s="151" t="str">
        <f t="shared" si="42"/>
        <v/>
      </c>
      <c r="V358" s="108"/>
    </row>
    <row r="359" spans="1:22">
      <c r="A359" s="101"/>
      <c r="B359" s="152" t="s">
        <v>393</v>
      </c>
      <c r="C359" s="147"/>
      <c r="D359" s="148"/>
      <c r="E359" s="149"/>
      <c r="F359" s="150"/>
      <c r="G359" s="107">
        <v>16</v>
      </c>
      <c r="H359" s="108">
        <v>1</v>
      </c>
      <c r="I359" s="108">
        <v>4</v>
      </c>
      <c r="J359" s="118">
        <f>D355</f>
        <v>0.74299999999999999</v>
      </c>
      <c r="K359" s="119" t="str">
        <f t="shared" si="44"/>
        <v>0</v>
      </c>
      <c r="L359" s="120">
        <v>1</v>
      </c>
      <c r="M359" s="108">
        <f t="shared" si="45"/>
        <v>3.2000000000000001E-2</v>
      </c>
      <c r="N359" s="121">
        <f>J359+E359-M359</f>
        <v>0.71099999999999997</v>
      </c>
      <c r="O359" s="121">
        <f t="shared" si="43"/>
        <v>2.8439999999999999</v>
      </c>
      <c r="P359" s="151" t="str">
        <f t="shared" si="37"/>
        <v/>
      </c>
      <c r="Q359" s="151" t="str">
        <f t="shared" si="38"/>
        <v/>
      </c>
      <c r="R359" s="151" t="str">
        <f t="shared" si="39"/>
        <v/>
      </c>
      <c r="S359" s="151">
        <f t="shared" si="40"/>
        <v>2.8439999999999999</v>
      </c>
      <c r="T359" s="151" t="str">
        <f t="shared" si="41"/>
        <v/>
      </c>
      <c r="U359" s="151" t="str">
        <f t="shared" si="42"/>
        <v/>
      </c>
      <c r="V359" s="108"/>
    </row>
    <row r="360" spans="1:22">
      <c r="A360" s="101"/>
      <c r="B360" s="152" t="s">
        <v>405</v>
      </c>
      <c r="C360" s="147"/>
      <c r="D360" s="148"/>
      <c r="E360" s="149"/>
      <c r="F360" s="150"/>
      <c r="G360" s="107">
        <v>16</v>
      </c>
      <c r="H360" s="108">
        <v>1</v>
      </c>
      <c r="I360" s="108">
        <v>8</v>
      </c>
      <c r="J360" s="118">
        <f>D355</f>
        <v>0.74299999999999999</v>
      </c>
      <c r="K360" s="119" t="str">
        <f t="shared" si="44"/>
        <v>0</v>
      </c>
      <c r="L360" s="120">
        <v>1</v>
      </c>
      <c r="M360" s="108">
        <f t="shared" si="45"/>
        <v>3.2000000000000001E-2</v>
      </c>
      <c r="N360" s="121">
        <f>J360+E360-M360</f>
        <v>0.71099999999999997</v>
      </c>
      <c r="O360" s="121">
        <f t="shared" si="43"/>
        <v>5.6879999999999997</v>
      </c>
      <c r="P360" s="151" t="str">
        <f t="shared" si="37"/>
        <v/>
      </c>
      <c r="Q360" s="151" t="str">
        <f t="shared" si="38"/>
        <v/>
      </c>
      <c r="R360" s="151" t="str">
        <f t="shared" si="39"/>
        <v/>
      </c>
      <c r="S360" s="151">
        <f t="shared" si="40"/>
        <v>5.6879999999999997</v>
      </c>
      <c r="T360" s="151" t="str">
        <f t="shared" si="41"/>
        <v/>
      </c>
      <c r="U360" s="151" t="str">
        <f t="shared" si="42"/>
        <v/>
      </c>
      <c r="V360" s="108"/>
    </row>
    <row r="361" spans="1:22">
      <c r="A361" s="101"/>
      <c r="B361" s="152" t="s">
        <v>407</v>
      </c>
      <c r="C361" s="147"/>
      <c r="D361" s="148"/>
      <c r="E361" s="149"/>
      <c r="F361" s="150"/>
      <c r="G361" s="107">
        <v>16</v>
      </c>
      <c r="H361" s="108">
        <v>1</v>
      </c>
      <c r="I361" s="108">
        <v>6</v>
      </c>
      <c r="J361" s="118">
        <f>D355</f>
        <v>0.74299999999999999</v>
      </c>
      <c r="K361" s="119" t="str">
        <f t="shared" si="44"/>
        <v>0</v>
      </c>
      <c r="L361" s="120">
        <v>1</v>
      </c>
      <c r="M361" s="108">
        <f t="shared" si="45"/>
        <v>3.2000000000000001E-2</v>
      </c>
      <c r="N361" s="121">
        <f>J361+E361-M361</f>
        <v>0.71099999999999997</v>
      </c>
      <c r="O361" s="121">
        <f t="shared" si="43"/>
        <v>4.266</v>
      </c>
      <c r="P361" s="151" t="str">
        <f t="shared" si="37"/>
        <v/>
      </c>
      <c r="Q361" s="151" t="str">
        <f t="shared" si="38"/>
        <v/>
      </c>
      <c r="R361" s="151" t="str">
        <f t="shared" si="39"/>
        <v/>
      </c>
      <c r="S361" s="151">
        <f t="shared" si="40"/>
        <v>4.266</v>
      </c>
      <c r="T361" s="151" t="str">
        <f t="shared" si="41"/>
        <v/>
      </c>
      <c r="U361" s="151" t="str">
        <f t="shared" si="42"/>
        <v/>
      </c>
      <c r="V361" s="108"/>
    </row>
    <row r="362" spans="1:22">
      <c r="A362" s="101"/>
      <c r="B362" s="152"/>
      <c r="C362" s="147"/>
      <c r="D362" s="148"/>
      <c r="E362" s="149"/>
      <c r="F362" s="150"/>
      <c r="G362" s="107"/>
      <c r="H362" s="108"/>
      <c r="I362" s="108"/>
      <c r="J362" s="118"/>
      <c r="K362" s="119"/>
      <c r="L362" s="120"/>
      <c r="M362" s="108"/>
      <c r="N362" s="121"/>
      <c r="O362" s="121"/>
      <c r="P362" s="151"/>
      <c r="Q362" s="151"/>
      <c r="R362" s="151"/>
      <c r="S362" s="151"/>
      <c r="T362" s="151"/>
      <c r="U362" s="151"/>
      <c r="V362" s="108"/>
    </row>
    <row r="363" spans="1:22">
      <c r="A363" s="101"/>
      <c r="B363" s="101"/>
      <c r="C363" s="156">
        <v>0.08</v>
      </c>
      <c r="D363" s="148"/>
      <c r="E363" s="149"/>
      <c r="F363" s="150"/>
      <c r="G363" s="107"/>
      <c r="H363" s="108"/>
      <c r="I363" s="108"/>
      <c r="J363" s="109"/>
      <c r="K363" s="108"/>
      <c r="L363" s="108"/>
      <c r="M363" s="108"/>
      <c r="N363" s="108"/>
      <c r="O363" s="110"/>
      <c r="P363" s="151" t="str">
        <f t="shared" si="37"/>
        <v/>
      </c>
      <c r="Q363" s="151" t="str">
        <f t="shared" si="38"/>
        <v/>
      </c>
      <c r="R363" s="151" t="str">
        <f t="shared" si="39"/>
        <v/>
      </c>
      <c r="S363" s="151" t="str">
        <f t="shared" si="40"/>
        <v/>
      </c>
      <c r="T363" s="151" t="str">
        <f t="shared" si="41"/>
        <v/>
      </c>
      <c r="U363" s="151" t="str">
        <f t="shared" si="42"/>
        <v/>
      </c>
      <c r="V363" s="108"/>
    </row>
    <row r="364" spans="1:22">
      <c r="A364" s="101"/>
      <c r="B364" s="157" t="s">
        <v>386</v>
      </c>
      <c r="C364" s="158"/>
      <c r="D364" s="148"/>
      <c r="E364" s="159">
        <f>1.7-0.05</f>
        <v>1.65</v>
      </c>
      <c r="F364" s="150"/>
      <c r="G364" s="107">
        <v>10</v>
      </c>
      <c r="H364" s="108">
        <v>1</v>
      </c>
      <c r="I364" s="108">
        <v>4</v>
      </c>
      <c r="J364" s="160">
        <f>2*(D366+E364)+2*8*G364/1000</f>
        <v>3.82</v>
      </c>
      <c r="K364" s="108"/>
      <c r="L364" s="108">
        <v>5</v>
      </c>
      <c r="M364" s="121">
        <f>2*G364*L364/1000</f>
        <v>0.1</v>
      </c>
      <c r="N364" s="121">
        <f>(J364+K364-M364)</f>
        <v>3.7199999999999998</v>
      </c>
      <c r="O364" s="121">
        <f>(H364*I364*N364)</f>
        <v>14.879999999999999</v>
      </c>
      <c r="P364" s="151" t="str">
        <f t="shared" si="37"/>
        <v/>
      </c>
      <c r="Q364" s="151">
        <f t="shared" si="38"/>
        <v>14.879999999999999</v>
      </c>
      <c r="R364" s="151" t="str">
        <f t="shared" si="39"/>
        <v/>
      </c>
      <c r="S364" s="151" t="str">
        <f t="shared" si="40"/>
        <v/>
      </c>
      <c r="T364" s="151" t="str">
        <f t="shared" si="41"/>
        <v/>
      </c>
      <c r="U364" s="151" t="str">
        <f t="shared" si="42"/>
        <v/>
      </c>
      <c r="V364" s="108"/>
    </row>
    <row r="365" spans="1:22">
      <c r="A365" s="101"/>
      <c r="B365" s="157"/>
      <c r="C365" s="147"/>
      <c r="D365" s="148"/>
      <c r="E365" s="161"/>
      <c r="F365" s="150"/>
      <c r="G365" s="107"/>
      <c r="H365" s="108"/>
      <c r="I365" s="108"/>
      <c r="J365" s="109"/>
      <c r="K365" s="108"/>
      <c r="L365" s="108"/>
      <c r="M365" s="108"/>
      <c r="N365" s="108"/>
      <c r="O365" s="121"/>
      <c r="P365" s="151" t="str">
        <f t="shared" si="37"/>
        <v/>
      </c>
      <c r="Q365" s="151" t="str">
        <f t="shared" si="38"/>
        <v/>
      </c>
      <c r="R365" s="151" t="str">
        <f t="shared" si="39"/>
        <v/>
      </c>
      <c r="S365" s="151" t="str">
        <f t="shared" si="40"/>
        <v/>
      </c>
      <c r="T365" s="151" t="str">
        <f t="shared" si="41"/>
        <v/>
      </c>
      <c r="U365" s="151" t="str">
        <f t="shared" si="42"/>
        <v/>
      </c>
      <c r="V365" s="108"/>
    </row>
    <row r="366" spans="1:22">
      <c r="A366" s="101"/>
      <c r="B366" s="157"/>
      <c r="C366" s="147"/>
      <c r="D366" s="118">
        <f>0.23-0.05</f>
        <v>0.18</v>
      </c>
      <c r="E366" s="149"/>
      <c r="F366" s="150"/>
      <c r="G366" s="107"/>
      <c r="H366" s="108"/>
      <c r="I366" s="108"/>
      <c r="J366" s="109"/>
      <c r="K366" s="108"/>
      <c r="L366" s="108"/>
      <c r="M366" s="108"/>
      <c r="N366" s="108"/>
      <c r="O366" s="121"/>
      <c r="P366" s="151" t="str">
        <f t="shared" si="37"/>
        <v/>
      </c>
      <c r="Q366" s="151" t="str">
        <f t="shared" si="38"/>
        <v/>
      </c>
      <c r="R366" s="151" t="str">
        <f t="shared" si="39"/>
        <v/>
      </c>
      <c r="S366" s="151" t="str">
        <f t="shared" si="40"/>
        <v/>
      </c>
      <c r="T366" s="151" t="str">
        <f t="shared" si="41"/>
        <v/>
      </c>
      <c r="U366" s="151" t="str">
        <f t="shared" si="42"/>
        <v/>
      </c>
      <c r="V366" s="108"/>
    </row>
    <row r="367" spans="1:22">
      <c r="A367" s="101"/>
      <c r="B367" s="152"/>
      <c r="C367" s="147"/>
      <c r="D367" s="148"/>
      <c r="E367" s="149"/>
      <c r="F367" s="150"/>
      <c r="G367" s="107"/>
      <c r="H367" s="108"/>
      <c r="I367" s="108"/>
      <c r="J367" s="109"/>
      <c r="K367" s="108"/>
      <c r="L367" s="108"/>
      <c r="M367" s="108"/>
      <c r="N367" s="108"/>
      <c r="O367" s="121"/>
      <c r="P367" s="151" t="str">
        <f t="shared" si="37"/>
        <v/>
      </c>
      <c r="Q367" s="151" t="str">
        <f t="shared" si="38"/>
        <v/>
      </c>
      <c r="R367" s="151" t="str">
        <f t="shared" si="39"/>
        <v/>
      </c>
      <c r="S367" s="151" t="str">
        <f t="shared" si="40"/>
        <v/>
      </c>
      <c r="T367" s="151" t="str">
        <f t="shared" si="41"/>
        <v/>
      </c>
      <c r="U367" s="151" t="str">
        <f t="shared" si="42"/>
        <v/>
      </c>
      <c r="V367" s="108"/>
    </row>
    <row r="368" spans="1:22">
      <c r="A368" s="101"/>
      <c r="B368" s="101"/>
      <c r="C368" s="156">
        <v>0.08</v>
      </c>
      <c r="D368" s="148"/>
      <c r="E368" s="149"/>
      <c r="F368" s="150"/>
      <c r="G368" s="107"/>
      <c r="H368" s="108"/>
      <c r="I368" s="108"/>
      <c r="J368" s="109"/>
      <c r="K368" s="108"/>
      <c r="L368" s="108"/>
      <c r="M368" s="108"/>
      <c r="N368" s="108"/>
      <c r="O368" s="121"/>
      <c r="P368" s="151" t="str">
        <f t="shared" si="37"/>
        <v/>
      </c>
      <c r="Q368" s="151" t="str">
        <f t="shared" si="38"/>
        <v/>
      </c>
      <c r="R368" s="151" t="str">
        <f t="shared" si="39"/>
        <v/>
      </c>
      <c r="S368" s="151" t="str">
        <f t="shared" si="40"/>
        <v/>
      </c>
      <c r="T368" s="151" t="str">
        <f t="shared" si="41"/>
        <v/>
      </c>
      <c r="U368" s="151" t="str">
        <f t="shared" si="42"/>
        <v/>
      </c>
      <c r="V368" s="108"/>
    </row>
    <row r="369" spans="1:22">
      <c r="A369" s="101"/>
      <c r="B369" s="157" t="s">
        <v>387</v>
      </c>
      <c r="C369" s="158"/>
      <c r="D369" s="148"/>
      <c r="E369" s="159">
        <f>((1.7-0.05-0.02)/16)+0.016+0.02</f>
        <v>0.137875</v>
      </c>
      <c r="F369" s="150"/>
      <c r="G369" s="107">
        <v>10</v>
      </c>
      <c r="H369" s="108">
        <v>1</v>
      </c>
      <c r="I369" s="108">
        <f>1*6</f>
        <v>6</v>
      </c>
      <c r="J369" s="160">
        <f>2*(D371+E369)+2*8*G369/1000</f>
        <v>0.79575000000000007</v>
      </c>
      <c r="K369" s="108"/>
      <c r="L369" s="108">
        <v>5</v>
      </c>
      <c r="M369" s="121">
        <f>2*G369*L369/1000</f>
        <v>0.1</v>
      </c>
      <c r="N369" s="121">
        <f>(J369+K369-M369)</f>
        <v>0.69575000000000009</v>
      </c>
      <c r="O369" s="121">
        <f>(H369*I369*N369)</f>
        <v>4.1745000000000001</v>
      </c>
      <c r="P369" s="151" t="str">
        <f t="shared" si="37"/>
        <v/>
      </c>
      <c r="Q369" s="151">
        <f t="shared" si="38"/>
        <v>4.1745000000000001</v>
      </c>
      <c r="R369" s="151" t="str">
        <f t="shared" si="39"/>
        <v/>
      </c>
      <c r="S369" s="151" t="str">
        <f t="shared" si="40"/>
        <v/>
      </c>
      <c r="T369" s="151" t="str">
        <f t="shared" si="41"/>
        <v/>
      </c>
      <c r="U369" s="151" t="str">
        <f t="shared" si="42"/>
        <v/>
      </c>
      <c r="V369" s="108"/>
    </row>
    <row r="370" spans="1:22">
      <c r="A370" s="101"/>
      <c r="B370" s="157"/>
      <c r="C370" s="147"/>
      <c r="D370" s="148"/>
      <c r="E370" s="161"/>
      <c r="F370" s="150"/>
      <c r="G370" s="107"/>
      <c r="H370" s="108"/>
      <c r="I370" s="108"/>
      <c r="J370" s="109"/>
      <c r="K370" s="108"/>
      <c r="L370" s="108"/>
      <c r="M370" s="108"/>
      <c r="N370" s="108"/>
      <c r="O370" s="121"/>
      <c r="P370" s="151" t="str">
        <f t="shared" si="37"/>
        <v/>
      </c>
      <c r="Q370" s="151" t="str">
        <f t="shared" si="38"/>
        <v/>
      </c>
      <c r="R370" s="151" t="str">
        <f t="shared" si="39"/>
        <v/>
      </c>
      <c r="S370" s="151" t="str">
        <f t="shared" si="40"/>
        <v/>
      </c>
      <c r="T370" s="151" t="str">
        <f t="shared" si="41"/>
        <v/>
      </c>
      <c r="U370" s="151" t="str">
        <f t="shared" si="42"/>
        <v/>
      </c>
      <c r="V370" s="108"/>
    </row>
    <row r="371" spans="1:22">
      <c r="A371" s="101"/>
      <c r="B371" s="157"/>
      <c r="C371" s="147"/>
      <c r="D371" s="118">
        <f>0.23-0.05</f>
        <v>0.18</v>
      </c>
      <c r="E371" s="149"/>
      <c r="F371" s="150"/>
      <c r="G371" s="107"/>
      <c r="H371" s="108"/>
      <c r="I371" s="108"/>
      <c r="J371" s="109"/>
      <c r="K371" s="108"/>
      <c r="L371" s="108"/>
      <c r="M371" s="108"/>
      <c r="N371" s="108"/>
      <c r="O371" s="121"/>
      <c r="P371" s="151" t="str">
        <f t="shared" si="37"/>
        <v/>
      </c>
      <c r="Q371" s="151" t="str">
        <f t="shared" si="38"/>
        <v/>
      </c>
      <c r="R371" s="151" t="str">
        <f t="shared" si="39"/>
        <v/>
      </c>
      <c r="S371" s="151" t="str">
        <f t="shared" si="40"/>
        <v/>
      </c>
      <c r="T371" s="151" t="str">
        <f t="shared" si="41"/>
        <v/>
      </c>
      <c r="U371" s="151" t="str">
        <f t="shared" si="42"/>
        <v/>
      </c>
      <c r="V371" s="108"/>
    </row>
    <row r="372" spans="1:22">
      <c r="A372" s="101"/>
      <c r="B372" s="152"/>
      <c r="C372" s="147"/>
      <c r="D372" s="148"/>
      <c r="E372" s="149"/>
      <c r="F372" s="150"/>
      <c r="G372" s="107"/>
      <c r="H372" s="108"/>
      <c r="I372" s="108"/>
      <c r="J372" s="109"/>
      <c r="K372" s="108"/>
      <c r="L372" s="108"/>
      <c r="M372" s="108"/>
      <c r="N372" s="108"/>
      <c r="O372" s="121"/>
      <c r="P372" s="151" t="str">
        <f t="shared" si="37"/>
        <v/>
      </c>
      <c r="Q372" s="151" t="str">
        <f t="shared" si="38"/>
        <v/>
      </c>
      <c r="R372" s="151" t="str">
        <f t="shared" si="39"/>
        <v/>
      </c>
      <c r="S372" s="151" t="str">
        <f t="shared" si="40"/>
        <v/>
      </c>
      <c r="T372" s="151" t="str">
        <f t="shared" si="41"/>
        <v/>
      </c>
      <c r="U372" s="151" t="str">
        <f t="shared" si="42"/>
        <v/>
      </c>
      <c r="V372" s="108"/>
    </row>
    <row r="373" spans="1:22">
      <c r="A373" s="101"/>
      <c r="B373" s="101"/>
      <c r="C373" s="156">
        <v>0.08</v>
      </c>
      <c r="D373" s="148"/>
      <c r="E373" s="149"/>
      <c r="F373" s="150"/>
      <c r="G373" s="107"/>
      <c r="H373" s="108"/>
      <c r="I373" s="108"/>
      <c r="J373" s="109"/>
      <c r="K373" s="108"/>
      <c r="L373" s="108"/>
      <c r="M373" s="108"/>
      <c r="N373" s="108"/>
      <c r="O373" s="121"/>
      <c r="P373" s="151" t="str">
        <f t="shared" si="37"/>
        <v/>
      </c>
      <c r="Q373" s="151" t="str">
        <f t="shared" si="38"/>
        <v/>
      </c>
      <c r="R373" s="151" t="str">
        <f t="shared" si="39"/>
        <v/>
      </c>
      <c r="S373" s="151" t="str">
        <f t="shared" si="40"/>
        <v/>
      </c>
      <c r="T373" s="151" t="str">
        <f t="shared" si="41"/>
        <v/>
      </c>
      <c r="U373" s="151" t="str">
        <f t="shared" si="42"/>
        <v/>
      </c>
      <c r="V373" s="108"/>
    </row>
    <row r="374" spans="1:22">
      <c r="A374" s="101"/>
      <c r="B374" s="157" t="s">
        <v>388</v>
      </c>
      <c r="C374" s="158"/>
      <c r="D374" s="148"/>
      <c r="E374" s="159">
        <f>((1.7-0.05-0.02)/16)*2+0.016+0.02</f>
        <v>0.23974999999999999</v>
      </c>
      <c r="F374" s="150"/>
      <c r="G374" s="107">
        <v>10</v>
      </c>
      <c r="H374" s="108">
        <v>1</v>
      </c>
      <c r="I374" s="108">
        <f>1*6</f>
        <v>6</v>
      </c>
      <c r="J374" s="160">
        <f>2*(D376+E374)+2*8*G374/1000</f>
        <v>0.99949999999999994</v>
      </c>
      <c r="K374" s="108"/>
      <c r="L374" s="108">
        <v>5</v>
      </c>
      <c r="M374" s="121">
        <f>2*G374*L374/1000</f>
        <v>0.1</v>
      </c>
      <c r="N374" s="121">
        <f>(J374+K374-M374)</f>
        <v>0.89949999999999997</v>
      </c>
      <c r="O374" s="121">
        <f>(H374*I374*N374)</f>
        <v>5.3970000000000002</v>
      </c>
      <c r="P374" s="151" t="str">
        <f t="shared" si="37"/>
        <v/>
      </c>
      <c r="Q374" s="151">
        <f t="shared" si="38"/>
        <v>5.3970000000000002</v>
      </c>
      <c r="R374" s="151" t="str">
        <f t="shared" si="39"/>
        <v/>
      </c>
      <c r="S374" s="151" t="str">
        <f t="shared" si="40"/>
        <v/>
      </c>
      <c r="T374" s="151" t="str">
        <f t="shared" si="41"/>
        <v/>
      </c>
      <c r="U374" s="151" t="str">
        <f t="shared" si="42"/>
        <v/>
      </c>
      <c r="V374" s="108"/>
    </row>
    <row r="375" spans="1:22">
      <c r="A375" s="101"/>
      <c r="B375" s="157"/>
      <c r="C375" s="147"/>
      <c r="D375" s="148"/>
      <c r="E375" s="161"/>
      <c r="F375" s="150"/>
      <c r="G375" s="107"/>
      <c r="H375" s="108"/>
      <c r="I375" s="108"/>
      <c r="J375" s="109"/>
      <c r="K375" s="108"/>
      <c r="L375" s="108"/>
      <c r="M375" s="108"/>
      <c r="N375" s="108"/>
      <c r="O375" s="121"/>
      <c r="P375" s="151" t="str">
        <f t="shared" si="37"/>
        <v/>
      </c>
      <c r="Q375" s="151" t="str">
        <f t="shared" si="38"/>
        <v/>
      </c>
      <c r="R375" s="151" t="str">
        <f t="shared" si="39"/>
        <v/>
      </c>
      <c r="S375" s="151" t="str">
        <f t="shared" si="40"/>
        <v/>
      </c>
      <c r="T375" s="151" t="str">
        <f t="shared" si="41"/>
        <v/>
      </c>
      <c r="U375" s="151" t="str">
        <f t="shared" si="42"/>
        <v/>
      </c>
      <c r="V375" s="108"/>
    </row>
    <row r="376" spans="1:22">
      <c r="A376" s="101"/>
      <c r="B376" s="157"/>
      <c r="C376" s="147"/>
      <c r="D376" s="118">
        <f>0.23-0.05</f>
        <v>0.18</v>
      </c>
      <c r="E376" s="149"/>
      <c r="F376" s="150"/>
      <c r="G376" s="107"/>
      <c r="H376" s="108"/>
      <c r="I376" s="108"/>
      <c r="J376" s="109"/>
      <c r="K376" s="108"/>
      <c r="L376" s="108"/>
      <c r="M376" s="108"/>
      <c r="N376" s="108"/>
      <c r="O376" s="121"/>
      <c r="P376" s="151" t="str">
        <f t="shared" si="37"/>
        <v/>
      </c>
      <c r="Q376" s="151" t="str">
        <f t="shared" si="38"/>
        <v/>
      </c>
      <c r="R376" s="151" t="str">
        <f t="shared" si="39"/>
        <v/>
      </c>
      <c r="S376" s="151" t="str">
        <f t="shared" si="40"/>
        <v/>
      </c>
      <c r="T376" s="151" t="str">
        <f t="shared" si="41"/>
        <v/>
      </c>
      <c r="U376" s="151" t="str">
        <f t="shared" si="42"/>
        <v/>
      </c>
      <c r="V376" s="108"/>
    </row>
    <row r="377" spans="1:22">
      <c r="A377" s="101"/>
      <c r="B377" s="152"/>
      <c r="C377" s="147"/>
      <c r="D377" s="148"/>
      <c r="E377" s="149"/>
      <c r="F377" s="150"/>
      <c r="G377" s="107"/>
      <c r="H377" s="108"/>
      <c r="I377" s="108"/>
      <c r="J377" s="109"/>
      <c r="K377" s="108"/>
      <c r="L377" s="108"/>
      <c r="M377" s="108"/>
      <c r="N377" s="108"/>
      <c r="O377" s="110"/>
      <c r="P377" s="151" t="str">
        <f t="shared" si="37"/>
        <v/>
      </c>
      <c r="Q377" s="151" t="str">
        <f t="shared" si="38"/>
        <v/>
      </c>
      <c r="R377" s="151" t="str">
        <f t="shared" si="39"/>
        <v/>
      </c>
      <c r="S377" s="151" t="str">
        <f t="shared" si="40"/>
        <v/>
      </c>
      <c r="T377" s="151" t="str">
        <f t="shared" si="41"/>
        <v/>
      </c>
      <c r="U377" s="151" t="str">
        <f t="shared" si="42"/>
        <v/>
      </c>
      <c r="V377" s="108"/>
    </row>
    <row r="378" spans="1:22">
      <c r="A378" s="101"/>
      <c r="B378" s="152"/>
      <c r="C378" s="147"/>
      <c r="D378" s="148"/>
      <c r="E378" s="155">
        <v>0.08</v>
      </c>
      <c r="F378" s="150"/>
      <c r="G378" s="107"/>
      <c r="H378" s="108"/>
      <c r="I378" s="108"/>
      <c r="J378" s="109"/>
      <c r="K378" s="108"/>
      <c r="L378" s="108"/>
      <c r="M378" s="108"/>
      <c r="N378" s="108"/>
      <c r="O378" s="110"/>
      <c r="P378" s="151" t="str">
        <f t="shared" si="37"/>
        <v/>
      </c>
      <c r="Q378" s="151" t="str">
        <f t="shared" si="38"/>
        <v/>
      </c>
      <c r="R378" s="151" t="str">
        <f t="shared" si="39"/>
        <v/>
      </c>
      <c r="S378" s="151" t="str">
        <f t="shared" si="40"/>
        <v/>
      </c>
      <c r="T378" s="151" t="str">
        <f t="shared" si="41"/>
        <v/>
      </c>
      <c r="U378" s="151" t="str">
        <f t="shared" si="42"/>
        <v/>
      </c>
      <c r="V378" s="108"/>
    </row>
    <row r="379" spans="1:22">
      <c r="A379" s="101"/>
      <c r="B379" s="157" t="s">
        <v>389</v>
      </c>
      <c r="C379" s="147"/>
      <c r="D379" s="153">
        <f>0.23-0.05</f>
        <v>0.18</v>
      </c>
      <c r="E379" s="155"/>
      <c r="F379" s="150"/>
      <c r="G379" s="107">
        <v>10</v>
      </c>
      <c r="H379" s="108">
        <v>1</v>
      </c>
      <c r="I379" s="108">
        <v>1</v>
      </c>
      <c r="J379" s="160">
        <f>D379+E378+E380</f>
        <v>0.34</v>
      </c>
      <c r="K379" s="108"/>
      <c r="L379" s="108">
        <v>2</v>
      </c>
      <c r="M379" s="121">
        <f>2*G379*L379/1000</f>
        <v>0.04</v>
      </c>
      <c r="N379" s="121">
        <f>(J379+K379-M379)</f>
        <v>0.30000000000000004</v>
      </c>
      <c r="O379" s="121">
        <f>(H379*I379*N379)</f>
        <v>0.30000000000000004</v>
      </c>
      <c r="P379" s="151" t="str">
        <f t="shared" si="37"/>
        <v/>
      </c>
      <c r="Q379" s="151">
        <f t="shared" si="38"/>
        <v>0.30000000000000004</v>
      </c>
      <c r="R379" s="151" t="str">
        <f t="shared" si="39"/>
        <v/>
      </c>
      <c r="S379" s="151" t="str">
        <f t="shared" si="40"/>
        <v/>
      </c>
      <c r="T379" s="151" t="str">
        <f t="shared" si="41"/>
        <v/>
      </c>
      <c r="U379" s="151" t="str">
        <f t="shared" si="42"/>
        <v/>
      </c>
      <c r="V379" s="108"/>
    </row>
    <row r="380" spans="1:22">
      <c r="A380" s="101"/>
      <c r="B380" s="152"/>
      <c r="C380" s="147"/>
      <c r="D380" s="148"/>
      <c r="E380" s="155">
        <v>0.08</v>
      </c>
      <c r="F380" s="150"/>
      <c r="G380" s="107"/>
      <c r="H380" s="108"/>
      <c r="I380" s="108"/>
      <c r="J380" s="109"/>
      <c r="K380" s="108"/>
      <c r="L380" s="108"/>
      <c r="M380" s="108"/>
      <c r="N380" s="108"/>
      <c r="O380" s="110"/>
      <c r="P380" s="151" t="str">
        <f t="shared" si="37"/>
        <v/>
      </c>
      <c r="Q380" s="151" t="str">
        <f t="shared" si="38"/>
        <v/>
      </c>
      <c r="R380" s="151" t="str">
        <f t="shared" si="39"/>
        <v/>
      </c>
      <c r="S380" s="151" t="str">
        <f t="shared" si="40"/>
        <v/>
      </c>
      <c r="T380" s="151" t="str">
        <f t="shared" si="41"/>
        <v/>
      </c>
      <c r="U380" s="151" t="str">
        <f t="shared" si="42"/>
        <v/>
      </c>
      <c r="V380" s="108"/>
    </row>
    <row r="381" spans="1:22">
      <c r="A381" s="101"/>
      <c r="B381" s="157"/>
      <c r="C381" s="147"/>
      <c r="D381" s="163"/>
      <c r="E381" s="149"/>
      <c r="F381" s="150"/>
      <c r="G381" s="107"/>
      <c r="H381" s="108"/>
      <c r="I381" s="108"/>
      <c r="J381" s="109"/>
      <c r="K381" s="108"/>
      <c r="L381" s="108"/>
      <c r="M381" s="108"/>
      <c r="N381" s="108"/>
      <c r="O381" s="110"/>
      <c r="P381" s="151" t="str">
        <f t="shared" si="37"/>
        <v/>
      </c>
      <c r="Q381" s="151" t="str">
        <f t="shared" si="38"/>
        <v/>
      </c>
      <c r="R381" s="151" t="str">
        <f t="shared" si="39"/>
        <v/>
      </c>
      <c r="S381" s="151" t="str">
        <f t="shared" si="40"/>
        <v/>
      </c>
      <c r="T381" s="151" t="str">
        <f t="shared" si="41"/>
        <v/>
      </c>
      <c r="U381" s="151" t="str">
        <f t="shared" si="42"/>
        <v/>
      </c>
      <c r="V381" s="108"/>
    </row>
    <row r="382" spans="1:22">
      <c r="A382" s="101">
        <v>14</v>
      </c>
      <c r="B382" s="101" t="s">
        <v>408</v>
      </c>
      <c r="C382" s="147"/>
      <c r="D382" s="148"/>
      <c r="E382" s="149"/>
      <c r="F382" s="150"/>
      <c r="G382" s="107"/>
      <c r="H382" s="108"/>
      <c r="I382" s="108"/>
      <c r="J382" s="118"/>
      <c r="K382" s="121"/>
      <c r="L382" s="121"/>
      <c r="M382" s="108"/>
      <c r="N382" s="121"/>
      <c r="O382" s="121"/>
      <c r="P382" s="151" t="str">
        <f>IF($G382=8,$O382,"")</f>
        <v/>
      </c>
      <c r="Q382" s="151" t="str">
        <f>IF($G382=10,$O382,"")</f>
        <v/>
      </c>
      <c r="R382" s="151" t="str">
        <f>IF($G382=12,$O382,"")</f>
        <v/>
      </c>
      <c r="S382" s="151" t="str">
        <f>IF($G382=16,$O382,"")</f>
        <v/>
      </c>
      <c r="T382" s="151" t="str">
        <f>IF($G382=20,$O382,"")</f>
        <v/>
      </c>
      <c r="U382" s="151" t="str">
        <f>IF($G382=25,$O382,"")</f>
        <v/>
      </c>
      <c r="V382" s="108"/>
    </row>
    <row r="383" spans="1:22">
      <c r="A383" s="101"/>
      <c r="B383" s="152" t="s">
        <v>382</v>
      </c>
      <c r="C383" s="147"/>
      <c r="D383" s="153">
        <f>0.85-0.075-2*0.016</f>
        <v>0.74299999999999999</v>
      </c>
      <c r="E383" s="149"/>
      <c r="F383" s="150"/>
      <c r="G383" s="107">
        <v>16</v>
      </c>
      <c r="H383" s="108">
        <v>1</v>
      </c>
      <c r="I383" s="108">
        <v>4</v>
      </c>
      <c r="J383" s="118">
        <f>D383</f>
        <v>0.74299999999999999</v>
      </c>
      <c r="K383" s="119" t="str">
        <f>IF(N383&lt;12,"0",0.049*G383)</f>
        <v>0</v>
      </c>
      <c r="L383" s="120">
        <v>1</v>
      </c>
      <c r="M383" s="108">
        <f>2*G383*L383/1000</f>
        <v>3.2000000000000001E-2</v>
      </c>
      <c r="N383" s="121">
        <f>J383+E385-M383</f>
        <v>1.0109999999999999</v>
      </c>
      <c r="O383" s="121">
        <f t="shared" ref="O383:O388" si="46">H383*I383*N383</f>
        <v>4.0439999999999996</v>
      </c>
      <c r="P383" s="151" t="str">
        <f t="shared" si="37"/>
        <v/>
      </c>
      <c r="Q383" s="151" t="str">
        <f t="shared" si="38"/>
        <v/>
      </c>
      <c r="R383" s="151" t="str">
        <f t="shared" si="39"/>
        <v/>
      </c>
      <c r="S383" s="151">
        <f t="shared" si="40"/>
        <v>4.0439999999999996</v>
      </c>
      <c r="T383" s="151" t="str">
        <f t="shared" si="41"/>
        <v/>
      </c>
      <c r="U383" s="151" t="str">
        <f t="shared" si="42"/>
        <v/>
      </c>
      <c r="V383" s="108"/>
    </row>
    <row r="384" spans="1:22">
      <c r="A384" s="101"/>
      <c r="B384" s="152" t="s">
        <v>383</v>
      </c>
      <c r="C384" s="147"/>
      <c r="D384" s="148"/>
      <c r="E384" s="149"/>
      <c r="F384" s="150"/>
      <c r="G384" s="107">
        <v>16</v>
      </c>
      <c r="H384" s="108">
        <v>1</v>
      </c>
      <c r="I384" s="108">
        <v>4</v>
      </c>
      <c r="J384" s="118">
        <f>D383</f>
        <v>0.74299999999999999</v>
      </c>
      <c r="K384" s="119" t="str">
        <f t="shared" ref="K384:K388" si="47">IF(N384&lt;12,"0",0.049*G384)</f>
        <v>0</v>
      </c>
      <c r="L384" s="120">
        <v>1</v>
      </c>
      <c r="M384" s="108">
        <f t="shared" ref="M384:M388" si="48">2*G384*L384/1000</f>
        <v>3.2000000000000001E-2</v>
      </c>
      <c r="N384" s="121">
        <f>J384+E385-M384</f>
        <v>1.0109999999999999</v>
      </c>
      <c r="O384" s="121">
        <f t="shared" si="46"/>
        <v>4.0439999999999996</v>
      </c>
      <c r="P384" s="151" t="str">
        <f t="shared" si="37"/>
        <v/>
      </c>
      <c r="Q384" s="151" t="str">
        <f t="shared" si="38"/>
        <v/>
      </c>
      <c r="R384" s="151" t="str">
        <f t="shared" si="39"/>
        <v/>
      </c>
      <c r="S384" s="151">
        <f t="shared" si="40"/>
        <v>4.0439999999999996</v>
      </c>
      <c r="T384" s="151" t="str">
        <f t="shared" si="41"/>
        <v/>
      </c>
      <c r="U384" s="151" t="str">
        <f t="shared" si="42"/>
        <v/>
      </c>
      <c r="V384" s="108"/>
    </row>
    <row r="385" spans="1:22">
      <c r="A385" s="101"/>
      <c r="B385" s="152" t="s">
        <v>384</v>
      </c>
      <c r="C385" s="154"/>
      <c r="D385" s="153"/>
      <c r="E385" s="155">
        <v>0.3</v>
      </c>
      <c r="F385" s="150"/>
      <c r="G385" s="107">
        <v>16</v>
      </c>
      <c r="H385" s="108">
        <v>1</v>
      </c>
      <c r="I385" s="108">
        <v>4</v>
      </c>
      <c r="J385" s="118">
        <f>D383</f>
        <v>0.74299999999999999</v>
      </c>
      <c r="K385" s="119" t="str">
        <f t="shared" si="47"/>
        <v>0</v>
      </c>
      <c r="L385" s="120">
        <v>1</v>
      </c>
      <c r="M385" s="108">
        <f t="shared" si="48"/>
        <v>3.2000000000000001E-2</v>
      </c>
      <c r="N385" s="121">
        <f>J385+E385-M385</f>
        <v>1.0109999999999999</v>
      </c>
      <c r="O385" s="121">
        <f t="shared" si="46"/>
        <v>4.0439999999999996</v>
      </c>
      <c r="P385" s="151" t="str">
        <f t="shared" si="37"/>
        <v/>
      </c>
      <c r="Q385" s="151" t="str">
        <f t="shared" si="38"/>
        <v/>
      </c>
      <c r="R385" s="151" t="str">
        <f t="shared" si="39"/>
        <v/>
      </c>
      <c r="S385" s="151">
        <f t="shared" si="40"/>
        <v>4.0439999999999996</v>
      </c>
      <c r="T385" s="151" t="str">
        <f t="shared" si="41"/>
        <v/>
      </c>
      <c r="U385" s="151" t="str">
        <f t="shared" si="42"/>
        <v/>
      </c>
      <c r="V385" s="108"/>
    </row>
    <row r="386" spans="1:22">
      <c r="A386" s="101"/>
      <c r="B386" s="152" t="s">
        <v>385</v>
      </c>
      <c r="C386" s="147"/>
      <c r="D386" s="148"/>
      <c r="E386" s="149"/>
      <c r="F386" s="150"/>
      <c r="G386" s="107">
        <v>12</v>
      </c>
      <c r="H386" s="108">
        <v>1</v>
      </c>
      <c r="I386" s="108">
        <v>4</v>
      </c>
      <c r="J386" s="118">
        <f>D383</f>
        <v>0.74299999999999999</v>
      </c>
      <c r="K386" s="119" t="str">
        <f t="shared" si="47"/>
        <v>0</v>
      </c>
      <c r="L386" s="120">
        <v>1</v>
      </c>
      <c r="M386" s="108">
        <f t="shared" si="48"/>
        <v>2.4E-2</v>
      </c>
      <c r="N386" s="121">
        <f>J386+E386-M386</f>
        <v>0.71899999999999997</v>
      </c>
      <c r="O386" s="121">
        <f t="shared" si="46"/>
        <v>2.8759999999999999</v>
      </c>
      <c r="P386" s="151" t="str">
        <f t="shared" si="37"/>
        <v/>
      </c>
      <c r="Q386" s="151" t="str">
        <f t="shared" si="38"/>
        <v/>
      </c>
      <c r="R386" s="151">
        <f t="shared" si="39"/>
        <v>2.8759999999999999</v>
      </c>
      <c r="S386" s="151" t="str">
        <f t="shared" si="40"/>
        <v/>
      </c>
      <c r="T386" s="151" t="str">
        <f t="shared" si="41"/>
        <v/>
      </c>
      <c r="U386" s="151" t="str">
        <f t="shared" si="42"/>
        <v/>
      </c>
      <c r="V386" s="108"/>
    </row>
    <row r="387" spans="1:22">
      <c r="A387" s="101"/>
      <c r="B387" s="152" t="s">
        <v>393</v>
      </c>
      <c r="C387" s="147"/>
      <c r="D387" s="148"/>
      <c r="E387" s="149"/>
      <c r="F387" s="150"/>
      <c r="G387" s="107">
        <v>12</v>
      </c>
      <c r="H387" s="108">
        <v>1</v>
      </c>
      <c r="I387" s="108">
        <v>4</v>
      </c>
      <c r="J387" s="118">
        <f>D383</f>
        <v>0.74299999999999999</v>
      </c>
      <c r="K387" s="119" t="str">
        <f t="shared" si="47"/>
        <v>0</v>
      </c>
      <c r="L387" s="120">
        <v>1</v>
      </c>
      <c r="M387" s="108">
        <f t="shared" si="48"/>
        <v>2.4E-2</v>
      </c>
      <c r="N387" s="121">
        <f>J387+E387-M387</f>
        <v>0.71899999999999997</v>
      </c>
      <c r="O387" s="121">
        <f t="shared" si="46"/>
        <v>2.8759999999999999</v>
      </c>
      <c r="P387" s="151" t="str">
        <f t="shared" si="37"/>
        <v/>
      </c>
      <c r="Q387" s="151" t="str">
        <f t="shared" si="38"/>
        <v/>
      </c>
      <c r="R387" s="151">
        <f t="shared" si="39"/>
        <v>2.8759999999999999</v>
      </c>
      <c r="S387" s="151" t="str">
        <f t="shared" si="40"/>
        <v/>
      </c>
      <c r="T387" s="151" t="str">
        <f t="shared" si="41"/>
        <v/>
      </c>
      <c r="U387" s="151" t="str">
        <f t="shared" si="42"/>
        <v/>
      </c>
      <c r="V387" s="108"/>
    </row>
    <row r="388" spans="1:22">
      <c r="A388" s="101"/>
      <c r="B388" s="152" t="s">
        <v>405</v>
      </c>
      <c r="C388" s="147"/>
      <c r="D388" s="148"/>
      <c r="E388" s="149"/>
      <c r="F388" s="150"/>
      <c r="G388" s="107">
        <v>12</v>
      </c>
      <c r="H388" s="108">
        <v>1</v>
      </c>
      <c r="I388" s="108">
        <v>4</v>
      </c>
      <c r="J388" s="118">
        <f>D383</f>
        <v>0.74299999999999999</v>
      </c>
      <c r="K388" s="119" t="str">
        <f t="shared" si="47"/>
        <v>0</v>
      </c>
      <c r="L388" s="120">
        <v>1</v>
      </c>
      <c r="M388" s="108">
        <f t="shared" si="48"/>
        <v>2.4E-2</v>
      </c>
      <c r="N388" s="121">
        <f>J388+E388-M388</f>
        <v>0.71899999999999997</v>
      </c>
      <c r="O388" s="121">
        <f t="shared" si="46"/>
        <v>2.8759999999999999</v>
      </c>
      <c r="P388" s="151" t="str">
        <f t="shared" si="37"/>
        <v/>
      </c>
      <c r="Q388" s="151" t="str">
        <f t="shared" si="38"/>
        <v/>
      </c>
      <c r="R388" s="151">
        <f t="shared" si="39"/>
        <v>2.8759999999999999</v>
      </c>
      <c r="S388" s="151" t="str">
        <f t="shared" si="40"/>
        <v/>
      </c>
      <c r="T388" s="151" t="str">
        <f t="shared" si="41"/>
        <v/>
      </c>
      <c r="U388" s="151" t="str">
        <f t="shared" si="42"/>
        <v/>
      </c>
      <c r="V388" s="108"/>
    </row>
    <row r="389" spans="1:22">
      <c r="A389" s="101"/>
      <c r="B389" s="152"/>
      <c r="C389" s="147"/>
      <c r="D389" s="148"/>
      <c r="E389" s="149"/>
      <c r="F389" s="150"/>
      <c r="G389" s="107"/>
      <c r="H389" s="108"/>
      <c r="I389" s="108"/>
      <c r="J389" s="118"/>
      <c r="K389" s="119"/>
      <c r="L389" s="120"/>
      <c r="M389" s="108"/>
      <c r="N389" s="121"/>
      <c r="O389" s="121"/>
      <c r="P389" s="151"/>
      <c r="Q389" s="151"/>
      <c r="R389" s="151"/>
      <c r="S389" s="151"/>
      <c r="T389" s="151"/>
      <c r="U389" s="151"/>
      <c r="V389" s="108"/>
    </row>
    <row r="390" spans="1:22">
      <c r="A390" s="101"/>
      <c r="B390" s="101"/>
      <c r="C390" s="156">
        <v>0.08</v>
      </c>
      <c r="D390" s="148"/>
      <c r="E390" s="149"/>
      <c r="F390" s="150"/>
      <c r="G390" s="107"/>
      <c r="H390" s="108"/>
      <c r="I390" s="108"/>
      <c r="J390" s="109"/>
      <c r="K390" s="108"/>
      <c r="L390" s="108"/>
      <c r="M390" s="108"/>
      <c r="N390" s="108"/>
      <c r="O390" s="110"/>
      <c r="P390" s="151" t="str">
        <f t="shared" ref="P390:P453" si="49">IF($G390=8,$O390,"")</f>
        <v/>
      </c>
      <c r="Q390" s="151" t="str">
        <f t="shared" ref="Q390:Q453" si="50">IF($G390=10,$O390,"")</f>
        <v/>
      </c>
      <c r="R390" s="151" t="str">
        <f t="shared" ref="R390:R453" si="51">IF($G390=12,$O390,"")</f>
        <v/>
      </c>
      <c r="S390" s="151" t="str">
        <f t="shared" ref="S390:S453" si="52">IF($G390=16,$O390,"")</f>
        <v/>
      </c>
      <c r="T390" s="151" t="str">
        <f t="shared" ref="T390:T453" si="53">IF($G390=20,$O390,"")</f>
        <v/>
      </c>
      <c r="U390" s="151" t="str">
        <f t="shared" ref="U390:U453" si="54">IF($G390=25,$O390,"")</f>
        <v/>
      </c>
      <c r="V390" s="108"/>
    </row>
    <row r="391" spans="1:22">
      <c r="A391" s="101"/>
      <c r="B391" s="157" t="s">
        <v>386</v>
      </c>
      <c r="C391" s="158"/>
      <c r="D391" s="148"/>
      <c r="E391" s="159">
        <f>1.185-0.05</f>
        <v>1.135</v>
      </c>
      <c r="F391" s="150"/>
      <c r="G391" s="107">
        <v>10</v>
      </c>
      <c r="H391" s="108">
        <v>1</v>
      </c>
      <c r="I391" s="108">
        <v>4</v>
      </c>
      <c r="J391" s="160">
        <f>2*(D393+E391)+2*8*G391/1000</f>
        <v>2.79</v>
      </c>
      <c r="K391" s="108"/>
      <c r="L391" s="108">
        <v>5</v>
      </c>
      <c r="M391" s="121">
        <f>2*G391*L391/1000</f>
        <v>0.1</v>
      </c>
      <c r="N391" s="121">
        <f>(J391+K391-M391)</f>
        <v>2.69</v>
      </c>
      <c r="O391" s="121">
        <f>(H391*I391*N391)</f>
        <v>10.76</v>
      </c>
      <c r="P391" s="151" t="str">
        <f t="shared" si="49"/>
        <v/>
      </c>
      <c r="Q391" s="151">
        <f t="shared" si="50"/>
        <v>10.76</v>
      </c>
      <c r="R391" s="151" t="str">
        <f t="shared" si="51"/>
        <v/>
      </c>
      <c r="S391" s="151" t="str">
        <f t="shared" si="52"/>
        <v/>
      </c>
      <c r="T391" s="151" t="str">
        <f t="shared" si="53"/>
        <v/>
      </c>
      <c r="U391" s="151" t="str">
        <f t="shared" si="54"/>
        <v/>
      </c>
      <c r="V391" s="108"/>
    </row>
    <row r="392" spans="1:22">
      <c r="A392" s="101"/>
      <c r="B392" s="157"/>
      <c r="C392" s="147"/>
      <c r="D392" s="148"/>
      <c r="E392" s="161"/>
      <c r="F392" s="150"/>
      <c r="G392" s="107"/>
      <c r="H392" s="108"/>
      <c r="I392" s="108"/>
      <c r="J392" s="109"/>
      <c r="K392" s="108"/>
      <c r="L392" s="108"/>
      <c r="M392" s="108"/>
      <c r="N392" s="108"/>
      <c r="O392" s="121"/>
      <c r="P392" s="151" t="str">
        <f t="shared" si="49"/>
        <v/>
      </c>
      <c r="Q392" s="151" t="str">
        <f t="shared" si="50"/>
        <v/>
      </c>
      <c r="R392" s="151" t="str">
        <f t="shared" si="51"/>
        <v/>
      </c>
      <c r="S392" s="151" t="str">
        <f t="shared" si="52"/>
        <v/>
      </c>
      <c r="T392" s="151" t="str">
        <f t="shared" si="53"/>
        <v/>
      </c>
      <c r="U392" s="151" t="str">
        <f t="shared" si="54"/>
        <v/>
      </c>
      <c r="V392" s="108"/>
    </row>
    <row r="393" spans="1:22">
      <c r="A393" s="101"/>
      <c r="B393" s="157"/>
      <c r="C393" s="147"/>
      <c r="D393" s="118">
        <f>0.23-0.05</f>
        <v>0.18</v>
      </c>
      <c r="E393" s="149"/>
      <c r="F393" s="150"/>
      <c r="G393" s="107"/>
      <c r="H393" s="108"/>
      <c r="I393" s="108"/>
      <c r="J393" s="109"/>
      <c r="K393" s="108"/>
      <c r="L393" s="108"/>
      <c r="M393" s="108"/>
      <c r="N393" s="108"/>
      <c r="O393" s="121"/>
      <c r="P393" s="151" t="str">
        <f t="shared" si="49"/>
        <v/>
      </c>
      <c r="Q393" s="151" t="str">
        <f t="shared" si="50"/>
        <v/>
      </c>
      <c r="R393" s="151" t="str">
        <f t="shared" si="51"/>
        <v/>
      </c>
      <c r="S393" s="151" t="str">
        <f t="shared" si="52"/>
        <v/>
      </c>
      <c r="T393" s="151" t="str">
        <f t="shared" si="53"/>
        <v/>
      </c>
      <c r="U393" s="151" t="str">
        <f t="shared" si="54"/>
        <v/>
      </c>
      <c r="V393" s="108"/>
    </row>
    <row r="394" spans="1:22">
      <c r="A394" s="101"/>
      <c r="B394" s="152"/>
      <c r="C394" s="147"/>
      <c r="D394" s="148"/>
      <c r="E394" s="149"/>
      <c r="F394" s="150"/>
      <c r="G394" s="107"/>
      <c r="H394" s="108"/>
      <c r="I394" s="108"/>
      <c r="J394" s="109"/>
      <c r="K394" s="108"/>
      <c r="L394" s="108"/>
      <c r="M394" s="108"/>
      <c r="N394" s="108"/>
      <c r="O394" s="121"/>
      <c r="P394" s="151" t="str">
        <f t="shared" si="49"/>
        <v/>
      </c>
      <c r="Q394" s="151" t="str">
        <f t="shared" si="50"/>
        <v/>
      </c>
      <c r="R394" s="151" t="str">
        <f t="shared" si="51"/>
        <v/>
      </c>
      <c r="S394" s="151" t="str">
        <f t="shared" si="52"/>
        <v/>
      </c>
      <c r="T394" s="151" t="str">
        <f t="shared" si="53"/>
        <v/>
      </c>
      <c r="U394" s="151" t="str">
        <f t="shared" si="54"/>
        <v/>
      </c>
      <c r="V394" s="108"/>
    </row>
    <row r="395" spans="1:22">
      <c r="A395" s="101"/>
      <c r="B395" s="101"/>
      <c r="C395" s="156">
        <v>0.08</v>
      </c>
      <c r="D395" s="148"/>
      <c r="E395" s="149"/>
      <c r="F395" s="150"/>
      <c r="G395" s="107"/>
      <c r="H395" s="108"/>
      <c r="I395" s="108"/>
      <c r="J395" s="109"/>
      <c r="K395" s="108"/>
      <c r="L395" s="108"/>
      <c r="M395" s="108"/>
      <c r="N395" s="108"/>
      <c r="O395" s="121"/>
      <c r="P395" s="151" t="str">
        <f t="shared" si="49"/>
        <v/>
      </c>
      <c r="Q395" s="151" t="str">
        <f t="shared" si="50"/>
        <v/>
      </c>
      <c r="R395" s="151" t="str">
        <f t="shared" si="51"/>
        <v/>
      </c>
      <c r="S395" s="151" t="str">
        <f t="shared" si="52"/>
        <v/>
      </c>
      <c r="T395" s="151" t="str">
        <f t="shared" si="53"/>
        <v/>
      </c>
      <c r="U395" s="151" t="str">
        <f t="shared" si="54"/>
        <v/>
      </c>
      <c r="V395" s="108"/>
    </row>
    <row r="396" spans="1:22">
      <c r="A396" s="101"/>
      <c r="B396" s="157" t="s">
        <v>387</v>
      </c>
      <c r="C396" s="158"/>
      <c r="D396" s="148"/>
      <c r="E396" s="159">
        <f>((1.185-0.05-0.016)/11)+0.016+0.02</f>
        <v>0.13772727272727273</v>
      </c>
      <c r="F396" s="150"/>
      <c r="G396" s="107">
        <v>10</v>
      </c>
      <c r="H396" s="108">
        <v>1</v>
      </c>
      <c r="I396" s="108">
        <f>1*5</f>
        <v>5</v>
      </c>
      <c r="J396" s="160">
        <f>2*(D398+E396)+2*8*G396/1000</f>
        <v>0.79545454545454553</v>
      </c>
      <c r="K396" s="108"/>
      <c r="L396" s="108">
        <v>5</v>
      </c>
      <c r="M396" s="121">
        <f>2*G396*L396/1000</f>
        <v>0.1</v>
      </c>
      <c r="N396" s="121">
        <f>(J396+K396-M396)</f>
        <v>0.69545454545454555</v>
      </c>
      <c r="O396" s="121">
        <f>(H396*I396*N396)</f>
        <v>3.4772727272727275</v>
      </c>
      <c r="P396" s="151" t="str">
        <f t="shared" si="49"/>
        <v/>
      </c>
      <c r="Q396" s="151">
        <f t="shared" si="50"/>
        <v>3.4772727272727275</v>
      </c>
      <c r="R396" s="151" t="str">
        <f t="shared" si="51"/>
        <v/>
      </c>
      <c r="S396" s="151" t="str">
        <f t="shared" si="52"/>
        <v/>
      </c>
      <c r="T396" s="151" t="str">
        <f t="shared" si="53"/>
        <v/>
      </c>
      <c r="U396" s="151" t="str">
        <f t="shared" si="54"/>
        <v/>
      </c>
      <c r="V396" s="108"/>
    </row>
    <row r="397" spans="1:22">
      <c r="A397" s="101"/>
      <c r="B397" s="157"/>
      <c r="C397" s="147"/>
      <c r="D397" s="148"/>
      <c r="E397" s="161"/>
      <c r="F397" s="150"/>
      <c r="G397" s="107"/>
      <c r="H397" s="108"/>
      <c r="I397" s="108"/>
      <c r="J397" s="109"/>
      <c r="K397" s="108"/>
      <c r="L397" s="108"/>
      <c r="M397" s="108"/>
      <c r="N397" s="108"/>
      <c r="O397" s="121"/>
      <c r="P397" s="151" t="str">
        <f t="shared" si="49"/>
        <v/>
      </c>
      <c r="Q397" s="151" t="str">
        <f t="shared" si="50"/>
        <v/>
      </c>
      <c r="R397" s="151" t="str">
        <f t="shared" si="51"/>
        <v/>
      </c>
      <c r="S397" s="151" t="str">
        <f t="shared" si="52"/>
        <v/>
      </c>
      <c r="T397" s="151" t="str">
        <f t="shared" si="53"/>
        <v/>
      </c>
      <c r="U397" s="151" t="str">
        <f t="shared" si="54"/>
        <v/>
      </c>
      <c r="V397" s="108"/>
    </row>
    <row r="398" spans="1:22">
      <c r="A398" s="101"/>
      <c r="B398" s="157"/>
      <c r="C398" s="147"/>
      <c r="D398" s="118">
        <f>0.23-0.05</f>
        <v>0.18</v>
      </c>
      <c r="E398" s="149"/>
      <c r="F398" s="150"/>
      <c r="G398" s="107"/>
      <c r="H398" s="108"/>
      <c r="I398" s="108"/>
      <c r="J398" s="109"/>
      <c r="K398" s="108"/>
      <c r="L398" s="108"/>
      <c r="M398" s="108"/>
      <c r="N398" s="108"/>
      <c r="O398" s="121"/>
      <c r="P398" s="151" t="str">
        <f t="shared" si="49"/>
        <v/>
      </c>
      <c r="Q398" s="151" t="str">
        <f t="shared" si="50"/>
        <v/>
      </c>
      <c r="R398" s="151" t="str">
        <f t="shared" si="51"/>
        <v/>
      </c>
      <c r="S398" s="151" t="str">
        <f t="shared" si="52"/>
        <v/>
      </c>
      <c r="T398" s="151" t="str">
        <f t="shared" si="53"/>
        <v/>
      </c>
      <c r="U398" s="151" t="str">
        <f t="shared" si="54"/>
        <v/>
      </c>
      <c r="V398" s="108"/>
    </row>
    <row r="399" spans="1:22">
      <c r="A399" s="101"/>
      <c r="B399" s="157"/>
      <c r="C399" s="147"/>
      <c r="D399" s="163"/>
      <c r="E399" s="149"/>
      <c r="F399" s="150"/>
      <c r="G399" s="107"/>
      <c r="H399" s="108"/>
      <c r="I399" s="108"/>
      <c r="J399" s="109"/>
      <c r="K399" s="108"/>
      <c r="L399" s="108"/>
      <c r="M399" s="108"/>
      <c r="N399" s="108"/>
      <c r="O399" s="110"/>
      <c r="P399" s="151" t="str">
        <f t="shared" si="49"/>
        <v/>
      </c>
      <c r="Q399" s="151" t="str">
        <f t="shared" si="50"/>
        <v/>
      </c>
      <c r="R399" s="151" t="str">
        <f t="shared" si="51"/>
        <v/>
      </c>
      <c r="S399" s="151" t="str">
        <f t="shared" si="52"/>
        <v/>
      </c>
      <c r="T399" s="151" t="str">
        <f t="shared" si="53"/>
        <v/>
      </c>
      <c r="U399" s="151" t="str">
        <f t="shared" si="54"/>
        <v/>
      </c>
      <c r="V399" s="108"/>
    </row>
    <row r="400" spans="1:22">
      <c r="A400" s="101">
        <v>15</v>
      </c>
      <c r="B400" s="101" t="s">
        <v>409</v>
      </c>
      <c r="C400" s="147"/>
      <c r="D400" s="148"/>
      <c r="E400" s="149"/>
      <c r="F400" s="150"/>
      <c r="G400" s="107"/>
      <c r="H400" s="108"/>
      <c r="I400" s="108"/>
      <c r="J400" s="118"/>
      <c r="K400" s="121"/>
      <c r="L400" s="121"/>
      <c r="M400" s="108"/>
      <c r="N400" s="121"/>
      <c r="O400" s="121"/>
      <c r="P400" s="151" t="str">
        <f>IF($G400=8,$O400,"")</f>
        <v/>
      </c>
      <c r="Q400" s="151" t="str">
        <f>IF($G400=10,$O400,"")</f>
        <v/>
      </c>
      <c r="R400" s="151" t="str">
        <f>IF($G400=12,$O400,"")</f>
        <v/>
      </c>
      <c r="S400" s="151" t="str">
        <f>IF($G400=16,$O400,"")</f>
        <v/>
      </c>
      <c r="T400" s="151" t="str">
        <f>IF($G400=20,$O400,"")</f>
        <v/>
      </c>
      <c r="U400" s="151" t="str">
        <f>IF($G400=25,$O400,"")</f>
        <v/>
      </c>
      <c r="V400" s="108"/>
    </row>
    <row r="401" spans="1:22">
      <c r="A401" s="101"/>
      <c r="B401" s="152" t="s">
        <v>382</v>
      </c>
      <c r="C401" s="147"/>
      <c r="D401" s="153">
        <f>0.85-0.075-2*0.016</f>
        <v>0.74299999999999999</v>
      </c>
      <c r="E401" s="149"/>
      <c r="F401" s="150"/>
      <c r="G401" s="107">
        <v>16</v>
      </c>
      <c r="H401" s="108">
        <v>1</v>
      </c>
      <c r="I401" s="108">
        <v>4</v>
      </c>
      <c r="J401" s="118">
        <f>D401</f>
        <v>0.74299999999999999</v>
      </c>
      <c r="K401" s="119" t="str">
        <f>IF(N401&lt;12,"0",0.049*G401)</f>
        <v>0</v>
      </c>
      <c r="L401" s="120">
        <v>1</v>
      </c>
      <c r="M401" s="108">
        <f>2*G401*L401/1000</f>
        <v>3.2000000000000001E-2</v>
      </c>
      <c r="N401" s="121">
        <f>J401+E403-M401</f>
        <v>1.0109999999999999</v>
      </c>
      <c r="O401" s="121">
        <f t="shared" ref="O401:O408" si="55">H401*I401*N401</f>
        <v>4.0439999999999996</v>
      </c>
      <c r="P401" s="151" t="str">
        <f t="shared" si="49"/>
        <v/>
      </c>
      <c r="Q401" s="151" t="str">
        <f t="shared" si="50"/>
        <v/>
      </c>
      <c r="R401" s="151" t="str">
        <f t="shared" si="51"/>
        <v/>
      </c>
      <c r="S401" s="151">
        <f t="shared" si="52"/>
        <v>4.0439999999999996</v>
      </c>
      <c r="T401" s="151" t="str">
        <f t="shared" si="53"/>
        <v/>
      </c>
      <c r="U401" s="151" t="str">
        <f t="shared" si="54"/>
        <v/>
      </c>
      <c r="V401" s="108"/>
    </row>
    <row r="402" spans="1:22">
      <c r="A402" s="101"/>
      <c r="B402" s="152" t="s">
        <v>383</v>
      </c>
      <c r="C402" s="147"/>
      <c r="D402" s="148"/>
      <c r="E402" s="149"/>
      <c r="F402" s="150"/>
      <c r="G402" s="107">
        <v>16</v>
      </c>
      <c r="H402" s="108">
        <v>1</v>
      </c>
      <c r="I402" s="108">
        <v>4</v>
      </c>
      <c r="J402" s="118">
        <f>D401</f>
        <v>0.74299999999999999</v>
      </c>
      <c r="K402" s="119" t="str">
        <f t="shared" ref="K402:K408" si="56">IF(N402&lt;12,"0",0.049*G402)</f>
        <v>0</v>
      </c>
      <c r="L402" s="120">
        <v>1</v>
      </c>
      <c r="M402" s="108">
        <f t="shared" ref="M402:M408" si="57">2*G402*L402/1000</f>
        <v>3.2000000000000001E-2</v>
      </c>
      <c r="N402" s="121">
        <f>J402+E403-M402</f>
        <v>1.0109999999999999</v>
      </c>
      <c r="O402" s="121">
        <f t="shared" si="55"/>
        <v>4.0439999999999996</v>
      </c>
      <c r="P402" s="151" t="str">
        <f t="shared" si="49"/>
        <v/>
      </c>
      <c r="Q402" s="151" t="str">
        <f t="shared" si="50"/>
        <v/>
      </c>
      <c r="R402" s="151" t="str">
        <f t="shared" si="51"/>
        <v/>
      </c>
      <c r="S402" s="151">
        <f t="shared" si="52"/>
        <v>4.0439999999999996</v>
      </c>
      <c r="T402" s="151" t="str">
        <f t="shared" si="53"/>
        <v/>
      </c>
      <c r="U402" s="151" t="str">
        <f t="shared" si="54"/>
        <v/>
      </c>
      <c r="V402" s="108"/>
    </row>
    <row r="403" spans="1:22">
      <c r="A403" s="101"/>
      <c r="B403" s="152" t="s">
        <v>384</v>
      </c>
      <c r="C403" s="154"/>
      <c r="D403" s="153"/>
      <c r="E403" s="155">
        <v>0.3</v>
      </c>
      <c r="F403" s="150"/>
      <c r="G403" s="107">
        <v>16</v>
      </c>
      <c r="H403" s="108">
        <v>1</v>
      </c>
      <c r="I403" s="108">
        <v>4</v>
      </c>
      <c r="J403" s="118">
        <f>D401</f>
        <v>0.74299999999999999</v>
      </c>
      <c r="K403" s="119" t="str">
        <f t="shared" si="56"/>
        <v>0</v>
      </c>
      <c r="L403" s="120">
        <v>1</v>
      </c>
      <c r="M403" s="108">
        <f t="shared" si="57"/>
        <v>3.2000000000000001E-2</v>
      </c>
      <c r="N403" s="121">
        <f t="shared" ref="N403:N408" si="58">J403+E403-M403</f>
        <v>1.0109999999999999</v>
      </c>
      <c r="O403" s="121">
        <f t="shared" si="55"/>
        <v>4.0439999999999996</v>
      </c>
      <c r="P403" s="151" t="str">
        <f t="shared" si="49"/>
        <v/>
      </c>
      <c r="Q403" s="151" t="str">
        <f t="shared" si="50"/>
        <v/>
      </c>
      <c r="R403" s="151" t="str">
        <f t="shared" si="51"/>
        <v/>
      </c>
      <c r="S403" s="151">
        <f t="shared" si="52"/>
        <v>4.0439999999999996</v>
      </c>
      <c r="T403" s="151" t="str">
        <f t="shared" si="53"/>
        <v/>
      </c>
      <c r="U403" s="151" t="str">
        <f t="shared" si="54"/>
        <v/>
      </c>
      <c r="V403" s="108"/>
    </row>
    <row r="404" spans="1:22">
      <c r="A404" s="101"/>
      <c r="B404" s="152" t="s">
        <v>385</v>
      </c>
      <c r="C404" s="147"/>
      <c r="D404" s="148"/>
      <c r="E404" s="149"/>
      <c r="F404" s="150"/>
      <c r="G404" s="107">
        <v>16</v>
      </c>
      <c r="H404" s="108">
        <v>1</v>
      </c>
      <c r="I404" s="108">
        <v>4</v>
      </c>
      <c r="J404" s="118">
        <f>D401</f>
        <v>0.74299999999999999</v>
      </c>
      <c r="K404" s="119" t="str">
        <f t="shared" si="56"/>
        <v>0</v>
      </c>
      <c r="L404" s="120">
        <v>1</v>
      </c>
      <c r="M404" s="108">
        <f t="shared" si="57"/>
        <v>3.2000000000000001E-2</v>
      </c>
      <c r="N404" s="121">
        <f t="shared" si="58"/>
        <v>0.71099999999999997</v>
      </c>
      <c r="O404" s="121">
        <f t="shared" si="55"/>
        <v>2.8439999999999999</v>
      </c>
      <c r="P404" s="151" t="str">
        <f t="shared" si="49"/>
        <v/>
      </c>
      <c r="Q404" s="151" t="str">
        <f t="shared" si="50"/>
        <v/>
      </c>
      <c r="R404" s="151" t="str">
        <f t="shared" si="51"/>
        <v/>
      </c>
      <c r="S404" s="151">
        <f t="shared" si="52"/>
        <v>2.8439999999999999</v>
      </c>
      <c r="T404" s="151" t="str">
        <f t="shared" si="53"/>
        <v/>
      </c>
      <c r="U404" s="151" t="str">
        <f t="shared" si="54"/>
        <v/>
      </c>
      <c r="V404" s="108"/>
    </row>
    <row r="405" spans="1:22">
      <c r="A405" s="101"/>
      <c r="B405" s="152" t="s">
        <v>393</v>
      </c>
      <c r="C405" s="147"/>
      <c r="D405" s="148"/>
      <c r="E405" s="149"/>
      <c r="F405" s="150"/>
      <c r="G405" s="107">
        <v>16</v>
      </c>
      <c r="H405" s="108">
        <v>1</v>
      </c>
      <c r="I405" s="108">
        <v>4</v>
      </c>
      <c r="J405" s="118">
        <f>D401</f>
        <v>0.74299999999999999</v>
      </c>
      <c r="K405" s="119" t="str">
        <f t="shared" si="56"/>
        <v>0</v>
      </c>
      <c r="L405" s="120">
        <v>1</v>
      </c>
      <c r="M405" s="108">
        <f t="shared" si="57"/>
        <v>3.2000000000000001E-2</v>
      </c>
      <c r="N405" s="121">
        <f t="shared" si="58"/>
        <v>0.71099999999999997</v>
      </c>
      <c r="O405" s="121">
        <f t="shared" si="55"/>
        <v>2.8439999999999999</v>
      </c>
      <c r="P405" s="151" t="str">
        <f t="shared" si="49"/>
        <v/>
      </c>
      <c r="Q405" s="151" t="str">
        <f t="shared" si="50"/>
        <v/>
      </c>
      <c r="R405" s="151" t="str">
        <f t="shared" si="51"/>
        <v/>
      </c>
      <c r="S405" s="151">
        <f t="shared" si="52"/>
        <v>2.8439999999999999</v>
      </c>
      <c r="T405" s="151" t="str">
        <f t="shared" si="53"/>
        <v/>
      </c>
      <c r="U405" s="151" t="str">
        <f t="shared" si="54"/>
        <v/>
      </c>
      <c r="V405" s="108"/>
    </row>
    <row r="406" spans="1:22">
      <c r="A406" s="101"/>
      <c r="B406" s="152" t="s">
        <v>405</v>
      </c>
      <c r="C406" s="147"/>
      <c r="D406" s="148"/>
      <c r="E406" s="149"/>
      <c r="F406" s="150"/>
      <c r="G406" s="107">
        <v>16</v>
      </c>
      <c r="H406" s="108">
        <v>1</v>
      </c>
      <c r="I406" s="108">
        <v>4</v>
      </c>
      <c r="J406" s="118">
        <f>D401</f>
        <v>0.74299999999999999</v>
      </c>
      <c r="K406" s="119" t="str">
        <f t="shared" si="56"/>
        <v>0</v>
      </c>
      <c r="L406" s="120">
        <v>1</v>
      </c>
      <c r="M406" s="108">
        <f t="shared" si="57"/>
        <v>3.2000000000000001E-2</v>
      </c>
      <c r="N406" s="121">
        <f t="shared" si="58"/>
        <v>0.71099999999999997</v>
      </c>
      <c r="O406" s="121">
        <f t="shared" si="55"/>
        <v>2.8439999999999999</v>
      </c>
      <c r="P406" s="151" t="str">
        <f t="shared" si="49"/>
        <v/>
      </c>
      <c r="Q406" s="151" t="str">
        <f t="shared" si="50"/>
        <v/>
      </c>
      <c r="R406" s="151" t="str">
        <f t="shared" si="51"/>
        <v/>
      </c>
      <c r="S406" s="151">
        <f t="shared" si="52"/>
        <v>2.8439999999999999</v>
      </c>
      <c r="T406" s="151" t="str">
        <f t="shared" si="53"/>
        <v/>
      </c>
      <c r="U406" s="151" t="str">
        <f t="shared" si="54"/>
        <v/>
      </c>
      <c r="V406" s="108"/>
    </row>
    <row r="407" spans="1:22">
      <c r="A407" s="101"/>
      <c r="B407" s="152" t="s">
        <v>407</v>
      </c>
      <c r="C407" s="147"/>
      <c r="D407" s="148"/>
      <c r="E407" s="149"/>
      <c r="F407" s="150"/>
      <c r="G407" s="107">
        <v>16</v>
      </c>
      <c r="H407" s="108">
        <v>1</v>
      </c>
      <c r="I407" s="108">
        <v>4</v>
      </c>
      <c r="J407" s="118">
        <f>D401</f>
        <v>0.74299999999999999</v>
      </c>
      <c r="K407" s="119" t="str">
        <f t="shared" si="56"/>
        <v>0</v>
      </c>
      <c r="L407" s="120">
        <v>1</v>
      </c>
      <c r="M407" s="108">
        <f t="shared" si="57"/>
        <v>3.2000000000000001E-2</v>
      </c>
      <c r="N407" s="121">
        <f t="shared" si="58"/>
        <v>0.71099999999999997</v>
      </c>
      <c r="O407" s="121">
        <f t="shared" si="55"/>
        <v>2.8439999999999999</v>
      </c>
      <c r="P407" s="151" t="str">
        <f t="shared" si="49"/>
        <v/>
      </c>
      <c r="Q407" s="151" t="str">
        <f t="shared" si="50"/>
        <v/>
      </c>
      <c r="R407" s="151" t="str">
        <f t="shared" si="51"/>
        <v/>
      </c>
      <c r="S407" s="151">
        <f t="shared" si="52"/>
        <v>2.8439999999999999</v>
      </c>
      <c r="T407" s="151" t="str">
        <f t="shared" si="53"/>
        <v/>
      </c>
      <c r="U407" s="151" t="str">
        <f t="shared" si="54"/>
        <v/>
      </c>
      <c r="V407" s="108"/>
    </row>
    <row r="408" spans="1:22">
      <c r="A408" s="101"/>
      <c r="B408" s="152" t="s">
        <v>410</v>
      </c>
      <c r="C408" s="147"/>
      <c r="D408" s="148"/>
      <c r="E408" s="149"/>
      <c r="F408" s="150"/>
      <c r="G408" s="107">
        <v>16</v>
      </c>
      <c r="H408" s="108">
        <v>1</v>
      </c>
      <c r="I408" s="108">
        <v>8</v>
      </c>
      <c r="J408" s="118">
        <f>D401</f>
        <v>0.74299999999999999</v>
      </c>
      <c r="K408" s="119" t="str">
        <f t="shared" si="56"/>
        <v>0</v>
      </c>
      <c r="L408" s="120">
        <v>1</v>
      </c>
      <c r="M408" s="108">
        <f t="shared" si="57"/>
        <v>3.2000000000000001E-2</v>
      </c>
      <c r="N408" s="121">
        <f t="shared" si="58"/>
        <v>0.71099999999999997</v>
      </c>
      <c r="O408" s="121">
        <f t="shared" si="55"/>
        <v>5.6879999999999997</v>
      </c>
      <c r="P408" s="151" t="str">
        <f t="shared" si="49"/>
        <v/>
      </c>
      <c r="Q408" s="151" t="str">
        <f t="shared" si="50"/>
        <v/>
      </c>
      <c r="R408" s="151" t="str">
        <f t="shared" si="51"/>
        <v/>
      </c>
      <c r="S408" s="151">
        <f t="shared" si="52"/>
        <v>5.6879999999999997</v>
      </c>
      <c r="T408" s="151" t="str">
        <f t="shared" si="53"/>
        <v/>
      </c>
      <c r="U408" s="151" t="str">
        <f t="shared" si="54"/>
        <v/>
      </c>
      <c r="V408" s="108"/>
    </row>
    <row r="409" spans="1:22">
      <c r="A409" s="101"/>
      <c r="B409" s="152"/>
      <c r="C409" s="147"/>
      <c r="D409" s="148"/>
      <c r="E409" s="149"/>
      <c r="F409" s="150"/>
      <c r="G409" s="107"/>
      <c r="H409" s="108"/>
      <c r="I409" s="108"/>
      <c r="J409" s="118"/>
      <c r="K409" s="119"/>
      <c r="L409" s="120"/>
      <c r="M409" s="108"/>
      <c r="N409" s="121"/>
      <c r="O409" s="121"/>
      <c r="P409" s="151"/>
      <c r="Q409" s="151"/>
      <c r="R409" s="151"/>
      <c r="S409" s="151"/>
      <c r="T409" s="151"/>
      <c r="U409" s="151"/>
      <c r="V409" s="108"/>
    </row>
    <row r="410" spans="1:22">
      <c r="A410" s="101"/>
      <c r="B410" s="101"/>
      <c r="C410" s="156">
        <v>0.08</v>
      </c>
      <c r="D410" s="148"/>
      <c r="E410" s="149"/>
      <c r="F410" s="150"/>
      <c r="G410" s="107"/>
      <c r="H410" s="108"/>
      <c r="I410" s="108"/>
      <c r="J410" s="109"/>
      <c r="K410" s="108"/>
      <c r="L410" s="108"/>
      <c r="M410" s="108"/>
      <c r="N410" s="108"/>
      <c r="O410" s="110"/>
      <c r="P410" s="151" t="str">
        <f t="shared" si="49"/>
        <v/>
      </c>
      <c r="Q410" s="151" t="str">
        <f t="shared" si="50"/>
        <v/>
      </c>
      <c r="R410" s="151" t="str">
        <f t="shared" si="51"/>
        <v/>
      </c>
      <c r="S410" s="151" t="str">
        <f t="shared" si="52"/>
        <v/>
      </c>
      <c r="T410" s="151" t="str">
        <f t="shared" si="53"/>
        <v/>
      </c>
      <c r="U410" s="151" t="str">
        <f t="shared" si="54"/>
        <v/>
      </c>
      <c r="V410" s="108"/>
    </row>
    <row r="411" spans="1:22">
      <c r="A411" s="101"/>
      <c r="B411" s="157" t="s">
        <v>386</v>
      </c>
      <c r="C411" s="158"/>
      <c r="D411" s="148"/>
      <c r="E411" s="159">
        <f>1.855-0.05</f>
        <v>1.8049999999999999</v>
      </c>
      <c r="F411" s="150"/>
      <c r="G411" s="107">
        <v>10</v>
      </c>
      <c r="H411" s="108">
        <v>1</v>
      </c>
      <c r="I411" s="108">
        <v>4</v>
      </c>
      <c r="J411" s="160">
        <f>2*(D413+E411)+2*8*G411/1000</f>
        <v>4.13</v>
      </c>
      <c r="K411" s="108"/>
      <c r="L411" s="108">
        <v>5</v>
      </c>
      <c r="M411" s="121">
        <f>2*G411*L411/1000</f>
        <v>0.1</v>
      </c>
      <c r="N411" s="121">
        <f>(J411+K411-M411)</f>
        <v>4.03</v>
      </c>
      <c r="O411" s="121">
        <f>(H411*I411*N411)</f>
        <v>16.12</v>
      </c>
      <c r="P411" s="151" t="str">
        <f t="shared" si="49"/>
        <v/>
      </c>
      <c r="Q411" s="151">
        <f t="shared" si="50"/>
        <v>16.12</v>
      </c>
      <c r="R411" s="151" t="str">
        <f t="shared" si="51"/>
        <v/>
      </c>
      <c r="S411" s="151" t="str">
        <f t="shared" si="52"/>
        <v/>
      </c>
      <c r="T411" s="151" t="str">
        <f t="shared" si="53"/>
        <v/>
      </c>
      <c r="U411" s="151" t="str">
        <f t="shared" si="54"/>
        <v/>
      </c>
      <c r="V411" s="108"/>
    </row>
    <row r="412" spans="1:22">
      <c r="A412" s="101"/>
      <c r="B412" s="157"/>
      <c r="C412" s="147"/>
      <c r="D412" s="148"/>
      <c r="E412" s="161"/>
      <c r="F412" s="150"/>
      <c r="G412" s="107"/>
      <c r="H412" s="108"/>
      <c r="I412" s="108"/>
      <c r="J412" s="109"/>
      <c r="K412" s="108"/>
      <c r="L412" s="108"/>
      <c r="M412" s="108"/>
      <c r="N412" s="108"/>
      <c r="O412" s="121"/>
      <c r="P412" s="151" t="str">
        <f t="shared" si="49"/>
        <v/>
      </c>
      <c r="Q412" s="151" t="str">
        <f t="shared" si="50"/>
        <v/>
      </c>
      <c r="R412" s="151" t="str">
        <f t="shared" si="51"/>
        <v/>
      </c>
      <c r="S412" s="151" t="str">
        <f t="shared" si="52"/>
        <v/>
      </c>
      <c r="T412" s="151" t="str">
        <f t="shared" si="53"/>
        <v/>
      </c>
      <c r="U412" s="151" t="str">
        <f t="shared" si="54"/>
        <v/>
      </c>
      <c r="V412" s="108"/>
    </row>
    <row r="413" spans="1:22">
      <c r="A413" s="101"/>
      <c r="B413" s="157"/>
      <c r="C413" s="147"/>
      <c r="D413" s="118">
        <f>0.23-0.05</f>
        <v>0.18</v>
      </c>
      <c r="E413" s="149"/>
      <c r="F413" s="150"/>
      <c r="G413" s="107"/>
      <c r="H413" s="108"/>
      <c r="I413" s="108"/>
      <c r="J413" s="109"/>
      <c r="K413" s="108"/>
      <c r="L413" s="108"/>
      <c r="M413" s="108"/>
      <c r="N413" s="108"/>
      <c r="O413" s="121"/>
      <c r="P413" s="151" t="str">
        <f t="shared" si="49"/>
        <v/>
      </c>
      <c r="Q413" s="151" t="str">
        <f t="shared" si="50"/>
        <v/>
      </c>
      <c r="R413" s="151" t="str">
        <f t="shared" si="51"/>
        <v/>
      </c>
      <c r="S413" s="151" t="str">
        <f t="shared" si="52"/>
        <v/>
      </c>
      <c r="T413" s="151" t="str">
        <f t="shared" si="53"/>
        <v/>
      </c>
      <c r="U413" s="151" t="str">
        <f t="shared" si="54"/>
        <v/>
      </c>
      <c r="V413" s="108"/>
    </row>
    <row r="414" spans="1:22">
      <c r="A414" s="101"/>
      <c r="B414" s="152"/>
      <c r="C414" s="147"/>
      <c r="D414" s="148"/>
      <c r="E414" s="149"/>
      <c r="F414" s="150"/>
      <c r="G414" s="107"/>
      <c r="H414" s="108"/>
      <c r="I414" s="108"/>
      <c r="J414" s="109"/>
      <c r="K414" s="108"/>
      <c r="L414" s="108"/>
      <c r="M414" s="108"/>
      <c r="N414" s="108"/>
      <c r="O414" s="121"/>
      <c r="P414" s="151" t="str">
        <f t="shared" si="49"/>
        <v/>
      </c>
      <c r="Q414" s="151" t="str">
        <f t="shared" si="50"/>
        <v/>
      </c>
      <c r="R414" s="151" t="str">
        <f t="shared" si="51"/>
        <v/>
      </c>
      <c r="S414" s="151" t="str">
        <f t="shared" si="52"/>
        <v/>
      </c>
      <c r="T414" s="151" t="str">
        <f t="shared" si="53"/>
        <v/>
      </c>
      <c r="U414" s="151" t="str">
        <f t="shared" si="54"/>
        <v/>
      </c>
      <c r="V414" s="108"/>
    </row>
    <row r="415" spans="1:22">
      <c r="A415" s="101"/>
      <c r="B415" s="101"/>
      <c r="C415" s="156">
        <v>0.08</v>
      </c>
      <c r="D415" s="148"/>
      <c r="E415" s="149"/>
      <c r="F415" s="150"/>
      <c r="G415" s="107"/>
      <c r="H415" s="108"/>
      <c r="I415" s="108"/>
      <c r="J415" s="109"/>
      <c r="K415" s="108"/>
      <c r="L415" s="108"/>
      <c r="M415" s="108"/>
      <c r="N415" s="108"/>
      <c r="O415" s="121"/>
      <c r="P415" s="151" t="str">
        <f t="shared" si="49"/>
        <v/>
      </c>
      <c r="Q415" s="151" t="str">
        <f t="shared" si="50"/>
        <v/>
      </c>
      <c r="R415" s="151" t="str">
        <f t="shared" si="51"/>
        <v/>
      </c>
      <c r="S415" s="151" t="str">
        <f t="shared" si="52"/>
        <v/>
      </c>
      <c r="T415" s="151" t="str">
        <f t="shared" si="53"/>
        <v/>
      </c>
      <c r="U415" s="151" t="str">
        <f t="shared" si="54"/>
        <v/>
      </c>
      <c r="V415" s="108"/>
    </row>
    <row r="416" spans="1:22">
      <c r="A416" s="101"/>
      <c r="B416" s="157" t="s">
        <v>387</v>
      </c>
      <c r="C416" s="158"/>
      <c r="D416" s="148"/>
      <c r="E416" s="159">
        <f>((1.855-0.05-0.016)/17)+0.016+0.02</f>
        <v>0.14123529411764704</v>
      </c>
      <c r="F416" s="150"/>
      <c r="G416" s="107">
        <v>10</v>
      </c>
      <c r="H416" s="108">
        <v>1</v>
      </c>
      <c r="I416" s="108">
        <f>1*8</f>
        <v>8</v>
      </c>
      <c r="J416" s="160">
        <f>2*(D418+E416)+2*8*G416/1000</f>
        <v>0.80247058823529416</v>
      </c>
      <c r="K416" s="108"/>
      <c r="L416" s="108">
        <v>5</v>
      </c>
      <c r="M416" s="121">
        <f>2*G416*L416/1000</f>
        <v>0.1</v>
      </c>
      <c r="N416" s="121">
        <f>(J416+K416-M416)</f>
        <v>0.70247058823529418</v>
      </c>
      <c r="O416" s="121">
        <f>(H416*I416*N416)</f>
        <v>5.6197647058823534</v>
      </c>
      <c r="P416" s="151" t="str">
        <f t="shared" si="49"/>
        <v/>
      </c>
      <c r="Q416" s="151">
        <f t="shared" si="50"/>
        <v>5.6197647058823534</v>
      </c>
      <c r="R416" s="151" t="str">
        <f t="shared" si="51"/>
        <v/>
      </c>
      <c r="S416" s="151" t="str">
        <f t="shared" si="52"/>
        <v/>
      </c>
      <c r="T416" s="151" t="str">
        <f t="shared" si="53"/>
        <v/>
      </c>
      <c r="U416" s="151" t="str">
        <f t="shared" si="54"/>
        <v/>
      </c>
      <c r="V416" s="108"/>
    </row>
    <row r="417" spans="1:22">
      <c r="A417" s="101"/>
      <c r="B417" s="157"/>
      <c r="C417" s="147"/>
      <c r="D417" s="148"/>
      <c r="E417" s="161"/>
      <c r="F417" s="150"/>
      <c r="G417" s="107"/>
      <c r="H417" s="108"/>
      <c r="I417" s="108"/>
      <c r="J417" s="109"/>
      <c r="K417" s="108"/>
      <c r="L417" s="108"/>
      <c r="M417" s="108"/>
      <c r="N417" s="108"/>
      <c r="O417" s="121"/>
      <c r="P417" s="151" t="str">
        <f t="shared" si="49"/>
        <v/>
      </c>
      <c r="Q417" s="151" t="str">
        <f t="shared" si="50"/>
        <v/>
      </c>
      <c r="R417" s="151" t="str">
        <f t="shared" si="51"/>
        <v/>
      </c>
      <c r="S417" s="151" t="str">
        <f t="shared" si="52"/>
        <v/>
      </c>
      <c r="T417" s="151" t="str">
        <f t="shared" si="53"/>
        <v/>
      </c>
      <c r="U417" s="151" t="str">
        <f t="shared" si="54"/>
        <v/>
      </c>
      <c r="V417" s="108"/>
    </row>
    <row r="418" spans="1:22">
      <c r="A418" s="101"/>
      <c r="B418" s="157"/>
      <c r="C418" s="147"/>
      <c r="D418" s="118">
        <f>0.23-0.05</f>
        <v>0.18</v>
      </c>
      <c r="E418" s="149"/>
      <c r="F418" s="150"/>
      <c r="G418" s="107"/>
      <c r="H418" s="108"/>
      <c r="I418" s="108"/>
      <c r="J418" s="109"/>
      <c r="K418" s="108"/>
      <c r="L418" s="108"/>
      <c r="M418" s="108"/>
      <c r="N418" s="108"/>
      <c r="O418" s="121"/>
      <c r="P418" s="151" t="str">
        <f t="shared" si="49"/>
        <v/>
      </c>
      <c r="Q418" s="151" t="str">
        <f t="shared" si="50"/>
        <v/>
      </c>
      <c r="R418" s="151" t="str">
        <f t="shared" si="51"/>
        <v/>
      </c>
      <c r="S418" s="151" t="str">
        <f t="shared" si="52"/>
        <v/>
      </c>
      <c r="T418" s="151" t="str">
        <f t="shared" si="53"/>
        <v/>
      </c>
      <c r="U418" s="151" t="str">
        <f t="shared" si="54"/>
        <v/>
      </c>
      <c r="V418" s="108"/>
    </row>
    <row r="419" spans="1:22">
      <c r="A419" s="101"/>
      <c r="B419" s="157"/>
      <c r="C419" s="147"/>
      <c r="D419" s="163"/>
      <c r="E419" s="149"/>
      <c r="F419" s="150"/>
      <c r="G419" s="107"/>
      <c r="H419" s="108"/>
      <c r="I419" s="108"/>
      <c r="J419" s="109"/>
      <c r="K419" s="108"/>
      <c r="L419" s="108"/>
      <c r="M419" s="108"/>
      <c r="N419" s="108"/>
      <c r="O419" s="110"/>
      <c r="P419" s="151" t="str">
        <f t="shared" si="49"/>
        <v/>
      </c>
      <c r="Q419" s="151" t="str">
        <f t="shared" si="50"/>
        <v/>
      </c>
      <c r="R419" s="151" t="str">
        <f t="shared" si="51"/>
        <v/>
      </c>
      <c r="S419" s="151" t="str">
        <f t="shared" si="52"/>
        <v/>
      </c>
      <c r="T419" s="151" t="str">
        <f t="shared" si="53"/>
        <v/>
      </c>
      <c r="U419" s="151" t="str">
        <f t="shared" si="54"/>
        <v/>
      </c>
      <c r="V419" s="108"/>
    </row>
    <row r="420" spans="1:22">
      <c r="A420" s="101">
        <v>16</v>
      </c>
      <c r="B420" s="101" t="s">
        <v>411</v>
      </c>
      <c r="C420" s="147"/>
      <c r="D420" s="148"/>
      <c r="E420" s="149"/>
      <c r="F420" s="150"/>
      <c r="G420" s="107"/>
      <c r="H420" s="108"/>
      <c r="I420" s="108"/>
      <c r="J420" s="118"/>
      <c r="K420" s="121"/>
      <c r="L420" s="121"/>
      <c r="M420" s="108"/>
      <c r="N420" s="121"/>
      <c r="O420" s="121"/>
      <c r="P420" s="151" t="str">
        <f>IF($G420=8,$O420,"")</f>
        <v/>
      </c>
      <c r="Q420" s="151" t="str">
        <f>IF($G420=10,$O420,"")</f>
        <v/>
      </c>
      <c r="R420" s="151" t="str">
        <f>IF($G420=12,$O420,"")</f>
        <v/>
      </c>
      <c r="S420" s="151" t="str">
        <f>IF($G420=16,$O420,"")</f>
        <v/>
      </c>
      <c r="T420" s="151" t="str">
        <f>IF($G420=20,$O420,"")</f>
        <v/>
      </c>
      <c r="U420" s="151" t="str">
        <f>IF($G420=25,$O420,"")</f>
        <v/>
      </c>
      <c r="V420" s="108"/>
    </row>
    <row r="421" spans="1:22">
      <c r="A421" s="101"/>
      <c r="B421" s="152" t="s">
        <v>382</v>
      </c>
      <c r="C421" s="147"/>
      <c r="D421" s="153">
        <f>0.85-0.075-2*0.016</f>
        <v>0.74299999999999999</v>
      </c>
      <c r="E421" s="149"/>
      <c r="F421" s="150"/>
      <c r="G421" s="107">
        <v>16</v>
      </c>
      <c r="H421" s="108">
        <v>1</v>
      </c>
      <c r="I421" s="108">
        <v>8</v>
      </c>
      <c r="J421" s="118">
        <f>D421</f>
        <v>0.74299999999999999</v>
      </c>
      <c r="K421" s="119" t="str">
        <f>IF(N421&lt;12,"0",0.049*G421)</f>
        <v>0</v>
      </c>
      <c r="L421" s="120">
        <v>1</v>
      </c>
      <c r="M421" s="108">
        <f>2*G421*L421/1000</f>
        <v>3.2000000000000001E-2</v>
      </c>
      <c r="N421" s="121">
        <f>J421+E423-M421</f>
        <v>1.0109999999999999</v>
      </c>
      <c r="O421" s="121">
        <f>H421*I421*N421</f>
        <v>8.0879999999999992</v>
      </c>
      <c r="P421" s="151" t="str">
        <f t="shared" si="49"/>
        <v/>
      </c>
      <c r="Q421" s="151" t="str">
        <f t="shared" si="50"/>
        <v/>
      </c>
      <c r="R421" s="151" t="str">
        <f t="shared" si="51"/>
        <v/>
      </c>
      <c r="S421" s="151">
        <f t="shared" si="52"/>
        <v>8.0879999999999992</v>
      </c>
      <c r="T421" s="151" t="str">
        <f t="shared" si="53"/>
        <v/>
      </c>
      <c r="U421" s="151" t="str">
        <f t="shared" si="54"/>
        <v/>
      </c>
      <c r="V421" s="108"/>
    </row>
    <row r="422" spans="1:22">
      <c r="A422" s="101"/>
      <c r="B422" s="152" t="s">
        <v>383</v>
      </c>
      <c r="C422" s="147"/>
      <c r="D422" s="148"/>
      <c r="E422" s="149"/>
      <c r="F422" s="150"/>
      <c r="G422" s="107">
        <v>16</v>
      </c>
      <c r="H422" s="108">
        <v>1</v>
      </c>
      <c r="I422" s="108">
        <v>16</v>
      </c>
      <c r="J422" s="118">
        <f>D421</f>
        <v>0.74299999999999999</v>
      </c>
      <c r="K422" s="119" t="str">
        <f t="shared" ref="K422:K423" si="59">IF(N422&lt;12,"0",0.049*G422)</f>
        <v>0</v>
      </c>
      <c r="L422" s="120">
        <v>1</v>
      </c>
      <c r="M422" s="108">
        <f t="shared" ref="M422:M423" si="60">2*G422*L422/1000</f>
        <v>3.2000000000000001E-2</v>
      </c>
      <c r="N422" s="121">
        <f>J422+E423-M422</f>
        <v>1.0109999999999999</v>
      </c>
      <c r="O422" s="121">
        <f>H422*I422*N422</f>
        <v>16.175999999999998</v>
      </c>
      <c r="P422" s="151" t="str">
        <f t="shared" si="49"/>
        <v/>
      </c>
      <c r="Q422" s="151" t="str">
        <f t="shared" si="50"/>
        <v/>
      </c>
      <c r="R422" s="151" t="str">
        <f t="shared" si="51"/>
        <v/>
      </c>
      <c r="S422" s="151">
        <f t="shared" si="52"/>
        <v>16.175999999999998</v>
      </c>
      <c r="T422" s="151" t="str">
        <f t="shared" si="53"/>
        <v/>
      </c>
      <c r="U422" s="151" t="str">
        <f t="shared" si="54"/>
        <v/>
      </c>
      <c r="V422" s="108"/>
    </row>
    <row r="423" spans="1:22">
      <c r="A423" s="101"/>
      <c r="B423" s="152" t="s">
        <v>384</v>
      </c>
      <c r="C423" s="154"/>
      <c r="D423" s="153"/>
      <c r="E423" s="155">
        <v>0.3</v>
      </c>
      <c r="F423" s="150"/>
      <c r="G423" s="107">
        <v>12</v>
      </c>
      <c r="H423" s="108">
        <v>1</v>
      </c>
      <c r="I423" s="108">
        <v>10</v>
      </c>
      <c r="J423" s="118">
        <f>D421</f>
        <v>0.74299999999999999</v>
      </c>
      <c r="K423" s="119" t="str">
        <f t="shared" si="59"/>
        <v>0</v>
      </c>
      <c r="L423" s="120">
        <v>1</v>
      </c>
      <c r="M423" s="108">
        <f t="shared" si="60"/>
        <v>2.4E-2</v>
      </c>
      <c r="N423" s="121">
        <f>J423+E423-M423</f>
        <v>1.0189999999999999</v>
      </c>
      <c r="O423" s="121">
        <f>H423*I423*N423</f>
        <v>10.19</v>
      </c>
      <c r="P423" s="151" t="str">
        <f t="shared" si="49"/>
        <v/>
      </c>
      <c r="Q423" s="151" t="str">
        <f t="shared" si="50"/>
        <v/>
      </c>
      <c r="R423" s="151">
        <f t="shared" si="51"/>
        <v>10.19</v>
      </c>
      <c r="S423" s="151" t="str">
        <f t="shared" si="52"/>
        <v/>
      </c>
      <c r="T423" s="151" t="str">
        <f t="shared" si="53"/>
        <v/>
      </c>
      <c r="U423" s="151" t="str">
        <f t="shared" si="54"/>
        <v/>
      </c>
      <c r="V423" s="108"/>
    </row>
    <row r="424" spans="1:22">
      <c r="A424" s="101"/>
      <c r="B424" s="152"/>
      <c r="C424" s="147"/>
      <c r="D424" s="148"/>
      <c r="E424" s="149"/>
      <c r="F424" s="150"/>
      <c r="G424" s="107"/>
      <c r="H424" s="108"/>
      <c r="I424" s="108"/>
      <c r="J424" s="118"/>
      <c r="K424" s="119"/>
      <c r="L424" s="120"/>
      <c r="M424" s="108"/>
      <c r="N424" s="121"/>
      <c r="O424" s="121"/>
      <c r="P424" s="151" t="str">
        <f t="shared" si="49"/>
        <v/>
      </c>
      <c r="Q424" s="151" t="str">
        <f t="shared" si="50"/>
        <v/>
      </c>
      <c r="R424" s="151" t="str">
        <f t="shared" si="51"/>
        <v/>
      </c>
      <c r="S424" s="151" t="str">
        <f t="shared" si="52"/>
        <v/>
      </c>
      <c r="T424" s="151" t="str">
        <f t="shared" si="53"/>
        <v/>
      </c>
      <c r="U424" s="151" t="str">
        <f t="shared" si="54"/>
        <v/>
      </c>
      <c r="V424" s="108"/>
    </row>
    <row r="425" spans="1:22">
      <c r="A425" s="101"/>
      <c r="B425" s="152"/>
      <c r="C425" s="147"/>
      <c r="D425" s="148"/>
      <c r="E425" s="149"/>
      <c r="F425" s="150"/>
      <c r="G425" s="107"/>
      <c r="H425" s="108"/>
      <c r="I425" s="108"/>
      <c r="J425" s="109"/>
      <c r="K425" s="108"/>
      <c r="L425" s="108"/>
      <c r="M425" s="108"/>
      <c r="N425" s="108"/>
      <c r="O425" s="110"/>
      <c r="P425" s="151" t="str">
        <f t="shared" si="49"/>
        <v/>
      </c>
      <c r="Q425" s="151" t="str">
        <f t="shared" si="50"/>
        <v/>
      </c>
      <c r="R425" s="151" t="str">
        <f t="shared" si="51"/>
        <v/>
      </c>
      <c r="S425" s="151" t="str">
        <f t="shared" si="52"/>
        <v/>
      </c>
      <c r="T425" s="151" t="str">
        <f t="shared" si="53"/>
        <v/>
      </c>
      <c r="U425" s="151" t="str">
        <f t="shared" si="54"/>
        <v/>
      </c>
      <c r="V425" s="108"/>
    </row>
    <row r="426" spans="1:22">
      <c r="A426" s="101"/>
      <c r="B426" s="101"/>
      <c r="C426" s="156">
        <v>0.08</v>
      </c>
      <c r="D426" s="148"/>
      <c r="E426" s="149"/>
      <c r="F426" s="150"/>
      <c r="G426" s="107"/>
      <c r="H426" s="108"/>
      <c r="I426" s="108"/>
      <c r="J426" s="109"/>
      <c r="K426" s="108"/>
      <c r="L426" s="108"/>
      <c r="M426" s="108"/>
      <c r="N426" s="108"/>
      <c r="O426" s="110"/>
      <c r="P426" s="151" t="str">
        <f t="shared" si="49"/>
        <v/>
      </c>
      <c r="Q426" s="151" t="str">
        <f t="shared" si="50"/>
        <v/>
      </c>
      <c r="R426" s="151" t="str">
        <f t="shared" si="51"/>
        <v/>
      </c>
      <c r="S426" s="151" t="str">
        <f t="shared" si="52"/>
        <v/>
      </c>
      <c r="T426" s="151" t="str">
        <f t="shared" si="53"/>
        <v/>
      </c>
      <c r="U426" s="151" t="str">
        <f t="shared" si="54"/>
        <v/>
      </c>
      <c r="V426" s="108"/>
    </row>
    <row r="427" spans="1:22">
      <c r="A427" s="101"/>
      <c r="B427" s="157" t="s">
        <v>386</v>
      </c>
      <c r="C427" s="158"/>
      <c r="D427" s="148"/>
      <c r="E427" s="159">
        <f>0.65-0.05</f>
        <v>0.6</v>
      </c>
      <c r="F427" s="150"/>
      <c r="G427" s="107">
        <v>10</v>
      </c>
      <c r="H427" s="108">
        <v>1</v>
      </c>
      <c r="I427" s="108">
        <v>4</v>
      </c>
      <c r="J427" s="160">
        <f>2*(D429+E427)+2*8*G427/1000</f>
        <v>1.72</v>
      </c>
      <c r="K427" s="108"/>
      <c r="L427" s="108">
        <v>5</v>
      </c>
      <c r="M427" s="121">
        <f>2*G427*L427/1000</f>
        <v>0.1</v>
      </c>
      <c r="N427" s="121">
        <f>(J427+K427-M427)</f>
        <v>1.6199999999999999</v>
      </c>
      <c r="O427" s="121">
        <f>(H427*I427*N427)</f>
        <v>6.4799999999999995</v>
      </c>
      <c r="P427" s="151" t="str">
        <f t="shared" si="49"/>
        <v/>
      </c>
      <c r="Q427" s="151">
        <f t="shared" si="50"/>
        <v>6.4799999999999995</v>
      </c>
      <c r="R427" s="151" t="str">
        <f t="shared" si="51"/>
        <v/>
      </c>
      <c r="S427" s="151" t="str">
        <f t="shared" si="52"/>
        <v/>
      </c>
      <c r="T427" s="151" t="str">
        <f t="shared" si="53"/>
        <v/>
      </c>
      <c r="U427" s="151" t="str">
        <f t="shared" si="54"/>
        <v/>
      </c>
      <c r="V427" s="108"/>
    </row>
    <row r="428" spans="1:22">
      <c r="A428" s="101"/>
      <c r="B428" s="157"/>
      <c r="C428" s="147"/>
      <c r="D428" s="148"/>
      <c r="E428" s="161"/>
      <c r="F428" s="150"/>
      <c r="G428" s="107"/>
      <c r="H428" s="108"/>
      <c r="I428" s="108"/>
      <c r="J428" s="109"/>
      <c r="K428" s="108"/>
      <c r="L428" s="108"/>
      <c r="M428" s="108"/>
      <c r="N428" s="108"/>
      <c r="O428" s="121"/>
      <c r="P428" s="151" t="str">
        <f t="shared" si="49"/>
        <v/>
      </c>
      <c r="Q428" s="151" t="str">
        <f t="shared" si="50"/>
        <v/>
      </c>
      <c r="R428" s="151" t="str">
        <f t="shared" si="51"/>
        <v/>
      </c>
      <c r="S428" s="151" t="str">
        <f t="shared" si="52"/>
        <v/>
      </c>
      <c r="T428" s="151" t="str">
        <f t="shared" si="53"/>
        <v/>
      </c>
      <c r="U428" s="151" t="str">
        <f t="shared" si="54"/>
        <v/>
      </c>
      <c r="V428" s="108"/>
    </row>
    <row r="429" spans="1:22">
      <c r="A429" s="101"/>
      <c r="B429" s="157"/>
      <c r="C429" s="147"/>
      <c r="D429" s="118">
        <f>0.23-0.05</f>
        <v>0.18</v>
      </c>
      <c r="E429" s="149"/>
      <c r="F429" s="150"/>
      <c r="G429" s="107"/>
      <c r="H429" s="108"/>
      <c r="I429" s="108"/>
      <c r="J429" s="109"/>
      <c r="K429" s="108"/>
      <c r="L429" s="108"/>
      <c r="M429" s="108"/>
      <c r="N429" s="108"/>
      <c r="O429" s="121"/>
      <c r="P429" s="151" t="str">
        <f t="shared" si="49"/>
        <v/>
      </c>
      <c r="Q429" s="151" t="str">
        <f t="shared" si="50"/>
        <v/>
      </c>
      <c r="R429" s="151" t="str">
        <f t="shared" si="51"/>
        <v/>
      </c>
      <c r="S429" s="151" t="str">
        <f t="shared" si="52"/>
        <v/>
      </c>
      <c r="T429" s="151" t="str">
        <f t="shared" si="53"/>
        <v/>
      </c>
      <c r="U429" s="151" t="str">
        <f t="shared" si="54"/>
        <v/>
      </c>
      <c r="V429" s="108"/>
    </row>
    <row r="430" spans="1:22">
      <c r="A430" s="101"/>
      <c r="B430" s="152"/>
      <c r="C430" s="147"/>
      <c r="D430" s="148"/>
      <c r="E430" s="149"/>
      <c r="F430" s="150"/>
      <c r="G430" s="107"/>
      <c r="H430" s="108"/>
      <c r="I430" s="108"/>
      <c r="J430" s="109"/>
      <c r="K430" s="108"/>
      <c r="L430" s="108"/>
      <c r="M430" s="108"/>
      <c r="N430" s="108"/>
      <c r="O430" s="110"/>
      <c r="P430" s="151" t="str">
        <f t="shared" si="49"/>
        <v/>
      </c>
      <c r="Q430" s="151" t="str">
        <f t="shared" si="50"/>
        <v/>
      </c>
      <c r="R430" s="151" t="str">
        <f t="shared" si="51"/>
        <v/>
      </c>
      <c r="S430" s="151" t="str">
        <f t="shared" si="52"/>
        <v/>
      </c>
      <c r="T430" s="151" t="str">
        <f t="shared" si="53"/>
        <v/>
      </c>
      <c r="U430" s="151" t="str">
        <f t="shared" si="54"/>
        <v/>
      </c>
      <c r="V430" s="108"/>
    </row>
    <row r="431" spans="1:22">
      <c r="A431" s="101"/>
      <c r="B431" s="101"/>
      <c r="C431" s="156">
        <v>0.08</v>
      </c>
      <c r="D431" s="148"/>
      <c r="E431" s="149"/>
      <c r="F431" s="150"/>
      <c r="G431" s="107"/>
      <c r="H431" s="108"/>
      <c r="I431" s="108"/>
      <c r="J431" s="109"/>
      <c r="K431" s="108"/>
      <c r="L431" s="108"/>
      <c r="M431" s="108"/>
      <c r="N431" s="108"/>
      <c r="O431" s="110"/>
      <c r="P431" s="151" t="str">
        <f t="shared" si="49"/>
        <v/>
      </c>
      <c r="Q431" s="151" t="str">
        <f t="shared" si="50"/>
        <v/>
      </c>
      <c r="R431" s="151" t="str">
        <f t="shared" si="51"/>
        <v/>
      </c>
      <c r="S431" s="151" t="str">
        <f t="shared" si="52"/>
        <v/>
      </c>
      <c r="T431" s="151" t="str">
        <f t="shared" si="53"/>
        <v/>
      </c>
      <c r="U431" s="151" t="str">
        <f t="shared" si="54"/>
        <v/>
      </c>
      <c r="V431" s="108"/>
    </row>
    <row r="432" spans="1:22">
      <c r="A432" s="101"/>
      <c r="B432" s="157" t="s">
        <v>387</v>
      </c>
      <c r="C432" s="158"/>
      <c r="D432" s="148"/>
      <c r="E432" s="159">
        <f>1.85-0.05</f>
        <v>1.8</v>
      </c>
      <c r="F432" s="150"/>
      <c r="G432" s="107">
        <v>10</v>
      </c>
      <c r="H432" s="108">
        <v>1</v>
      </c>
      <c r="I432" s="108">
        <v>4</v>
      </c>
      <c r="J432" s="160">
        <f>2*(D434+E432)+2*8*G432/1000</f>
        <v>4.12</v>
      </c>
      <c r="K432" s="108"/>
      <c r="L432" s="108">
        <v>5</v>
      </c>
      <c r="M432" s="121">
        <f>2*G432*L432/1000</f>
        <v>0.1</v>
      </c>
      <c r="N432" s="121">
        <f>(J432+K432-M432)</f>
        <v>4.0200000000000005</v>
      </c>
      <c r="O432" s="121">
        <f>(H432*I432*N432)</f>
        <v>16.080000000000002</v>
      </c>
      <c r="P432" s="151" t="str">
        <f t="shared" si="49"/>
        <v/>
      </c>
      <c r="Q432" s="151">
        <f t="shared" si="50"/>
        <v>16.080000000000002</v>
      </c>
      <c r="R432" s="151" t="str">
        <f t="shared" si="51"/>
        <v/>
      </c>
      <c r="S432" s="151" t="str">
        <f t="shared" si="52"/>
        <v/>
      </c>
      <c r="T432" s="151" t="str">
        <f t="shared" si="53"/>
        <v/>
      </c>
      <c r="U432" s="151" t="str">
        <f t="shared" si="54"/>
        <v/>
      </c>
      <c r="V432" s="108"/>
    </row>
    <row r="433" spans="1:22">
      <c r="A433" s="101"/>
      <c r="B433" s="157"/>
      <c r="C433" s="147"/>
      <c r="D433" s="148"/>
      <c r="E433" s="161"/>
      <c r="F433" s="150"/>
      <c r="G433" s="107"/>
      <c r="H433" s="108"/>
      <c r="I433" s="108"/>
      <c r="J433" s="109"/>
      <c r="K433" s="108"/>
      <c r="L433" s="108"/>
      <c r="M433" s="108"/>
      <c r="N433" s="108"/>
      <c r="O433" s="121"/>
      <c r="P433" s="151" t="str">
        <f t="shared" si="49"/>
        <v/>
      </c>
      <c r="Q433" s="151" t="str">
        <f t="shared" si="50"/>
        <v/>
      </c>
      <c r="R433" s="151" t="str">
        <f t="shared" si="51"/>
        <v/>
      </c>
      <c r="S433" s="151" t="str">
        <f t="shared" si="52"/>
        <v/>
      </c>
      <c r="T433" s="151" t="str">
        <f t="shared" si="53"/>
        <v/>
      </c>
      <c r="U433" s="151" t="str">
        <f t="shared" si="54"/>
        <v/>
      </c>
      <c r="V433" s="108"/>
    </row>
    <row r="434" spans="1:22">
      <c r="A434" s="101"/>
      <c r="B434" s="157"/>
      <c r="C434" s="147"/>
      <c r="D434" s="118">
        <f>0.23-0.05</f>
        <v>0.18</v>
      </c>
      <c r="E434" s="149"/>
      <c r="F434" s="150"/>
      <c r="G434" s="107"/>
      <c r="H434" s="108"/>
      <c r="I434" s="108"/>
      <c r="J434" s="109"/>
      <c r="K434" s="108"/>
      <c r="L434" s="108"/>
      <c r="M434" s="108"/>
      <c r="N434" s="108"/>
      <c r="O434" s="121"/>
      <c r="P434" s="151" t="str">
        <f t="shared" si="49"/>
        <v/>
      </c>
      <c r="Q434" s="151" t="str">
        <f t="shared" si="50"/>
        <v/>
      </c>
      <c r="R434" s="151" t="str">
        <f t="shared" si="51"/>
        <v/>
      </c>
      <c r="S434" s="151" t="str">
        <f t="shared" si="52"/>
        <v/>
      </c>
      <c r="T434" s="151" t="str">
        <f t="shared" si="53"/>
        <v/>
      </c>
      <c r="U434" s="151" t="str">
        <f t="shared" si="54"/>
        <v/>
      </c>
      <c r="V434" s="108"/>
    </row>
    <row r="435" spans="1:22">
      <c r="A435" s="101"/>
      <c r="B435" s="152"/>
      <c r="C435" s="147"/>
      <c r="D435" s="148"/>
      <c r="E435" s="149"/>
      <c r="F435" s="150"/>
      <c r="G435" s="107"/>
      <c r="H435" s="108"/>
      <c r="I435" s="108"/>
      <c r="J435" s="109"/>
      <c r="K435" s="108"/>
      <c r="L435" s="108"/>
      <c r="M435" s="108"/>
      <c r="N435" s="108"/>
      <c r="O435" s="121"/>
      <c r="P435" s="151" t="str">
        <f t="shared" si="49"/>
        <v/>
      </c>
      <c r="Q435" s="151" t="str">
        <f t="shared" si="50"/>
        <v/>
      </c>
      <c r="R435" s="151" t="str">
        <f t="shared" si="51"/>
        <v/>
      </c>
      <c r="S435" s="151" t="str">
        <f t="shared" si="52"/>
        <v/>
      </c>
      <c r="T435" s="151" t="str">
        <f t="shared" si="53"/>
        <v/>
      </c>
      <c r="U435" s="151" t="str">
        <f t="shared" si="54"/>
        <v/>
      </c>
      <c r="V435" s="108"/>
    </row>
    <row r="436" spans="1:22">
      <c r="A436" s="101"/>
      <c r="B436" s="101"/>
      <c r="C436" s="156">
        <v>0.08</v>
      </c>
      <c r="D436" s="148"/>
      <c r="E436" s="149"/>
      <c r="F436" s="150"/>
      <c r="G436" s="107"/>
      <c r="H436" s="108"/>
      <c r="I436" s="108"/>
      <c r="J436" s="109"/>
      <c r="K436" s="108"/>
      <c r="L436" s="108"/>
      <c r="M436" s="108"/>
      <c r="N436" s="108"/>
      <c r="O436" s="121"/>
      <c r="P436" s="151" t="str">
        <f t="shared" si="49"/>
        <v/>
      </c>
      <c r="Q436" s="151" t="str">
        <f t="shared" si="50"/>
        <v/>
      </c>
      <c r="R436" s="151" t="str">
        <f t="shared" si="51"/>
        <v/>
      </c>
      <c r="S436" s="151" t="str">
        <f t="shared" si="52"/>
        <v/>
      </c>
      <c r="T436" s="151" t="str">
        <f t="shared" si="53"/>
        <v/>
      </c>
      <c r="U436" s="151" t="str">
        <f t="shared" si="54"/>
        <v/>
      </c>
      <c r="V436" s="108"/>
    </row>
    <row r="437" spans="1:22">
      <c r="A437" s="101"/>
      <c r="B437" s="157" t="s">
        <v>388</v>
      </c>
      <c r="C437" s="158"/>
      <c r="D437" s="148"/>
      <c r="E437" s="159">
        <f>((0.6-0.05-0.016)/5)*2+0.012+0.02</f>
        <v>0.24559999999999996</v>
      </c>
      <c r="F437" s="150"/>
      <c r="G437" s="107">
        <v>10</v>
      </c>
      <c r="H437" s="108">
        <v>1</v>
      </c>
      <c r="I437" s="108">
        <v>1</v>
      </c>
      <c r="J437" s="160">
        <f>2*(D439+E437)+2*8*G437/1000</f>
        <v>1.0111999999999999</v>
      </c>
      <c r="K437" s="108"/>
      <c r="L437" s="108">
        <v>5</v>
      </c>
      <c r="M437" s="121">
        <f>2*G437*L437/1000</f>
        <v>0.1</v>
      </c>
      <c r="N437" s="121">
        <f>(J437+K437-M437)</f>
        <v>0.9111999999999999</v>
      </c>
      <c r="O437" s="121">
        <f>(H437*I437*N437)</f>
        <v>0.9111999999999999</v>
      </c>
      <c r="P437" s="151" t="str">
        <f t="shared" si="49"/>
        <v/>
      </c>
      <c r="Q437" s="151">
        <f t="shared" si="50"/>
        <v>0.9111999999999999</v>
      </c>
      <c r="R437" s="151" t="str">
        <f t="shared" si="51"/>
        <v/>
      </c>
      <c r="S437" s="151" t="str">
        <f t="shared" si="52"/>
        <v/>
      </c>
      <c r="T437" s="151" t="str">
        <f t="shared" si="53"/>
        <v/>
      </c>
      <c r="U437" s="151" t="str">
        <f t="shared" si="54"/>
        <v/>
      </c>
      <c r="V437" s="108"/>
    </row>
    <row r="438" spans="1:22">
      <c r="A438" s="101"/>
      <c r="B438" s="157"/>
      <c r="C438" s="147"/>
      <c r="D438" s="148"/>
      <c r="E438" s="161"/>
      <c r="F438" s="150"/>
      <c r="G438" s="107"/>
      <c r="H438" s="108"/>
      <c r="I438" s="108"/>
      <c r="J438" s="109"/>
      <c r="K438" s="108"/>
      <c r="L438" s="108"/>
      <c r="M438" s="108"/>
      <c r="N438" s="108"/>
      <c r="O438" s="121"/>
      <c r="P438" s="151" t="str">
        <f t="shared" si="49"/>
        <v/>
      </c>
      <c r="Q438" s="151" t="str">
        <f t="shared" si="50"/>
        <v/>
      </c>
      <c r="R438" s="151" t="str">
        <f t="shared" si="51"/>
        <v/>
      </c>
      <c r="S438" s="151" t="str">
        <f t="shared" si="52"/>
        <v/>
      </c>
      <c r="T438" s="151" t="str">
        <f t="shared" si="53"/>
        <v/>
      </c>
      <c r="U438" s="151" t="str">
        <f t="shared" si="54"/>
        <v/>
      </c>
      <c r="V438" s="108"/>
    </row>
    <row r="439" spans="1:22">
      <c r="A439" s="101"/>
      <c r="B439" s="157"/>
      <c r="C439" s="147"/>
      <c r="D439" s="118">
        <f>0.23-0.05</f>
        <v>0.18</v>
      </c>
      <c r="E439" s="149"/>
      <c r="F439" s="150"/>
      <c r="G439" s="107"/>
      <c r="H439" s="108"/>
      <c r="I439" s="108"/>
      <c r="J439" s="109"/>
      <c r="K439" s="108"/>
      <c r="L439" s="108"/>
      <c r="M439" s="108"/>
      <c r="N439" s="108"/>
      <c r="O439" s="121"/>
      <c r="P439" s="151" t="str">
        <f t="shared" si="49"/>
        <v/>
      </c>
      <c r="Q439" s="151" t="str">
        <f t="shared" si="50"/>
        <v/>
      </c>
      <c r="R439" s="151" t="str">
        <f t="shared" si="51"/>
        <v/>
      </c>
      <c r="S439" s="151" t="str">
        <f t="shared" si="52"/>
        <v/>
      </c>
      <c r="T439" s="151" t="str">
        <f t="shared" si="53"/>
        <v/>
      </c>
      <c r="U439" s="151" t="str">
        <f t="shared" si="54"/>
        <v/>
      </c>
      <c r="V439" s="108"/>
    </row>
    <row r="440" spans="1:22">
      <c r="A440" s="101"/>
      <c r="B440" s="152"/>
      <c r="C440" s="147"/>
      <c r="D440" s="148"/>
      <c r="E440" s="149"/>
      <c r="F440" s="150"/>
      <c r="G440" s="107"/>
      <c r="H440" s="108"/>
      <c r="I440" s="108"/>
      <c r="J440" s="109"/>
      <c r="K440" s="108"/>
      <c r="L440" s="108"/>
      <c r="M440" s="108"/>
      <c r="N440" s="108"/>
      <c r="O440" s="110"/>
      <c r="P440" s="151" t="str">
        <f t="shared" si="49"/>
        <v/>
      </c>
      <c r="Q440" s="151" t="str">
        <f t="shared" si="50"/>
        <v/>
      </c>
      <c r="R440" s="151" t="str">
        <f t="shared" si="51"/>
        <v/>
      </c>
      <c r="S440" s="151" t="str">
        <f t="shared" si="52"/>
        <v/>
      </c>
      <c r="T440" s="151" t="str">
        <f t="shared" si="53"/>
        <v/>
      </c>
      <c r="U440" s="151" t="str">
        <f t="shared" si="54"/>
        <v/>
      </c>
      <c r="V440" s="108"/>
    </row>
    <row r="441" spans="1:22">
      <c r="A441" s="101"/>
      <c r="B441" s="101"/>
      <c r="C441" s="156">
        <v>0.08</v>
      </c>
      <c r="D441" s="148"/>
      <c r="E441" s="149"/>
      <c r="F441" s="150"/>
      <c r="G441" s="107"/>
      <c r="H441" s="108"/>
      <c r="I441" s="108"/>
      <c r="J441" s="109"/>
      <c r="K441" s="108"/>
      <c r="L441" s="108"/>
      <c r="M441" s="108"/>
      <c r="N441" s="108"/>
      <c r="O441" s="110"/>
      <c r="P441" s="151" t="str">
        <f t="shared" si="49"/>
        <v/>
      </c>
      <c r="Q441" s="151" t="str">
        <f t="shared" si="50"/>
        <v/>
      </c>
      <c r="R441" s="151" t="str">
        <f t="shared" si="51"/>
        <v/>
      </c>
      <c r="S441" s="151" t="str">
        <f t="shared" si="52"/>
        <v/>
      </c>
      <c r="T441" s="151" t="str">
        <f t="shared" si="53"/>
        <v/>
      </c>
      <c r="U441" s="151" t="str">
        <f t="shared" si="54"/>
        <v/>
      </c>
      <c r="V441" s="108"/>
    </row>
    <row r="442" spans="1:22">
      <c r="A442" s="101"/>
      <c r="B442" s="157" t="s">
        <v>389</v>
      </c>
      <c r="C442" s="158"/>
      <c r="D442" s="148"/>
      <c r="E442" s="159">
        <f>((1.8-0.05-0.014)/12)*3+0.014+0.02</f>
        <v>0.46800000000000003</v>
      </c>
      <c r="F442" s="150"/>
      <c r="G442" s="107">
        <v>10</v>
      </c>
      <c r="H442" s="108">
        <v>1</v>
      </c>
      <c r="I442" s="108">
        <v>1</v>
      </c>
      <c r="J442" s="160">
        <f>2*(D444+E442)+2*8*G442/1000</f>
        <v>1.456</v>
      </c>
      <c r="K442" s="108"/>
      <c r="L442" s="108">
        <v>5</v>
      </c>
      <c r="M442" s="121">
        <f>2*G442*L442/1000</f>
        <v>0.1</v>
      </c>
      <c r="N442" s="121">
        <f>(J442+K442-M442)</f>
        <v>1.3559999999999999</v>
      </c>
      <c r="O442" s="121">
        <f>(H442*I442*N442)</f>
        <v>1.3559999999999999</v>
      </c>
      <c r="P442" s="151" t="str">
        <f t="shared" si="49"/>
        <v/>
      </c>
      <c r="Q442" s="151">
        <f t="shared" si="50"/>
        <v>1.3559999999999999</v>
      </c>
      <c r="R442" s="151" t="str">
        <f t="shared" si="51"/>
        <v/>
      </c>
      <c r="S442" s="151" t="str">
        <f t="shared" si="52"/>
        <v/>
      </c>
      <c r="T442" s="151" t="str">
        <f t="shared" si="53"/>
        <v/>
      </c>
      <c r="U442" s="151" t="str">
        <f t="shared" si="54"/>
        <v/>
      </c>
      <c r="V442" s="108"/>
    </row>
    <row r="443" spans="1:22">
      <c r="A443" s="101"/>
      <c r="B443" s="157"/>
      <c r="C443" s="147"/>
      <c r="D443" s="148"/>
      <c r="E443" s="161"/>
      <c r="F443" s="150"/>
      <c r="G443" s="107"/>
      <c r="H443" s="108"/>
      <c r="I443" s="108"/>
      <c r="J443" s="109"/>
      <c r="K443" s="108"/>
      <c r="L443" s="108"/>
      <c r="M443" s="108"/>
      <c r="N443" s="108"/>
      <c r="O443" s="121"/>
      <c r="P443" s="151" t="str">
        <f t="shared" si="49"/>
        <v/>
      </c>
      <c r="Q443" s="151" t="str">
        <f t="shared" si="50"/>
        <v/>
      </c>
      <c r="R443" s="151" t="str">
        <f t="shared" si="51"/>
        <v/>
      </c>
      <c r="S443" s="151" t="str">
        <f t="shared" si="52"/>
        <v/>
      </c>
      <c r="T443" s="151" t="str">
        <f t="shared" si="53"/>
        <v/>
      </c>
      <c r="U443" s="151" t="str">
        <f t="shared" si="54"/>
        <v/>
      </c>
      <c r="V443" s="108"/>
    </row>
    <row r="444" spans="1:22">
      <c r="A444" s="101"/>
      <c r="B444" s="157"/>
      <c r="C444" s="147"/>
      <c r="D444" s="118">
        <f>0.23-0.05</f>
        <v>0.18</v>
      </c>
      <c r="E444" s="149"/>
      <c r="F444" s="150"/>
      <c r="G444" s="107"/>
      <c r="H444" s="108"/>
      <c r="I444" s="108"/>
      <c r="J444" s="109"/>
      <c r="K444" s="108"/>
      <c r="L444" s="108"/>
      <c r="M444" s="108"/>
      <c r="N444" s="108"/>
      <c r="O444" s="121"/>
      <c r="P444" s="151" t="str">
        <f t="shared" si="49"/>
        <v/>
      </c>
      <c r="Q444" s="151" t="str">
        <f t="shared" si="50"/>
        <v/>
      </c>
      <c r="R444" s="151" t="str">
        <f t="shared" si="51"/>
        <v/>
      </c>
      <c r="S444" s="151" t="str">
        <f t="shared" si="52"/>
        <v/>
      </c>
      <c r="T444" s="151" t="str">
        <f t="shared" si="53"/>
        <v/>
      </c>
      <c r="U444" s="151" t="str">
        <f t="shared" si="54"/>
        <v/>
      </c>
      <c r="V444" s="108"/>
    </row>
    <row r="445" spans="1:22">
      <c r="A445" s="101"/>
      <c r="B445" s="152"/>
      <c r="C445" s="147"/>
      <c r="D445" s="148"/>
      <c r="E445" s="149"/>
      <c r="F445" s="150"/>
      <c r="G445" s="107"/>
      <c r="H445" s="108"/>
      <c r="I445" s="108"/>
      <c r="J445" s="109"/>
      <c r="K445" s="108"/>
      <c r="L445" s="108"/>
      <c r="M445" s="108"/>
      <c r="N445" s="108"/>
      <c r="O445" s="110"/>
      <c r="P445" s="151" t="str">
        <f t="shared" si="49"/>
        <v/>
      </c>
      <c r="Q445" s="151" t="str">
        <f t="shared" si="50"/>
        <v/>
      </c>
      <c r="R445" s="151" t="str">
        <f t="shared" si="51"/>
        <v/>
      </c>
      <c r="S445" s="151" t="str">
        <f t="shared" si="52"/>
        <v/>
      </c>
      <c r="T445" s="151" t="str">
        <f t="shared" si="53"/>
        <v/>
      </c>
      <c r="U445" s="151" t="str">
        <f t="shared" si="54"/>
        <v/>
      </c>
      <c r="V445" s="108"/>
    </row>
    <row r="446" spans="1:22">
      <c r="A446" s="101"/>
      <c r="B446" s="101"/>
      <c r="C446" s="156">
        <v>0.08</v>
      </c>
      <c r="D446" s="148"/>
      <c r="E446" s="149"/>
      <c r="F446" s="150"/>
      <c r="G446" s="107"/>
      <c r="H446" s="108"/>
      <c r="I446" s="108"/>
      <c r="J446" s="109"/>
      <c r="K446" s="108"/>
      <c r="L446" s="108"/>
      <c r="M446" s="108"/>
      <c r="N446" s="108"/>
      <c r="O446" s="110"/>
      <c r="P446" s="151" t="str">
        <f t="shared" si="49"/>
        <v/>
      </c>
      <c r="Q446" s="151" t="str">
        <f t="shared" si="50"/>
        <v/>
      </c>
      <c r="R446" s="151" t="str">
        <f t="shared" si="51"/>
        <v/>
      </c>
      <c r="S446" s="151" t="str">
        <f t="shared" si="52"/>
        <v/>
      </c>
      <c r="T446" s="151" t="str">
        <f t="shared" si="53"/>
        <v/>
      </c>
      <c r="U446" s="151" t="str">
        <f t="shared" si="54"/>
        <v/>
      </c>
      <c r="V446" s="108"/>
    </row>
    <row r="447" spans="1:22">
      <c r="A447" s="101"/>
      <c r="B447" s="157" t="s">
        <v>394</v>
      </c>
      <c r="C447" s="158"/>
      <c r="D447" s="148"/>
      <c r="E447" s="159">
        <f>((1.8-0.05-0.014)/12)*5+0.01+0.02</f>
        <v>0.75333333333333341</v>
      </c>
      <c r="F447" s="150"/>
      <c r="G447" s="107">
        <v>10</v>
      </c>
      <c r="H447" s="108">
        <v>1</v>
      </c>
      <c r="I447" s="108">
        <v>1</v>
      </c>
      <c r="J447" s="160">
        <f>2*(D449+E447)+2*8*G447/1000</f>
        <v>2.0266666666666668</v>
      </c>
      <c r="K447" s="108"/>
      <c r="L447" s="108">
        <v>5</v>
      </c>
      <c r="M447" s="121">
        <f>2*G447*L447/1000</f>
        <v>0.1</v>
      </c>
      <c r="N447" s="121">
        <f>(J447+K447-M447)</f>
        <v>1.9266666666666667</v>
      </c>
      <c r="O447" s="121">
        <f>(H447*I447*N447)</f>
        <v>1.9266666666666667</v>
      </c>
      <c r="P447" s="151" t="str">
        <f t="shared" si="49"/>
        <v/>
      </c>
      <c r="Q447" s="151">
        <f t="shared" si="50"/>
        <v>1.9266666666666667</v>
      </c>
      <c r="R447" s="151" t="str">
        <f t="shared" si="51"/>
        <v/>
      </c>
      <c r="S447" s="151" t="str">
        <f t="shared" si="52"/>
        <v/>
      </c>
      <c r="T447" s="151" t="str">
        <f t="shared" si="53"/>
        <v/>
      </c>
      <c r="U447" s="151" t="str">
        <f t="shared" si="54"/>
        <v/>
      </c>
      <c r="V447" s="108"/>
    </row>
    <row r="448" spans="1:22">
      <c r="A448" s="101"/>
      <c r="B448" s="157"/>
      <c r="C448" s="147"/>
      <c r="D448" s="148"/>
      <c r="E448" s="161"/>
      <c r="F448" s="150"/>
      <c r="G448" s="107"/>
      <c r="H448" s="108"/>
      <c r="I448" s="108"/>
      <c r="J448" s="109"/>
      <c r="K448" s="108"/>
      <c r="L448" s="108"/>
      <c r="M448" s="108"/>
      <c r="N448" s="108"/>
      <c r="O448" s="121"/>
      <c r="P448" s="151" t="str">
        <f t="shared" si="49"/>
        <v/>
      </c>
      <c r="Q448" s="151" t="str">
        <f t="shared" si="50"/>
        <v/>
      </c>
      <c r="R448" s="151" t="str">
        <f t="shared" si="51"/>
        <v/>
      </c>
      <c r="S448" s="151" t="str">
        <f t="shared" si="52"/>
        <v/>
      </c>
      <c r="T448" s="151" t="str">
        <f t="shared" si="53"/>
        <v/>
      </c>
      <c r="U448" s="151" t="str">
        <f t="shared" si="54"/>
        <v/>
      </c>
      <c r="V448" s="108"/>
    </row>
    <row r="449" spans="1:22">
      <c r="A449" s="101"/>
      <c r="B449" s="157"/>
      <c r="C449" s="147"/>
      <c r="D449" s="118">
        <f>0.23-0.05</f>
        <v>0.18</v>
      </c>
      <c r="E449" s="149"/>
      <c r="F449" s="150"/>
      <c r="G449" s="107"/>
      <c r="H449" s="108"/>
      <c r="I449" s="108"/>
      <c r="J449" s="109"/>
      <c r="K449" s="108"/>
      <c r="L449" s="108"/>
      <c r="M449" s="108"/>
      <c r="N449" s="108"/>
      <c r="O449" s="121"/>
      <c r="P449" s="151" t="str">
        <f t="shared" si="49"/>
        <v/>
      </c>
      <c r="Q449" s="151" t="str">
        <f t="shared" si="50"/>
        <v/>
      </c>
      <c r="R449" s="151" t="str">
        <f t="shared" si="51"/>
        <v/>
      </c>
      <c r="S449" s="151" t="str">
        <f t="shared" si="52"/>
        <v/>
      </c>
      <c r="T449" s="151" t="str">
        <f t="shared" si="53"/>
        <v/>
      </c>
      <c r="U449" s="151" t="str">
        <f t="shared" si="54"/>
        <v/>
      </c>
      <c r="V449" s="108"/>
    </row>
    <row r="450" spans="1:22">
      <c r="A450" s="101"/>
      <c r="B450" s="152"/>
      <c r="C450" s="147"/>
      <c r="D450" s="148"/>
      <c r="E450" s="149"/>
      <c r="F450" s="150"/>
      <c r="G450" s="107"/>
      <c r="H450" s="108"/>
      <c r="I450" s="108"/>
      <c r="J450" s="109"/>
      <c r="K450" s="108"/>
      <c r="L450" s="108"/>
      <c r="M450" s="108"/>
      <c r="N450" s="108"/>
      <c r="O450" s="110"/>
      <c r="P450" s="151" t="str">
        <f t="shared" si="49"/>
        <v/>
      </c>
      <c r="Q450" s="151" t="str">
        <f t="shared" si="50"/>
        <v/>
      </c>
      <c r="R450" s="151" t="str">
        <f t="shared" si="51"/>
        <v/>
      </c>
      <c r="S450" s="151" t="str">
        <f t="shared" si="52"/>
        <v/>
      </c>
      <c r="T450" s="151" t="str">
        <f t="shared" si="53"/>
        <v/>
      </c>
      <c r="U450" s="151" t="str">
        <f t="shared" si="54"/>
        <v/>
      </c>
      <c r="V450" s="108"/>
    </row>
    <row r="451" spans="1:22">
      <c r="A451" s="101"/>
      <c r="B451" s="152"/>
      <c r="C451" s="156">
        <v>0.08</v>
      </c>
      <c r="D451" s="148"/>
      <c r="E451" s="149"/>
      <c r="F451" s="150"/>
      <c r="G451" s="107"/>
      <c r="H451" s="108"/>
      <c r="I451" s="108"/>
      <c r="J451" s="109"/>
      <c r="K451" s="108"/>
      <c r="L451" s="108"/>
      <c r="M451" s="108"/>
      <c r="N451" s="108"/>
      <c r="O451" s="110"/>
      <c r="P451" s="151" t="str">
        <f t="shared" si="49"/>
        <v/>
      </c>
      <c r="Q451" s="151" t="str">
        <f t="shared" si="50"/>
        <v/>
      </c>
      <c r="R451" s="151" t="str">
        <f t="shared" si="51"/>
        <v/>
      </c>
      <c r="S451" s="151" t="str">
        <f t="shared" si="52"/>
        <v/>
      </c>
      <c r="T451" s="151" t="str">
        <f t="shared" si="53"/>
        <v/>
      </c>
      <c r="U451" s="151" t="str">
        <f t="shared" si="54"/>
        <v/>
      </c>
      <c r="V451" s="108"/>
    </row>
    <row r="452" spans="1:22">
      <c r="A452" s="101"/>
      <c r="B452" s="157" t="s">
        <v>400</v>
      </c>
      <c r="C452" s="158"/>
      <c r="D452" s="148"/>
      <c r="E452" s="159">
        <f>((1.8-0.05-0.014)/12)*1+0.012+0.02</f>
        <v>0.17666666666666667</v>
      </c>
      <c r="F452" s="150"/>
      <c r="G452" s="107">
        <v>10</v>
      </c>
      <c r="H452" s="108">
        <v>1</v>
      </c>
      <c r="I452" s="108">
        <v>1</v>
      </c>
      <c r="J452" s="160">
        <f>2*(D454+E452)+2*8*G452/1000</f>
        <v>0.87333333333333341</v>
      </c>
      <c r="K452" s="108"/>
      <c r="L452" s="108">
        <v>5</v>
      </c>
      <c r="M452" s="121">
        <f>2*G452*L452/1000</f>
        <v>0.1</v>
      </c>
      <c r="N452" s="121">
        <f>(J452+K452-M452)</f>
        <v>0.77333333333333343</v>
      </c>
      <c r="O452" s="121">
        <f>(H452*I452*N452)</f>
        <v>0.77333333333333343</v>
      </c>
      <c r="P452" s="151" t="str">
        <f t="shared" si="49"/>
        <v/>
      </c>
      <c r="Q452" s="151">
        <f t="shared" si="50"/>
        <v>0.77333333333333343</v>
      </c>
      <c r="R452" s="151" t="str">
        <f t="shared" si="51"/>
        <v/>
      </c>
      <c r="S452" s="151" t="str">
        <f t="shared" si="52"/>
        <v/>
      </c>
      <c r="T452" s="151" t="str">
        <f t="shared" si="53"/>
        <v/>
      </c>
      <c r="U452" s="151" t="str">
        <f t="shared" si="54"/>
        <v/>
      </c>
      <c r="V452" s="108"/>
    </row>
    <row r="453" spans="1:22">
      <c r="A453" s="101"/>
      <c r="B453" s="157"/>
      <c r="C453" s="147"/>
      <c r="D453" s="148"/>
      <c r="E453" s="161"/>
      <c r="F453" s="150"/>
      <c r="G453" s="107"/>
      <c r="H453" s="108"/>
      <c r="I453" s="108"/>
      <c r="J453" s="109"/>
      <c r="K453" s="108"/>
      <c r="L453" s="108"/>
      <c r="M453" s="108"/>
      <c r="N453" s="108"/>
      <c r="O453" s="121"/>
      <c r="P453" s="151" t="str">
        <f t="shared" si="49"/>
        <v/>
      </c>
      <c r="Q453" s="151" t="str">
        <f t="shared" si="50"/>
        <v/>
      </c>
      <c r="R453" s="151" t="str">
        <f t="shared" si="51"/>
        <v/>
      </c>
      <c r="S453" s="151" t="str">
        <f t="shared" si="52"/>
        <v/>
      </c>
      <c r="T453" s="151" t="str">
        <f t="shared" si="53"/>
        <v/>
      </c>
      <c r="U453" s="151" t="str">
        <f t="shared" si="54"/>
        <v/>
      </c>
      <c r="V453" s="108"/>
    </row>
    <row r="454" spans="1:22">
      <c r="A454" s="101"/>
      <c r="B454" s="157"/>
      <c r="C454" s="147"/>
      <c r="D454" s="118">
        <f>0.23-0.05</f>
        <v>0.18</v>
      </c>
      <c r="E454" s="149"/>
      <c r="F454" s="150"/>
      <c r="G454" s="107"/>
      <c r="H454" s="108"/>
      <c r="I454" s="108"/>
      <c r="J454" s="109"/>
      <c r="K454" s="108"/>
      <c r="L454" s="108"/>
      <c r="M454" s="108"/>
      <c r="N454" s="108"/>
      <c r="O454" s="121"/>
      <c r="P454" s="151" t="str">
        <f t="shared" ref="P454:P583" si="61">IF($G454=8,$O454,"")</f>
        <v/>
      </c>
      <c r="Q454" s="151" t="str">
        <f t="shared" ref="Q454:Q583" si="62">IF($G454=10,$O454,"")</f>
        <v/>
      </c>
      <c r="R454" s="151" t="str">
        <f t="shared" ref="R454:R583" si="63">IF($G454=12,$O454,"")</f>
        <v/>
      </c>
      <c r="S454" s="151" t="str">
        <f t="shared" ref="S454:S583" si="64">IF($G454=16,$O454,"")</f>
        <v/>
      </c>
      <c r="T454" s="151" t="str">
        <f t="shared" ref="T454:T583" si="65">IF($G454=20,$O454,"")</f>
        <v/>
      </c>
      <c r="U454" s="151" t="str">
        <f t="shared" ref="U454:U583" si="66">IF($G454=25,$O454,"")</f>
        <v/>
      </c>
      <c r="V454" s="108"/>
    </row>
    <row r="455" spans="1:22">
      <c r="A455" s="101"/>
      <c r="B455" s="152"/>
      <c r="C455" s="147"/>
      <c r="D455" s="148"/>
      <c r="E455" s="149"/>
      <c r="F455" s="150"/>
      <c r="G455" s="107"/>
      <c r="H455" s="108"/>
      <c r="I455" s="108"/>
      <c r="J455" s="109"/>
      <c r="K455" s="108"/>
      <c r="L455" s="108"/>
      <c r="M455" s="108"/>
      <c r="N455" s="108"/>
      <c r="O455" s="110"/>
      <c r="P455" s="151" t="str">
        <f t="shared" si="61"/>
        <v/>
      </c>
      <c r="Q455" s="151" t="str">
        <f t="shared" si="62"/>
        <v/>
      </c>
      <c r="R455" s="151" t="str">
        <f t="shared" si="63"/>
        <v/>
      </c>
      <c r="S455" s="151" t="str">
        <f t="shared" si="64"/>
        <v/>
      </c>
      <c r="T455" s="151" t="str">
        <f t="shared" si="65"/>
        <v/>
      </c>
      <c r="U455" s="151" t="str">
        <f t="shared" si="66"/>
        <v/>
      </c>
      <c r="V455" s="108"/>
    </row>
    <row r="456" spans="1:22">
      <c r="A456" s="101"/>
      <c r="B456" s="152"/>
      <c r="C456" s="147"/>
      <c r="D456" s="148"/>
      <c r="E456" s="155">
        <v>0.08</v>
      </c>
      <c r="F456" s="150"/>
      <c r="G456" s="107"/>
      <c r="H456" s="108"/>
      <c r="I456" s="108"/>
      <c r="J456" s="109"/>
      <c r="K456" s="108"/>
      <c r="L456" s="108"/>
      <c r="M456" s="108"/>
      <c r="N456" s="108"/>
      <c r="O456" s="110"/>
      <c r="P456" s="151" t="str">
        <f t="shared" si="61"/>
        <v/>
      </c>
      <c r="Q456" s="151" t="str">
        <f t="shared" si="62"/>
        <v/>
      </c>
      <c r="R456" s="151" t="str">
        <f t="shared" si="63"/>
        <v/>
      </c>
      <c r="S456" s="151" t="str">
        <f t="shared" si="64"/>
        <v/>
      </c>
      <c r="T456" s="151" t="str">
        <f t="shared" si="65"/>
        <v/>
      </c>
      <c r="U456" s="151" t="str">
        <f t="shared" si="66"/>
        <v/>
      </c>
      <c r="V456" s="108"/>
    </row>
    <row r="457" spans="1:22">
      <c r="A457" s="101"/>
      <c r="B457" s="157" t="s">
        <v>401</v>
      </c>
      <c r="C457" s="147"/>
      <c r="D457" s="153">
        <f>0.23-0.05</f>
        <v>0.18</v>
      </c>
      <c r="E457" s="155"/>
      <c r="F457" s="150"/>
      <c r="G457" s="107">
        <v>10</v>
      </c>
      <c r="H457" s="108">
        <v>1</v>
      </c>
      <c r="I457" s="108">
        <v>4</v>
      </c>
      <c r="J457" s="160">
        <f>D457+E456+E458</f>
        <v>0.34</v>
      </c>
      <c r="K457" s="108"/>
      <c r="L457" s="108">
        <v>2</v>
      </c>
      <c r="M457" s="121">
        <f>2*G457*L457/1000</f>
        <v>0.04</v>
      </c>
      <c r="N457" s="121">
        <f>(J457+K457-M457)</f>
        <v>0.30000000000000004</v>
      </c>
      <c r="O457" s="121">
        <f>(H457*I457*N457)</f>
        <v>1.2000000000000002</v>
      </c>
      <c r="P457" s="151" t="str">
        <f t="shared" si="61"/>
        <v/>
      </c>
      <c r="Q457" s="151">
        <f t="shared" si="62"/>
        <v>1.2000000000000002</v>
      </c>
      <c r="R457" s="151" t="str">
        <f t="shared" si="63"/>
        <v/>
      </c>
      <c r="S457" s="151" t="str">
        <f t="shared" si="64"/>
        <v/>
      </c>
      <c r="T457" s="151" t="str">
        <f t="shared" si="65"/>
        <v/>
      </c>
      <c r="U457" s="151" t="str">
        <f t="shared" si="66"/>
        <v/>
      </c>
      <c r="V457" s="108"/>
    </row>
    <row r="458" spans="1:22">
      <c r="A458" s="101"/>
      <c r="B458" s="152"/>
      <c r="C458" s="147"/>
      <c r="D458" s="148"/>
      <c r="E458" s="155">
        <v>0.08</v>
      </c>
      <c r="F458" s="150"/>
      <c r="G458" s="107"/>
      <c r="H458" s="108"/>
      <c r="I458" s="108"/>
      <c r="J458" s="109"/>
      <c r="K458" s="108"/>
      <c r="L458" s="108"/>
      <c r="M458" s="108"/>
      <c r="N458" s="108"/>
      <c r="O458" s="110"/>
      <c r="P458" s="151" t="str">
        <f t="shared" si="61"/>
        <v/>
      </c>
      <c r="Q458" s="151" t="str">
        <f t="shared" si="62"/>
        <v/>
      </c>
      <c r="R458" s="151" t="str">
        <f t="shared" si="63"/>
        <v/>
      </c>
      <c r="S458" s="151" t="str">
        <f t="shared" si="64"/>
        <v/>
      </c>
      <c r="T458" s="151" t="str">
        <f t="shared" si="65"/>
        <v/>
      </c>
      <c r="U458" s="151" t="str">
        <f t="shared" si="66"/>
        <v/>
      </c>
      <c r="V458" s="108"/>
    </row>
    <row r="459" spans="1:22">
      <c r="A459" s="101"/>
      <c r="B459" s="157"/>
      <c r="C459" s="147"/>
      <c r="D459" s="163"/>
      <c r="E459" s="149"/>
      <c r="F459" s="150"/>
      <c r="G459" s="107"/>
      <c r="H459" s="108"/>
      <c r="I459" s="108"/>
      <c r="J459" s="109"/>
      <c r="K459" s="108"/>
      <c r="L459" s="108"/>
      <c r="M459" s="108"/>
      <c r="N459" s="108"/>
      <c r="O459" s="110"/>
      <c r="P459" s="151" t="str">
        <f t="shared" si="61"/>
        <v/>
      </c>
      <c r="Q459" s="151" t="str">
        <f t="shared" si="62"/>
        <v/>
      </c>
      <c r="R459" s="151" t="str">
        <f t="shared" si="63"/>
        <v/>
      </c>
      <c r="S459" s="151" t="str">
        <f t="shared" si="64"/>
        <v/>
      </c>
      <c r="T459" s="151" t="str">
        <f t="shared" si="65"/>
        <v/>
      </c>
      <c r="U459" s="151" t="str">
        <f t="shared" si="66"/>
        <v/>
      </c>
      <c r="V459" s="108"/>
    </row>
    <row r="460" spans="1:22">
      <c r="A460" s="101">
        <v>17</v>
      </c>
      <c r="B460" s="101" t="s">
        <v>412</v>
      </c>
      <c r="C460" s="147"/>
      <c r="D460" s="148"/>
      <c r="E460" s="149"/>
      <c r="F460" s="150"/>
      <c r="G460" s="107"/>
      <c r="H460" s="108"/>
      <c r="I460" s="108"/>
      <c r="J460" s="118"/>
      <c r="K460" s="121"/>
      <c r="L460" s="121"/>
      <c r="M460" s="108"/>
      <c r="N460" s="121"/>
      <c r="O460" s="121"/>
      <c r="P460" s="151" t="str">
        <f>IF($G460=8,$O460,"")</f>
        <v/>
      </c>
      <c r="Q460" s="151" t="str">
        <f>IF($G460=10,$O460,"")</f>
        <v/>
      </c>
      <c r="R460" s="151" t="str">
        <f>IF($G460=12,$O460,"")</f>
        <v/>
      </c>
      <c r="S460" s="151" t="str">
        <f>IF($G460=16,$O460,"")</f>
        <v/>
      </c>
      <c r="T460" s="151" t="str">
        <f>IF($G460=20,$O460,"")</f>
        <v/>
      </c>
      <c r="U460" s="151" t="str">
        <f>IF($G460=25,$O460,"")</f>
        <v/>
      </c>
      <c r="V460" s="108"/>
    </row>
    <row r="461" spans="1:22">
      <c r="A461" s="101"/>
      <c r="B461" s="152" t="s">
        <v>382</v>
      </c>
      <c r="C461" s="147"/>
      <c r="D461" s="153">
        <f>0.85-0.075-2*0.016</f>
        <v>0.74299999999999999</v>
      </c>
      <c r="E461" s="149"/>
      <c r="F461" s="150"/>
      <c r="G461" s="107">
        <v>16</v>
      </c>
      <c r="H461" s="108">
        <v>1</v>
      </c>
      <c r="I461" s="108">
        <v>8</v>
      </c>
      <c r="J461" s="118">
        <f>D461</f>
        <v>0.74299999999999999</v>
      </c>
      <c r="K461" s="119" t="str">
        <f>IF(N461&lt;12,"0",0.049*G461)</f>
        <v>0</v>
      </c>
      <c r="L461" s="120">
        <v>1</v>
      </c>
      <c r="M461" s="108">
        <f>2*G461*L461/1000</f>
        <v>3.2000000000000001E-2</v>
      </c>
      <c r="N461" s="121">
        <f>J461+E463-M461</f>
        <v>1.0109999999999999</v>
      </c>
      <c r="O461" s="121">
        <f t="shared" ref="O461:O465" si="67">H461*I461*N461</f>
        <v>8.0879999999999992</v>
      </c>
      <c r="P461" s="151" t="str">
        <f t="shared" si="61"/>
        <v/>
      </c>
      <c r="Q461" s="151" t="str">
        <f t="shared" si="62"/>
        <v/>
      </c>
      <c r="R461" s="151" t="str">
        <f t="shared" si="63"/>
        <v/>
      </c>
      <c r="S461" s="151">
        <f t="shared" si="64"/>
        <v>8.0879999999999992</v>
      </c>
      <c r="T461" s="151" t="str">
        <f t="shared" si="65"/>
        <v/>
      </c>
      <c r="U461" s="151" t="str">
        <f t="shared" si="66"/>
        <v/>
      </c>
      <c r="V461" s="108"/>
    </row>
    <row r="462" spans="1:22">
      <c r="A462" s="101"/>
      <c r="B462" s="152" t="s">
        <v>383</v>
      </c>
      <c r="C462" s="147"/>
      <c r="D462" s="148"/>
      <c r="E462" s="149"/>
      <c r="F462" s="150"/>
      <c r="G462" s="107">
        <v>16</v>
      </c>
      <c r="H462" s="108">
        <v>1</v>
      </c>
      <c r="I462" s="108">
        <v>8</v>
      </c>
      <c r="J462" s="118">
        <f>D461</f>
        <v>0.74299999999999999</v>
      </c>
      <c r="K462" s="119" t="str">
        <f t="shared" ref="K462:K465" si="68">IF(N462&lt;12,"0",0.049*G462)</f>
        <v>0</v>
      </c>
      <c r="L462" s="120">
        <v>1</v>
      </c>
      <c r="M462" s="108">
        <f t="shared" ref="M462:M465" si="69">2*G462*L462/1000</f>
        <v>3.2000000000000001E-2</v>
      </c>
      <c r="N462" s="121">
        <f>J462+E463-M462</f>
        <v>1.0109999999999999</v>
      </c>
      <c r="O462" s="121">
        <f t="shared" si="67"/>
        <v>8.0879999999999992</v>
      </c>
      <c r="P462" s="151" t="str">
        <f t="shared" si="61"/>
        <v/>
      </c>
      <c r="Q462" s="151" t="str">
        <f t="shared" si="62"/>
        <v/>
      </c>
      <c r="R462" s="151" t="str">
        <f t="shared" si="63"/>
        <v/>
      </c>
      <c r="S462" s="151">
        <f t="shared" si="64"/>
        <v>8.0879999999999992</v>
      </c>
      <c r="T462" s="151" t="str">
        <f t="shared" si="65"/>
        <v/>
      </c>
      <c r="U462" s="151" t="str">
        <f t="shared" si="66"/>
        <v/>
      </c>
      <c r="V462" s="108"/>
    </row>
    <row r="463" spans="1:22">
      <c r="A463" s="101"/>
      <c r="B463" s="152" t="s">
        <v>384</v>
      </c>
      <c r="C463" s="154"/>
      <c r="D463" s="153"/>
      <c r="E463" s="155">
        <v>0.3</v>
      </c>
      <c r="F463" s="150"/>
      <c r="G463" s="107">
        <v>12</v>
      </c>
      <c r="H463" s="108">
        <v>1</v>
      </c>
      <c r="I463" s="108">
        <v>8</v>
      </c>
      <c r="J463" s="118">
        <f>D461</f>
        <v>0.74299999999999999</v>
      </c>
      <c r="K463" s="119" t="str">
        <f t="shared" si="68"/>
        <v>0</v>
      </c>
      <c r="L463" s="120">
        <v>1</v>
      </c>
      <c r="M463" s="108">
        <f t="shared" si="69"/>
        <v>2.4E-2</v>
      </c>
      <c r="N463" s="121">
        <f>J463+E463-M463</f>
        <v>1.0189999999999999</v>
      </c>
      <c r="O463" s="121">
        <f t="shared" si="67"/>
        <v>8.1519999999999992</v>
      </c>
      <c r="P463" s="151" t="str">
        <f t="shared" si="61"/>
        <v/>
      </c>
      <c r="Q463" s="151" t="str">
        <f t="shared" si="62"/>
        <v/>
      </c>
      <c r="R463" s="151">
        <f t="shared" si="63"/>
        <v>8.1519999999999992</v>
      </c>
      <c r="S463" s="151" t="str">
        <f t="shared" si="64"/>
        <v/>
      </c>
      <c r="T463" s="151" t="str">
        <f t="shared" si="65"/>
        <v/>
      </c>
      <c r="U463" s="151" t="str">
        <f t="shared" si="66"/>
        <v/>
      </c>
      <c r="V463" s="108"/>
    </row>
    <row r="464" spans="1:22">
      <c r="A464" s="101"/>
      <c r="B464" s="152" t="s">
        <v>385</v>
      </c>
      <c r="C464" s="147"/>
      <c r="D464" s="148"/>
      <c r="E464" s="149"/>
      <c r="F464" s="150"/>
      <c r="G464" s="107">
        <v>12</v>
      </c>
      <c r="H464" s="108">
        <v>1</v>
      </c>
      <c r="I464" s="108">
        <v>4</v>
      </c>
      <c r="J464" s="118">
        <f>D461</f>
        <v>0.74299999999999999</v>
      </c>
      <c r="K464" s="119" t="str">
        <f t="shared" si="68"/>
        <v>0</v>
      </c>
      <c r="L464" s="120">
        <v>1</v>
      </c>
      <c r="M464" s="108">
        <f t="shared" si="69"/>
        <v>2.4E-2</v>
      </c>
      <c r="N464" s="121">
        <f>J464+E464-M464</f>
        <v>0.71899999999999997</v>
      </c>
      <c r="O464" s="121">
        <f t="shared" si="67"/>
        <v>2.8759999999999999</v>
      </c>
      <c r="P464" s="151" t="str">
        <f t="shared" si="61"/>
        <v/>
      </c>
      <c r="Q464" s="151" t="str">
        <f t="shared" si="62"/>
        <v/>
      </c>
      <c r="R464" s="151">
        <f t="shared" si="63"/>
        <v>2.8759999999999999</v>
      </c>
      <c r="S464" s="151" t="str">
        <f t="shared" si="64"/>
        <v/>
      </c>
      <c r="T464" s="151" t="str">
        <f t="shared" si="65"/>
        <v/>
      </c>
      <c r="U464" s="151" t="str">
        <f t="shared" si="66"/>
        <v/>
      </c>
      <c r="V464" s="108"/>
    </row>
    <row r="465" spans="1:22">
      <c r="A465" s="101"/>
      <c r="B465" s="152" t="s">
        <v>393</v>
      </c>
      <c r="C465" s="147"/>
      <c r="D465" s="148"/>
      <c r="E465" s="149"/>
      <c r="F465" s="150"/>
      <c r="G465" s="107">
        <v>12</v>
      </c>
      <c r="H465" s="108">
        <v>1</v>
      </c>
      <c r="I465" s="108">
        <v>20</v>
      </c>
      <c r="J465" s="118">
        <f>D461</f>
        <v>0.74299999999999999</v>
      </c>
      <c r="K465" s="119" t="str">
        <f t="shared" si="68"/>
        <v>0</v>
      </c>
      <c r="L465" s="120">
        <v>1</v>
      </c>
      <c r="M465" s="108">
        <f t="shared" si="69"/>
        <v>2.4E-2</v>
      </c>
      <c r="N465" s="121">
        <f>J465+E465-M465</f>
        <v>0.71899999999999997</v>
      </c>
      <c r="O465" s="121">
        <f t="shared" si="67"/>
        <v>14.379999999999999</v>
      </c>
      <c r="P465" s="151" t="str">
        <f t="shared" si="61"/>
        <v/>
      </c>
      <c r="Q465" s="151" t="str">
        <f t="shared" si="62"/>
        <v/>
      </c>
      <c r="R465" s="151">
        <f t="shared" si="63"/>
        <v>14.379999999999999</v>
      </c>
      <c r="S465" s="151" t="str">
        <f t="shared" si="64"/>
        <v/>
      </c>
      <c r="T465" s="151" t="str">
        <f t="shared" si="65"/>
        <v/>
      </c>
      <c r="U465" s="151" t="str">
        <f t="shared" si="66"/>
        <v/>
      </c>
      <c r="V465" s="108"/>
    </row>
    <row r="466" spans="1:22">
      <c r="A466" s="101"/>
      <c r="B466" s="152"/>
      <c r="C466" s="147"/>
      <c r="D466" s="148"/>
      <c r="E466" s="149"/>
      <c r="F466" s="150"/>
      <c r="G466" s="107"/>
      <c r="H466" s="108"/>
      <c r="I466" s="108"/>
      <c r="J466" s="118"/>
      <c r="K466" s="119"/>
      <c r="L466" s="120"/>
      <c r="M466" s="108"/>
      <c r="N466" s="121"/>
      <c r="O466" s="121"/>
      <c r="P466" s="151"/>
      <c r="Q466" s="151"/>
      <c r="R466" s="151"/>
      <c r="S466" s="151"/>
      <c r="T466" s="151"/>
      <c r="U466" s="151"/>
      <c r="V466" s="108"/>
    </row>
    <row r="467" spans="1:22">
      <c r="A467" s="101"/>
      <c r="B467" s="101"/>
      <c r="C467" s="156">
        <v>0.08</v>
      </c>
      <c r="D467" s="148"/>
      <c r="E467" s="149"/>
      <c r="F467" s="150"/>
      <c r="G467" s="107"/>
      <c r="H467" s="108"/>
      <c r="I467" s="108"/>
      <c r="J467" s="109"/>
      <c r="K467" s="108"/>
      <c r="L467" s="108"/>
      <c r="M467" s="108"/>
      <c r="N467" s="108"/>
      <c r="O467" s="110"/>
      <c r="P467" s="151" t="str">
        <f t="shared" si="61"/>
        <v/>
      </c>
      <c r="Q467" s="151" t="str">
        <f t="shared" si="62"/>
        <v/>
      </c>
      <c r="R467" s="151" t="str">
        <f t="shared" si="63"/>
        <v/>
      </c>
      <c r="S467" s="151" t="str">
        <f t="shared" si="64"/>
        <v/>
      </c>
      <c r="T467" s="151" t="str">
        <f t="shared" si="65"/>
        <v/>
      </c>
      <c r="U467" s="151" t="str">
        <f t="shared" si="66"/>
        <v/>
      </c>
      <c r="V467" s="108"/>
    </row>
    <row r="468" spans="1:22">
      <c r="A468" s="101"/>
      <c r="B468" s="157" t="s">
        <v>386</v>
      </c>
      <c r="C468" s="158"/>
      <c r="D468" s="148"/>
      <c r="E468" s="159">
        <f>((3.445-0.05-0.016)/23)*6+0.016+0.02</f>
        <v>0.9174782608695653</v>
      </c>
      <c r="F468" s="150"/>
      <c r="G468" s="107">
        <v>10</v>
      </c>
      <c r="H468" s="108">
        <v>1</v>
      </c>
      <c r="I468" s="108">
        <f>4*2</f>
        <v>8</v>
      </c>
      <c r="J468" s="160">
        <f>2*(D470+E468)+2*8*G468/1000</f>
        <v>2.3549565217391306</v>
      </c>
      <c r="K468" s="108"/>
      <c r="L468" s="108">
        <v>5</v>
      </c>
      <c r="M468" s="121">
        <f>2*G468*L468/1000</f>
        <v>0.1</v>
      </c>
      <c r="N468" s="121">
        <f>(J468+K468-M468)</f>
        <v>2.2549565217391305</v>
      </c>
      <c r="O468" s="121">
        <f>(H468*I468*N468)</f>
        <v>18.039652173913044</v>
      </c>
      <c r="P468" s="151" t="str">
        <f t="shared" si="61"/>
        <v/>
      </c>
      <c r="Q468" s="151">
        <f t="shared" si="62"/>
        <v>18.039652173913044</v>
      </c>
      <c r="R468" s="151" t="str">
        <f t="shared" si="63"/>
        <v/>
      </c>
      <c r="S468" s="151" t="str">
        <f t="shared" si="64"/>
        <v/>
      </c>
      <c r="T468" s="151" t="str">
        <f t="shared" si="65"/>
        <v/>
      </c>
      <c r="U468" s="151" t="str">
        <f t="shared" si="66"/>
        <v/>
      </c>
      <c r="V468" s="108"/>
    </row>
    <row r="469" spans="1:22">
      <c r="A469" s="101"/>
      <c r="B469" s="157"/>
      <c r="C469" s="147"/>
      <c r="D469" s="148"/>
      <c r="E469" s="161"/>
      <c r="F469" s="150"/>
      <c r="G469" s="107"/>
      <c r="H469" s="108"/>
      <c r="I469" s="108"/>
      <c r="J469" s="109"/>
      <c r="K469" s="108"/>
      <c r="L469" s="108"/>
      <c r="M469" s="108"/>
      <c r="N469" s="108"/>
      <c r="O469" s="121"/>
      <c r="P469" s="151" t="str">
        <f t="shared" si="61"/>
        <v/>
      </c>
      <c r="Q469" s="151" t="str">
        <f t="shared" si="62"/>
        <v/>
      </c>
      <c r="R469" s="151" t="str">
        <f t="shared" si="63"/>
        <v/>
      </c>
      <c r="S469" s="151" t="str">
        <f t="shared" si="64"/>
        <v/>
      </c>
      <c r="T469" s="151" t="str">
        <f t="shared" si="65"/>
        <v/>
      </c>
      <c r="U469" s="151" t="str">
        <f t="shared" si="66"/>
        <v/>
      </c>
      <c r="V469" s="108"/>
    </row>
    <row r="470" spans="1:22">
      <c r="A470" s="101"/>
      <c r="B470" s="157"/>
      <c r="C470" s="147"/>
      <c r="D470" s="118">
        <f>0.23-0.05</f>
        <v>0.18</v>
      </c>
      <c r="E470" s="149"/>
      <c r="F470" s="150"/>
      <c r="G470" s="107"/>
      <c r="H470" s="108"/>
      <c r="I470" s="108"/>
      <c r="J470" s="109"/>
      <c r="K470" s="108"/>
      <c r="L470" s="108"/>
      <c r="M470" s="108"/>
      <c r="N470" s="108"/>
      <c r="O470" s="121"/>
      <c r="P470" s="151" t="str">
        <f t="shared" si="61"/>
        <v/>
      </c>
      <c r="Q470" s="151" t="str">
        <f t="shared" si="62"/>
        <v/>
      </c>
      <c r="R470" s="151" t="str">
        <f t="shared" si="63"/>
        <v/>
      </c>
      <c r="S470" s="151" t="str">
        <f t="shared" si="64"/>
        <v/>
      </c>
      <c r="T470" s="151" t="str">
        <f t="shared" si="65"/>
        <v/>
      </c>
      <c r="U470" s="151" t="str">
        <f t="shared" si="66"/>
        <v/>
      </c>
      <c r="V470" s="108"/>
    </row>
    <row r="471" spans="1:22">
      <c r="A471" s="101"/>
      <c r="B471" s="152"/>
      <c r="C471" s="147"/>
      <c r="D471" s="148"/>
      <c r="E471" s="149"/>
      <c r="F471" s="150"/>
      <c r="G471" s="107"/>
      <c r="H471" s="108"/>
      <c r="I471" s="108"/>
      <c r="J471" s="118"/>
      <c r="K471" s="119"/>
      <c r="L471" s="120"/>
      <c r="M471" s="108"/>
      <c r="N471" s="121"/>
      <c r="O471" s="121"/>
      <c r="P471" s="151"/>
      <c r="Q471" s="151"/>
      <c r="R471" s="151"/>
      <c r="S471" s="151"/>
      <c r="T471" s="151"/>
      <c r="U471" s="151"/>
      <c r="V471" s="108"/>
    </row>
    <row r="472" spans="1:22">
      <c r="A472" s="101"/>
      <c r="B472" s="101"/>
      <c r="C472" s="156">
        <v>0.08</v>
      </c>
      <c r="D472" s="148"/>
      <c r="E472" s="149"/>
      <c r="F472" s="150"/>
      <c r="G472" s="107"/>
      <c r="H472" s="108"/>
      <c r="I472" s="108"/>
      <c r="J472" s="109"/>
      <c r="K472" s="108"/>
      <c r="L472" s="108"/>
      <c r="M472" s="108"/>
      <c r="N472" s="108"/>
      <c r="O472" s="110"/>
      <c r="P472" s="151" t="str">
        <f t="shared" si="61"/>
        <v/>
      </c>
      <c r="Q472" s="151" t="str">
        <f t="shared" si="62"/>
        <v/>
      </c>
      <c r="R472" s="151" t="str">
        <f t="shared" si="63"/>
        <v/>
      </c>
      <c r="S472" s="151" t="str">
        <f t="shared" si="64"/>
        <v/>
      </c>
      <c r="T472" s="151" t="str">
        <f t="shared" si="65"/>
        <v/>
      </c>
      <c r="U472" s="151" t="str">
        <f t="shared" si="66"/>
        <v/>
      </c>
      <c r="V472" s="108"/>
    </row>
    <row r="473" spans="1:22">
      <c r="A473" s="101"/>
      <c r="B473" s="157" t="s">
        <v>387</v>
      </c>
      <c r="C473" s="158"/>
      <c r="D473" s="148"/>
      <c r="E473" s="159">
        <f>((3.445-0.05-0.016)/23)*11+0.016+0.02</f>
        <v>1.6520434782608695</v>
      </c>
      <c r="F473" s="150"/>
      <c r="G473" s="107">
        <v>10</v>
      </c>
      <c r="H473" s="108">
        <v>1</v>
      </c>
      <c r="I473" s="108">
        <v>4</v>
      </c>
      <c r="J473" s="160">
        <f>2*(D475+E473)+2*8*G473/1000</f>
        <v>3.824086956521739</v>
      </c>
      <c r="K473" s="108"/>
      <c r="L473" s="108">
        <v>5</v>
      </c>
      <c r="M473" s="121">
        <f>2*G473*L473/1000</f>
        <v>0.1</v>
      </c>
      <c r="N473" s="121">
        <f>(J473+K473-M473)</f>
        <v>3.7240869565217389</v>
      </c>
      <c r="O473" s="121">
        <f>(H473*I473*N473)</f>
        <v>14.896347826086956</v>
      </c>
      <c r="P473" s="151" t="str">
        <f t="shared" si="61"/>
        <v/>
      </c>
      <c r="Q473" s="151">
        <f t="shared" si="62"/>
        <v>14.896347826086956</v>
      </c>
      <c r="R473" s="151" t="str">
        <f t="shared" si="63"/>
        <v/>
      </c>
      <c r="S473" s="151" t="str">
        <f t="shared" si="64"/>
        <v/>
      </c>
      <c r="T473" s="151" t="str">
        <f t="shared" si="65"/>
        <v/>
      </c>
      <c r="U473" s="151" t="str">
        <f t="shared" si="66"/>
        <v/>
      </c>
      <c r="V473" s="108"/>
    </row>
    <row r="474" spans="1:22">
      <c r="A474" s="101"/>
      <c r="B474" s="157"/>
      <c r="C474" s="147"/>
      <c r="D474" s="148"/>
      <c r="E474" s="161"/>
      <c r="F474" s="150"/>
      <c r="G474" s="107"/>
      <c r="H474" s="108"/>
      <c r="I474" s="108"/>
      <c r="J474" s="109"/>
      <c r="K474" s="108"/>
      <c r="L474" s="108"/>
      <c r="M474" s="108"/>
      <c r="N474" s="108"/>
      <c r="O474" s="121"/>
      <c r="P474" s="151" t="str">
        <f t="shared" si="61"/>
        <v/>
      </c>
      <c r="Q474" s="151" t="str">
        <f t="shared" si="62"/>
        <v/>
      </c>
      <c r="R474" s="151" t="str">
        <f t="shared" si="63"/>
        <v/>
      </c>
      <c r="S474" s="151" t="str">
        <f t="shared" si="64"/>
        <v/>
      </c>
      <c r="T474" s="151" t="str">
        <f t="shared" si="65"/>
        <v/>
      </c>
      <c r="U474" s="151" t="str">
        <f t="shared" si="66"/>
        <v/>
      </c>
      <c r="V474" s="108"/>
    </row>
    <row r="475" spans="1:22">
      <c r="A475" s="101"/>
      <c r="B475" s="157"/>
      <c r="C475" s="147"/>
      <c r="D475" s="118">
        <f>0.23-0.05</f>
        <v>0.18</v>
      </c>
      <c r="E475" s="149"/>
      <c r="F475" s="150"/>
      <c r="G475" s="107"/>
      <c r="H475" s="108"/>
      <c r="I475" s="108"/>
      <c r="J475" s="109"/>
      <c r="K475" s="108"/>
      <c r="L475" s="108"/>
      <c r="M475" s="108"/>
      <c r="N475" s="108"/>
      <c r="O475" s="121"/>
      <c r="P475" s="151" t="str">
        <f t="shared" si="61"/>
        <v/>
      </c>
      <c r="Q475" s="151" t="str">
        <f t="shared" si="62"/>
        <v/>
      </c>
      <c r="R475" s="151" t="str">
        <f t="shared" si="63"/>
        <v/>
      </c>
      <c r="S475" s="151" t="str">
        <f t="shared" si="64"/>
        <v/>
      </c>
      <c r="T475" s="151" t="str">
        <f t="shared" si="65"/>
        <v/>
      </c>
      <c r="U475" s="151" t="str">
        <f t="shared" si="66"/>
        <v/>
      </c>
      <c r="V475" s="108"/>
    </row>
    <row r="476" spans="1:22">
      <c r="A476" s="101"/>
      <c r="B476" s="152"/>
      <c r="C476" s="147"/>
      <c r="D476" s="148"/>
      <c r="E476" s="149"/>
      <c r="F476" s="150"/>
      <c r="G476" s="107"/>
      <c r="H476" s="108"/>
      <c r="I476" s="108"/>
      <c r="J476" s="118"/>
      <c r="K476" s="119"/>
      <c r="L476" s="120"/>
      <c r="M476" s="108"/>
      <c r="N476" s="121"/>
      <c r="O476" s="121"/>
      <c r="P476" s="151"/>
      <c r="Q476" s="151"/>
      <c r="R476" s="151"/>
      <c r="S476" s="151"/>
      <c r="T476" s="151"/>
      <c r="U476" s="151"/>
      <c r="V476" s="108"/>
    </row>
    <row r="477" spans="1:22">
      <c r="A477" s="101"/>
      <c r="B477" s="101"/>
      <c r="C477" s="156">
        <v>0.08</v>
      </c>
      <c r="D477" s="148"/>
      <c r="E477" s="149"/>
      <c r="F477" s="150"/>
      <c r="G477" s="107"/>
      <c r="H477" s="108"/>
      <c r="I477" s="108"/>
      <c r="J477" s="109"/>
      <c r="K477" s="108"/>
      <c r="L477" s="108"/>
      <c r="M477" s="108"/>
      <c r="N477" s="108"/>
      <c r="O477" s="110"/>
      <c r="P477" s="151" t="str">
        <f t="shared" si="61"/>
        <v/>
      </c>
      <c r="Q477" s="151" t="str">
        <f t="shared" si="62"/>
        <v/>
      </c>
      <c r="R477" s="151" t="str">
        <f t="shared" si="63"/>
        <v/>
      </c>
      <c r="S477" s="151" t="str">
        <f t="shared" si="64"/>
        <v/>
      </c>
      <c r="T477" s="151" t="str">
        <f t="shared" si="65"/>
        <v/>
      </c>
      <c r="U477" s="151" t="str">
        <f t="shared" si="66"/>
        <v/>
      </c>
      <c r="V477" s="108"/>
    </row>
    <row r="478" spans="1:22">
      <c r="A478" s="101"/>
      <c r="B478" s="157" t="s">
        <v>388</v>
      </c>
      <c r="C478" s="158"/>
      <c r="D478" s="148"/>
      <c r="E478" s="159">
        <f>((3.445-0.05-0.016)/23)+0.016+0.02</f>
        <v>0.18291304347826084</v>
      </c>
      <c r="F478" s="150"/>
      <c r="G478" s="107">
        <v>10</v>
      </c>
      <c r="H478" s="108">
        <v>1</v>
      </c>
      <c r="I478" s="108">
        <v>4</v>
      </c>
      <c r="J478" s="160">
        <f>2*(D480+E478)+2*8*G478/1000</f>
        <v>0.88582608695652165</v>
      </c>
      <c r="K478" s="108"/>
      <c r="L478" s="108">
        <v>5</v>
      </c>
      <c r="M478" s="121">
        <f>2*G478*L478/1000</f>
        <v>0.1</v>
      </c>
      <c r="N478" s="121">
        <f>(J478+K478-M478)</f>
        <v>0.78582608695652167</v>
      </c>
      <c r="O478" s="121">
        <f>(H478*I478*N478)</f>
        <v>3.1433043478260867</v>
      </c>
      <c r="P478" s="151" t="str">
        <f t="shared" si="61"/>
        <v/>
      </c>
      <c r="Q478" s="151">
        <f t="shared" si="62"/>
        <v>3.1433043478260867</v>
      </c>
      <c r="R478" s="151" t="str">
        <f t="shared" si="63"/>
        <v/>
      </c>
      <c r="S478" s="151" t="str">
        <f t="shared" si="64"/>
        <v/>
      </c>
      <c r="T478" s="151" t="str">
        <f t="shared" si="65"/>
        <v/>
      </c>
      <c r="U478" s="151" t="str">
        <f t="shared" si="66"/>
        <v/>
      </c>
      <c r="V478" s="108"/>
    </row>
    <row r="479" spans="1:22">
      <c r="A479" s="101"/>
      <c r="B479" s="157"/>
      <c r="C479" s="147"/>
      <c r="D479" s="148"/>
      <c r="E479" s="161"/>
      <c r="F479" s="150"/>
      <c r="G479" s="107"/>
      <c r="H479" s="108"/>
      <c r="I479" s="108"/>
      <c r="J479" s="109"/>
      <c r="K479" s="108"/>
      <c r="L479" s="108"/>
      <c r="M479" s="108"/>
      <c r="N479" s="108"/>
      <c r="O479" s="121"/>
      <c r="P479" s="151" t="str">
        <f t="shared" si="61"/>
        <v/>
      </c>
      <c r="Q479" s="151" t="str">
        <f t="shared" si="62"/>
        <v/>
      </c>
      <c r="R479" s="151" t="str">
        <f t="shared" si="63"/>
        <v/>
      </c>
      <c r="S479" s="151" t="str">
        <f t="shared" si="64"/>
        <v/>
      </c>
      <c r="T479" s="151" t="str">
        <f t="shared" si="65"/>
        <v/>
      </c>
      <c r="U479" s="151" t="str">
        <f t="shared" si="66"/>
        <v/>
      </c>
      <c r="V479" s="108"/>
    </row>
    <row r="480" spans="1:22">
      <c r="A480" s="101"/>
      <c r="B480" s="157"/>
      <c r="C480" s="147"/>
      <c r="D480" s="118">
        <f>0.23-0.05</f>
        <v>0.18</v>
      </c>
      <c r="E480" s="149"/>
      <c r="F480" s="150"/>
      <c r="G480" s="107"/>
      <c r="H480" s="108"/>
      <c r="I480" s="108"/>
      <c r="J480" s="109"/>
      <c r="K480" s="108"/>
      <c r="L480" s="108"/>
      <c r="M480" s="108"/>
      <c r="N480" s="108"/>
      <c r="O480" s="121"/>
      <c r="P480" s="151" t="str">
        <f t="shared" si="61"/>
        <v/>
      </c>
      <c r="Q480" s="151" t="str">
        <f t="shared" si="62"/>
        <v/>
      </c>
      <c r="R480" s="151" t="str">
        <f t="shared" si="63"/>
        <v/>
      </c>
      <c r="S480" s="151" t="str">
        <f t="shared" si="64"/>
        <v/>
      </c>
      <c r="T480" s="151" t="str">
        <f t="shared" si="65"/>
        <v/>
      </c>
      <c r="U480" s="151" t="str">
        <f t="shared" si="66"/>
        <v/>
      </c>
      <c r="V480" s="108"/>
    </row>
    <row r="481" spans="1:22">
      <c r="A481" s="101"/>
      <c r="B481" s="152"/>
      <c r="C481" s="147"/>
      <c r="D481" s="148"/>
      <c r="E481" s="149"/>
      <c r="F481" s="150"/>
      <c r="G481" s="107"/>
      <c r="H481" s="108"/>
      <c r="I481" s="108"/>
      <c r="J481" s="109"/>
      <c r="K481" s="108"/>
      <c r="L481" s="108"/>
      <c r="M481" s="108"/>
      <c r="N481" s="108"/>
      <c r="O481" s="110"/>
      <c r="P481" s="151" t="str">
        <f t="shared" si="61"/>
        <v/>
      </c>
      <c r="Q481" s="151" t="str">
        <f t="shared" si="62"/>
        <v/>
      </c>
      <c r="R481" s="151" t="str">
        <f t="shared" si="63"/>
        <v/>
      </c>
      <c r="S481" s="151" t="str">
        <f t="shared" si="64"/>
        <v/>
      </c>
      <c r="T481" s="151" t="str">
        <f t="shared" si="65"/>
        <v/>
      </c>
      <c r="U481" s="151" t="str">
        <f t="shared" si="66"/>
        <v/>
      </c>
      <c r="V481" s="108"/>
    </row>
    <row r="482" spans="1:22">
      <c r="A482" s="101"/>
      <c r="B482" s="152"/>
      <c r="C482" s="147"/>
      <c r="D482" s="148"/>
      <c r="E482" s="155">
        <v>0.08</v>
      </c>
      <c r="F482" s="150"/>
      <c r="G482" s="107"/>
      <c r="H482" s="108"/>
      <c r="I482" s="108"/>
      <c r="J482" s="109"/>
      <c r="K482" s="108"/>
      <c r="L482" s="108"/>
      <c r="M482" s="108"/>
      <c r="N482" s="108"/>
      <c r="O482" s="110"/>
      <c r="P482" s="151" t="str">
        <f t="shared" si="61"/>
        <v/>
      </c>
      <c r="Q482" s="151" t="str">
        <f t="shared" si="62"/>
        <v/>
      </c>
      <c r="R482" s="151" t="str">
        <f t="shared" si="63"/>
        <v/>
      </c>
      <c r="S482" s="151" t="str">
        <f t="shared" si="64"/>
        <v/>
      </c>
      <c r="T482" s="151" t="str">
        <f t="shared" si="65"/>
        <v/>
      </c>
      <c r="U482" s="151" t="str">
        <f t="shared" si="66"/>
        <v/>
      </c>
      <c r="V482" s="108"/>
    </row>
    <row r="483" spans="1:22">
      <c r="A483" s="101"/>
      <c r="B483" s="157" t="s">
        <v>389</v>
      </c>
      <c r="C483" s="147"/>
      <c r="D483" s="153">
        <f>0.23-0.05</f>
        <v>0.18</v>
      </c>
      <c r="E483" s="155"/>
      <c r="F483" s="150"/>
      <c r="G483" s="107">
        <v>10</v>
      </c>
      <c r="H483" s="108">
        <v>1</v>
      </c>
      <c r="I483" s="108">
        <v>7</v>
      </c>
      <c r="J483" s="160">
        <f>D483+E482+E484</f>
        <v>0.34</v>
      </c>
      <c r="K483" s="108"/>
      <c r="L483" s="108">
        <v>2</v>
      </c>
      <c r="M483" s="121">
        <f>2*G483*L483/1000</f>
        <v>0.04</v>
      </c>
      <c r="N483" s="121">
        <f>(J483+K483-M483)</f>
        <v>0.30000000000000004</v>
      </c>
      <c r="O483" s="121">
        <f>(H483*I483*N483)</f>
        <v>2.1000000000000005</v>
      </c>
      <c r="P483" s="151" t="str">
        <f t="shared" si="61"/>
        <v/>
      </c>
      <c r="Q483" s="151">
        <f t="shared" si="62"/>
        <v>2.1000000000000005</v>
      </c>
      <c r="R483" s="151" t="str">
        <f t="shared" si="63"/>
        <v/>
      </c>
      <c r="S483" s="151" t="str">
        <f t="shared" si="64"/>
        <v/>
      </c>
      <c r="T483" s="151" t="str">
        <f t="shared" si="65"/>
        <v/>
      </c>
      <c r="U483" s="151" t="str">
        <f t="shared" si="66"/>
        <v/>
      </c>
      <c r="V483" s="108"/>
    </row>
    <row r="484" spans="1:22">
      <c r="A484" s="101"/>
      <c r="B484" s="152"/>
      <c r="C484" s="147"/>
      <c r="D484" s="148"/>
      <c r="E484" s="155">
        <v>0.08</v>
      </c>
      <c r="F484" s="150"/>
      <c r="G484" s="107"/>
      <c r="H484" s="108"/>
      <c r="I484" s="108"/>
      <c r="J484" s="109"/>
      <c r="K484" s="108"/>
      <c r="L484" s="108"/>
      <c r="M484" s="108"/>
      <c r="N484" s="108"/>
      <c r="O484" s="110"/>
      <c r="P484" s="151" t="str">
        <f t="shared" si="61"/>
        <v/>
      </c>
      <c r="Q484" s="151" t="str">
        <f t="shared" si="62"/>
        <v/>
      </c>
      <c r="R484" s="151" t="str">
        <f t="shared" si="63"/>
        <v/>
      </c>
      <c r="S484" s="151" t="str">
        <f t="shared" si="64"/>
        <v/>
      </c>
      <c r="T484" s="151" t="str">
        <f t="shared" si="65"/>
        <v/>
      </c>
      <c r="U484" s="151" t="str">
        <f t="shared" si="66"/>
        <v/>
      </c>
      <c r="V484" s="108"/>
    </row>
    <row r="485" spans="1:22">
      <c r="A485" s="101"/>
      <c r="B485" s="157"/>
      <c r="C485" s="147"/>
      <c r="D485" s="163"/>
      <c r="E485" s="149"/>
      <c r="F485" s="150"/>
      <c r="G485" s="107"/>
      <c r="H485" s="108"/>
      <c r="I485" s="108"/>
      <c r="J485" s="109"/>
      <c r="K485" s="108"/>
      <c r="L485" s="108"/>
      <c r="M485" s="108"/>
      <c r="N485" s="108"/>
      <c r="O485" s="110"/>
      <c r="P485" s="151" t="str">
        <f t="shared" si="61"/>
        <v/>
      </c>
      <c r="Q485" s="151" t="str">
        <f t="shared" si="62"/>
        <v/>
      </c>
      <c r="R485" s="151" t="str">
        <f t="shared" si="63"/>
        <v/>
      </c>
      <c r="S485" s="151" t="str">
        <f t="shared" si="64"/>
        <v/>
      </c>
      <c r="T485" s="151" t="str">
        <f t="shared" si="65"/>
        <v/>
      </c>
      <c r="U485" s="151" t="str">
        <f t="shared" si="66"/>
        <v/>
      </c>
      <c r="V485" s="108"/>
    </row>
    <row r="486" spans="1:22">
      <c r="A486" s="101">
        <v>18</v>
      </c>
      <c r="B486" s="101" t="s">
        <v>413</v>
      </c>
      <c r="C486" s="147"/>
      <c r="D486" s="148"/>
      <c r="E486" s="149"/>
      <c r="F486" s="150"/>
      <c r="G486" s="107"/>
      <c r="H486" s="108"/>
      <c r="I486" s="108"/>
      <c r="J486" s="118"/>
      <c r="K486" s="121"/>
      <c r="L486" s="121"/>
      <c r="M486" s="108"/>
      <c r="N486" s="121"/>
      <c r="O486" s="121"/>
      <c r="P486" s="151" t="str">
        <f>IF($G486=8,$O486,"")</f>
        <v/>
      </c>
      <c r="Q486" s="151" t="str">
        <f>IF($G486=10,$O486,"")</f>
        <v/>
      </c>
      <c r="R486" s="151" t="str">
        <f>IF($G486=12,$O486,"")</f>
        <v/>
      </c>
      <c r="S486" s="151" t="str">
        <f>IF($G486=16,$O486,"")</f>
        <v/>
      </c>
      <c r="T486" s="151" t="str">
        <f>IF($G486=20,$O486,"")</f>
        <v/>
      </c>
      <c r="U486" s="151" t="str">
        <f>IF($G486=25,$O486,"")</f>
        <v/>
      </c>
      <c r="V486" s="108"/>
    </row>
    <row r="487" spans="1:22">
      <c r="A487" s="101"/>
      <c r="B487" s="152" t="s">
        <v>382</v>
      </c>
      <c r="C487" s="147"/>
      <c r="D487" s="153">
        <f>0.85-0.075-2*0.016</f>
        <v>0.74299999999999999</v>
      </c>
      <c r="E487" s="149"/>
      <c r="F487" s="150"/>
      <c r="G487" s="107">
        <v>16</v>
      </c>
      <c r="H487" s="108">
        <v>1</v>
      </c>
      <c r="I487" s="108">
        <v>8</v>
      </c>
      <c r="J487" s="118">
        <f>D487</f>
        <v>0.74299999999999999</v>
      </c>
      <c r="K487" s="119" t="str">
        <f>IF(N487&lt;12,"0",0.049*G487)</f>
        <v>0</v>
      </c>
      <c r="L487" s="120">
        <v>1</v>
      </c>
      <c r="M487" s="108">
        <f>2*G487*L487/1000</f>
        <v>3.2000000000000001E-2</v>
      </c>
      <c r="N487" s="121">
        <f>J487+E489-M487</f>
        <v>1.0109999999999999</v>
      </c>
      <c r="O487" s="121">
        <f t="shared" ref="O487:O492" si="70">H487*I487*N487</f>
        <v>8.0879999999999992</v>
      </c>
      <c r="P487" s="151" t="str">
        <f t="shared" si="61"/>
        <v/>
      </c>
      <c r="Q487" s="151" t="str">
        <f t="shared" si="62"/>
        <v/>
      </c>
      <c r="R487" s="151" t="str">
        <f t="shared" si="63"/>
        <v/>
      </c>
      <c r="S487" s="151">
        <f t="shared" si="64"/>
        <v>8.0879999999999992</v>
      </c>
      <c r="T487" s="151" t="str">
        <f t="shared" si="65"/>
        <v/>
      </c>
      <c r="U487" s="151" t="str">
        <f t="shared" si="66"/>
        <v/>
      </c>
      <c r="V487" s="108"/>
    </row>
    <row r="488" spans="1:22">
      <c r="A488" s="101"/>
      <c r="B488" s="152" t="s">
        <v>383</v>
      </c>
      <c r="C488" s="147"/>
      <c r="D488" s="148"/>
      <c r="E488" s="149"/>
      <c r="F488" s="150"/>
      <c r="G488" s="107">
        <v>16</v>
      </c>
      <c r="H488" s="108">
        <v>1</v>
      </c>
      <c r="I488" s="108">
        <v>8</v>
      </c>
      <c r="J488" s="118">
        <f>D487</f>
        <v>0.74299999999999999</v>
      </c>
      <c r="K488" s="119" t="str">
        <f t="shared" ref="K488:K492" si="71">IF(N488&lt;12,"0",0.049*G488)</f>
        <v>0</v>
      </c>
      <c r="L488" s="120">
        <v>1</v>
      </c>
      <c r="M488" s="108">
        <f t="shared" ref="M488:M492" si="72">2*G488*L488/1000</f>
        <v>3.2000000000000001E-2</v>
      </c>
      <c r="N488" s="121">
        <f>J488+E489-M488</f>
        <v>1.0109999999999999</v>
      </c>
      <c r="O488" s="121">
        <f t="shared" si="70"/>
        <v>8.0879999999999992</v>
      </c>
      <c r="P488" s="151" t="str">
        <f t="shared" si="61"/>
        <v/>
      </c>
      <c r="Q488" s="151" t="str">
        <f t="shared" si="62"/>
        <v/>
      </c>
      <c r="R488" s="151" t="str">
        <f t="shared" si="63"/>
        <v/>
      </c>
      <c r="S488" s="151">
        <f t="shared" si="64"/>
        <v>8.0879999999999992</v>
      </c>
      <c r="T488" s="151" t="str">
        <f t="shared" si="65"/>
        <v/>
      </c>
      <c r="U488" s="151" t="str">
        <f t="shared" si="66"/>
        <v/>
      </c>
      <c r="V488" s="108"/>
    </row>
    <row r="489" spans="1:22">
      <c r="A489" s="101"/>
      <c r="B489" s="152" t="s">
        <v>384</v>
      </c>
      <c r="C489" s="154"/>
      <c r="D489" s="153"/>
      <c r="E489" s="155">
        <v>0.3</v>
      </c>
      <c r="F489" s="150"/>
      <c r="G489" s="107">
        <v>12</v>
      </c>
      <c r="H489" s="108">
        <v>1</v>
      </c>
      <c r="I489" s="108">
        <v>8</v>
      </c>
      <c r="J489" s="118">
        <f>D487</f>
        <v>0.74299999999999999</v>
      </c>
      <c r="K489" s="119" t="str">
        <f t="shared" si="71"/>
        <v>0</v>
      </c>
      <c r="L489" s="120">
        <v>1</v>
      </c>
      <c r="M489" s="108">
        <f t="shared" si="72"/>
        <v>2.4E-2</v>
      </c>
      <c r="N489" s="121">
        <f>J489+E489-M489</f>
        <v>1.0189999999999999</v>
      </c>
      <c r="O489" s="121">
        <f t="shared" si="70"/>
        <v>8.1519999999999992</v>
      </c>
      <c r="P489" s="151" t="str">
        <f t="shared" si="61"/>
        <v/>
      </c>
      <c r="Q489" s="151" t="str">
        <f t="shared" si="62"/>
        <v/>
      </c>
      <c r="R489" s="151">
        <f t="shared" si="63"/>
        <v>8.1519999999999992</v>
      </c>
      <c r="S489" s="151" t="str">
        <f t="shared" si="64"/>
        <v/>
      </c>
      <c r="T489" s="151" t="str">
        <f t="shared" si="65"/>
        <v/>
      </c>
      <c r="U489" s="151" t="str">
        <f t="shared" si="66"/>
        <v/>
      </c>
      <c r="V489" s="108"/>
    </row>
    <row r="490" spans="1:22">
      <c r="A490" s="101"/>
      <c r="B490" s="152" t="s">
        <v>385</v>
      </c>
      <c r="C490" s="147"/>
      <c r="D490" s="148"/>
      <c r="E490" s="149"/>
      <c r="F490" s="150"/>
      <c r="G490" s="107">
        <v>12</v>
      </c>
      <c r="H490" s="108">
        <v>1</v>
      </c>
      <c r="I490" s="108">
        <v>8</v>
      </c>
      <c r="J490" s="118">
        <f>D487</f>
        <v>0.74299999999999999</v>
      </c>
      <c r="K490" s="119" t="str">
        <f t="shared" si="71"/>
        <v>0</v>
      </c>
      <c r="L490" s="120">
        <v>1</v>
      </c>
      <c r="M490" s="108">
        <f t="shared" si="72"/>
        <v>2.4E-2</v>
      </c>
      <c r="N490" s="121">
        <f>J490+E490-M490</f>
        <v>0.71899999999999997</v>
      </c>
      <c r="O490" s="121">
        <f t="shared" si="70"/>
        <v>5.7519999999999998</v>
      </c>
      <c r="P490" s="151" t="str">
        <f t="shared" si="61"/>
        <v/>
      </c>
      <c r="Q490" s="151" t="str">
        <f t="shared" si="62"/>
        <v/>
      </c>
      <c r="R490" s="151">
        <f t="shared" si="63"/>
        <v>5.7519999999999998</v>
      </c>
      <c r="S490" s="151" t="str">
        <f t="shared" si="64"/>
        <v/>
      </c>
      <c r="T490" s="151" t="str">
        <f t="shared" si="65"/>
        <v/>
      </c>
      <c r="U490" s="151" t="str">
        <f t="shared" si="66"/>
        <v/>
      </c>
      <c r="V490" s="108"/>
    </row>
    <row r="491" spans="1:22">
      <c r="A491" s="101"/>
      <c r="B491" s="152" t="s">
        <v>393</v>
      </c>
      <c r="C491" s="147"/>
      <c r="D491" s="148"/>
      <c r="E491" s="149"/>
      <c r="F491" s="150"/>
      <c r="G491" s="107">
        <v>12</v>
      </c>
      <c r="H491" s="108">
        <v>1</v>
      </c>
      <c r="I491" s="108">
        <v>8</v>
      </c>
      <c r="J491" s="118">
        <f>D487</f>
        <v>0.74299999999999999</v>
      </c>
      <c r="K491" s="119" t="str">
        <f t="shared" si="71"/>
        <v>0</v>
      </c>
      <c r="L491" s="120">
        <v>1</v>
      </c>
      <c r="M491" s="108">
        <f t="shared" si="72"/>
        <v>2.4E-2</v>
      </c>
      <c r="N491" s="121">
        <f>J491+E491-M491</f>
        <v>0.71899999999999997</v>
      </c>
      <c r="O491" s="121">
        <f t="shared" si="70"/>
        <v>5.7519999999999998</v>
      </c>
      <c r="P491" s="151" t="str">
        <f t="shared" si="61"/>
        <v/>
      </c>
      <c r="Q491" s="151" t="str">
        <f t="shared" si="62"/>
        <v/>
      </c>
      <c r="R491" s="151">
        <f t="shared" si="63"/>
        <v>5.7519999999999998</v>
      </c>
      <c r="S491" s="151" t="str">
        <f t="shared" si="64"/>
        <v/>
      </c>
      <c r="T491" s="151" t="str">
        <f t="shared" si="65"/>
        <v/>
      </c>
      <c r="U491" s="151" t="str">
        <f t="shared" si="66"/>
        <v/>
      </c>
      <c r="V491" s="108"/>
    </row>
    <row r="492" spans="1:22">
      <c r="A492" s="101"/>
      <c r="B492" s="152" t="s">
        <v>405</v>
      </c>
      <c r="C492" s="147"/>
      <c r="D492" s="148"/>
      <c r="E492" s="149"/>
      <c r="F492" s="150"/>
      <c r="G492" s="107">
        <v>10</v>
      </c>
      <c r="H492" s="108">
        <v>1</v>
      </c>
      <c r="I492" s="108">
        <v>20</v>
      </c>
      <c r="J492" s="118">
        <f>D487</f>
        <v>0.74299999999999999</v>
      </c>
      <c r="K492" s="119" t="str">
        <f t="shared" si="71"/>
        <v>0</v>
      </c>
      <c r="L492" s="120">
        <v>1</v>
      </c>
      <c r="M492" s="108">
        <f t="shared" si="72"/>
        <v>0.02</v>
      </c>
      <c r="N492" s="121">
        <f>J492+E492-M492</f>
        <v>0.72299999999999998</v>
      </c>
      <c r="O492" s="121">
        <f t="shared" si="70"/>
        <v>14.459999999999999</v>
      </c>
      <c r="P492" s="151" t="str">
        <f t="shared" si="61"/>
        <v/>
      </c>
      <c r="Q492" s="151">
        <f t="shared" si="62"/>
        <v>14.459999999999999</v>
      </c>
      <c r="R492" s="151" t="str">
        <f t="shared" si="63"/>
        <v/>
      </c>
      <c r="S492" s="151" t="str">
        <f t="shared" si="64"/>
        <v/>
      </c>
      <c r="T492" s="151" t="str">
        <f t="shared" si="65"/>
        <v/>
      </c>
      <c r="U492" s="151" t="str">
        <f t="shared" si="66"/>
        <v/>
      </c>
      <c r="V492" s="108"/>
    </row>
    <row r="493" spans="1:22">
      <c r="A493" s="101"/>
      <c r="B493" s="152"/>
      <c r="C493" s="147"/>
      <c r="D493" s="148"/>
      <c r="E493" s="149"/>
      <c r="F493" s="150"/>
      <c r="G493" s="107"/>
      <c r="H493" s="108"/>
      <c r="I493" s="108"/>
      <c r="J493" s="118"/>
      <c r="K493" s="119"/>
      <c r="L493" s="120"/>
      <c r="M493" s="108"/>
      <c r="N493" s="121"/>
      <c r="O493" s="121"/>
      <c r="P493" s="151"/>
      <c r="Q493" s="151"/>
      <c r="R493" s="151"/>
      <c r="S493" s="151"/>
      <c r="T493" s="151"/>
      <c r="U493" s="151"/>
      <c r="V493" s="108"/>
    </row>
    <row r="494" spans="1:22">
      <c r="A494" s="101"/>
      <c r="B494" s="101"/>
      <c r="C494" s="156">
        <v>0.08</v>
      </c>
      <c r="D494" s="148"/>
      <c r="E494" s="149"/>
      <c r="F494" s="150"/>
      <c r="G494" s="107"/>
      <c r="H494" s="108"/>
      <c r="I494" s="108"/>
      <c r="J494" s="109"/>
      <c r="K494" s="108"/>
      <c r="L494" s="108"/>
      <c r="M494" s="108"/>
      <c r="N494" s="108"/>
      <c r="O494" s="110"/>
      <c r="P494" s="151" t="str">
        <f t="shared" si="61"/>
        <v/>
      </c>
      <c r="Q494" s="151" t="str">
        <f t="shared" si="62"/>
        <v/>
      </c>
      <c r="R494" s="151" t="str">
        <f t="shared" si="63"/>
        <v/>
      </c>
      <c r="S494" s="151" t="str">
        <f t="shared" si="64"/>
        <v/>
      </c>
      <c r="T494" s="151" t="str">
        <f t="shared" si="65"/>
        <v/>
      </c>
      <c r="U494" s="151" t="str">
        <f t="shared" si="66"/>
        <v/>
      </c>
      <c r="V494" s="108"/>
    </row>
    <row r="495" spans="1:22">
      <c r="A495" s="101"/>
      <c r="B495" s="157" t="s">
        <v>386</v>
      </c>
      <c r="C495" s="158"/>
      <c r="D495" s="148"/>
      <c r="E495" s="159">
        <f>((4.065-0.05-0.016)/29)*9+0.016+0.02</f>
        <v>1.2770689655172416</v>
      </c>
      <c r="F495" s="150"/>
      <c r="G495" s="107">
        <v>10</v>
      </c>
      <c r="H495" s="108">
        <v>1</v>
      </c>
      <c r="I495" s="108">
        <f>4*2</f>
        <v>8</v>
      </c>
      <c r="J495" s="160">
        <f>2*(D497+E495)+2*8*G495/1000</f>
        <v>3.0741379310344832</v>
      </c>
      <c r="K495" s="108"/>
      <c r="L495" s="108">
        <v>5</v>
      </c>
      <c r="M495" s="121">
        <f>2*G495*L495/1000</f>
        <v>0.1</v>
      </c>
      <c r="N495" s="121">
        <f>(J495+K495-M495)</f>
        <v>2.9741379310344831</v>
      </c>
      <c r="O495" s="121">
        <f>(H495*I495*N495)</f>
        <v>23.793103448275865</v>
      </c>
      <c r="P495" s="151" t="str">
        <f t="shared" si="61"/>
        <v/>
      </c>
      <c r="Q495" s="151">
        <f t="shared" si="62"/>
        <v>23.793103448275865</v>
      </c>
      <c r="R495" s="151" t="str">
        <f t="shared" si="63"/>
        <v/>
      </c>
      <c r="S495" s="151" t="str">
        <f t="shared" si="64"/>
        <v/>
      </c>
      <c r="T495" s="151" t="str">
        <f t="shared" si="65"/>
        <v/>
      </c>
      <c r="U495" s="151" t="str">
        <f t="shared" si="66"/>
        <v/>
      </c>
      <c r="V495" s="108"/>
    </row>
    <row r="496" spans="1:22">
      <c r="A496" s="101"/>
      <c r="B496" s="157"/>
      <c r="C496" s="147"/>
      <c r="D496" s="148"/>
      <c r="E496" s="161"/>
      <c r="F496" s="150"/>
      <c r="G496" s="107"/>
      <c r="H496" s="108"/>
      <c r="I496" s="108"/>
      <c r="J496" s="109"/>
      <c r="K496" s="108"/>
      <c r="L496" s="108"/>
      <c r="M496" s="108"/>
      <c r="N496" s="108"/>
      <c r="O496" s="121"/>
      <c r="P496" s="151" t="str">
        <f t="shared" si="61"/>
        <v/>
      </c>
      <c r="Q496" s="151" t="str">
        <f t="shared" si="62"/>
        <v/>
      </c>
      <c r="R496" s="151" t="str">
        <f t="shared" si="63"/>
        <v/>
      </c>
      <c r="S496" s="151" t="str">
        <f t="shared" si="64"/>
        <v/>
      </c>
      <c r="T496" s="151" t="str">
        <f t="shared" si="65"/>
        <v/>
      </c>
      <c r="U496" s="151" t="str">
        <f t="shared" si="66"/>
        <v/>
      </c>
      <c r="V496" s="108"/>
    </row>
    <row r="497" spans="1:22">
      <c r="A497" s="101"/>
      <c r="B497" s="157"/>
      <c r="C497" s="147"/>
      <c r="D497" s="118">
        <f>0.23-0.05</f>
        <v>0.18</v>
      </c>
      <c r="E497" s="149"/>
      <c r="F497" s="150"/>
      <c r="G497" s="107"/>
      <c r="H497" s="108"/>
      <c r="I497" s="108"/>
      <c r="J497" s="109"/>
      <c r="K497" s="108"/>
      <c r="L497" s="108"/>
      <c r="M497" s="108"/>
      <c r="N497" s="108"/>
      <c r="O497" s="121"/>
      <c r="P497" s="151" t="str">
        <f t="shared" si="61"/>
        <v/>
      </c>
      <c r="Q497" s="151" t="str">
        <f t="shared" si="62"/>
        <v/>
      </c>
      <c r="R497" s="151" t="str">
        <f t="shared" si="63"/>
        <v/>
      </c>
      <c r="S497" s="151" t="str">
        <f t="shared" si="64"/>
        <v/>
      </c>
      <c r="T497" s="151" t="str">
        <f t="shared" si="65"/>
        <v/>
      </c>
      <c r="U497" s="151" t="str">
        <f t="shared" si="66"/>
        <v/>
      </c>
      <c r="V497" s="108"/>
    </row>
    <row r="498" spans="1:22">
      <c r="A498" s="101"/>
      <c r="B498" s="152"/>
      <c r="C498" s="147"/>
      <c r="D498" s="148"/>
      <c r="E498" s="149"/>
      <c r="F498" s="150"/>
      <c r="G498" s="107"/>
      <c r="H498" s="108"/>
      <c r="I498" s="108"/>
      <c r="J498" s="118"/>
      <c r="K498" s="119"/>
      <c r="L498" s="120"/>
      <c r="M498" s="108"/>
      <c r="N498" s="121"/>
      <c r="O498" s="121"/>
      <c r="P498" s="151"/>
      <c r="Q498" s="151"/>
      <c r="R498" s="151"/>
      <c r="S498" s="151"/>
      <c r="T498" s="151"/>
      <c r="U498" s="151"/>
      <c r="V498" s="108"/>
    </row>
    <row r="499" spans="1:22">
      <c r="A499" s="101"/>
      <c r="B499" s="101"/>
      <c r="C499" s="156">
        <v>0.08</v>
      </c>
      <c r="D499" s="148"/>
      <c r="E499" s="149"/>
      <c r="F499" s="150"/>
      <c r="G499" s="107"/>
      <c r="H499" s="108"/>
      <c r="I499" s="108"/>
      <c r="J499" s="109"/>
      <c r="K499" s="108"/>
      <c r="L499" s="108"/>
      <c r="M499" s="108"/>
      <c r="N499" s="108"/>
      <c r="O499" s="110"/>
      <c r="P499" s="151" t="str">
        <f t="shared" si="61"/>
        <v/>
      </c>
      <c r="Q499" s="151" t="str">
        <f t="shared" si="62"/>
        <v/>
      </c>
      <c r="R499" s="151" t="str">
        <f t="shared" si="63"/>
        <v/>
      </c>
      <c r="S499" s="151" t="str">
        <f t="shared" si="64"/>
        <v/>
      </c>
      <c r="T499" s="151" t="str">
        <f t="shared" si="65"/>
        <v/>
      </c>
      <c r="U499" s="151" t="str">
        <f t="shared" si="66"/>
        <v/>
      </c>
      <c r="V499" s="108"/>
    </row>
    <row r="500" spans="1:22">
      <c r="A500" s="101"/>
      <c r="B500" s="157" t="s">
        <v>387</v>
      </c>
      <c r="C500" s="158"/>
      <c r="D500" s="148"/>
      <c r="E500" s="159">
        <f>((4.065-0.05-0.016)/29)*11+0.016+0.02</f>
        <v>1.5528620689655175</v>
      </c>
      <c r="F500" s="150"/>
      <c r="G500" s="107">
        <v>10</v>
      </c>
      <c r="H500" s="108">
        <v>1</v>
      </c>
      <c r="I500" s="108">
        <v>4</v>
      </c>
      <c r="J500" s="160">
        <f>2*(D502+E500)+2*8*G500/1000</f>
        <v>3.625724137931035</v>
      </c>
      <c r="K500" s="108"/>
      <c r="L500" s="108">
        <v>5</v>
      </c>
      <c r="M500" s="121">
        <f>2*G500*L500/1000</f>
        <v>0.1</v>
      </c>
      <c r="N500" s="121">
        <f>(J500+K500-M500)</f>
        <v>3.5257241379310349</v>
      </c>
      <c r="O500" s="121">
        <f>(H500*I500*N500)</f>
        <v>14.10289655172414</v>
      </c>
      <c r="P500" s="151" t="str">
        <f t="shared" si="61"/>
        <v/>
      </c>
      <c r="Q500" s="151">
        <f t="shared" si="62"/>
        <v>14.10289655172414</v>
      </c>
      <c r="R500" s="151" t="str">
        <f t="shared" si="63"/>
        <v/>
      </c>
      <c r="S500" s="151" t="str">
        <f t="shared" si="64"/>
        <v/>
      </c>
      <c r="T500" s="151" t="str">
        <f t="shared" si="65"/>
        <v/>
      </c>
      <c r="U500" s="151" t="str">
        <f t="shared" si="66"/>
        <v/>
      </c>
      <c r="V500" s="108"/>
    </row>
    <row r="501" spans="1:22">
      <c r="A501" s="101"/>
      <c r="B501" s="157"/>
      <c r="C501" s="147"/>
      <c r="D501" s="148"/>
      <c r="E501" s="161"/>
      <c r="F501" s="150"/>
      <c r="G501" s="107"/>
      <c r="H501" s="108"/>
      <c r="I501" s="108"/>
      <c r="J501" s="109"/>
      <c r="K501" s="108"/>
      <c r="L501" s="108"/>
      <c r="M501" s="108"/>
      <c r="N501" s="108"/>
      <c r="O501" s="121"/>
      <c r="P501" s="151" t="str">
        <f t="shared" si="61"/>
        <v/>
      </c>
      <c r="Q501" s="151" t="str">
        <f t="shared" si="62"/>
        <v/>
      </c>
      <c r="R501" s="151" t="str">
        <f t="shared" si="63"/>
        <v/>
      </c>
      <c r="S501" s="151" t="str">
        <f t="shared" si="64"/>
        <v/>
      </c>
      <c r="T501" s="151" t="str">
        <f t="shared" si="65"/>
        <v/>
      </c>
      <c r="U501" s="151" t="str">
        <f t="shared" si="66"/>
        <v/>
      </c>
      <c r="V501" s="108"/>
    </row>
    <row r="502" spans="1:22">
      <c r="A502" s="101"/>
      <c r="B502" s="157"/>
      <c r="C502" s="147"/>
      <c r="D502" s="118">
        <f>0.23-0.05</f>
        <v>0.18</v>
      </c>
      <c r="E502" s="149"/>
      <c r="F502" s="150"/>
      <c r="G502" s="107"/>
      <c r="H502" s="108"/>
      <c r="I502" s="108"/>
      <c r="J502" s="109"/>
      <c r="K502" s="108"/>
      <c r="L502" s="108"/>
      <c r="M502" s="108"/>
      <c r="N502" s="108"/>
      <c r="O502" s="121"/>
      <c r="P502" s="151" t="str">
        <f t="shared" si="61"/>
        <v/>
      </c>
      <c r="Q502" s="151" t="str">
        <f t="shared" si="62"/>
        <v/>
      </c>
      <c r="R502" s="151" t="str">
        <f t="shared" si="63"/>
        <v/>
      </c>
      <c r="S502" s="151" t="str">
        <f t="shared" si="64"/>
        <v/>
      </c>
      <c r="T502" s="151" t="str">
        <f t="shared" si="65"/>
        <v/>
      </c>
      <c r="U502" s="151" t="str">
        <f t="shared" si="66"/>
        <v/>
      </c>
      <c r="V502" s="108"/>
    </row>
    <row r="503" spans="1:22">
      <c r="A503" s="101"/>
      <c r="B503" s="152"/>
      <c r="C503" s="147"/>
      <c r="D503" s="148"/>
      <c r="E503" s="149"/>
      <c r="F503" s="150"/>
      <c r="G503" s="107"/>
      <c r="H503" s="108"/>
      <c r="I503" s="108"/>
      <c r="J503" s="118"/>
      <c r="K503" s="119"/>
      <c r="L503" s="120"/>
      <c r="M503" s="108"/>
      <c r="N503" s="121"/>
      <c r="O503" s="121"/>
      <c r="P503" s="151"/>
      <c r="Q503" s="151"/>
      <c r="R503" s="151"/>
      <c r="S503" s="151"/>
      <c r="T503" s="151"/>
      <c r="U503" s="151"/>
      <c r="V503" s="108"/>
    </row>
    <row r="504" spans="1:22">
      <c r="A504" s="101"/>
      <c r="B504" s="101"/>
      <c r="C504" s="156">
        <v>0.08</v>
      </c>
      <c r="D504" s="148"/>
      <c r="E504" s="149"/>
      <c r="F504" s="150"/>
      <c r="G504" s="107"/>
      <c r="H504" s="108"/>
      <c r="I504" s="108"/>
      <c r="J504" s="109"/>
      <c r="K504" s="108"/>
      <c r="L504" s="108"/>
      <c r="M504" s="108"/>
      <c r="N504" s="108"/>
      <c r="O504" s="110"/>
      <c r="P504" s="151" t="str">
        <f t="shared" si="61"/>
        <v/>
      </c>
      <c r="Q504" s="151" t="str">
        <f t="shared" si="62"/>
        <v/>
      </c>
      <c r="R504" s="151" t="str">
        <f t="shared" si="63"/>
        <v/>
      </c>
      <c r="S504" s="151" t="str">
        <f t="shared" si="64"/>
        <v/>
      </c>
      <c r="T504" s="151" t="str">
        <f t="shared" si="65"/>
        <v/>
      </c>
      <c r="U504" s="151" t="str">
        <f t="shared" si="66"/>
        <v/>
      </c>
      <c r="V504" s="108"/>
    </row>
    <row r="505" spans="1:22">
      <c r="A505" s="101"/>
      <c r="B505" s="157" t="s">
        <v>388</v>
      </c>
      <c r="C505" s="158"/>
      <c r="D505" s="148"/>
      <c r="E505" s="159">
        <f>((4.065-0.05-0.016)/29)+0.016+0.02</f>
        <v>0.17389655172413795</v>
      </c>
      <c r="F505" s="150"/>
      <c r="G505" s="107">
        <v>10</v>
      </c>
      <c r="H505" s="108">
        <v>1</v>
      </c>
      <c r="I505" s="108">
        <v>8</v>
      </c>
      <c r="J505" s="160">
        <f>2*(D507+E505)+2*8*G505/1000</f>
        <v>0.86779310344827587</v>
      </c>
      <c r="K505" s="108"/>
      <c r="L505" s="108">
        <v>5</v>
      </c>
      <c r="M505" s="121">
        <f>2*G505*L505/1000</f>
        <v>0.1</v>
      </c>
      <c r="N505" s="121">
        <f>(J505+K505-M505)</f>
        <v>0.76779310344827589</v>
      </c>
      <c r="O505" s="121">
        <f>(H505*I505*N505)</f>
        <v>6.1423448275862071</v>
      </c>
      <c r="P505" s="151" t="str">
        <f t="shared" si="61"/>
        <v/>
      </c>
      <c r="Q505" s="151">
        <f t="shared" si="62"/>
        <v>6.1423448275862071</v>
      </c>
      <c r="R505" s="151" t="str">
        <f t="shared" si="63"/>
        <v/>
      </c>
      <c r="S505" s="151" t="str">
        <f t="shared" si="64"/>
        <v/>
      </c>
      <c r="T505" s="151" t="str">
        <f t="shared" si="65"/>
        <v/>
      </c>
      <c r="U505" s="151" t="str">
        <f t="shared" si="66"/>
        <v/>
      </c>
      <c r="V505" s="108"/>
    </row>
    <row r="506" spans="1:22">
      <c r="A506" s="101"/>
      <c r="B506" s="157"/>
      <c r="C506" s="147"/>
      <c r="D506" s="148"/>
      <c r="E506" s="161"/>
      <c r="F506" s="150"/>
      <c r="G506" s="107"/>
      <c r="H506" s="108"/>
      <c r="I506" s="108"/>
      <c r="J506" s="109"/>
      <c r="K506" s="108"/>
      <c r="L506" s="108"/>
      <c r="M506" s="108"/>
      <c r="N506" s="108"/>
      <c r="O506" s="121"/>
      <c r="P506" s="151" t="str">
        <f t="shared" si="61"/>
        <v/>
      </c>
      <c r="Q506" s="151" t="str">
        <f t="shared" si="62"/>
        <v/>
      </c>
      <c r="R506" s="151" t="str">
        <f t="shared" si="63"/>
        <v/>
      </c>
      <c r="S506" s="151" t="str">
        <f t="shared" si="64"/>
        <v/>
      </c>
      <c r="T506" s="151" t="str">
        <f t="shared" si="65"/>
        <v/>
      </c>
      <c r="U506" s="151" t="str">
        <f t="shared" si="66"/>
        <v/>
      </c>
      <c r="V506" s="108"/>
    </row>
    <row r="507" spans="1:22">
      <c r="A507" s="101"/>
      <c r="B507" s="157"/>
      <c r="C507" s="147"/>
      <c r="D507" s="118">
        <f>0.23-0.05</f>
        <v>0.18</v>
      </c>
      <c r="E507" s="149"/>
      <c r="F507" s="150"/>
      <c r="G507" s="107"/>
      <c r="H507" s="108"/>
      <c r="I507" s="108"/>
      <c r="J507" s="109"/>
      <c r="K507" s="108"/>
      <c r="L507" s="108"/>
      <c r="M507" s="108"/>
      <c r="N507" s="108"/>
      <c r="O507" s="121"/>
      <c r="P507" s="151" t="str">
        <f t="shared" si="61"/>
        <v/>
      </c>
      <c r="Q507" s="151" t="str">
        <f t="shared" si="62"/>
        <v/>
      </c>
      <c r="R507" s="151" t="str">
        <f t="shared" si="63"/>
        <v/>
      </c>
      <c r="S507" s="151" t="str">
        <f t="shared" si="64"/>
        <v/>
      </c>
      <c r="T507" s="151" t="str">
        <f t="shared" si="65"/>
        <v/>
      </c>
      <c r="U507" s="151" t="str">
        <f t="shared" si="66"/>
        <v/>
      </c>
      <c r="V507" s="108"/>
    </row>
    <row r="508" spans="1:22">
      <c r="A508" s="101"/>
      <c r="B508" s="152"/>
      <c r="C508" s="147"/>
      <c r="D508" s="148"/>
      <c r="E508" s="149"/>
      <c r="F508" s="150"/>
      <c r="G508" s="107"/>
      <c r="H508" s="108"/>
      <c r="I508" s="108"/>
      <c r="J508" s="109"/>
      <c r="K508" s="108"/>
      <c r="L508" s="108"/>
      <c r="M508" s="108"/>
      <c r="N508" s="108"/>
      <c r="O508" s="110"/>
      <c r="P508" s="151" t="str">
        <f t="shared" si="61"/>
        <v/>
      </c>
      <c r="Q508" s="151" t="str">
        <f t="shared" si="62"/>
        <v/>
      </c>
      <c r="R508" s="151" t="str">
        <f t="shared" si="63"/>
        <v/>
      </c>
      <c r="S508" s="151" t="str">
        <f t="shared" si="64"/>
        <v/>
      </c>
      <c r="T508" s="151" t="str">
        <f t="shared" si="65"/>
        <v/>
      </c>
      <c r="U508" s="151" t="str">
        <f t="shared" si="66"/>
        <v/>
      </c>
      <c r="V508" s="108"/>
    </row>
    <row r="509" spans="1:22">
      <c r="A509" s="101"/>
      <c r="B509" s="152"/>
      <c r="C509" s="147"/>
      <c r="D509" s="148"/>
      <c r="E509" s="155">
        <v>0.08</v>
      </c>
      <c r="F509" s="150"/>
      <c r="G509" s="107"/>
      <c r="H509" s="108"/>
      <c r="I509" s="108"/>
      <c r="J509" s="109"/>
      <c r="K509" s="108"/>
      <c r="L509" s="108"/>
      <c r="M509" s="108"/>
      <c r="N509" s="108"/>
      <c r="O509" s="110"/>
      <c r="P509" s="151" t="str">
        <f t="shared" si="61"/>
        <v/>
      </c>
      <c r="Q509" s="151" t="str">
        <f t="shared" si="62"/>
        <v/>
      </c>
      <c r="R509" s="151" t="str">
        <f t="shared" si="63"/>
        <v/>
      </c>
      <c r="S509" s="151" t="str">
        <f t="shared" si="64"/>
        <v/>
      </c>
      <c r="T509" s="151" t="str">
        <f t="shared" si="65"/>
        <v/>
      </c>
      <c r="U509" s="151" t="str">
        <f t="shared" si="66"/>
        <v/>
      </c>
      <c r="V509" s="108"/>
    </row>
    <row r="510" spans="1:22">
      <c r="A510" s="101"/>
      <c r="B510" s="157" t="s">
        <v>389</v>
      </c>
      <c r="C510" s="147"/>
      <c r="D510" s="153">
        <f>0.23-0.05</f>
        <v>0.18</v>
      </c>
      <c r="E510" s="155"/>
      <c r="F510" s="150"/>
      <c r="G510" s="107">
        <v>10</v>
      </c>
      <c r="H510" s="108">
        <v>1</v>
      </c>
      <c r="I510" s="108">
        <v>5</v>
      </c>
      <c r="J510" s="160">
        <f>D510+E509+E511</f>
        <v>0.34</v>
      </c>
      <c r="K510" s="108"/>
      <c r="L510" s="108">
        <v>2</v>
      </c>
      <c r="M510" s="121">
        <f>2*G510*L510/1000</f>
        <v>0.04</v>
      </c>
      <c r="N510" s="121">
        <f>(J510+K510-M510)</f>
        <v>0.30000000000000004</v>
      </c>
      <c r="O510" s="121">
        <f>(H510*I510*N510)</f>
        <v>1.5000000000000002</v>
      </c>
      <c r="P510" s="151" t="str">
        <f t="shared" si="61"/>
        <v/>
      </c>
      <c r="Q510" s="151">
        <f t="shared" si="62"/>
        <v>1.5000000000000002</v>
      </c>
      <c r="R510" s="151" t="str">
        <f t="shared" si="63"/>
        <v/>
      </c>
      <c r="S510" s="151" t="str">
        <f t="shared" si="64"/>
        <v/>
      </c>
      <c r="T510" s="151" t="str">
        <f t="shared" si="65"/>
        <v/>
      </c>
      <c r="U510" s="151" t="str">
        <f t="shared" si="66"/>
        <v/>
      </c>
      <c r="V510" s="108"/>
    </row>
    <row r="511" spans="1:22">
      <c r="A511" s="101"/>
      <c r="B511" s="152"/>
      <c r="C511" s="147"/>
      <c r="D511" s="148"/>
      <c r="E511" s="155">
        <v>0.08</v>
      </c>
      <c r="F511" s="150"/>
      <c r="G511" s="107"/>
      <c r="H511" s="108"/>
      <c r="I511" s="108"/>
      <c r="J511" s="109"/>
      <c r="K511" s="108"/>
      <c r="L511" s="108"/>
      <c r="M511" s="108"/>
      <c r="N511" s="108"/>
      <c r="O511" s="110"/>
      <c r="P511" s="151" t="str">
        <f t="shared" si="61"/>
        <v/>
      </c>
      <c r="Q511" s="151" t="str">
        <f t="shared" si="62"/>
        <v/>
      </c>
      <c r="R511" s="151" t="str">
        <f t="shared" si="63"/>
        <v/>
      </c>
      <c r="S511" s="151" t="str">
        <f t="shared" si="64"/>
        <v/>
      </c>
      <c r="T511" s="151" t="str">
        <f t="shared" si="65"/>
        <v/>
      </c>
      <c r="U511" s="151" t="str">
        <f t="shared" si="66"/>
        <v/>
      </c>
      <c r="V511" s="108"/>
    </row>
    <row r="512" spans="1:22">
      <c r="A512" s="101"/>
      <c r="B512" s="157"/>
      <c r="C512" s="147"/>
      <c r="D512" s="163"/>
      <c r="E512" s="149"/>
      <c r="F512" s="150"/>
      <c r="G512" s="107"/>
      <c r="H512" s="108"/>
      <c r="I512" s="108"/>
      <c r="J512" s="109"/>
      <c r="K512" s="108"/>
      <c r="L512" s="108"/>
      <c r="M512" s="108"/>
      <c r="N512" s="108"/>
      <c r="O512" s="110"/>
      <c r="P512" s="151" t="str">
        <f t="shared" si="61"/>
        <v/>
      </c>
      <c r="Q512" s="151" t="str">
        <f t="shared" si="62"/>
        <v/>
      </c>
      <c r="R512" s="151" t="str">
        <f t="shared" si="63"/>
        <v/>
      </c>
      <c r="S512" s="151" t="str">
        <f t="shared" si="64"/>
        <v/>
      </c>
      <c r="T512" s="151" t="str">
        <f t="shared" si="65"/>
        <v/>
      </c>
      <c r="U512" s="151" t="str">
        <f t="shared" si="66"/>
        <v/>
      </c>
      <c r="V512" s="108"/>
    </row>
    <row r="513" spans="1:22">
      <c r="A513" s="101">
        <v>19</v>
      </c>
      <c r="B513" s="101" t="s">
        <v>414</v>
      </c>
      <c r="C513" s="147"/>
      <c r="D513" s="148"/>
      <c r="E513" s="149"/>
      <c r="F513" s="150"/>
      <c r="G513" s="107"/>
      <c r="H513" s="108"/>
      <c r="I513" s="108"/>
      <c r="J513" s="118"/>
      <c r="K513" s="121"/>
      <c r="L513" s="121"/>
      <c r="M513" s="108"/>
      <c r="N513" s="121"/>
      <c r="O513" s="121"/>
      <c r="P513" s="151" t="str">
        <f>IF($G513=8,$O513,"")</f>
        <v/>
      </c>
      <c r="Q513" s="151" t="str">
        <f>IF($G513=10,$O513,"")</f>
        <v/>
      </c>
      <c r="R513" s="151" t="str">
        <f>IF($G513=12,$O513,"")</f>
        <v/>
      </c>
      <c r="S513" s="151" t="str">
        <f>IF($G513=16,$O513,"")</f>
        <v/>
      </c>
      <c r="T513" s="151" t="str">
        <f>IF($G513=20,$O513,"")</f>
        <v/>
      </c>
      <c r="U513" s="151" t="str">
        <f>IF($G513=25,$O513,"")</f>
        <v/>
      </c>
      <c r="V513" s="108"/>
    </row>
    <row r="514" spans="1:22">
      <c r="A514" s="101"/>
      <c r="B514" s="152" t="s">
        <v>382</v>
      </c>
      <c r="C514" s="147"/>
      <c r="D514" s="153">
        <f>0.85-0.075-2*0.016</f>
        <v>0.74299999999999999</v>
      </c>
      <c r="E514" s="149"/>
      <c r="F514" s="150"/>
      <c r="G514" s="107">
        <v>16</v>
      </c>
      <c r="H514" s="108">
        <v>1</v>
      </c>
      <c r="I514" s="108">
        <v>8</v>
      </c>
      <c r="J514" s="118">
        <f>D514</f>
        <v>0.74299999999999999</v>
      </c>
      <c r="K514" s="119" t="str">
        <f>IF(N514&lt;12,"0",0.049*G514)</f>
        <v>0</v>
      </c>
      <c r="L514" s="120">
        <v>1</v>
      </c>
      <c r="M514" s="108">
        <f>2*G514*L514/1000</f>
        <v>3.2000000000000001E-2</v>
      </c>
      <c r="N514" s="121">
        <f>J514+E516-M514</f>
        <v>1.0109999999999999</v>
      </c>
      <c r="O514" s="121">
        <f>H514*I514*N514</f>
        <v>8.0879999999999992</v>
      </c>
      <c r="P514" s="151" t="str">
        <f t="shared" si="61"/>
        <v/>
      </c>
      <c r="Q514" s="151" t="str">
        <f t="shared" si="62"/>
        <v/>
      </c>
      <c r="R514" s="151" t="str">
        <f t="shared" si="63"/>
        <v/>
      </c>
      <c r="S514" s="151">
        <f t="shared" si="64"/>
        <v>8.0879999999999992</v>
      </c>
      <c r="T514" s="151" t="str">
        <f t="shared" si="65"/>
        <v/>
      </c>
      <c r="U514" s="151" t="str">
        <f t="shared" si="66"/>
        <v/>
      </c>
      <c r="V514" s="108"/>
    </row>
    <row r="515" spans="1:22">
      <c r="A515" s="101"/>
      <c r="B515" s="152" t="s">
        <v>383</v>
      </c>
      <c r="C515" s="147"/>
      <c r="D515" s="148"/>
      <c r="E515" s="149"/>
      <c r="F515" s="150"/>
      <c r="G515" s="107">
        <v>12</v>
      </c>
      <c r="H515" s="108">
        <v>1</v>
      </c>
      <c r="I515" s="108">
        <v>16</v>
      </c>
      <c r="J515" s="118">
        <f>D514</f>
        <v>0.74299999999999999</v>
      </c>
      <c r="K515" s="119" t="str">
        <f t="shared" ref="K515:K516" si="73">IF(N515&lt;12,"0",0.049*G515)</f>
        <v>0</v>
      </c>
      <c r="L515" s="120">
        <v>1</v>
      </c>
      <c r="M515" s="108">
        <f t="shared" ref="M515:M516" si="74">2*G515*L515/1000</f>
        <v>2.4E-2</v>
      </c>
      <c r="N515" s="121">
        <f>J515+E516-M515</f>
        <v>1.0189999999999999</v>
      </c>
      <c r="O515" s="121">
        <f>H515*I515*N515</f>
        <v>16.303999999999998</v>
      </c>
      <c r="P515" s="151" t="str">
        <f t="shared" si="61"/>
        <v/>
      </c>
      <c r="Q515" s="151" t="str">
        <f t="shared" si="62"/>
        <v/>
      </c>
      <c r="R515" s="151">
        <f t="shared" si="63"/>
        <v>16.303999999999998</v>
      </c>
      <c r="S515" s="151" t="str">
        <f t="shared" si="64"/>
        <v/>
      </c>
      <c r="T515" s="151" t="str">
        <f t="shared" si="65"/>
        <v/>
      </c>
      <c r="U515" s="151" t="str">
        <f t="shared" si="66"/>
        <v/>
      </c>
      <c r="V515" s="108"/>
    </row>
    <row r="516" spans="1:22">
      <c r="A516" s="101"/>
      <c r="B516" s="152" t="s">
        <v>384</v>
      </c>
      <c r="C516" s="154"/>
      <c r="D516" s="153"/>
      <c r="E516" s="155">
        <v>0.3</v>
      </c>
      <c r="F516" s="150"/>
      <c r="G516" s="107">
        <v>10</v>
      </c>
      <c r="H516" s="108">
        <v>1</v>
      </c>
      <c r="I516" s="108">
        <v>8</v>
      </c>
      <c r="J516" s="118">
        <f>D514</f>
        <v>0.74299999999999999</v>
      </c>
      <c r="K516" s="119" t="str">
        <f t="shared" si="73"/>
        <v>0</v>
      </c>
      <c r="L516" s="120">
        <v>1</v>
      </c>
      <c r="M516" s="108">
        <f t="shared" si="74"/>
        <v>0.02</v>
      </c>
      <c r="N516" s="121">
        <f>J516+E516-M516</f>
        <v>1.0229999999999999</v>
      </c>
      <c r="O516" s="121">
        <f>H516*I516*N516</f>
        <v>8.1839999999999993</v>
      </c>
      <c r="P516" s="151" t="str">
        <f t="shared" si="61"/>
        <v/>
      </c>
      <c r="Q516" s="151">
        <f t="shared" si="62"/>
        <v>8.1839999999999993</v>
      </c>
      <c r="R516" s="151" t="str">
        <f t="shared" si="63"/>
        <v/>
      </c>
      <c r="S516" s="151" t="str">
        <f t="shared" si="64"/>
        <v/>
      </c>
      <c r="T516" s="151" t="str">
        <f t="shared" si="65"/>
        <v/>
      </c>
      <c r="U516" s="151" t="str">
        <f t="shared" si="66"/>
        <v/>
      </c>
      <c r="V516" s="108"/>
    </row>
    <row r="517" spans="1:22">
      <c r="A517" s="101"/>
      <c r="B517" s="152"/>
      <c r="C517" s="147"/>
      <c r="D517" s="148"/>
      <c r="E517" s="149"/>
      <c r="F517" s="150"/>
      <c r="G517" s="107"/>
      <c r="H517" s="108"/>
      <c r="I517" s="108"/>
      <c r="J517" s="118"/>
      <c r="K517" s="119"/>
      <c r="L517" s="120"/>
      <c r="M517" s="108"/>
      <c r="N517" s="121"/>
      <c r="O517" s="121"/>
      <c r="P517" s="151" t="str">
        <f t="shared" si="61"/>
        <v/>
      </c>
      <c r="Q517" s="151" t="str">
        <f t="shared" si="62"/>
        <v/>
      </c>
      <c r="R517" s="151" t="str">
        <f t="shared" si="63"/>
        <v/>
      </c>
      <c r="S517" s="151" t="str">
        <f t="shared" si="64"/>
        <v/>
      </c>
      <c r="T517" s="151" t="str">
        <f t="shared" si="65"/>
        <v/>
      </c>
      <c r="U517" s="151" t="str">
        <f t="shared" si="66"/>
        <v/>
      </c>
      <c r="V517" s="108"/>
    </row>
    <row r="518" spans="1:22">
      <c r="A518" s="101"/>
      <c r="B518" s="152"/>
      <c r="C518" s="147"/>
      <c r="D518" s="148"/>
      <c r="E518" s="149"/>
      <c r="F518" s="150"/>
      <c r="G518" s="107"/>
      <c r="H518" s="108"/>
      <c r="I518" s="108"/>
      <c r="J518" s="109"/>
      <c r="K518" s="108"/>
      <c r="L518" s="108"/>
      <c r="M518" s="108"/>
      <c r="N518" s="108"/>
      <c r="O518" s="110"/>
      <c r="P518" s="151" t="str">
        <f t="shared" si="61"/>
        <v/>
      </c>
      <c r="Q518" s="151" t="str">
        <f t="shared" si="62"/>
        <v/>
      </c>
      <c r="R518" s="151" t="str">
        <f t="shared" si="63"/>
        <v/>
      </c>
      <c r="S518" s="151" t="str">
        <f t="shared" si="64"/>
        <v/>
      </c>
      <c r="T518" s="151" t="str">
        <f t="shared" si="65"/>
        <v/>
      </c>
      <c r="U518" s="151" t="str">
        <f t="shared" si="66"/>
        <v/>
      </c>
      <c r="V518" s="108"/>
    </row>
    <row r="519" spans="1:22">
      <c r="A519" s="101"/>
      <c r="B519" s="101"/>
      <c r="C519" s="156">
        <v>0.08</v>
      </c>
      <c r="D519" s="148"/>
      <c r="E519" s="149"/>
      <c r="F519" s="150"/>
      <c r="G519" s="107"/>
      <c r="H519" s="108"/>
      <c r="I519" s="108"/>
      <c r="J519" s="109"/>
      <c r="K519" s="108"/>
      <c r="L519" s="108"/>
      <c r="M519" s="108"/>
      <c r="N519" s="108"/>
      <c r="O519" s="110"/>
      <c r="P519" s="151" t="str">
        <f t="shared" si="61"/>
        <v/>
      </c>
      <c r="Q519" s="151" t="str">
        <f t="shared" si="62"/>
        <v/>
      </c>
      <c r="R519" s="151" t="str">
        <f t="shared" si="63"/>
        <v/>
      </c>
      <c r="S519" s="151" t="str">
        <f t="shared" si="64"/>
        <v/>
      </c>
      <c r="T519" s="151" t="str">
        <f t="shared" si="65"/>
        <v/>
      </c>
      <c r="U519" s="151" t="str">
        <f t="shared" si="66"/>
        <v/>
      </c>
      <c r="V519" s="108"/>
    </row>
    <row r="520" spans="1:22">
      <c r="A520" s="101"/>
      <c r="B520" s="157" t="s">
        <v>386</v>
      </c>
      <c r="C520" s="158"/>
      <c r="D520" s="148"/>
      <c r="E520" s="159">
        <f>0.65-0.05</f>
        <v>0.6</v>
      </c>
      <c r="F520" s="150"/>
      <c r="G520" s="107">
        <v>10</v>
      </c>
      <c r="H520" s="108">
        <v>1</v>
      </c>
      <c r="I520" s="108">
        <v>4</v>
      </c>
      <c r="J520" s="160">
        <f>2*(D522+E520)+2*8*G520/1000</f>
        <v>1.72</v>
      </c>
      <c r="K520" s="108"/>
      <c r="L520" s="108">
        <v>5</v>
      </c>
      <c r="M520" s="121">
        <f>2*G520*L520/1000</f>
        <v>0.1</v>
      </c>
      <c r="N520" s="121">
        <f>(J520+K520-M520)</f>
        <v>1.6199999999999999</v>
      </c>
      <c r="O520" s="121">
        <f>(H520*I520*N520)</f>
        <v>6.4799999999999995</v>
      </c>
      <c r="P520" s="151" t="str">
        <f t="shared" si="61"/>
        <v/>
      </c>
      <c r="Q520" s="151">
        <f t="shared" si="62"/>
        <v>6.4799999999999995</v>
      </c>
      <c r="R520" s="151" t="str">
        <f t="shared" si="63"/>
        <v/>
      </c>
      <c r="S520" s="151" t="str">
        <f t="shared" si="64"/>
        <v/>
      </c>
      <c r="T520" s="151" t="str">
        <f t="shared" si="65"/>
        <v/>
      </c>
      <c r="U520" s="151" t="str">
        <f t="shared" si="66"/>
        <v/>
      </c>
      <c r="V520" s="108"/>
    </row>
    <row r="521" spans="1:22">
      <c r="A521" s="101"/>
      <c r="B521" s="157"/>
      <c r="C521" s="147"/>
      <c r="D521" s="148"/>
      <c r="E521" s="161"/>
      <c r="F521" s="150"/>
      <c r="G521" s="107"/>
      <c r="H521" s="108"/>
      <c r="I521" s="108"/>
      <c r="J521" s="109"/>
      <c r="K521" s="108"/>
      <c r="L521" s="108"/>
      <c r="M521" s="108"/>
      <c r="N521" s="108"/>
      <c r="O521" s="121"/>
      <c r="P521" s="151" t="str">
        <f t="shared" si="61"/>
        <v/>
      </c>
      <c r="Q521" s="151" t="str">
        <f t="shared" si="62"/>
        <v/>
      </c>
      <c r="R521" s="151" t="str">
        <f t="shared" si="63"/>
        <v/>
      </c>
      <c r="S521" s="151" t="str">
        <f t="shared" si="64"/>
        <v/>
      </c>
      <c r="T521" s="151" t="str">
        <f t="shared" si="65"/>
        <v/>
      </c>
      <c r="U521" s="151" t="str">
        <f t="shared" si="66"/>
        <v/>
      </c>
      <c r="V521" s="108"/>
    </row>
    <row r="522" spans="1:22">
      <c r="A522" s="101"/>
      <c r="B522" s="157"/>
      <c r="C522" s="147"/>
      <c r="D522" s="118">
        <f>0.23-0.05</f>
        <v>0.18</v>
      </c>
      <c r="E522" s="149"/>
      <c r="F522" s="150"/>
      <c r="G522" s="107"/>
      <c r="H522" s="108"/>
      <c r="I522" s="108"/>
      <c r="J522" s="109"/>
      <c r="K522" s="108"/>
      <c r="L522" s="108"/>
      <c r="M522" s="108"/>
      <c r="N522" s="108"/>
      <c r="O522" s="121"/>
      <c r="P522" s="151" t="str">
        <f t="shared" si="61"/>
        <v/>
      </c>
      <c r="Q522" s="151" t="str">
        <f t="shared" si="62"/>
        <v/>
      </c>
      <c r="R522" s="151" t="str">
        <f t="shared" si="63"/>
        <v/>
      </c>
      <c r="S522" s="151" t="str">
        <f t="shared" si="64"/>
        <v/>
      </c>
      <c r="T522" s="151" t="str">
        <f t="shared" si="65"/>
        <v/>
      </c>
      <c r="U522" s="151" t="str">
        <f t="shared" si="66"/>
        <v/>
      </c>
      <c r="V522" s="108"/>
    </row>
    <row r="523" spans="1:22">
      <c r="A523" s="101"/>
      <c r="B523" s="152"/>
      <c r="C523" s="147"/>
      <c r="D523" s="148"/>
      <c r="E523" s="149"/>
      <c r="F523" s="150"/>
      <c r="G523" s="107"/>
      <c r="H523" s="108"/>
      <c r="I523" s="108"/>
      <c r="J523" s="109"/>
      <c r="K523" s="108"/>
      <c r="L523" s="108"/>
      <c r="M523" s="108"/>
      <c r="N523" s="108"/>
      <c r="O523" s="110"/>
      <c r="P523" s="151" t="str">
        <f t="shared" si="61"/>
        <v/>
      </c>
      <c r="Q523" s="151" t="str">
        <f t="shared" si="62"/>
        <v/>
      </c>
      <c r="R523" s="151" t="str">
        <f t="shared" si="63"/>
        <v/>
      </c>
      <c r="S523" s="151" t="str">
        <f t="shared" si="64"/>
        <v/>
      </c>
      <c r="T523" s="151" t="str">
        <f t="shared" si="65"/>
        <v/>
      </c>
      <c r="U523" s="151" t="str">
        <f t="shared" si="66"/>
        <v/>
      </c>
      <c r="V523" s="108"/>
    </row>
    <row r="524" spans="1:22">
      <c r="A524" s="101"/>
      <c r="B524" s="101"/>
      <c r="C524" s="156">
        <v>0.08</v>
      </c>
      <c r="D524" s="148"/>
      <c r="E524" s="149"/>
      <c r="F524" s="150"/>
      <c r="G524" s="107"/>
      <c r="H524" s="108"/>
      <c r="I524" s="108"/>
      <c r="J524" s="109"/>
      <c r="K524" s="108"/>
      <c r="L524" s="108"/>
      <c r="M524" s="108"/>
      <c r="N524" s="108"/>
      <c r="O524" s="110"/>
      <c r="P524" s="151" t="str">
        <f t="shared" si="61"/>
        <v/>
      </c>
      <c r="Q524" s="151" t="str">
        <f t="shared" si="62"/>
        <v/>
      </c>
      <c r="R524" s="151" t="str">
        <f t="shared" si="63"/>
        <v/>
      </c>
      <c r="S524" s="151" t="str">
        <f t="shared" si="64"/>
        <v/>
      </c>
      <c r="T524" s="151" t="str">
        <f t="shared" si="65"/>
        <v/>
      </c>
      <c r="U524" s="151" t="str">
        <f t="shared" si="66"/>
        <v/>
      </c>
      <c r="V524" s="108"/>
    </row>
    <row r="525" spans="1:22">
      <c r="A525" s="101"/>
      <c r="B525" s="157" t="s">
        <v>387</v>
      </c>
      <c r="C525" s="158"/>
      <c r="D525" s="148"/>
      <c r="E525" s="159">
        <f>1.535-0.05</f>
        <v>1.4849999999999999</v>
      </c>
      <c r="F525" s="150"/>
      <c r="G525" s="107">
        <v>10</v>
      </c>
      <c r="H525" s="108">
        <v>1</v>
      </c>
      <c r="I525" s="108">
        <v>4</v>
      </c>
      <c r="J525" s="160">
        <f>2*(D527+E525)+2*8*G525/1000</f>
        <v>3.4899999999999998</v>
      </c>
      <c r="K525" s="108"/>
      <c r="L525" s="108">
        <v>5</v>
      </c>
      <c r="M525" s="121">
        <f>2*G525*L525/1000</f>
        <v>0.1</v>
      </c>
      <c r="N525" s="121">
        <f>(J525+K525-M525)</f>
        <v>3.3899999999999997</v>
      </c>
      <c r="O525" s="121">
        <f>(H525*I525*N525)</f>
        <v>13.559999999999999</v>
      </c>
      <c r="P525" s="151" t="str">
        <f t="shared" si="61"/>
        <v/>
      </c>
      <c r="Q525" s="151">
        <f t="shared" si="62"/>
        <v>13.559999999999999</v>
      </c>
      <c r="R525" s="151" t="str">
        <f t="shared" si="63"/>
        <v/>
      </c>
      <c r="S525" s="151" t="str">
        <f t="shared" si="64"/>
        <v/>
      </c>
      <c r="T525" s="151" t="str">
        <f t="shared" si="65"/>
        <v/>
      </c>
      <c r="U525" s="151" t="str">
        <f t="shared" si="66"/>
        <v/>
      </c>
      <c r="V525" s="108"/>
    </row>
    <row r="526" spans="1:22">
      <c r="A526" s="101"/>
      <c r="B526" s="157"/>
      <c r="C526" s="147"/>
      <c r="D526" s="148"/>
      <c r="E526" s="161"/>
      <c r="F526" s="150"/>
      <c r="G526" s="107"/>
      <c r="H526" s="108"/>
      <c r="I526" s="108"/>
      <c r="J526" s="109"/>
      <c r="K526" s="108"/>
      <c r="L526" s="108"/>
      <c r="M526" s="108"/>
      <c r="N526" s="108"/>
      <c r="O526" s="121"/>
      <c r="P526" s="151" t="str">
        <f t="shared" si="61"/>
        <v/>
      </c>
      <c r="Q526" s="151" t="str">
        <f t="shared" si="62"/>
        <v/>
      </c>
      <c r="R526" s="151" t="str">
        <f t="shared" si="63"/>
        <v/>
      </c>
      <c r="S526" s="151" t="str">
        <f t="shared" si="64"/>
        <v/>
      </c>
      <c r="T526" s="151" t="str">
        <f t="shared" si="65"/>
        <v/>
      </c>
      <c r="U526" s="151" t="str">
        <f t="shared" si="66"/>
        <v/>
      </c>
      <c r="V526" s="108"/>
    </row>
    <row r="527" spans="1:22">
      <c r="A527" s="101"/>
      <c r="B527" s="157"/>
      <c r="C527" s="147"/>
      <c r="D527" s="118">
        <f>0.23-0.05</f>
        <v>0.18</v>
      </c>
      <c r="E527" s="149"/>
      <c r="F527" s="150"/>
      <c r="G527" s="107"/>
      <c r="H527" s="108"/>
      <c r="I527" s="108"/>
      <c r="J527" s="109"/>
      <c r="K527" s="108"/>
      <c r="L527" s="108"/>
      <c r="M527" s="108"/>
      <c r="N527" s="108"/>
      <c r="O527" s="121"/>
      <c r="P527" s="151" t="str">
        <f t="shared" si="61"/>
        <v/>
      </c>
      <c r="Q527" s="151" t="str">
        <f t="shared" si="62"/>
        <v/>
      </c>
      <c r="R527" s="151" t="str">
        <f t="shared" si="63"/>
        <v/>
      </c>
      <c r="S527" s="151" t="str">
        <f t="shared" si="64"/>
        <v/>
      </c>
      <c r="T527" s="151" t="str">
        <f t="shared" si="65"/>
        <v/>
      </c>
      <c r="U527" s="151" t="str">
        <f t="shared" si="66"/>
        <v/>
      </c>
      <c r="V527" s="108"/>
    </row>
    <row r="528" spans="1:22">
      <c r="A528" s="101"/>
      <c r="B528" s="152"/>
      <c r="C528" s="147"/>
      <c r="D528" s="148"/>
      <c r="E528" s="149"/>
      <c r="F528" s="150"/>
      <c r="G528" s="107"/>
      <c r="H528" s="108"/>
      <c r="I528" s="108"/>
      <c r="J528" s="109"/>
      <c r="K528" s="108"/>
      <c r="L528" s="108"/>
      <c r="M528" s="108"/>
      <c r="N528" s="108"/>
      <c r="O528" s="121"/>
      <c r="P528" s="151" t="str">
        <f t="shared" si="61"/>
        <v/>
      </c>
      <c r="Q528" s="151" t="str">
        <f t="shared" si="62"/>
        <v/>
      </c>
      <c r="R528" s="151" t="str">
        <f t="shared" si="63"/>
        <v/>
      </c>
      <c r="S528" s="151" t="str">
        <f t="shared" si="64"/>
        <v/>
      </c>
      <c r="T528" s="151" t="str">
        <f t="shared" si="65"/>
        <v/>
      </c>
      <c r="U528" s="151" t="str">
        <f t="shared" si="66"/>
        <v/>
      </c>
      <c r="V528" s="108"/>
    </row>
    <row r="529" spans="1:22">
      <c r="A529" s="101"/>
      <c r="B529" s="101"/>
      <c r="C529" s="156">
        <v>0.08</v>
      </c>
      <c r="D529" s="148"/>
      <c r="E529" s="149"/>
      <c r="F529" s="150"/>
      <c r="G529" s="107"/>
      <c r="H529" s="108"/>
      <c r="I529" s="108"/>
      <c r="J529" s="109"/>
      <c r="K529" s="108"/>
      <c r="L529" s="108"/>
      <c r="M529" s="108"/>
      <c r="N529" s="108"/>
      <c r="O529" s="121"/>
      <c r="P529" s="151" t="str">
        <f t="shared" si="61"/>
        <v/>
      </c>
      <c r="Q529" s="151" t="str">
        <f t="shared" si="62"/>
        <v/>
      </c>
      <c r="R529" s="151" t="str">
        <f t="shared" si="63"/>
        <v/>
      </c>
      <c r="S529" s="151" t="str">
        <f t="shared" si="64"/>
        <v/>
      </c>
      <c r="T529" s="151" t="str">
        <f t="shared" si="65"/>
        <v/>
      </c>
      <c r="U529" s="151" t="str">
        <f t="shared" si="66"/>
        <v/>
      </c>
      <c r="V529" s="108"/>
    </row>
    <row r="530" spans="1:22">
      <c r="A530" s="101"/>
      <c r="B530" s="157" t="s">
        <v>388</v>
      </c>
      <c r="C530" s="158"/>
      <c r="D530" s="148"/>
      <c r="E530" s="159">
        <f>((0.65-0.05-0.016)/5)*2+0.012+0.02</f>
        <v>0.2656</v>
      </c>
      <c r="F530" s="150"/>
      <c r="G530" s="107">
        <v>10</v>
      </c>
      <c r="H530" s="108">
        <v>1</v>
      </c>
      <c r="I530" s="108">
        <v>1</v>
      </c>
      <c r="J530" s="160">
        <f>2*(D532+E530)+2*8*G530/1000</f>
        <v>1.0511999999999999</v>
      </c>
      <c r="K530" s="108"/>
      <c r="L530" s="108">
        <v>5</v>
      </c>
      <c r="M530" s="121">
        <f>2*G530*L530/1000</f>
        <v>0.1</v>
      </c>
      <c r="N530" s="121">
        <f>(J530+K530-M530)</f>
        <v>0.95119999999999993</v>
      </c>
      <c r="O530" s="121">
        <f>(H530*I530*N530)</f>
        <v>0.95119999999999993</v>
      </c>
      <c r="P530" s="151" t="str">
        <f t="shared" si="61"/>
        <v/>
      </c>
      <c r="Q530" s="151">
        <f t="shared" si="62"/>
        <v>0.95119999999999993</v>
      </c>
      <c r="R530" s="151" t="str">
        <f t="shared" si="63"/>
        <v/>
      </c>
      <c r="S530" s="151" t="str">
        <f t="shared" si="64"/>
        <v/>
      </c>
      <c r="T530" s="151" t="str">
        <f t="shared" si="65"/>
        <v/>
      </c>
      <c r="U530" s="151" t="str">
        <f t="shared" si="66"/>
        <v/>
      </c>
      <c r="V530" s="108"/>
    </row>
    <row r="531" spans="1:22">
      <c r="A531" s="101"/>
      <c r="B531" s="157"/>
      <c r="C531" s="147"/>
      <c r="D531" s="148"/>
      <c r="E531" s="161"/>
      <c r="F531" s="150"/>
      <c r="G531" s="107"/>
      <c r="H531" s="108"/>
      <c r="I531" s="108"/>
      <c r="J531" s="109"/>
      <c r="K531" s="108"/>
      <c r="L531" s="108"/>
      <c r="M531" s="108"/>
      <c r="N531" s="108"/>
      <c r="O531" s="121"/>
      <c r="P531" s="151" t="str">
        <f t="shared" si="61"/>
        <v/>
      </c>
      <c r="Q531" s="151" t="str">
        <f t="shared" si="62"/>
        <v/>
      </c>
      <c r="R531" s="151" t="str">
        <f t="shared" si="63"/>
        <v/>
      </c>
      <c r="S531" s="151" t="str">
        <f t="shared" si="64"/>
        <v/>
      </c>
      <c r="T531" s="151" t="str">
        <f t="shared" si="65"/>
        <v/>
      </c>
      <c r="U531" s="151" t="str">
        <f t="shared" si="66"/>
        <v/>
      </c>
      <c r="V531" s="108"/>
    </row>
    <row r="532" spans="1:22">
      <c r="A532" s="101"/>
      <c r="B532" s="157"/>
      <c r="C532" s="147"/>
      <c r="D532" s="118">
        <f>0.23-0.05</f>
        <v>0.18</v>
      </c>
      <c r="E532" s="149"/>
      <c r="F532" s="150"/>
      <c r="G532" s="107"/>
      <c r="H532" s="108"/>
      <c r="I532" s="108"/>
      <c r="J532" s="109"/>
      <c r="K532" s="108"/>
      <c r="L532" s="108"/>
      <c r="M532" s="108"/>
      <c r="N532" s="108"/>
      <c r="O532" s="121"/>
      <c r="P532" s="151" t="str">
        <f t="shared" si="61"/>
        <v/>
      </c>
      <c r="Q532" s="151" t="str">
        <f t="shared" si="62"/>
        <v/>
      </c>
      <c r="R532" s="151" t="str">
        <f t="shared" si="63"/>
        <v/>
      </c>
      <c r="S532" s="151" t="str">
        <f t="shared" si="64"/>
        <v/>
      </c>
      <c r="T532" s="151" t="str">
        <f t="shared" si="65"/>
        <v/>
      </c>
      <c r="U532" s="151" t="str">
        <f t="shared" si="66"/>
        <v/>
      </c>
      <c r="V532" s="108"/>
    </row>
    <row r="533" spans="1:22">
      <c r="A533" s="101"/>
      <c r="B533" s="152"/>
      <c r="C533" s="147"/>
      <c r="D533" s="148"/>
      <c r="E533" s="149"/>
      <c r="F533" s="150"/>
      <c r="G533" s="107"/>
      <c r="H533" s="108"/>
      <c r="I533" s="108"/>
      <c r="J533" s="109"/>
      <c r="K533" s="108"/>
      <c r="L533" s="108"/>
      <c r="M533" s="108"/>
      <c r="N533" s="108"/>
      <c r="O533" s="110"/>
      <c r="P533" s="151" t="str">
        <f t="shared" si="61"/>
        <v/>
      </c>
      <c r="Q533" s="151" t="str">
        <f t="shared" si="62"/>
        <v/>
      </c>
      <c r="R533" s="151" t="str">
        <f t="shared" si="63"/>
        <v/>
      </c>
      <c r="S533" s="151" t="str">
        <f t="shared" si="64"/>
        <v/>
      </c>
      <c r="T533" s="151" t="str">
        <f t="shared" si="65"/>
        <v/>
      </c>
      <c r="U533" s="151" t="str">
        <f t="shared" si="66"/>
        <v/>
      </c>
      <c r="V533" s="108"/>
    </row>
    <row r="534" spans="1:22">
      <c r="A534" s="101"/>
      <c r="B534" s="101"/>
      <c r="C534" s="156">
        <v>0.08</v>
      </c>
      <c r="D534" s="148"/>
      <c r="E534" s="149"/>
      <c r="F534" s="150"/>
      <c r="G534" s="107"/>
      <c r="H534" s="108"/>
      <c r="I534" s="108"/>
      <c r="J534" s="109"/>
      <c r="K534" s="108"/>
      <c r="L534" s="108"/>
      <c r="M534" s="108"/>
      <c r="N534" s="108"/>
      <c r="O534" s="110"/>
      <c r="P534" s="151" t="str">
        <f t="shared" si="61"/>
        <v/>
      </c>
      <c r="Q534" s="151" t="str">
        <f t="shared" si="62"/>
        <v/>
      </c>
      <c r="R534" s="151" t="str">
        <f t="shared" si="63"/>
        <v/>
      </c>
      <c r="S534" s="151" t="str">
        <f t="shared" si="64"/>
        <v/>
      </c>
      <c r="T534" s="151" t="str">
        <f t="shared" si="65"/>
        <v/>
      </c>
      <c r="U534" s="151" t="str">
        <f t="shared" si="66"/>
        <v/>
      </c>
      <c r="V534" s="108"/>
    </row>
    <row r="535" spans="1:22">
      <c r="A535" s="101"/>
      <c r="B535" s="157" t="s">
        <v>389</v>
      </c>
      <c r="C535" s="158"/>
      <c r="D535" s="148"/>
      <c r="E535" s="159">
        <f>((1.535-0.05-0.014)/11)*3+0.014+0.02</f>
        <v>0.43518181818181823</v>
      </c>
      <c r="F535" s="150"/>
      <c r="G535" s="107">
        <v>10</v>
      </c>
      <c r="H535" s="108">
        <v>1</v>
      </c>
      <c r="I535" s="108">
        <v>1</v>
      </c>
      <c r="J535" s="160">
        <f>2*(D537+E535)+2*8*G535/1000</f>
        <v>1.3903636363636365</v>
      </c>
      <c r="K535" s="108"/>
      <c r="L535" s="108">
        <v>5</v>
      </c>
      <c r="M535" s="121">
        <f>2*G535*L535/1000</f>
        <v>0.1</v>
      </c>
      <c r="N535" s="121">
        <f>(J535+K535-M535)</f>
        <v>1.2903636363636364</v>
      </c>
      <c r="O535" s="121">
        <f>(H535*I535*N535)</f>
        <v>1.2903636363636364</v>
      </c>
      <c r="P535" s="151" t="str">
        <f t="shared" si="61"/>
        <v/>
      </c>
      <c r="Q535" s="151">
        <f t="shared" si="62"/>
        <v>1.2903636363636364</v>
      </c>
      <c r="R535" s="151" t="str">
        <f t="shared" si="63"/>
        <v/>
      </c>
      <c r="S535" s="151" t="str">
        <f t="shared" si="64"/>
        <v/>
      </c>
      <c r="T535" s="151" t="str">
        <f t="shared" si="65"/>
        <v/>
      </c>
      <c r="U535" s="151" t="str">
        <f t="shared" si="66"/>
        <v/>
      </c>
      <c r="V535" s="108"/>
    </row>
    <row r="536" spans="1:22">
      <c r="A536" s="101"/>
      <c r="B536" s="157"/>
      <c r="C536" s="147"/>
      <c r="D536" s="148"/>
      <c r="E536" s="161"/>
      <c r="F536" s="150"/>
      <c r="G536" s="107"/>
      <c r="H536" s="108"/>
      <c r="I536" s="108"/>
      <c r="J536" s="109"/>
      <c r="K536" s="108"/>
      <c r="L536" s="108"/>
      <c r="M536" s="108"/>
      <c r="N536" s="108"/>
      <c r="O536" s="121"/>
      <c r="P536" s="151" t="str">
        <f t="shared" si="61"/>
        <v/>
      </c>
      <c r="Q536" s="151" t="str">
        <f t="shared" si="62"/>
        <v/>
      </c>
      <c r="R536" s="151" t="str">
        <f t="shared" si="63"/>
        <v/>
      </c>
      <c r="S536" s="151" t="str">
        <f t="shared" si="64"/>
        <v/>
      </c>
      <c r="T536" s="151" t="str">
        <f t="shared" si="65"/>
        <v/>
      </c>
      <c r="U536" s="151" t="str">
        <f t="shared" si="66"/>
        <v/>
      </c>
      <c r="V536" s="108"/>
    </row>
    <row r="537" spans="1:22">
      <c r="A537" s="101"/>
      <c r="B537" s="157"/>
      <c r="C537" s="147"/>
      <c r="D537" s="118">
        <f>0.23-0.05</f>
        <v>0.18</v>
      </c>
      <c r="E537" s="149"/>
      <c r="F537" s="150"/>
      <c r="G537" s="107"/>
      <c r="H537" s="108"/>
      <c r="I537" s="108"/>
      <c r="J537" s="109"/>
      <c r="K537" s="108"/>
      <c r="L537" s="108"/>
      <c r="M537" s="108"/>
      <c r="N537" s="108"/>
      <c r="O537" s="121"/>
      <c r="P537" s="151" t="str">
        <f t="shared" si="61"/>
        <v/>
      </c>
      <c r="Q537" s="151" t="str">
        <f t="shared" si="62"/>
        <v/>
      </c>
      <c r="R537" s="151" t="str">
        <f t="shared" si="63"/>
        <v/>
      </c>
      <c r="S537" s="151" t="str">
        <f t="shared" si="64"/>
        <v/>
      </c>
      <c r="T537" s="151" t="str">
        <f t="shared" si="65"/>
        <v/>
      </c>
      <c r="U537" s="151" t="str">
        <f t="shared" si="66"/>
        <v/>
      </c>
      <c r="V537" s="108"/>
    </row>
    <row r="538" spans="1:22">
      <c r="A538" s="101"/>
      <c r="B538" s="152"/>
      <c r="C538" s="147"/>
      <c r="D538" s="148"/>
      <c r="E538" s="149"/>
      <c r="F538" s="150"/>
      <c r="G538" s="107"/>
      <c r="H538" s="108"/>
      <c r="I538" s="108"/>
      <c r="J538" s="109"/>
      <c r="K538" s="108"/>
      <c r="L538" s="108"/>
      <c r="M538" s="108"/>
      <c r="N538" s="108"/>
      <c r="O538" s="110"/>
      <c r="P538" s="151" t="str">
        <f t="shared" si="61"/>
        <v/>
      </c>
      <c r="Q538" s="151" t="str">
        <f t="shared" si="62"/>
        <v/>
      </c>
      <c r="R538" s="151" t="str">
        <f t="shared" si="63"/>
        <v/>
      </c>
      <c r="S538" s="151" t="str">
        <f t="shared" si="64"/>
        <v/>
      </c>
      <c r="T538" s="151" t="str">
        <f t="shared" si="65"/>
        <v/>
      </c>
      <c r="U538" s="151" t="str">
        <f t="shared" si="66"/>
        <v/>
      </c>
      <c r="V538" s="108"/>
    </row>
    <row r="539" spans="1:22">
      <c r="A539" s="101"/>
      <c r="B539" s="101"/>
      <c r="C539" s="156">
        <v>0.08</v>
      </c>
      <c r="D539" s="148"/>
      <c r="E539" s="149"/>
      <c r="F539" s="150"/>
      <c r="G539" s="107"/>
      <c r="H539" s="108"/>
      <c r="I539" s="108"/>
      <c r="J539" s="109"/>
      <c r="K539" s="108"/>
      <c r="L539" s="108"/>
      <c r="M539" s="108"/>
      <c r="N539" s="108"/>
      <c r="O539" s="110"/>
      <c r="P539" s="151" t="str">
        <f t="shared" si="61"/>
        <v/>
      </c>
      <c r="Q539" s="151" t="str">
        <f t="shared" si="62"/>
        <v/>
      </c>
      <c r="R539" s="151" t="str">
        <f t="shared" si="63"/>
        <v/>
      </c>
      <c r="S539" s="151" t="str">
        <f t="shared" si="64"/>
        <v/>
      </c>
      <c r="T539" s="151" t="str">
        <f t="shared" si="65"/>
        <v/>
      </c>
      <c r="U539" s="151" t="str">
        <f t="shared" si="66"/>
        <v/>
      </c>
      <c r="V539" s="108"/>
    </row>
    <row r="540" spans="1:22">
      <c r="A540" s="101"/>
      <c r="B540" s="157" t="s">
        <v>394</v>
      </c>
      <c r="C540" s="158"/>
      <c r="D540" s="148"/>
      <c r="E540" s="159">
        <f>((1.535-0.05-0.014)/11)*5+0.01+0.02</f>
        <v>0.69863636363636361</v>
      </c>
      <c r="F540" s="150"/>
      <c r="G540" s="107">
        <v>10</v>
      </c>
      <c r="H540" s="108">
        <v>1</v>
      </c>
      <c r="I540" s="108">
        <v>1</v>
      </c>
      <c r="J540" s="160">
        <f>2*(D542+E540)+2*8*G540/1000</f>
        <v>1.9172727272727272</v>
      </c>
      <c r="K540" s="108"/>
      <c r="L540" s="108">
        <v>5</v>
      </c>
      <c r="M540" s="121">
        <f>2*G540*L540/1000</f>
        <v>0.1</v>
      </c>
      <c r="N540" s="121">
        <f>(J540+K540-M540)</f>
        <v>1.8172727272727272</v>
      </c>
      <c r="O540" s="121">
        <f>(H540*I540*N540)</f>
        <v>1.8172727272727272</v>
      </c>
      <c r="P540" s="151" t="str">
        <f t="shared" si="61"/>
        <v/>
      </c>
      <c r="Q540" s="151">
        <f t="shared" si="62"/>
        <v>1.8172727272727272</v>
      </c>
      <c r="R540" s="151" t="str">
        <f t="shared" si="63"/>
        <v/>
      </c>
      <c r="S540" s="151" t="str">
        <f t="shared" si="64"/>
        <v/>
      </c>
      <c r="T540" s="151" t="str">
        <f t="shared" si="65"/>
        <v/>
      </c>
      <c r="U540" s="151" t="str">
        <f t="shared" si="66"/>
        <v/>
      </c>
      <c r="V540" s="108"/>
    </row>
    <row r="541" spans="1:22">
      <c r="A541" s="101"/>
      <c r="B541" s="157"/>
      <c r="C541" s="147"/>
      <c r="D541" s="148"/>
      <c r="E541" s="161"/>
      <c r="F541" s="150"/>
      <c r="G541" s="107"/>
      <c r="H541" s="108"/>
      <c r="I541" s="108"/>
      <c r="J541" s="109"/>
      <c r="K541" s="108"/>
      <c r="L541" s="108"/>
      <c r="M541" s="108"/>
      <c r="N541" s="108"/>
      <c r="O541" s="121"/>
      <c r="P541" s="151" t="str">
        <f t="shared" si="61"/>
        <v/>
      </c>
      <c r="Q541" s="151" t="str">
        <f t="shared" si="62"/>
        <v/>
      </c>
      <c r="R541" s="151" t="str">
        <f t="shared" si="63"/>
        <v/>
      </c>
      <c r="S541" s="151" t="str">
        <f t="shared" si="64"/>
        <v/>
      </c>
      <c r="T541" s="151" t="str">
        <f t="shared" si="65"/>
        <v/>
      </c>
      <c r="U541" s="151" t="str">
        <f t="shared" si="66"/>
        <v/>
      </c>
      <c r="V541" s="108"/>
    </row>
    <row r="542" spans="1:22">
      <c r="A542" s="101"/>
      <c r="B542" s="157"/>
      <c r="C542" s="147"/>
      <c r="D542" s="118">
        <f>0.23-0.05</f>
        <v>0.18</v>
      </c>
      <c r="E542" s="149"/>
      <c r="F542" s="150"/>
      <c r="G542" s="107"/>
      <c r="H542" s="108"/>
      <c r="I542" s="108"/>
      <c r="J542" s="109"/>
      <c r="K542" s="108"/>
      <c r="L542" s="108"/>
      <c r="M542" s="108"/>
      <c r="N542" s="108"/>
      <c r="O542" s="121"/>
      <c r="P542" s="151" t="str">
        <f t="shared" si="61"/>
        <v/>
      </c>
      <c r="Q542" s="151" t="str">
        <f t="shared" si="62"/>
        <v/>
      </c>
      <c r="R542" s="151" t="str">
        <f t="shared" si="63"/>
        <v/>
      </c>
      <c r="S542" s="151" t="str">
        <f t="shared" si="64"/>
        <v/>
      </c>
      <c r="T542" s="151" t="str">
        <f t="shared" si="65"/>
        <v/>
      </c>
      <c r="U542" s="151" t="str">
        <f t="shared" si="66"/>
        <v/>
      </c>
      <c r="V542" s="108"/>
    </row>
    <row r="543" spans="1:22">
      <c r="A543" s="101"/>
      <c r="B543" s="152"/>
      <c r="C543" s="147"/>
      <c r="D543" s="148"/>
      <c r="E543" s="149"/>
      <c r="F543" s="150"/>
      <c r="G543" s="107"/>
      <c r="H543" s="108"/>
      <c r="I543" s="108"/>
      <c r="J543" s="109"/>
      <c r="K543" s="108"/>
      <c r="L543" s="108"/>
      <c r="M543" s="108"/>
      <c r="N543" s="108"/>
      <c r="O543" s="110"/>
      <c r="P543" s="151" t="str">
        <f t="shared" si="61"/>
        <v/>
      </c>
      <c r="Q543" s="151" t="str">
        <f t="shared" si="62"/>
        <v/>
      </c>
      <c r="R543" s="151" t="str">
        <f t="shared" si="63"/>
        <v/>
      </c>
      <c r="S543" s="151" t="str">
        <f t="shared" si="64"/>
        <v/>
      </c>
      <c r="T543" s="151" t="str">
        <f t="shared" si="65"/>
        <v/>
      </c>
      <c r="U543" s="151" t="str">
        <f t="shared" si="66"/>
        <v/>
      </c>
      <c r="V543" s="108"/>
    </row>
    <row r="544" spans="1:22">
      <c r="A544" s="101"/>
      <c r="B544" s="152"/>
      <c r="C544" s="156">
        <v>0.08</v>
      </c>
      <c r="D544" s="148"/>
      <c r="E544" s="149"/>
      <c r="F544" s="150"/>
      <c r="G544" s="107"/>
      <c r="H544" s="108"/>
      <c r="I544" s="108"/>
      <c r="J544" s="109"/>
      <c r="K544" s="108"/>
      <c r="L544" s="108"/>
      <c r="M544" s="108"/>
      <c r="N544" s="108"/>
      <c r="O544" s="110"/>
      <c r="P544" s="151" t="str">
        <f t="shared" si="61"/>
        <v/>
      </c>
      <c r="Q544" s="151" t="str">
        <f t="shared" si="62"/>
        <v/>
      </c>
      <c r="R544" s="151" t="str">
        <f t="shared" si="63"/>
        <v/>
      </c>
      <c r="S544" s="151" t="str">
        <f t="shared" si="64"/>
        <v/>
      </c>
      <c r="T544" s="151" t="str">
        <f t="shared" si="65"/>
        <v/>
      </c>
      <c r="U544" s="151" t="str">
        <f t="shared" si="66"/>
        <v/>
      </c>
      <c r="V544" s="108"/>
    </row>
    <row r="545" spans="1:22">
      <c r="A545" s="101"/>
      <c r="B545" s="157" t="s">
        <v>400</v>
      </c>
      <c r="C545" s="158"/>
      <c r="D545" s="148"/>
      <c r="E545" s="159">
        <f>((1.535-0.05-0.014)/11)*1+0.012+0.02</f>
        <v>0.16572727272727272</v>
      </c>
      <c r="F545" s="150"/>
      <c r="G545" s="107">
        <v>10</v>
      </c>
      <c r="H545" s="108">
        <v>1</v>
      </c>
      <c r="I545" s="108">
        <v>1</v>
      </c>
      <c r="J545" s="160">
        <f>2*(D547+E545)+2*8*G545/1000</f>
        <v>0.85145454545454546</v>
      </c>
      <c r="K545" s="108"/>
      <c r="L545" s="108">
        <v>5</v>
      </c>
      <c r="M545" s="121">
        <f>2*G545*L545/1000</f>
        <v>0.1</v>
      </c>
      <c r="N545" s="121">
        <f>(J545+K545-M545)</f>
        <v>0.75145454545454549</v>
      </c>
      <c r="O545" s="121">
        <f>(H545*I545*N545)</f>
        <v>0.75145454545454549</v>
      </c>
      <c r="P545" s="151" t="str">
        <f t="shared" si="61"/>
        <v/>
      </c>
      <c r="Q545" s="151">
        <f t="shared" si="62"/>
        <v>0.75145454545454549</v>
      </c>
      <c r="R545" s="151" t="str">
        <f t="shared" si="63"/>
        <v/>
      </c>
      <c r="S545" s="151" t="str">
        <f t="shared" si="64"/>
        <v/>
      </c>
      <c r="T545" s="151" t="str">
        <f t="shared" si="65"/>
        <v/>
      </c>
      <c r="U545" s="151" t="str">
        <f t="shared" si="66"/>
        <v/>
      </c>
      <c r="V545" s="108"/>
    </row>
    <row r="546" spans="1:22">
      <c r="A546" s="101"/>
      <c r="B546" s="157"/>
      <c r="C546" s="147"/>
      <c r="D546" s="148"/>
      <c r="E546" s="161"/>
      <c r="F546" s="150"/>
      <c r="G546" s="107"/>
      <c r="H546" s="108"/>
      <c r="I546" s="108"/>
      <c r="J546" s="109"/>
      <c r="K546" s="108"/>
      <c r="L546" s="108"/>
      <c r="M546" s="108"/>
      <c r="N546" s="108"/>
      <c r="O546" s="121"/>
      <c r="P546" s="151" t="str">
        <f t="shared" si="61"/>
        <v/>
      </c>
      <c r="Q546" s="151" t="str">
        <f t="shared" si="62"/>
        <v/>
      </c>
      <c r="R546" s="151" t="str">
        <f t="shared" si="63"/>
        <v/>
      </c>
      <c r="S546" s="151" t="str">
        <f t="shared" si="64"/>
        <v/>
      </c>
      <c r="T546" s="151" t="str">
        <f t="shared" si="65"/>
        <v/>
      </c>
      <c r="U546" s="151" t="str">
        <f t="shared" si="66"/>
        <v/>
      </c>
      <c r="V546" s="108"/>
    </row>
    <row r="547" spans="1:22">
      <c r="A547" s="101"/>
      <c r="B547" s="157"/>
      <c r="C547" s="147"/>
      <c r="D547" s="118">
        <f>0.23-0.05</f>
        <v>0.18</v>
      </c>
      <c r="E547" s="149"/>
      <c r="F547" s="150"/>
      <c r="G547" s="107"/>
      <c r="H547" s="108"/>
      <c r="I547" s="108"/>
      <c r="J547" s="109"/>
      <c r="K547" s="108"/>
      <c r="L547" s="108"/>
      <c r="M547" s="108"/>
      <c r="N547" s="108"/>
      <c r="O547" s="121"/>
      <c r="P547" s="151" t="str">
        <f t="shared" si="61"/>
        <v/>
      </c>
      <c r="Q547" s="151" t="str">
        <f t="shared" si="62"/>
        <v/>
      </c>
      <c r="R547" s="151" t="str">
        <f t="shared" si="63"/>
        <v/>
      </c>
      <c r="S547" s="151" t="str">
        <f t="shared" si="64"/>
        <v/>
      </c>
      <c r="T547" s="151" t="str">
        <f t="shared" si="65"/>
        <v/>
      </c>
      <c r="U547" s="151" t="str">
        <f t="shared" si="66"/>
        <v/>
      </c>
      <c r="V547" s="108"/>
    </row>
    <row r="548" spans="1:22">
      <c r="A548" s="101"/>
      <c r="B548" s="152"/>
      <c r="C548" s="147"/>
      <c r="D548" s="148"/>
      <c r="E548" s="149"/>
      <c r="F548" s="150"/>
      <c r="G548" s="107"/>
      <c r="H548" s="108"/>
      <c r="I548" s="108"/>
      <c r="J548" s="109"/>
      <c r="K548" s="108"/>
      <c r="L548" s="108"/>
      <c r="M548" s="108"/>
      <c r="N548" s="108"/>
      <c r="O548" s="110"/>
      <c r="P548" s="151" t="str">
        <f t="shared" si="61"/>
        <v/>
      </c>
      <c r="Q548" s="151" t="str">
        <f t="shared" si="62"/>
        <v/>
      </c>
      <c r="R548" s="151" t="str">
        <f t="shared" si="63"/>
        <v/>
      </c>
      <c r="S548" s="151" t="str">
        <f t="shared" si="64"/>
        <v/>
      </c>
      <c r="T548" s="151" t="str">
        <f t="shared" si="65"/>
        <v/>
      </c>
      <c r="U548" s="151" t="str">
        <f t="shared" si="66"/>
        <v/>
      </c>
      <c r="V548" s="108"/>
    </row>
    <row r="549" spans="1:22">
      <c r="A549" s="101"/>
      <c r="B549" s="152"/>
      <c r="C549" s="147"/>
      <c r="D549" s="148"/>
      <c r="E549" s="155">
        <v>0.08</v>
      </c>
      <c r="F549" s="150"/>
      <c r="G549" s="107"/>
      <c r="H549" s="108"/>
      <c r="I549" s="108"/>
      <c r="J549" s="109"/>
      <c r="K549" s="108"/>
      <c r="L549" s="108"/>
      <c r="M549" s="108"/>
      <c r="N549" s="108"/>
      <c r="O549" s="110"/>
      <c r="P549" s="151" t="str">
        <f t="shared" si="61"/>
        <v/>
      </c>
      <c r="Q549" s="151" t="str">
        <f t="shared" si="62"/>
        <v/>
      </c>
      <c r="R549" s="151" t="str">
        <f t="shared" si="63"/>
        <v/>
      </c>
      <c r="S549" s="151" t="str">
        <f t="shared" si="64"/>
        <v/>
      </c>
      <c r="T549" s="151" t="str">
        <f t="shared" si="65"/>
        <v/>
      </c>
      <c r="U549" s="151" t="str">
        <f t="shared" si="66"/>
        <v/>
      </c>
      <c r="V549" s="108"/>
    </row>
    <row r="550" spans="1:22">
      <c r="A550" s="101"/>
      <c r="B550" s="157" t="s">
        <v>401</v>
      </c>
      <c r="C550" s="147"/>
      <c r="D550" s="153">
        <f>0.23-0.05</f>
        <v>0.18</v>
      </c>
      <c r="E550" s="155"/>
      <c r="F550" s="150"/>
      <c r="G550" s="107">
        <v>10</v>
      </c>
      <c r="H550" s="108">
        <v>1</v>
      </c>
      <c r="I550" s="108">
        <v>4</v>
      </c>
      <c r="J550" s="160">
        <f>D550+E549+E551</f>
        <v>0.34</v>
      </c>
      <c r="K550" s="108"/>
      <c r="L550" s="108">
        <v>2</v>
      </c>
      <c r="M550" s="121">
        <f>2*G550*L550/1000</f>
        <v>0.04</v>
      </c>
      <c r="N550" s="121">
        <f>(J550+K550-M550)</f>
        <v>0.30000000000000004</v>
      </c>
      <c r="O550" s="121">
        <f>(H550*I550*N550)</f>
        <v>1.2000000000000002</v>
      </c>
      <c r="P550" s="151" t="str">
        <f t="shared" si="61"/>
        <v/>
      </c>
      <c r="Q550" s="151">
        <f t="shared" si="62"/>
        <v>1.2000000000000002</v>
      </c>
      <c r="R550" s="151" t="str">
        <f t="shared" si="63"/>
        <v/>
      </c>
      <c r="S550" s="151" t="str">
        <f t="shared" si="64"/>
        <v/>
      </c>
      <c r="T550" s="151" t="str">
        <f t="shared" si="65"/>
        <v/>
      </c>
      <c r="U550" s="151" t="str">
        <f t="shared" si="66"/>
        <v/>
      </c>
      <c r="V550" s="108"/>
    </row>
    <row r="551" spans="1:22">
      <c r="A551" s="101"/>
      <c r="B551" s="152"/>
      <c r="C551" s="147"/>
      <c r="D551" s="148"/>
      <c r="E551" s="155">
        <v>0.08</v>
      </c>
      <c r="F551" s="150"/>
      <c r="G551" s="107"/>
      <c r="H551" s="108"/>
      <c r="I551" s="108"/>
      <c r="J551" s="109"/>
      <c r="K551" s="108"/>
      <c r="L551" s="108"/>
      <c r="M551" s="108"/>
      <c r="N551" s="108"/>
      <c r="O551" s="110"/>
      <c r="P551" s="151" t="str">
        <f t="shared" si="61"/>
        <v/>
      </c>
      <c r="Q551" s="151" t="str">
        <f t="shared" si="62"/>
        <v/>
      </c>
      <c r="R551" s="151" t="str">
        <f t="shared" si="63"/>
        <v/>
      </c>
      <c r="S551" s="151" t="str">
        <f t="shared" si="64"/>
        <v/>
      </c>
      <c r="T551" s="151" t="str">
        <f t="shared" si="65"/>
        <v/>
      </c>
      <c r="U551" s="151" t="str">
        <f t="shared" si="66"/>
        <v/>
      </c>
      <c r="V551" s="108"/>
    </row>
    <row r="552" spans="1:22">
      <c r="A552" s="101"/>
      <c r="B552" s="157"/>
      <c r="C552" s="147"/>
      <c r="D552" s="163"/>
      <c r="E552" s="149"/>
      <c r="F552" s="150"/>
      <c r="G552" s="107"/>
      <c r="H552" s="108"/>
      <c r="I552" s="108"/>
      <c r="J552" s="109"/>
      <c r="K552" s="108"/>
      <c r="L552" s="108"/>
      <c r="M552" s="108"/>
      <c r="N552" s="108"/>
      <c r="O552" s="110"/>
      <c r="P552" s="151" t="str">
        <f t="shared" si="61"/>
        <v/>
      </c>
      <c r="Q552" s="151" t="str">
        <f t="shared" si="62"/>
        <v/>
      </c>
      <c r="R552" s="151" t="str">
        <f t="shared" si="63"/>
        <v/>
      </c>
      <c r="S552" s="151" t="str">
        <f t="shared" si="64"/>
        <v/>
      </c>
      <c r="T552" s="151" t="str">
        <f t="shared" si="65"/>
        <v/>
      </c>
      <c r="U552" s="151" t="str">
        <f t="shared" si="66"/>
        <v/>
      </c>
      <c r="V552" s="108"/>
    </row>
    <row r="553" spans="1:22">
      <c r="A553" s="101">
        <v>20</v>
      </c>
      <c r="B553" s="101" t="s">
        <v>415</v>
      </c>
      <c r="C553" s="147"/>
      <c r="D553" s="148"/>
      <c r="E553" s="149"/>
      <c r="F553" s="150"/>
      <c r="G553" s="107"/>
      <c r="H553" s="108"/>
      <c r="I553" s="108"/>
      <c r="J553" s="118"/>
      <c r="K553" s="121"/>
      <c r="L553" s="121"/>
      <c r="M553" s="108"/>
      <c r="N553" s="121"/>
      <c r="O553" s="121"/>
      <c r="P553" s="151" t="str">
        <f>IF($G553=8,$O553,"")</f>
        <v/>
      </c>
      <c r="Q553" s="151" t="str">
        <f>IF($G553=10,$O553,"")</f>
        <v/>
      </c>
      <c r="R553" s="151" t="str">
        <f>IF($G553=12,$O553,"")</f>
        <v/>
      </c>
      <c r="S553" s="151" t="str">
        <f>IF($G553=16,$O553,"")</f>
        <v/>
      </c>
      <c r="T553" s="151" t="str">
        <f>IF($G553=20,$O553,"")</f>
        <v/>
      </c>
      <c r="U553" s="151" t="str">
        <f>IF($G553=25,$O553,"")</f>
        <v/>
      </c>
      <c r="V553" s="108"/>
    </row>
    <row r="554" spans="1:22">
      <c r="A554" s="101"/>
      <c r="B554" s="152" t="s">
        <v>382</v>
      </c>
      <c r="C554" s="147"/>
      <c r="D554" s="153">
        <f>0.85-0.075-2*0.016</f>
        <v>0.74299999999999999</v>
      </c>
      <c r="E554" s="149"/>
      <c r="F554" s="150"/>
      <c r="G554" s="107">
        <v>16</v>
      </c>
      <c r="H554" s="108">
        <v>1</v>
      </c>
      <c r="I554" s="108">
        <v>8</v>
      </c>
      <c r="J554" s="118">
        <f>D554</f>
        <v>0.74299999999999999</v>
      </c>
      <c r="K554" s="119" t="str">
        <f>IF(N554&lt;12,"0",0.049*G554)</f>
        <v>0</v>
      </c>
      <c r="L554" s="120">
        <v>1</v>
      </c>
      <c r="M554" s="108">
        <f>2*G554*L554/1000</f>
        <v>3.2000000000000001E-2</v>
      </c>
      <c r="N554" s="121">
        <f>J554+E556-M554</f>
        <v>1.0109999999999999</v>
      </c>
      <c r="O554" s="121">
        <f t="shared" ref="O554:O557" si="75">H554*I554*N554</f>
        <v>8.0879999999999992</v>
      </c>
      <c r="P554" s="151" t="str">
        <f t="shared" si="61"/>
        <v/>
      </c>
      <c r="Q554" s="151" t="str">
        <f t="shared" si="62"/>
        <v/>
      </c>
      <c r="R554" s="151" t="str">
        <f t="shared" si="63"/>
        <v/>
      </c>
      <c r="S554" s="151">
        <f t="shared" si="64"/>
        <v>8.0879999999999992</v>
      </c>
      <c r="T554" s="151" t="str">
        <f t="shared" si="65"/>
        <v/>
      </c>
      <c r="U554" s="151" t="str">
        <f t="shared" si="66"/>
        <v/>
      </c>
      <c r="V554" s="108"/>
    </row>
    <row r="555" spans="1:22">
      <c r="A555" s="101"/>
      <c r="B555" s="152" t="s">
        <v>383</v>
      </c>
      <c r="C555" s="147"/>
      <c r="D555" s="148"/>
      <c r="E555" s="149"/>
      <c r="F555" s="150"/>
      <c r="G555" s="107">
        <v>12</v>
      </c>
      <c r="H555" s="108">
        <v>1</v>
      </c>
      <c r="I555" s="108">
        <v>8</v>
      </c>
      <c r="J555" s="118">
        <f>D554</f>
        <v>0.74299999999999999</v>
      </c>
      <c r="K555" s="119" t="str">
        <f t="shared" ref="K555:K557" si="76">IF(N555&lt;12,"0",0.049*G555)</f>
        <v>0</v>
      </c>
      <c r="L555" s="120">
        <v>1</v>
      </c>
      <c r="M555" s="108">
        <f t="shared" ref="M555:M557" si="77">2*G555*L555/1000</f>
        <v>2.4E-2</v>
      </c>
      <c r="N555" s="121">
        <f>J555+E556-M555</f>
        <v>1.0189999999999999</v>
      </c>
      <c r="O555" s="121">
        <f t="shared" si="75"/>
        <v>8.1519999999999992</v>
      </c>
      <c r="P555" s="151" t="str">
        <f t="shared" si="61"/>
        <v/>
      </c>
      <c r="Q555" s="151" t="str">
        <f t="shared" si="62"/>
        <v/>
      </c>
      <c r="R555" s="151">
        <f t="shared" si="63"/>
        <v>8.1519999999999992</v>
      </c>
      <c r="S555" s="151" t="str">
        <f t="shared" si="64"/>
        <v/>
      </c>
      <c r="T555" s="151" t="str">
        <f t="shared" si="65"/>
        <v/>
      </c>
      <c r="U555" s="151" t="str">
        <f t="shared" si="66"/>
        <v/>
      </c>
      <c r="V555" s="108"/>
    </row>
    <row r="556" spans="1:22">
      <c r="A556" s="101"/>
      <c r="B556" s="152" t="s">
        <v>384</v>
      </c>
      <c r="C556" s="154"/>
      <c r="D556" s="153"/>
      <c r="E556" s="155">
        <v>0.3</v>
      </c>
      <c r="F556" s="150"/>
      <c r="G556" s="107">
        <v>12</v>
      </c>
      <c r="H556" s="108">
        <v>1</v>
      </c>
      <c r="I556" s="108">
        <v>8</v>
      </c>
      <c r="J556" s="118">
        <f>D554</f>
        <v>0.74299999999999999</v>
      </c>
      <c r="K556" s="119" t="str">
        <f t="shared" si="76"/>
        <v>0</v>
      </c>
      <c r="L556" s="120">
        <v>1</v>
      </c>
      <c r="M556" s="108">
        <f t="shared" si="77"/>
        <v>2.4E-2</v>
      </c>
      <c r="N556" s="121">
        <f>J556+E556-M556</f>
        <v>1.0189999999999999</v>
      </c>
      <c r="O556" s="121">
        <f t="shared" si="75"/>
        <v>8.1519999999999992</v>
      </c>
      <c r="P556" s="151" t="str">
        <f t="shared" si="61"/>
        <v/>
      </c>
      <c r="Q556" s="151" t="str">
        <f t="shared" si="62"/>
        <v/>
      </c>
      <c r="R556" s="151">
        <f t="shared" si="63"/>
        <v>8.1519999999999992</v>
      </c>
      <c r="S556" s="151" t="str">
        <f t="shared" si="64"/>
        <v/>
      </c>
      <c r="T556" s="151" t="str">
        <f t="shared" si="65"/>
        <v/>
      </c>
      <c r="U556" s="151" t="str">
        <f t="shared" si="66"/>
        <v/>
      </c>
      <c r="V556" s="108"/>
    </row>
    <row r="557" spans="1:22">
      <c r="A557" s="101"/>
      <c r="B557" s="152" t="s">
        <v>385</v>
      </c>
      <c r="C557" s="147"/>
      <c r="D557" s="148"/>
      <c r="E557" s="149"/>
      <c r="F557" s="150"/>
      <c r="G557" s="107">
        <v>10</v>
      </c>
      <c r="H557" s="108">
        <v>1</v>
      </c>
      <c r="I557" s="108">
        <v>22</v>
      </c>
      <c r="J557" s="118">
        <f>D554</f>
        <v>0.74299999999999999</v>
      </c>
      <c r="K557" s="119" t="str">
        <f t="shared" si="76"/>
        <v>0</v>
      </c>
      <c r="L557" s="120">
        <v>1</v>
      </c>
      <c r="M557" s="108">
        <f t="shared" si="77"/>
        <v>0.02</v>
      </c>
      <c r="N557" s="121">
        <f>J557+E557-M557</f>
        <v>0.72299999999999998</v>
      </c>
      <c r="O557" s="121">
        <f t="shared" si="75"/>
        <v>15.905999999999999</v>
      </c>
      <c r="P557" s="151" t="str">
        <f t="shared" si="61"/>
        <v/>
      </c>
      <c r="Q557" s="151">
        <f t="shared" si="62"/>
        <v>15.905999999999999</v>
      </c>
      <c r="R557" s="151" t="str">
        <f t="shared" si="63"/>
        <v/>
      </c>
      <c r="S557" s="151" t="str">
        <f t="shared" si="64"/>
        <v/>
      </c>
      <c r="T557" s="151" t="str">
        <f t="shared" si="65"/>
        <v/>
      </c>
      <c r="U557" s="151" t="str">
        <f t="shared" si="66"/>
        <v/>
      </c>
      <c r="V557" s="108"/>
    </row>
    <row r="558" spans="1:22">
      <c r="A558" s="101"/>
      <c r="B558" s="152"/>
      <c r="C558" s="147"/>
      <c r="D558" s="148"/>
      <c r="E558" s="149"/>
      <c r="F558" s="150"/>
      <c r="G558" s="107"/>
      <c r="H558" s="108"/>
      <c r="I558" s="108"/>
      <c r="J558" s="118"/>
      <c r="K558" s="119"/>
      <c r="L558" s="120"/>
      <c r="M558" s="108"/>
      <c r="N558" s="121"/>
      <c r="O558" s="121"/>
      <c r="P558" s="151"/>
      <c r="Q558" s="151"/>
      <c r="R558" s="151"/>
      <c r="S558" s="151"/>
      <c r="T558" s="151"/>
      <c r="U558" s="151"/>
      <c r="V558" s="108"/>
    </row>
    <row r="559" spans="1:22">
      <c r="A559" s="101"/>
      <c r="B559" s="101"/>
      <c r="C559" s="156">
        <v>0.08</v>
      </c>
      <c r="D559" s="148"/>
      <c r="E559" s="149"/>
      <c r="F559" s="150"/>
      <c r="G559" s="107"/>
      <c r="H559" s="108"/>
      <c r="I559" s="108"/>
      <c r="J559" s="109"/>
      <c r="K559" s="108"/>
      <c r="L559" s="108"/>
      <c r="M559" s="108"/>
      <c r="N559" s="108"/>
      <c r="O559" s="110"/>
      <c r="P559" s="151" t="str">
        <f t="shared" si="61"/>
        <v/>
      </c>
      <c r="Q559" s="151" t="str">
        <f t="shared" si="62"/>
        <v/>
      </c>
      <c r="R559" s="151" t="str">
        <f t="shared" si="63"/>
        <v/>
      </c>
      <c r="S559" s="151" t="str">
        <f t="shared" si="64"/>
        <v/>
      </c>
      <c r="T559" s="151" t="str">
        <f t="shared" si="65"/>
        <v/>
      </c>
      <c r="U559" s="151" t="str">
        <f t="shared" si="66"/>
        <v/>
      </c>
      <c r="V559" s="108"/>
    </row>
    <row r="560" spans="1:22">
      <c r="A560" s="101"/>
      <c r="B560" s="157" t="s">
        <v>386</v>
      </c>
      <c r="C560" s="158"/>
      <c r="D560" s="148"/>
      <c r="E560" s="159">
        <f>((3.445-0.05-0.016)/22)*5+0.016+0.02</f>
        <v>0.80395454545454548</v>
      </c>
      <c r="F560" s="150"/>
      <c r="G560" s="107">
        <v>10</v>
      </c>
      <c r="H560" s="108">
        <v>1</v>
      </c>
      <c r="I560" s="108">
        <f>4*2</f>
        <v>8</v>
      </c>
      <c r="J560" s="160">
        <f>2*(D562+E560)+2*8*G560/1000</f>
        <v>2.1279090909090912</v>
      </c>
      <c r="K560" s="108"/>
      <c r="L560" s="108">
        <v>5</v>
      </c>
      <c r="M560" s="121">
        <f>2*G560*L560/1000</f>
        <v>0.1</v>
      </c>
      <c r="N560" s="121">
        <f>(J560+K560-M560)</f>
        <v>2.0279090909090911</v>
      </c>
      <c r="O560" s="121">
        <f>(H560*I560*N560)</f>
        <v>16.223272727272729</v>
      </c>
      <c r="P560" s="151" t="str">
        <f t="shared" si="61"/>
        <v/>
      </c>
      <c r="Q560" s="151">
        <f t="shared" si="62"/>
        <v>16.223272727272729</v>
      </c>
      <c r="R560" s="151" t="str">
        <f t="shared" si="63"/>
        <v/>
      </c>
      <c r="S560" s="151" t="str">
        <f t="shared" si="64"/>
        <v/>
      </c>
      <c r="T560" s="151" t="str">
        <f t="shared" si="65"/>
        <v/>
      </c>
      <c r="U560" s="151" t="str">
        <f t="shared" si="66"/>
        <v/>
      </c>
      <c r="V560" s="108"/>
    </row>
    <row r="561" spans="1:22">
      <c r="A561" s="101"/>
      <c r="B561" s="157"/>
      <c r="C561" s="147"/>
      <c r="D561" s="148"/>
      <c r="E561" s="161"/>
      <c r="F561" s="150"/>
      <c r="G561" s="107"/>
      <c r="H561" s="108"/>
      <c r="I561" s="108"/>
      <c r="J561" s="109"/>
      <c r="K561" s="108"/>
      <c r="L561" s="108"/>
      <c r="M561" s="108"/>
      <c r="N561" s="108"/>
      <c r="O561" s="121"/>
      <c r="P561" s="151" t="str">
        <f t="shared" si="61"/>
        <v/>
      </c>
      <c r="Q561" s="151" t="str">
        <f t="shared" si="62"/>
        <v/>
      </c>
      <c r="R561" s="151" t="str">
        <f t="shared" si="63"/>
        <v/>
      </c>
      <c r="S561" s="151" t="str">
        <f t="shared" si="64"/>
        <v/>
      </c>
      <c r="T561" s="151" t="str">
        <f t="shared" si="65"/>
        <v/>
      </c>
      <c r="U561" s="151" t="str">
        <f t="shared" si="66"/>
        <v/>
      </c>
      <c r="V561" s="108"/>
    </row>
    <row r="562" spans="1:22">
      <c r="A562" s="101"/>
      <c r="B562" s="157"/>
      <c r="C562" s="147"/>
      <c r="D562" s="118">
        <f>0.23-0.05</f>
        <v>0.18</v>
      </c>
      <c r="E562" s="417">
        <f>((0.6-0.025-0.008)/5)*5+0.016+0.02</f>
        <v>0.60299999999999998</v>
      </c>
      <c r="F562" s="150"/>
      <c r="G562" s="107"/>
      <c r="H562" s="108"/>
      <c r="I562" s="108"/>
      <c r="J562" s="109"/>
      <c r="K562" s="108"/>
      <c r="L562" s="108"/>
      <c r="M562" s="108"/>
      <c r="N562" s="108"/>
      <c r="O562" s="121"/>
      <c r="P562" s="151" t="str">
        <f t="shared" si="61"/>
        <v/>
      </c>
      <c r="Q562" s="151" t="str">
        <f t="shared" si="62"/>
        <v/>
      </c>
      <c r="R562" s="151" t="str">
        <f t="shared" si="63"/>
        <v/>
      </c>
      <c r="S562" s="151" t="str">
        <f t="shared" si="64"/>
        <v/>
      </c>
      <c r="T562" s="151" t="str">
        <f t="shared" si="65"/>
        <v/>
      </c>
      <c r="U562" s="151" t="str">
        <f t="shared" si="66"/>
        <v/>
      </c>
      <c r="V562" s="108"/>
    </row>
    <row r="563" spans="1:22">
      <c r="A563" s="101"/>
      <c r="B563" s="152"/>
      <c r="C563" s="147"/>
      <c r="D563" s="148"/>
      <c r="E563" s="149"/>
      <c r="F563" s="150"/>
      <c r="G563" s="107"/>
      <c r="H563" s="108"/>
      <c r="I563" s="108"/>
      <c r="J563" s="118"/>
      <c r="K563" s="119"/>
      <c r="L563" s="120"/>
      <c r="M563" s="108"/>
      <c r="N563" s="121"/>
      <c r="O563" s="121"/>
      <c r="P563" s="151"/>
      <c r="Q563" s="151"/>
      <c r="R563" s="151"/>
      <c r="S563" s="151"/>
      <c r="T563" s="151"/>
      <c r="U563" s="151"/>
      <c r="V563" s="108"/>
    </row>
    <row r="564" spans="1:22">
      <c r="A564" s="101"/>
      <c r="B564" s="101"/>
      <c r="C564" s="156">
        <v>0.08</v>
      </c>
      <c r="D564" s="148"/>
      <c r="E564" s="149"/>
      <c r="F564" s="150"/>
      <c r="G564" s="107"/>
      <c r="H564" s="108"/>
      <c r="I564" s="108"/>
      <c r="J564" s="109"/>
      <c r="K564" s="108"/>
      <c r="L564" s="108"/>
      <c r="M564" s="108"/>
      <c r="N564" s="108"/>
      <c r="O564" s="110"/>
      <c r="P564" s="151" t="str">
        <f t="shared" si="61"/>
        <v/>
      </c>
      <c r="Q564" s="151" t="str">
        <f t="shared" si="62"/>
        <v/>
      </c>
      <c r="R564" s="151" t="str">
        <f t="shared" si="63"/>
        <v/>
      </c>
      <c r="S564" s="151" t="str">
        <f t="shared" si="64"/>
        <v/>
      </c>
      <c r="T564" s="151" t="str">
        <f t="shared" si="65"/>
        <v/>
      </c>
      <c r="U564" s="151" t="str">
        <f t="shared" si="66"/>
        <v/>
      </c>
      <c r="V564" s="108"/>
    </row>
    <row r="565" spans="1:22">
      <c r="A565" s="101"/>
      <c r="B565" s="157" t="s">
        <v>387</v>
      </c>
      <c r="C565" s="158"/>
      <c r="D565" s="148"/>
      <c r="E565" s="159">
        <f>((3.445-0.05-0.016)/22)*12+0.016+0.02</f>
        <v>1.8790909090909089</v>
      </c>
      <c r="F565" s="150"/>
      <c r="G565" s="107">
        <v>10</v>
      </c>
      <c r="H565" s="108">
        <v>1</v>
      </c>
      <c r="I565" s="108">
        <v>4</v>
      </c>
      <c r="J565" s="160">
        <f>2*(D567+E565)+2*8*G565/1000</f>
        <v>4.2781818181818183</v>
      </c>
      <c r="K565" s="108"/>
      <c r="L565" s="108">
        <v>5</v>
      </c>
      <c r="M565" s="121">
        <f>2*G565*L565/1000</f>
        <v>0.1</v>
      </c>
      <c r="N565" s="121">
        <f>(J565+K565-M565)</f>
        <v>4.1781818181818187</v>
      </c>
      <c r="O565" s="121">
        <f>(H565*I565*N565)</f>
        <v>16.712727272727275</v>
      </c>
      <c r="P565" s="151" t="str">
        <f t="shared" si="61"/>
        <v/>
      </c>
      <c r="Q565" s="151">
        <f t="shared" si="62"/>
        <v>16.712727272727275</v>
      </c>
      <c r="R565" s="151" t="str">
        <f t="shared" si="63"/>
        <v/>
      </c>
      <c r="S565" s="151" t="str">
        <f t="shared" si="64"/>
        <v/>
      </c>
      <c r="T565" s="151" t="str">
        <f t="shared" si="65"/>
        <v/>
      </c>
      <c r="U565" s="151" t="str">
        <f t="shared" si="66"/>
        <v/>
      </c>
      <c r="V565" s="108"/>
    </row>
    <row r="566" spans="1:22">
      <c r="A566" s="101"/>
      <c r="B566" s="157"/>
      <c r="C566" s="147"/>
      <c r="D566" s="148"/>
      <c r="E566" s="161"/>
      <c r="F566" s="150"/>
      <c r="G566" s="107"/>
      <c r="H566" s="108"/>
      <c r="I566" s="108"/>
      <c r="J566" s="109"/>
      <c r="K566" s="108"/>
      <c r="L566" s="108"/>
      <c r="M566" s="108"/>
      <c r="N566" s="108"/>
      <c r="O566" s="121"/>
      <c r="P566" s="151" t="str">
        <f t="shared" si="61"/>
        <v/>
      </c>
      <c r="Q566" s="151" t="str">
        <f t="shared" si="62"/>
        <v/>
      </c>
      <c r="R566" s="151" t="str">
        <f t="shared" si="63"/>
        <v/>
      </c>
      <c r="S566" s="151" t="str">
        <f t="shared" si="64"/>
        <v/>
      </c>
      <c r="T566" s="151" t="str">
        <f t="shared" si="65"/>
        <v/>
      </c>
      <c r="U566" s="151" t="str">
        <f t="shared" si="66"/>
        <v/>
      </c>
      <c r="V566" s="108"/>
    </row>
    <row r="567" spans="1:22">
      <c r="A567" s="101"/>
      <c r="B567" s="157"/>
      <c r="C567" s="147"/>
      <c r="D567" s="118">
        <f>0.23-0.05</f>
        <v>0.18</v>
      </c>
      <c r="E567" s="149"/>
      <c r="F567" s="150"/>
      <c r="G567" s="107"/>
      <c r="H567" s="108"/>
      <c r="I567" s="108"/>
      <c r="J567" s="109"/>
      <c r="K567" s="108"/>
      <c r="L567" s="108"/>
      <c r="M567" s="108"/>
      <c r="N567" s="108"/>
      <c r="O567" s="121"/>
      <c r="P567" s="151" t="str">
        <f t="shared" si="61"/>
        <v/>
      </c>
      <c r="Q567" s="151" t="str">
        <f t="shared" si="62"/>
        <v/>
      </c>
      <c r="R567" s="151" t="str">
        <f t="shared" si="63"/>
        <v/>
      </c>
      <c r="S567" s="151" t="str">
        <f t="shared" si="64"/>
        <v/>
      </c>
      <c r="T567" s="151" t="str">
        <f t="shared" si="65"/>
        <v/>
      </c>
      <c r="U567" s="151" t="str">
        <f t="shared" si="66"/>
        <v/>
      </c>
      <c r="V567" s="108"/>
    </row>
    <row r="568" spans="1:22">
      <c r="A568" s="101"/>
      <c r="B568" s="152"/>
      <c r="C568" s="147"/>
      <c r="D568" s="148"/>
      <c r="E568" s="149"/>
      <c r="F568" s="150"/>
      <c r="G568" s="107"/>
      <c r="H568" s="108"/>
      <c r="I568" s="108"/>
      <c r="J568" s="118"/>
      <c r="K568" s="119"/>
      <c r="L568" s="120"/>
      <c r="M568" s="108"/>
      <c r="N568" s="121"/>
      <c r="O568" s="121"/>
      <c r="P568" s="151"/>
      <c r="Q568" s="151"/>
      <c r="R568" s="151"/>
      <c r="S568" s="151"/>
      <c r="T568" s="151"/>
      <c r="U568" s="151"/>
      <c r="V568" s="108"/>
    </row>
    <row r="569" spans="1:22">
      <c r="A569" s="101"/>
      <c r="B569" s="101"/>
      <c r="C569" s="156">
        <v>0.08</v>
      </c>
      <c r="D569" s="148"/>
      <c r="E569" s="149"/>
      <c r="F569" s="150"/>
      <c r="G569" s="107"/>
      <c r="H569" s="108"/>
      <c r="I569" s="108"/>
      <c r="J569" s="109"/>
      <c r="K569" s="108"/>
      <c r="L569" s="108"/>
      <c r="M569" s="108"/>
      <c r="N569" s="108"/>
      <c r="O569" s="110"/>
      <c r="P569" s="151" t="str">
        <f t="shared" si="61"/>
        <v/>
      </c>
      <c r="Q569" s="151" t="str">
        <f t="shared" si="62"/>
        <v/>
      </c>
      <c r="R569" s="151" t="str">
        <f t="shared" si="63"/>
        <v/>
      </c>
      <c r="S569" s="151" t="str">
        <f t="shared" si="64"/>
        <v/>
      </c>
      <c r="T569" s="151" t="str">
        <f t="shared" si="65"/>
        <v/>
      </c>
      <c r="U569" s="151" t="str">
        <f t="shared" si="66"/>
        <v/>
      </c>
      <c r="V569" s="108"/>
    </row>
    <row r="570" spans="1:22">
      <c r="A570" s="101"/>
      <c r="B570" s="157" t="s">
        <v>388</v>
      </c>
      <c r="C570" s="158"/>
      <c r="D570" s="148"/>
      <c r="E570" s="159">
        <f>((3.445-0.05-0.016)/22)+0.016+0.02</f>
        <v>0.18959090909090906</v>
      </c>
      <c r="F570" s="150"/>
      <c r="G570" s="107">
        <v>10</v>
      </c>
      <c r="H570" s="108">
        <v>1</v>
      </c>
      <c r="I570" s="108">
        <v>4</v>
      </c>
      <c r="J570" s="160">
        <f>2*(D572+E570)+2*8*G570/1000</f>
        <v>0.89918181818181819</v>
      </c>
      <c r="K570" s="108"/>
      <c r="L570" s="108">
        <v>5</v>
      </c>
      <c r="M570" s="121">
        <f>2*G570*L570/1000</f>
        <v>0.1</v>
      </c>
      <c r="N570" s="121">
        <f>(J570+K570-M570)</f>
        <v>0.79918181818181822</v>
      </c>
      <c r="O570" s="121">
        <f>(H570*I570*N570)</f>
        <v>3.1967272727272729</v>
      </c>
      <c r="P570" s="151" t="str">
        <f t="shared" si="61"/>
        <v/>
      </c>
      <c r="Q570" s="151">
        <f t="shared" si="62"/>
        <v>3.1967272727272729</v>
      </c>
      <c r="R570" s="151" t="str">
        <f t="shared" si="63"/>
        <v/>
      </c>
      <c r="S570" s="151" t="str">
        <f t="shared" si="64"/>
        <v/>
      </c>
      <c r="T570" s="151" t="str">
        <f t="shared" si="65"/>
        <v/>
      </c>
      <c r="U570" s="151" t="str">
        <f t="shared" si="66"/>
        <v/>
      </c>
      <c r="V570" s="108"/>
    </row>
    <row r="571" spans="1:22">
      <c r="A571" s="101"/>
      <c r="B571" s="157"/>
      <c r="C571" s="147"/>
      <c r="D571" s="148"/>
      <c r="E571" s="161"/>
      <c r="F571" s="150"/>
      <c r="G571" s="107"/>
      <c r="H571" s="108"/>
      <c r="I571" s="108"/>
      <c r="J571" s="109"/>
      <c r="K571" s="108"/>
      <c r="L571" s="108"/>
      <c r="M571" s="108"/>
      <c r="N571" s="108"/>
      <c r="O571" s="121"/>
      <c r="P571" s="151" t="str">
        <f t="shared" si="61"/>
        <v/>
      </c>
      <c r="Q571" s="151" t="str">
        <f t="shared" si="62"/>
        <v/>
      </c>
      <c r="R571" s="151" t="str">
        <f t="shared" si="63"/>
        <v/>
      </c>
      <c r="S571" s="151" t="str">
        <f t="shared" si="64"/>
        <v/>
      </c>
      <c r="T571" s="151" t="str">
        <f t="shared" si="65"/>
        <v/>
      </c>
      <c r="U571" s="151" t="str">
        <f t="shared" si="66"/>
        <v/>
      </c>
      <c r="V571" s="108"/>
    </row>
    <row r="572" spans="1:22">
      <c r="A572" s="101"/>
      <c r="B572" s="157"/>
      <c r="C572" s="147"/>
      <c r="D572" s="118">
        <f>0.23-0.05</f>
        <v>0.18</v>
      </c>
      <c r="E572" s="149"/>
      <c r="F572" s="150"/>
      <c r="G572" s="107"/>
      <c r="H572" s="108"/>
      <c r="I572" s="108"/>
      <c r="J572" s="109"/>
      <c r="K572" s="108"/>
      <c r="L572" s="108"/>
      <c r="M572" s="108"/>
      <c r="N572" s="108"/>
      <c r="O572" s="121"/>
      <c r="P572" s="151" t="str">
        <f t="shared" si="61"/>
        <v/>
      </c>
      <c r="Q572" s="151" t="str">
        <f t="shared" si="62"/>
        <v/>
      </c>
      <c r="R572" s="151" t="str">
        <f t="shared" si="63"/>
        <v/>
      </c>
      <c r="S572" s="151" t="str">
        <f t="shared" si="64"/>
        <v/>
      </c>
      <c r="T572" s="151" t="str">
        <f t="shared" si="65"/>
        <v/>
      </c>
      <c r="U572" s="151" t="str">
        <f t="shared" si="66"/>
        <v/>
      </c>
      <c r="V572" s="108"/>
    </row>
    <row r="573" spans="1:22">
      <c r="A573" s="101"/>
      <c r="B573" s="152"/>
      <c r="C573" s="147"/>
      <c r="D573" s="148"/>
      <c r="E573" s="149"/>
      <c r="F573" s="150"/>
      <c r="G573" s="107"/>
      <c r="H573" s="108"/>
      <c r="I573" s="108"/>
      <c r="J573" s="109"/>
      <c r="K573" s="108"/>
      <c r="L573" s="108"/>
      <c r="M573" s="108"/>
      <c r="N573" s="108"/>
      <c r="O573" s="110"/>
      <c r="P573" s="151" t="str">
        <f t="shared" si="61"/>
        <v/>
      </c>
      <c r="Q573" s="151" t="str">
        <f t="shared" si="62"/>
        <v/>
      </c>
      <c r="R573" s="151" t="str">
        <f t="shared" si="63"/>
        <v/>
      </c>
      <c r="S573" s="151" t="str">
        <f t="shared" si="64"/>
        <v/>
      </c>
      <c r="T573" s="151" t="str">
        <f t="shared" si="65"/>
        <v/>
      </c>
      <c r="U573" s="151" t="str">
        <f t="shared" si="66"/>
        <v/>
      </c>
      <c r="V573" s="108"/>
    </row>
    <row r="574" spans="1:22">
      <c r="A574" s="101"/>
      <c r="B574" s="152"/>
      <c r="C574" s="147"/>
      <c r="D574" s="148"/>
      <c r="E574" s="155">
        <v>0.08</v>
      </c>
      <c r="F574" s="150"/>
      <c r="G574" s="107"/>
      <c r="H574" s="108"/>
      <c r="I574" s="108"/>
      <c r="J574" s="109"/>
      <c r="K574" s="108"/>
      <c r="L574" s="108"/>
      <c r="M574" s="108"/>
      <c r="N574" s="108"/>
      <c r="O574" s="110"/>
      <c r="P574" s="151" t="str">
        <f t="shared" si="61"/>
        <v/>
      </c>
      <c r="Q574" s="151" t="str">
        <f t="shared" si="62"/>
        <v/>
      </c>
      <c r="R574" s="151" t="str">
        <f t="shared" si="63"/>
        <v/>
      </c>
      <c r="S574" s="151" t="str">
        <f t="shared" si="64"/>
        <v/>
      </c>
      <c r="T574" s="151" t="str">
        <f t="shared" si="65"/>
        <v/>
      </c>
      <c r="U574" s="151" t="str">
        <f t="shared" si="66"/>
        <v/>
      </c>
      <c r="V574" s="108"/>
    </row>
    <row r="575" spans="1:22">
      <c r="A575" s="101"/>
      <c r="B575" s="157" t="s">
        <v>389</v>
      </c>
      <c r="C575" s="147"/>
      <c r="D575" s="153">
        <f>0.23-0.05</f>
        <v>0.18</v>
      </c>
      <c r="E575" s="155"/>
      <c r="F575" s="150"/>
      <c r="G575" s="107">
        <v>10</v>
      </c>
      <c r="H575" s="108">
        <v>1</v>
      </c>
      <c r="I575" s="108">
        <v>5</v>
      </c>
      <c r="J575" s="160">
        <f>D575+E574+E576</f>
        <v>0.34</v>
      </c>
      <c r="K575" s="108"/>
      <c r="L575" s="108">
        <v>2</v>
      </c>
      <c r="M575" s="121">
        <f>2*G575*L575/1000</f>
        <v>0.04</v>
      </c>
      <c r="N575" s="121">
        <f>(J575+K575-M575)</f>
        <v>0.30000000000000004</v>
      </c>
      <c r="O575" s="121">
        <f>(H575*I575*N575)</f>
        <v>1.5000000000000002</v>
      </c>
      <c r="P575" s="151" t="str">
        <f t="shared" si="61"/>
        <v/>
      </c>
      <c r="Q575" s="151">
        <f t="shared" si="62"/>
        <v>1.5000000000000002</v>
      </c>
      <c r="R575" s="151" t="str">
        <f t="shared" si="63"/>
        <v/>
      </c>
      <c r="S575" s="151" t="str">
        <f t="shared" si="64"/>
        <v/>
      </c>
      <c r="T575" s="151" t="str">
        <f t="shared" si="65"/>
        <v/>
      </c>
      <c r="U575" s="151" t="str">
        <f t="shared" si="66"/>
        <v/>
      </c>
      <c r="V575" s="108"/>
    </row>
    <row r="576" spans="1:22">
      <c r="A576" s="101"/>
      <c r="B576" s="152"/>
      <c r="C576" s="147"/>
      <c r="D576" s="148"/>
      <c r="E576" s="155">
        <v>0.08</v>
      </c>
      <c r="F576" s="150"/>
      <c r="G576" s="107"/>
      <c r="H576" s="108"/>
      <c r="I576" s="108"/>
      <c r="J576" s="109"/>
      <c r="K576" s="108"/>
      <c r="L576" s="108"/>
      <c r="M576" s="108"/>
      <c r="N576" s="108"/>
      <c r="O576" s="110"/>
      <c r="P576" s="151" t="str">
        <f t="shared" si="61"/>
        <v/>
      </c>
      <c r="Q576" s="151" t="str">
        <f t="shared" si="62"/>
        <v/>
      </c>
      <c r="R576" s="151" t="str">
        <f t="shared" si="63"/>
        <v/>
      </c>
      <c r="S576" s="151" t="str">
        <f t="shared" si="64"/>
        <v/>
      </c>
      <c r="T576" s="151" t="str">
        <f t="shared" si="65"/>
        <v/>
      </c>
      <c r="U576" s="151" t="str">
        <f t="shared" si="66"/>
        <v/>
      </c>
      <c r="V576" s="108"/>
    </row>
    <row r="577" spans="1:22">
      <c r="A577" s="101"/>
      <c r="B577" s="157"/>
      <c r="C577" s="147"/>
      <c r="D577" s="163"/>
      <c r="E577" s="149"/>
      <c r="F577" s="150"/>
      <c r="G577" s="107"/>
      <c r="H577" s="108"/>
      <c r="I577" s="108"/>
      <c r="J577" s="109"/>
      <c r="K577" s="108"/>
      <c r="L577" s="108"/>
      <c r="M577" s="108"/>
      <c r="N577" s="108"/>
      <c r="O577" s="110"/>
      <c r="P577" s="151" t="str">
        <f t="shared" si="61"/>
        <v/>
      </c>
      <c r="Q577" s="151" t="str">
        <f t="shared" si="62"/>
        <v/>
      </c>
      <c r="R577" s="151" t="str">
        <f t="shared" si="63"/>
        <v/>
      </c>
      <c r="S577" s="151" t="str">
        <f t="shared" si="64"/>
        <v/>
      </c>
      <c r="T577" s="151" t="str">
        <f t="shared" si="65"/>
        <v/>
      </c>
      <c r="U577" s="151" t="str">
        <f t="shared" si="66"/>
        <v/>
      </c>
      <c r="V577" s="108"/>
    </row>
    <row r="578" spans="1:22">
      <c r="A578" s="101">
        <v>21</v>
      </c>
      <c r="B578" s="101" t="s">
        <v>467</v>
      </c>
      <c r="C578" s="147"/>
      <c r="D578" s="283">
        <v>0.1</v>
      </c>
      <c r="E578" s="149"/>
      <c r="F578" s="150"/>
      <c r="G578" s="107"/>
      <c r="H578" s="108"/>
      <c r="I578" s="108"/>
      <c r="J578" s="118"/>
      <c r="K578" s="121"/>
      <c r="L578" s="121"/>
      <c r="M578" s="108"/>
      <c r="N578" s="121"/>
      <c r="O578" s="121"/>
      <c r="P578" s="151" t="str">
        <f>IF($G578=8,$O578,"")</f>
        <v/>
      </c>
      <c r="Q578" s="151" t="str">
        <f>IF($G578=10,$O578,"")</f>
        <v/>
      </c>
      <c r="R578" s="151" t="str">
        <f>IF($G578=12,$O578,"")</f>
        <v/>
      </c>
      <c r="S578" s="151" t="str">
        <f>IF($G578=16,$O578,"")</f>
        <v/>
      </c>
      <c r="T578" s="151" t="str">
        <f>IF($G578=20,$O578,"")</f>
        <v/>
      </c>
      <c r="U578" s="151" t="str">
        <f>IF($G578=25,$O578,"")</f>
        <v/>
      </c>
      <c r="V578" s="108"/>
    </row>
    <row r="579" spans="1:22">
      <c r="A579" s="101"/>
      <c r="B579" s="152" t="s">
        <v>468</v>
      </c>
      <c r="C579" s="147"/>
      <c r="D579" s="153">
        <f>49*0.01+1.8+0.45-0.04</f>
        <v>2.7</v>
      </c>
      <c r="E579" s="149"/>
      <c r="F579" s="150"/>
      <c r="G579" s="107">
        <v>10</v>
      </c>
      <c r="H579" s="108">
        <v>4</v>
      </c>
      <c r="I579" s="120">
        <f>(1.9/0.15)+1</f>
        <v>13.666666666666666</v>
      </c>
      <c r="J579" s="118">
        <f>D579</f>
        <v>2.7</v>
      </c>
      <c r="K579" s="119" t="str">
        <f>IF(N579&lt;12,"0",0.049*G579)</f>
        <v>0</v>
      </c>
      <c r="L579" s="120">
        <v>1</v>
      </c>
      <c r="M579" s="108">
        <f>2*G579*L579/1000</f>
        <v>0.02</v>
      </c>
      <c r="N579" s="121">
        <f>J579+D578-M579</f>
        <v>2.7800000000000002</v>
      </c>
      <c r="O579" s="121">
        <f t="shared" ref="O579" si="78">H579*I579*N579</f>
        <v>151.97333333333333</v>
      </c>
      <c r="P579" s="151" t="str">
        <f t="shared" si="61"/>
        <v/>
      </c>
      <c r="Q579" s="151">
        <f t="shared" si="62"/>
        <v>151.97333333333333</v>
      </c>
      <c r="R579" s="151" t="str">
        <f t="shared" si="63"/>
        <v/>
      </c>
      <c r="S579" s="151" t="str">
        <f t="shared" si="64"/>
        <v/>
      </c>
      <c r="T579" s="151" t="str">
        <f t="shared" si="65"/>
        <v/>
      </c>
      <c r="U579" s="151" t="str">
        <f t="shared" si="66"/>
        <v/>
      </c>
      <c r="V579" s="108"/>
    </row>
    <row r="580" spans="1:22">
      <c r="A580" s="101"/>
      <c r="B580" s="152"/>
      <c r="C580" s="147"/>
      <c r="D580" s="148"/>
      <c r="E580" s="149"/>
      <c r="F580" s="150"/>
      <c r="G580" s="107"/>
      <c r="H580" s="108"/>
      <c r="I580" s="108"/>
      <c r="J580" s="118"/>
      <c r="K580" s="119"/>
      <c r="L580" s="120"/>
      <c r="M580" s="108"/>
      <c r="N580" s="121"/>
      <c r="O580" s="121"/>
      <c r="P580" s="151" t="str">
        <f t="shared" si="61"/>
        <v/>
      </c>
      <c r="Q580" s="151" t="str">
        <f t="shared" si="62"/>
        <v/>
      </c>
      <c r="R580" s="151" t="str">
        <f t="shared" si="63"/>
        <v/>
      </c>
      <c r="S580" s="151" t="str">
        <f t="shared" si="64"/>
        <v/>
      </c>
      <c r="T580" s="151" t="str">
        <f t="shared" si="65"/>
        <v/>
      </c>
      <c r="U580" s="151" t="str">
        <f t="shared" si="66"/>
        <v/>
      </c>
      <c r="V580" s="108"/>
    </row>
    <row r="581" spans="1:22">
      <c r="A581" s="101"/>
      <c r="B581" s="152"/>
      <c r="C581" s="154"/>
      <c r="D581" s="153"/>
      <c r="E581" s="155"/>
      <c r="F581" s="150"/>
      <c r="G581" s="107"/>
      <c r="H581" s="108"/>
      <c r="I581" s="108"/>
      <c r="J581" s="118"/>
      <c r="K581" s="119"/>
      <c r="L581" s="120"/>
      <c r="M581" s="108"/>
      <c r="N581" s="121"/>
      <c r="O581" s="121"/>
      <c r="P581" s="151" t="str">
        <f t="shared" si="61"/>
        <v/>
      </c>
      <c r="Q581" s="151" t="str">
        <f t="shared" si="62"/>
        <v/>
      </c>
      <c r="R581" s="151" t="str">
        <f t="shared" si="63"/>
        <v/>
      </c>
      <c r="S581" s="151" t="str">
        <f t="shared" si="64"/>
        <v/>
      </c>
      <c r="T581" s="151" t="str">
        <f t="shared" si="65"/>
        <v/>
      </c>
      <c r="U581" s="151" t="str">
        <f t="shared" si="66"/>
        <v/>
      </c>
      <c r="V581" s="108"/>
    </row>
    <row r="582" spans="1:22">
      <c r="A582" s="101"/>
      <c r="B582" s="152"/>
      <c r="C582" s="147"/>
      <c r="D582" s="148"/>
      <c r="E582" s="149"/>
      <c r="F582" s="150"/>
      <c r="G582" s="107"/>
      <c r="H582" s="108"/>
      <c r="I582" s="108"/>
      <c r="J582" s="118"/>
      <c r="K582" s="119"/>
      <c r="L582" s="120"/>
      <c r="M582" s="108"/>
      <c r="N582" s="121"/>
      <c r="O582" s="121"/>
      <c r="P582" s="151" t="str">
        <f t="shared" si="61"/>
        <v/>
      </c>
      <c r="Q582" s="151" t="str">
        <f t="shared" si="62"/>
        <v/>
      </c>
      <c r="R582" s="151" t="str">
        <f t="shared" si="63"/>
        <v/>
      </c>
      <c r="S582" s="151" t="str">
        <f t="shared" si="64"/>
        <v/>
      </c>
      <c r="T582" s="151" t="str">
        <f t="shared" si="65"/>
        <v/>
      </c>
      <c r="U582" s="151" t="str">
        <f t="shared" si="66"/>
        <v/>
      </c>
      <c r="V582" s="108"/>
    </row>
    <row r="583" spans="1:22">
      <c r="A583" s="101"/>
      <c r="B583" s="157"/>
      <c r="C583" s="147"/>
      <c r="D583" s="163"/>
      <c r="E583" s="149"/>
      <c r="F583" s="150"/>
      <c r="G583" s="107"/>
      <c r="H583" s="108"/>
      <c r="I583" s="108"/>
      <c r="J583" s="109"/>
      <c r="K583" s="108"/>
      <c r="L583" s="108"/>
      <c r="M583" s="108"/>
      <c r="N583" s="108"/>
      <c r="O583" s="110"/>
      <c r="P583" s="151" t="str">
        <f t="shared" si="61"/>
        <v/>
      </c>
      <c r="Q583" s="151" t="str">
        <f t="shared" si="62"/>
        <v/>
      </c>
      <c r="R583" s="151" t="str">
        <f t="shared" si="63"/>
        <v/>
      </c>
      <c r="S583" s="151" t="str">
        <f t="shared" si="64"/>
        <v/>
      </c>
      <c r="T583" s="151" t="str">
        <f t="shared" si="65"/>
        <v/>
      </c>
      <c r="U583" s="151" t="str">
        <f t="shared" si="66"/>
        <v/>
      </c>
      <c r="V583" s="108"/>
    </row>
    <row r="584" spans="1:22">
      <c r="A584" s="101"/>
      <c r="B584" s="152"/>
      <c r="C584" s="147"/>
      <c r="D584" s="148"/>
      <c r="E584" s="149"/>
      <c r="F584" s="150"/>
      <c r="G584" s="107"/>
      <c r="H584" s="108"/>
      <c r="I584" s="108"/>
      <c r="J584" s="109"/>
      <c r="K584" s="108"/>
      <c r="L584" s="108"/>
      <c r="M584" s="108"/>
      <c r="N584" s="108"/>
      <c r="O584" s="121"/>
      <c r="P584" s="151" t="str">
        <f t="shared" ref="P584:P587" si="79">IF($G584=8,$O584,"")</f>
        <v/>
      </c>
      <c r="Q584" s="151" t="str">
        <f t="shared" ref="Q584:Q587" si="80">IF($G584=10,$O584,"")</f>
        <v/>
      </c>
      <c r="R584" s="151" t="str">
        <f t="shared" ref="R584:R587" si="81">IF($G584=12,$O584,"")</f>
        <v/>
      </c>
      <c r="S584" s="151" t="str">
        <f t="shared" ref="S584:S587" si="82">IF($G584=16,$O584,"")</f>
        <v/>
      </c>
      <c r="T584" s="151" t="str">
        <f t="shared" ref="T584:T587" si="83">IF($G584=20,$O584,"")</f>
        <v/>
      </c>
      <c r="U584" s="151" t="str">
        <f t="shared" ref="U584:U587" si="84">IF($G584=25,$O584,"")</f>
        <v/>
      </c>
      <c r="V584" s="108"/>
    </row>
    <row r="585" spans="1:22">
      <c r="A585" s="101"/>
      <c r="B585" s="157"/>
      <c r="C585" s="147"/>
      <c r="D585" s="163"/>
      <c r="E585" s="149"/>
      <c r="F585" s="150"/>
      <c r="G585" s="107"/>
      <c r="H585" s="108"/>
      <c r="I585" s="108"/>
      <c r="J585" s="109"/>
      <c r="K585" s="108"/>
      <c r="L585" s="108"/>
      <c r="M585" s="108"/>
      <c r="N585" s="108"/>
      <c r="O585" s="110"/>
      <c r="P585" s="151" t="str">
        <f t="shared" si="79"/>
        <v/>
      </c>
      <c r="Q585" s="151" t="str">
        <f t="shared" si="80"/>
        <v/>
      </c>
      <c r="R585" s="151" t="str">
        <f t="shared" si="81"/>
        <v/>
      </c>
      <c r="S585" s="151" t="str">
        <f t="shared" si="82"/>
        <v/>
      </c>
      <c r="T585" s="151" t="str">
        <f t="shared" si="83"/>
        <v/>
      </c>
      <c r="U585" s="151" t="str">
        <f t="shared" si="84"/>
        <v/>
      </c>
      <c r="V585" s="108"/>
    </row>
    <row r="586" spans="1:22">
      <c r="A586" s="101"/>
      <c r="B586" s="157"/>
      <c r="C586" s="147"/>
      <c r="D586" s="163"/>
      <c r="E586" s="149"/>
      <c r="F586" s="150"/>
      <c r="G586" s="107"/>
      <c r="H586" s="108"/>
      <c r="I586" s="108"/>
      <c r="J586" s="109"/>
      <c r="K586" s="108"/>
      <c r="L586" s="108"/>
      <c r="M586" s="108"/>
      <c r="N586" s="108"/>
      <c r="O586" s="110"/>
      <c r="P586" s="151" t="str">
        <f t="shared" si="79"/>
        <v/>
      </c>
      <c r="Q586" s="151" t="str">
        <f t="shared" si="80"/>
        <v/>
      </c>
      <c r="R586" s="151" t="str">
        <f t="shared" si="81"/>
        <v/>
      </c>
      <c r="S586" s="151" t="str">
        <f t="shared" si="82"/>
        <v/>
      </c>
      <c r="T586" s="151" t="str">
        <f t="shared" si="83"/>
        <v/>
      </c>
      <c r="U586" s="151" t="str">
        <f t="shared" si="84"/>
        <v/>
      </c>
      <c r="V586" s="108"/>
    </row>
    <row r="587" spans="1:22">
      <c r="A587" s="101"/>
      <c r="B587" s="164"/>
      <c r="C587" s="165"/>
      <c r="D587" s="166"/>
      <c r="E587" s="167"/>
      <c r="F587" s="150"/>
      <c r="G587" s="107"/>
      <c r="H587" s="108"/>
      <c r="I587" s="108"/>
      <c r="J587" s="109"/>
      <c r="K587" s="108"/>
      <c r="L587" s="108"/>
      <c r="M587" s="108"/>
      <c r="N587" s="108"/>
      <c r="O587" s="110"/>
      <c r="P587" s="151" t="str">
        <f t="shared" si="79"/>
        <v/>
      </c>
      <c r="Q587" s="151" t="str">
        <f t="shared" si="80"/>
        <v/>
      </c>
      <c r="R587" s="151" t="str">
        <f t="shared" si="81"/>
        <v/>
      </c>
      <c r="S587" s="151" t="str">
        <f t="shared" si="82"/>
        <v/>
      </c>
      <c r="T587" s="151" t="str">
        <f t="shared" si="83"/>
        <v/>
      </c>
      <c r="U587" s="151" t="str">
        <f t="shared" si="84"/>
        <v/>
      </c>
      <c r="V587" s="107" t="s">
        <v>57</v>
      </c>
    </row>
    <row r="588" spans="1:22">
      <c r="A588" s="134"/>
      <c r="B588" s="168" t="s">
        <v>374</v>
      </c>
      <c r="C588" s="555"/>
      <c r="D588" s="555"/>
      <c r="E588" s="556"/>
      <c r="F588" s="136"/>
      <c r="G588" s="136"/>
      <c r="H588" s="137"/>
      <c r="I588" s="137"/>
      <c r="J588" s="138"/>
      <c r="K588" s="137"/>
      <c r="L588" s="137"/>
      <c r="M588" s="137"/>
      <c r="N588" s="137"/>
      <c r="O588" s="137"/>
      <c r="P588" s="139">
        <f t="shared" ref="P588:U588" si="85">SUM(P5:P587)</f>
        <v>0</v>
      </c>
      <c r="Q588" s="139">
        <f t="shared" si="85"/>
        <v>1022.999671168452</v>
      </c>
      <c r="R588" s="139">
        <f t="shared" si="85"/>
        <v>363.69599999999969</v>
      </c>
      <c r="S588" s="139">
        <f t="shared" si="85"/>
        <v>489.52199999999999</v>
      </c>
      <c r="T588" s="139">
        <f t="shared" si="85"/>
        <v>266.01</v>
      </c>
      <c r="U588" s="139">
        <f t="shared" si="85"/>
        <v>19.86</v>
      </c>
      <c r="V588" s="169"/>
    </row>
    <row r="589" spans="1:22">
      <c r="A589" s="134"/>
      <c r="B589" s="168" t="s">
        <v>375</v>
      </c>
      <c r="C589" s="557"/>
      <c r="D589" s="557"/>
      <c r="E589" s="557"/>
      <c r="F589" s="136"/>
      <c r="G589" s="136"/>
      <c r="H589" s="137"/>
      <c r="I589" s="137"/>
      <c r="J589" s="138"/>
      <c r="K589" s="137"/>
      <c r="L589" s="137"/>
      <c r="M589" s="137"/>
      <c r="N589" s="137"/>
      <c r="O589" s="137"/>
      <c r="P589" s="137">
        <v>0.39500000000000002</v>
      </c>
      <c r="Q589" s="137">
        <v>0.61699999999999999</v>
      </c>
      <c r="R589" s="137">
        <v>0.88800000000000001</v>
      </c>
      <c r="S589" s="137">
        <v>1.58</v>
      </c>
      <c r="T589" s="137">
        <v>2.4689999999999999</v>
      </c>
      <c r="U589" s="137">
        <v>3.8580000000000001</v>
      </c>
      <c r="V589" s="169"/>
    </row>
    <row r="590" spans="1:22">
      <c r="A590" s="134"/>
      <c r="B590" s="168" t="s">
        <v>376</v>
      </c>
      <c r="C590" s="557"/>
      <c r="D590" s="557"/>
      <c r="E590" s="557"/>
      <c r="F590" s="136"/>
      <c r="G590" s="136"/>
      <c r="H590" s="137"/>
      <c r="I590" s="137"/>
      <c r="J590" s="138"/>
      <c r="K590" s="137"/>
      <c r="L590" s="137"/>
      <c r="M590" s="137"/>
      <c r="N590" s="137"/>
      <c r="O590" s="137"/>
      <c r="P590" s="141">
        <f>P588*P589</f>
        <v>0</v>
      </c>
      <c r="Q590" s="141">
        <f t="shared" ref="Q590:U590" si="86">Q588*Q589</f>
        <v>631.19079711093491</v>
      </c>
      <c r="R590" s="141">
        <f t="shared" si="86"/>
        <v>322.9620479999997</v>
      </c>
      <c r="S590" s="141">
        <f t="shared" si="86"/>
        <v>773.44475999999997</v>
      </c>
      <c r="T590" s="141">
        <f t="shared" si="86"/>
        <v>656.77868999999998</v>
      </c>
      <c r="U590" s="141">
        <f t="shared" si="86"/>
        <v>76.619879999999995</v>
      </c>
      <c r="V590" s="169">
        <f>SUM(P590:U590)</f>
        <v>2460.9961751109349</v>
      </c>
    </row>
    <row r="591" spans="1:22">
      <c r="A591" s="101"/>
      <c r="B591" s="145"/>
      <c r="C591" s="145"/>
      <c r="D591" s="145"/>
      <c r="E591" s="145"/>
      <c r="F591" s="145"/>
      <c r="G591" s="145"/>
      <c r="J591" s="145"/>
    </row>
  </sheetData>
  <mergeCells count="19">
    <mergeCell ref="C588:E588"/>
    <mergeCell ref="C589:E589"/>
    <mergeCell ref="C590:E590"/>
    <mergeCell ref="L3:L4"/>
    <mergeCell ref="M3:M4"/>
    <mergeCell ref="N3:N4"/>
    <mergeCell ref="O3:O4"/>
    <mergeCell ref="P3:U3"/>
    <mergeCell ref="V3:V4"/>
    <mergeCell ref="A1:V1"/>
    <mergeCell ref="A3:A4"/>
    <mergeCell ref="B3:B4"/>
    <mergeCell ref="C3:E4"/>
    <mergeCell ref="F3:F4"/>
    <mergeCell ref="G3:G4"/>
    <mergeCell ref="H3:H4"/>
    <mergeCell ref="I3:I4"/>
    <mergeCell ref="J3:J4"/>
    <mergeCell ref="K3:K4"/>
  </mergeCells>
  <pageMargins left="0.7" right="0.7" top="0.75" bottom="0.75" header="0.3" footer="0.3"/>
  <pageSetup paperSize="9" scale="57"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7</vt:i4>
      </vt:variant>
    </vt:vector>
  </HeadingPairs>
  <TitlesOfParts>
    <vt:vector size="24" baseType="lpstr">
      <vt:lpstr>TOP SHEET</vt:lpstr>
      <vt:lpstr>ABSTRACT</vt:lpstr>
      <vt:lpstr>EARTH WORK MB</vt:lpstr>
      <vt:lpstr>CONCRETE SUMMARY</vt:lpstr>
      <vt:lpstr>CONCRETE RECO.</vt:lpstr>
      <vt:lpstr>PCC &amp; RCC REC.</vt:lpstr>
      <vt:lpstr>RMC RECEIVING</vt:lpstr>
      <vt:lpstr>CONCRETE WORK MB</vt:lpstr>
      <vt:lpstr>SHUTT. WORK SUMMARY</vt:lpstr>
      <vt:lpstr>SHUTTERING WORK MB</vt:lpstr>
      <vt:lpstr>BRICK WORK SUMMARY</vt:lpstr>
      <vt:lpstr>BRICK WORK MB</vt:lpstr>
      <vt:lpstr>TMT STEEL RECO.</vt:lpstr>
      <vt:lpstr>TMT STEEL REC.</vt:lpstr>
      <vt:lpstr>TMT SUMMARY</vt:lpstr>
      <vt:lpstr>RAFT BBS</vt:lpstr>
      <vt:lpstr>COLUMN BBS</vt:lpstr>
      <vt:lpstr>ABSTRACT!Print_Area</vt:lpstr>
      <vt:lpstr>'RMC RECEIVING'!Print_Area</vt:lpstr>
      <vt:lpstr>'TOP SHEET'!Print_Area</vt:lpstr>
      <vt:lpstr>ABSTRACT!Print_Titles</vt:lpstr>
      <vt:lpstr>'PCC &amp; RCC REC.'!Print_Titles</vt:lpstr>
      <vt:lpstr>'RAFT BBS'!Print_Titles</vt:lpstr>
      <vt:lpstr>'RMC RECEIVING'!Print_Titles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2025-07-27T12:25:48Z</dcterms:modified>
</cp:coreProperties>
</file>